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yler.dunlap\OneDrive - Nexius Solutions, Inc\Scorecard\"/>
    </mc:Choice>
  </mc:AlternateContent>
  <xr:revisionPtr revIDLastSave="0" documentId="10_ncr:100000_{52F0EFFB-6379-40E7-8E20-04DAF638B72C}" xr6:coauthVersionLast="31" xr6:coauthVersionMax="31" xr10:uidLastSave="{00000000-0000-0000-0000-000000000000}"/>
  <bookViews>
    <workbookView xWindow="0" yWindow="0" windowWidth="28800" windowHeight="11850" xr2:uid="{00000000-000D-0000-FFFF-FFFF00000000}"/>
  </bookViews>
  <sheets>
    <sheet name="Forecast Accuracy" sheetId="2" r:id="rId1"/>
    <sheet name="Forecast Accuracy Data" sheetId="3" r:id="rId2"/>
    <sheet name="Production Data" sheetId="7" r:id="rId3"/>
    <sheet name="Lock Summary" sheetId="1" r:id="rId4"/>
    <sheet name="PACE Lock File" sheetId="6" r:id="rId5"/>
  </sheets>
  <functionGroups builtInGroupCount="19"/>
  <definedNames>
    <definedName name="_xlnm._FilterDatabase" localSheetId="4" hidden="1">'PACE Lock File'!$A$1:$D$4768</definedName>
  </definedNames>
  <calcPr calcId="179017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843" i="3" l="1"/>
  <c r="B4842" i="3"/>
  <c r="B4841" i="3"/>
  <c r="B4840" i="3"/>
  <c r="B4839" i="3"/>
  <c r="B4838" i="3"/>
  <c r="B4837" i="3"/>
  <c r="B4836" i="3"/>
  <c r="B4835" i="3"/>
  <c r="B4834" i="3"/>
  <c r="B4833" i="3"/>
  <c r="B4832" i="3"/>
  <c r="B4831" i="3"/>
  <c r="B4830" i="3"/>
  <c r="B4829" i="3"/>
  <c r="B4828" i="3"/>
  <c r="B4827" i="3"/>
  <c r="B4826" i="3"/>
  <c r="B4825" i="3"/>
  <c r="B4824" i="3"/>
  <c r="B4823" i="3"/>
  <c r="B4822" i="3"/>
  <c r="B4821" i="3"/>
  <c r="B4820" i="3"/>
  <c r="B4819" i="3"/>
  <c r="B4818" i="3"/>
  <c r="B4817" i="3"/>
  <c r="B4816" i="3"/>
  <c r="B4815" i="3"/>
  <c r="B4814" i="3"/>
  <c r="B4813" i="3"/>
  <c r="B4812" i="3"/>
  <c r="B4811" i="3"/>
  <c r="B4810" i="3"/>
  <c r="B4809" i="3"/>
  <c r="B4808" i="3"/>
  <c r="B4807" i="3"/>
  <c r="B4806" i="3"/>
  <c r="B4805" i="3"/>
  <c r="B4804" i="3"/>
  <c r="B4803" i="3"/>
  <c r="B4802" i="3"/>
  <c r="B4801" i="3"/>
  <c r="B4800" i="3"/>
  <c r="B4799" i="3"/>
  <c r="B4798" i="3"/>
  <c r="B4797" i="3"/>
  <c r="B4796" i="3"/>
  <c r="B4795" i="3"/>
  <c r="B4794" i="3"/>
  <c r="B4793" i="3"/>
  <c r="B4792" i="3"/>
  <c r="B4791" i="3"/>
  <c r="B4790" i="3"/>
  <c r="B4789" i="3"/>
  <c r="B4788" i="3"/>
  <c r="B4787" i="3"/>
  <c r="B4786" i="3"/>
  <c r="B4785" i="3"/>
  <c r="B4784" i="3"/>
  <c r="B4783" i="3"/>
  <c r="B4782" i="3"/>
  <c r="B4781" i="3"/>
  <c r="B4780" i="3"/>
  <c r="B4779" i="3"/>
  <c r="B4778" i="3"/>
  <c r="B4777" i="3"/>
  <c r="B4776" i="3"/>
  <c r="B4775" i="3"/>
  <c r="B4774" i="3"/>
  <c r="B4773" i="3"/>
  <c r="B4772" i="3"/>
  <c r="B4771" i="3"/>
  <c r="B4770" i="3"/>
  <c r="B4769" i="3"/>
  <c r="B4768" i="3"/>
  <c r="B4767" i="3"/>
  <c r="B4766" i="3"/>
  <c r="B4765" i="3"/>
  <c r="B4764" i="3"/>
  <c r="B4763" i="3"/>
  <c r="B4762" i="3"/>
  <c r="B4761" i="3"/>
  <c r="B4760" i="3"/>
  <c r="B4759" i="3"/>
  <c r="B4758" i="3"/>
  <c r="B4757" i="3"/>
  <c r="B4756" i="3"/>
  <c r="B4755" i="3"/>
  <c r="B4754" i="3"/>
  <c r="B4753" i="3"/>
  <c r="B4752" i="3"/>
  <c r="B4751" i="3"/>
  <c r="B4750" i="3"/>
  <c r="B4749" i="3"/>
  <c r="B4748" i="3"/>
  <c r="B4747" i="3"/>
  <c r="B4746" i="3"/>
  <c r="B4745" i="3"/>
  <c r="B4744" i="3"/>
  <c r="B4743" i="3"/>
  <c r="B4742" i="3"/>
  <c r="B4741" i="3"/>
  <c r="B4740" i="3"/>
  <c r="B4739" i="3"/>
  <c r="B4738" i="3"/>
  <c r="B4737" i="3"/>
  <c r="B4736" i="3"/>
  <c r="B4735" i="3"/>
  <c r="B4734" i="3"/>
  <c r="B4733" i="3"/>
  <c r="B4732" i="3"/>
  <c r="B4731" i="3"/>
  <c r="B4730" i="3"/>
  <c r="B4729" i="3"/>
  <c r="B4728" i="3"/>
  <c r="B4727" i="3"/>
  <c r="B4726" i="3"/>
  <c r="B4725" i="3"/>
  <c r="B4724" i="3"/>
  <c r="B4723" i="3"/>
  <c r="B4722" i="3"/>
  <c r="B4721" i="3"/>
  <c r="B4720" i="3"/>
  <c r="B4719" i="3"/>
  <c r="B4718" i="3"/>
  <c r="B4717" i="3"/>
  <c r="B4716" i="3"/>
  <c r="B4715" i="3"/>
  <c r="B4714" i="3"/>
  <c r="B4713" i="3"/>
  <c r="B4712" i="3"/>
  <c r="B4711" i="3"/>
  <c r="B4710" i="3"/>
  <c r="B4709" i="3"/>
  <c r="B4708" i="3"/>
  <c r="B4707" i="3"/>
  <c r="B4706" i="3"/>
  <c r="B4705" i="3"/>
  <c r="B4704" i="3"/>
  <c r="B4703" i="3"/>
  <c r="B4702" i="3"/>
  <c r="B4701" i="3"/>
  <c r="B4700" i="3"/>
  <c r="B4699" i="3"/>
  <c r="B4698" i="3"/>
  <c r="B4697" i="3"/>
  <c r="B4696" i="3"/>
  <c r="B4695" i="3"/>
  <c r="B4694" i="3"/>
  <c r="B4693" i="3"/>
  <c r="B4692" i="3"/>
  <c r="B4691" i="3"/>
  <c r="B4690" i="3"/>
  <c r="B4689" i="3"/>
  <c r="B4688" i="3"/>
  <c r="B4687" i="3"/>
  <c r="B4686" i="3"/>
  <c r="B4685" i="3"/>
  <c r="B4684" i="3"/>
  <c r="B4683" i="3"/>
  <c r="B4682" i="3"/>
  <c r="B4681" i="3"/>
  <c r="B4680" i="3"/>
  <c r="B4679" i="3"/>
  <c r="B4678" i="3"/>
  <c r="B4677" i="3"/>
  <c r="B4676" i="3"/>
  <c r="B4675" i="3"/>
  <c r="B4674" i="3"/>
  <c r="B4673" i="3"/>
  <c r="B4672" i="3"/>
  <c r="B4671" i="3"/>
  <c r="B4670" i="3"/>
  <c r="B4669" i="3"/>
  <c r="B4668" i="3"/>
  <c r="B4667" i="3"/>
  <c r="B4666" i="3"/>
  <c r="B4665" i="3"/>
  <c r="B4664" i="3"/>
  <c r="B4663" i="3"/>
  <c r="B4662" i="3"/>
  <c r="B4661" i="3"/>
  <c r="B4660" i="3"/>
  <c r="B4659" i="3"/>
  <c r="B4658" i="3"/>
  <c r="B4657" i="3"/>
  <c r="B4656" i="3"/>
  <c r="B4655" i="3"/>
  <c r="B4654" i="3"/>
  <c r="B4653" i="3"/>
  <c r="B4652" i="3"/>
  <c r="B4651" i="3"/>
  <c r="B4650" i="3"/>
  <c r="B4649" i="3"/>
  <c r="B4648" i="3"/>
  <c r="B4647" i="3"/>
  <c r="B4646" i="3"/>
  <c r="B4645" i="3"/>
  <c r="B4644" i="3"/>
  <c r="B4643" i="3"/>
  <c r="B4642" i="3"/>
  <c r="B4641" i="3"/>
  <c r="B4640" i="3"/>
  <c r="B4639" i="3"/>
  <c r="B4638" i="3"/>
  <c r="B4637" i="3"/>
  <c r="B4636" i="3"/>
  <c r="B4635" i="3"/>
  <c r="B4634" i="3"/>
  <c r="B4633" i="3"/>
  <c r="B4632" i="3"/>
  <c r="B4631" i="3"/>
  <c r="B4630" i="3"/>
  <c r="B4629" i="3"/>
  <c r="B4628" i="3"/>
  <c r="B4627" i="3"/>
  <c r="B4626" i="3"/>
  <c r="B4625" i="3"/>
  <c r="B4624" i="3"/>
  <c r="B4623" i="3"/>
  <c r="B4622" i="3"/>
  <c r="B4621" i="3"/>
  <c r="B4620" i="3"/>
  <c r="B4619" i="3"/>
  <c r="B4618" i="3"/>
  <c r="B4617" i="3"/>
  <c r="B4616" i="3"/>
  <c r="B4615" i="3"/>
  <c r="B4614" i="3"/>
  <c r="B4613" i="3"/>
  <c r="B4612" i="3"/>
  <c r="B4611" i="3"/>
  <c r="B4610" i="3"/>
  <c r="B4609" i="3"/>
  <c r="B4608" i="3"/>
  <c r="B4607" i="3"/>
  <c r="B4606" i="3"/>
  <c r="B4605" i="3"/>
  <c r="B4604" i="3"/>
  <c r="B4603" i="3"/>
  <c r="B4602" i="3"/>
  <c r="B4601" i="3"/>
  <c r="B4600" i="3"/>
  <c r="B4599" i="3"/>
  <c r="B4598" i="3"/>
  <c r="B4597" i="3"/>
  <c r="B4596" i="3"/>
  <c r="B4595" i="3"/>
  <c r="B4594" i="3"/>
  <c r="B4593" i="3"/>
  <c r="B4592" i="3"/>
  <c r="B4591" i="3"/>
  <c r="B4590" i="3"/>
  <c r="B4589" i="3"/>
  <c r="B4588" i="3"/>
  <c r="B4587" i="3"/>
  <c r="B4586" i="3"/>
  <c r="B4585" i="3"/>
  <c r="B4584" i="3"/>
  <c r="B4583" i="3"/>
  <c r="B4582" i="3"/>
  <c r="B4581" i="3"/>
  <c r="B4580" i="3"/>
  <c r="B4579" i="3"/>
  <c r="B4578" i="3"/>
  <c r="B4577" i="3"/>
  <c r="B4576" i="3"/>
  <c r="B4575" i="3"/>
  <c r="B4574" i="3"/>
  <c r="B4573" i="3"/>
  <c r="B4572" i="3"/>
  <c r="B4571" i="3"/>
  <c r="B4570" i="3"/>
  <c r="B4569" i="3"/>
  <c r="B4568" i="3"/>
  <c r="B4567" i="3"/>
  <c r="B4566" i="3"/>
  <c r="B4565" i="3"/>
  <c r="B4564" i="3"/>
  <c r="B4563" i="3"/>
  <c r="B4562" i="3"/>
  <c r="B4561" i="3"/>
  <c r="B4560" i="3"/>
  <c r="B4559" i="3"/>
  <c r="B4558" i="3"/>
  <c r="B4557" i="3"/>
  <c r="B4556" i="3"/>
  <c r="B4555" i="3"/>
  <c r="B4554" i="3"/>
  <c r="B4553" i="3"/>
  <c r="B4552" i="3"/>
  <c r="B4551" i="3"/>
  <c r="B4550" i="3"/>
  <c r="B4549" i="3"/>
  <c r="B4548" i="3"/>
  <c r="B4547" i="3"/>
  <c r="B4546" i="3"/>
  <c r="B4545" i="3"/>
  <c r="B4544" i="3"/>
  <c r="B4543" i="3"/>
  <c r="B4542" i="3"/>
  <c r="B4541" i="3"/>
  <c r="B4540" i="3"/>
  <c r="B4539" i="3"/>
  <c r="B4538" i="3"/>
  <c r="B4537" i="3"/>
  <c r="B4536" i="3"/>
  <c r="B4535" i="3"/>
  <c r="B4534" i="3"/>
  <c r="B4533" i="3"/>
  <c r="B4532" i="3"/>
  <c r="B4531" i="3"/>
  <c r="B4530" i="3"/>
  <c r="B4529" i="3"/>
  <c r="B4528" i="3"/>
  <c r="B4527" i="3"/>
  <c r="B4526" i="3"/>
  <c r="B4525" i="3"/>
  <c r="B4524" i="3"/>
  <c r="B4523" i="3"/>
  <c r="B4522" i="3"/>
  <c r="B4521" i="3"/>
  <c r="B4520" i="3"/>
  <c r="B4519" i="3"/>
  <c r="B4518" i="3"/>
  <c r="B4517" i="3"/>
  <c r="B4516" i="3"/>
  <c r="B4515" i="3"/>
  <c r="B4514" i="3"/>
  <c r="B4513" i="3"/>
  <c r="B4512" i="3"/>
  <c r="B4511" i="3"/>
  <c r="B4510" i="3"/>
  <c r="B4509" i="3"/>
  <c r="B4508" i="3"/>
  <c r="B4507" i="3"/>
  <c r="B4506" i="3"/>
  <c r="B4505" i="3"/>
  <c r="B4504" i="3"/>
  <c r="B4503" i="3"/>
  <c r="B4502" i="3"/>
  <c r="B4501" i="3"/>
  <c r="B4500" i="3"/>
  <c r="B4499" i="3"/>
  <c r="B4498" i="3"/>
  <c r="B4497" i="3"/>
  <c r="B4496" i="3"/>
  <c r="B4495" i="3"/>
  <c r="B4494" i="3"/>
  <c r="B4493" i="3"/>
  <c r="B4492" i="3"/>
  <c r="B4491" i="3"/>
  <c r="B4490" i="3"/>
  <c r="B4489" i="3"/>
  <c r="B4488" i="3"/>
  <c r="B4487" i="3"/>
  <c r="B4486" i="3"/>
  <c r="B4485" i="3"/>
  <c r="B4484" i="3"/>
  <c r="B4483" i="3"/>
  <c r="B4482" i="3"/>
  <c r="B4481" i="3"/>
  <c r="B4480" i="3"/>
  <c r="B4479" i="3"/>
  <c r="B4478" i="3"/>
  <c r="B4477" i="3"/>
  <c r="B4476" i="3"/>
  <c r="B4475" i="3"/>
  <c r="B4474" i="3"/>
  <c r="B4473" i="3"/>
  <c r="B4472" i="3"/>
  <c r="B4471" i="3"/>
  <c r="B4470" i="3"/>
  <c r="B4469" i="3"/>
  <c r="B4468" i="3"/>
  <c r="B4467" i="3"/>
  <c r="B4466" i="3"/>
  <c r="B4465" i="3"/>
  <c r="B4464" i="3"/>
  <c r="B4463" i="3"/>
  <c r="B4462" i="3"/>
  <c r="B4461" i="3"/>
  <c r="B4460" i="3"/>
  <c r="B4459" i="3"/>
  <c r="B4458" i="3"/>
  <c r="B4457" i="3"/>
  <c r="B4456" i="3"/>
  <c r="B4455" i="3"/>
  <c r="B4454" i="3"/>
  <c r="B4453" i="3"/>
  <c r="B4452" i="3"/>
  <c r="B4451" i="3"/>
  <c r="B4450" i="3"/>
  <c r="B4449" i="3"/>
  <c r="B4448" i="3"/>
  <c r="B4447" i="3"/>
  <c r="B4446" i="3"/>
  <c r="B4445" i="3"/>
  <c r="B4444" i="3"/>
  <c r="B4443" i="3"/>
  <c r="B4442" i="3"/>
  <c r="B4441" i="3"/>
  <c r="B4440" i="3"/>
  <c r="B4439" i="3"/>
  <c r="B4438" i="3"/>
  <c r="B4437" i="3"/>
  <c r="B4436" i="3"/>
  <c r="B4435" i="3"/>
  <c r="B4434" i="3"/>
  <c r="B4433" i="3"/>
  <c r="B4432" i="3"/>
  <c r="B4431" i="3"/>
  <c r="B4430" i="3"/>
  <c r="B4429" i="3"/>
  <c r="B4428" i="3"/>
  <c r="B4427" i="3"/>
  <c r="B4426" i="3"/>
  <c r="B4425" i="3"/>
  <c r="B4424" i="3"/>
  <c r="B4423" i="3"/>
  <c r="B4422" i="3"/>
  <c r="B4421" i="3"/>
  <c r="B4420" i="3"/>
  <c r="B4419" i="3"/>
  <c r="B4418" i="3"/>
  <c r="B4417" i="3"/>
  <c r="B4416" i="3"/>
  <c r="B4415" i="3"/>
  <c r="B4414" i="3"/>
  <c r="B4413" i="3"/>
  <c r="B4412" i="3"/>
  <c r="B4411" i="3"/>
  <c r="B4410" i="3"/>
  <c r="B4409" i="3"/>
  <c r="B4408" i="3"/>
  <c r="B4407" i="3"/>
  <c r="B4406" i="3"/>
  <c r="B4405" i="3"/>
  <c r="B4404" i="3"/>
  <c r="B4403" i="3"/>
  <c r="B4402" i="3"/>
  <c r="B4401" i="3"/>
  <c r="B4400" i="3"/>
  <c r="B4399" i="3"/>
  <c r="B4398" i="3"/>
  <c r="B4397" i="3"/>
  <c r="B4396" i="3"/>
  <c r="B4395" i="3"/>
  <c r="B4394" i="3"/>
  <c r="B4393" i="3"/>
  <c r="B4392" i="3"/>
  <c r="B4391" i="3"/>
  <c r="B4390" i="3"/>
  <c r="B4389" i="3"/>
  <c r="B4388" i="3"/>
  <c r="B4387" i="3"/>
  <c r="B4386" i="3"/>
  <c r="B4385" i="3"/>
  <c r="B4384" i="3"/>
  <c r="B4383" i="3"/>
  <c r="B4382" i="3"/>
  <c r="B4381" i="3"/>
  <c r="B4380" i="3"/>
  <c r="B4379" i="3"/>
  <c r="B4378" i="3"/>
  <c r="B4377" i="3"/>
  <c r="B4376" i="3"/>
  <c r="B4375" i="3"/>
  <c r="B4374" i="3"/>
  <c r="B4373" i="3"/>
  <c r="B4372" i="3"/>
  <c r="B4371" i="3"/>
  <c r="B4370" i="3"/>
  <c r="B4369" i="3"/>
  <c r="B4368" i="3"/>
  <c r="B4367" i="3"/>
  <c r="B4366" i="3"/>
  <c r="B4365" i="3"/>
  <c r="B4364" i="3"/>
  <c r="B4363" i="3"/>
  <c r="B4362" i="3"/>
  <c r="B4361" i="3"/>
  <c r="B4360" i="3"/>
  <c r="B4359" i="3"/>
  <c r="B4358" i="3"/>
  <c r="B4357" i="3"/>
  <c r="B4356" i="3"/>
  <c r="B4355" i="3"/>
  <c r="B4354" i="3"/>
  <c r="B4353" i="3"/>
  <c r="B4352" i="3"/>
  <c r="B4351" i="3"/>
  <c r="B4350" i="3"/>
  <c r="B4349" i="3"/>
  <c r="B4348" i="3"/>
  <c r="B4347" i="3"/>
  <c r="B4346" i="3"/>
  <c r="B4345" i="3"/>
  <c r="B4344" i="3"/>
  <c r="B4343" i="3"/>
  <c r="B4342" i="3"/>
  <c r="B4341" i="3"/>
  <c r="B4340" i="3"/>
  <c r="B4339" i="3"/>
  <c r="B4338" i="3"/>
  <c r="B4337" i="3"/>
  <c r="B4336" i="3"/>
  <c r="B4335" i="3"/>
  <c r="B4334" i="3"/>
  <c r="B4333" i="3"/>
  <c r="B4332" i="3"/>
  <c r="B4331" i="3"/>
  <c r="B4330" i="3"/>
  <c r="B4329" i="3"/>
  <c r="B4328" i="3"/>
  <c r="B4327" i="3"/>
  <c r="B4326" i="3"/>
  <c r="B4325" i="3"/>
  <c r="B4324" i="3"/>
  <c r="B4323" i="3"/>
  <c r="B4322" i="3"/>
  <c r="B4321" i="3"/>
  <c r="B4320" i="3"/>
  <c r="B4319" i="3"/>
  <c r="B4318" i="3"/>
  <c r="B4317" i="3"/>
  <c r="B4316" i="3"/>
  <c r="B4315" i="3"/>
  <c r="B4314" i="3"/>
  <c r="B4313" i="3"/>
  <c r="B4312" i="3"/>
  <c r="B4311" i="3"/>
  <c r="B4310" i="3"/>
  <c r="B4309" i="3"/>
  <c r="B4308" i="3"/>
  <c r="B4307" i="3"/>
  <c r="B4306" i="3"/>
  <c r="B4305" i="3"/>
  <c r="B4304" i="3"/>
  <c r="B4303" i="3"/>
  <c r="B4302" i="3"/>
  <c r="B4301" i="3"/>
  <c r="B4300" i="3"/>
  <c r="B4299" i="3"/>
  <c r="B4298" i="3"/>
  <c r="B4297" i="3"/>
  <c r="B4296" i="3"/>
  <c r="B4295" i="3"/>
  <c r="B4294" i="3"/>
  <c r="B4293" i="3"/>
  <c r="B4292" i="3"/>
  <c r="B4291" i="3"/>
  <c r="B4290" i="3"/>
  <c r="B4289" i="3"/>
  <c r="B4288" i="3"/>
  <c r="B4287" i="3"/>
  <c r="B4286" i="3"/>
  <c r="B4285" i="3"/>
  <c r="B4284" i="3"/>
  <c r="B4283" i="3"/>
  <c r="B4282" i="3"/>
  <c r="B4281" i="3"/>
  <c r="B4280" i="3"/>
  <c r="B4279" i="3"/>
  <c r="B4278" i="3"/>
  <c r="B4277" i="3"/>
  <c r="B4276" i="3"/>
  <c r="B4275" i="3"/>
  <c r="B4274" i="3"/>
  <c r="B4273" i="3"/>
  <c r="B4272" i="3"/>
  <c r="B4271" i="3"/>
  <c r="B4270" i="3"/>
  <c r="B4269" i="3"/>
  <c r="B4268" i="3"/>
  <c r="B4267" i="3"/>
  <c r="B4266" i="3"/>
  <c r="B4265" i="3"/>
  <c r="B4264" i="3"/>
  <c r="B4263" i="3"/>
  <c r="B4262" i="3"/>
  <c r="B4261" i="3"/>
  <c r="B4260" i="3"/>
  <c r="B4259" i="3"/>
  <c r="B4258" i="3"/>
  <c r="B4257" i="3"/>
  <c r="B4256" i="3"/>
  <c r="B4255" i="3"/>
  <c r="B4254" i="3"/>
  <c r="B4253" i="3"/>
  <c r="B4252" i="3"/>
  <c r="B4251" i="3"/>
  <c r="B4250" i="3"/>
  <c r="B4249" i="3"/>
  <c r="B4248" i="3"/>
  <c r="B4247" i="3"/>
  <c r="B4246" i="3"/>
  <c r="B4245" i="3"/>
  <c r="B4244" i="3"/>
  <c r="B4243" i="3"/>
  <c r="B4242" i="3"/>
  <c r="B4241" i="3"/>
  <c r="B4240" i="3"/>
  <c r="B4239" i="3"/>
  <c r="B4238" i="3"/>
  <c r="B4237" i="3"/>
  <c r="B4236" i="3"/>
  <c r="B4235" i="3"/>
  <c r="B4234" i="3"/>
  <c r="B4233" i="3"/>
  <c r="B4232" i="3"/>
  <c r="B4231" i="3"/>
  <c r="B4230" i="3"/>
  <c r="B4229" i="3"/>
  <c r="B4228" i="3"/>
  <c r="B4227" i="3"/>
  <c r="B4226" i="3"/>
  <c r="B4225" i="3"/>
  <c r="B4224" i="3"/>
  <c r="B4223" i="3"/>
  <c r="B4222" i="3"/>
  <c r="B4221" i="3"/>
  <c r="B4220" i="3"/>
  <c r="B4219" i="3"/>
  <c r="B4218" i="3"/>
  <c r="B4217" i="3"/>
  <c r="B4216" i="3"/>
  <c r="B4215" i="3"/>
  <c r="B4214" i="3"/>
  <c r="B4213" i="3"/>
  <c r="B4212" i="3"/>
  <c r="B4211" i="3"/>
  <c r="B4210" i="3"/>
  <c r="B4209" i="3"/>
  <c r="B4208" i="3"/>
  <c r="B4207" i="3"/>
  <c r="B4206" i="3"/>
  <c r="B4205" i="3"/>
  <c r="B4204" i="3"/>
  <c r="B4203" i="3"/>
  <c r="B4202" i="3"/>
  <c r="B4201" i="3"/>
  <c r="B4200" i="3"/>
  <c r="B4199" i="3"/>
  <c r="B4198" i="3"/>
  <c r="B4197" i="3"/>
  <c r="B4196" i="3"/>
  <c r="B4195" i="3"/>
  <c r="B4194" i="3"/>
  <c r="B4193" i="3"/>
  <c r="B4192" i="3"/>
  <c r="B4191" i="3"/>
  <c r="B4190" i="3"/>
  <c r="B4189" i="3"/>
  <c r="B4188" i="3"/>
  <c r="B4187" i="3"/>
  <c r="B4186" i="3"/>
  <c r="B4185" i="3"/>
  <c r="B4184" i="3"/>
  <c r="B4183" i="3"/>
  <c r="B4182" i="3"/>
  <c r="B4181" i="3"/>
  <c r="B4180" i="3"/>
  <c r="B4179" i="3"/>
  <c r="B4178" i="3"/>
  <c r="B4177" i="3"/>
  <c r="B4176" i="3"/>
  <c r="B4175" i="3"/>
  <c r="B4174" i="3"/>
  <c r="B4173" i="3"/>
  <c r="B4172" i="3"/>
  <c r="B4171" i="3"/>
  <c r="B4170" i="3"/>
  <c r="B4169" i="3"/>
  <c r="B4168" i="3"/>
  <c r="B4167" i="3"/>
  <c r="B4166" i="3"/>
  <c r="B4165" i="3"/>
  <c r="B4164" i="3"/>
  <c r="B4163" i="3"/>
  <c r="B4162" i="3"/>
  <c r="B4161" i="3"/>
  <c r="B4160" i="3"/>
  <c r="B4159" i="3"/>
  <c r="B4158" i="3"/>
  <c r="B4157" i="3"/>
  <c r="B4156" i="3"/>
  <c r="B4155" i="3"/>
  <c r="B4154" i="3"/>
  <c r="B4153" i="3"/>
  <c r="B4152" i="3"/>
  <c r="B4151" i="3"/>
  <c r="B4150" i="3"/>
  <c r="B4149" i="3"/>
  <c r="B4148" i="3"/>
  <c r="B4147" i="3"/>
  <c r="B4146" i="3"/>
  <c r="B4145" i="3"/>
  <c r="B4144" i="3"/>
  <c r="B4143" i="3"/>
  <c r="B4142" i="3"/>
  <c r="B4141" i="3"/>
  <c r="B4140" i="3"/>
  <c r="B4139" i="3"/>
  <c r="B4138" i="3"/>
  <c r="B4137" i="3"/>
  <c r="B4136" i="3"/>
  <c r="B4135" i="3"/>
  <c r="B4134" i="3"/>
  <c r="B4133" i="3"/>
  <c r="B4132" i="3"/>
  <c r="B4131" i="3"/>
  <c r="B4130" i="3"/>
  <c r="B4129" i="3"/>
  <c r="B4128" i="3"/>
  <c r="B4127" i="3"/>
  <c r="B4126" i="3"/>
  <c r="B4125" i="3"/>
  <c r="B4124" i="3"/>
  <c r="B4123" i="3"/>
  <c r="B4122" i="3"/>
  <c r="B4121" i="3"/>
  <c r="B4120" i="3"/>
  <c r="B4119" i="3"/>
  <c r="B4118" i="3"/>
  <c r="B4117" i="3"/>
  <c r="B4116" i="3"/>
  <c r="B4115" i="3"/>
  <c r="B4114" i="3"/>
  <c r="B4113" i="3"/>
  <c r="B4112" i="3"/>
  <c r="B4111" i="3"/>
  <c r="B4110" i="3"/>
  <c r="B4109" i="3"/>
  <c r="B4108" i="3"/>
  <c r="B4107" i="3"/>
  <c r="B4106" i="3"/>
  <c r="B4105" i="3"/>
  <c r="B4104" i="3"/>
  <c r="B4103" i="3"/>
  <c r="B4102" i="3"/>
  <c r="B4101" i="3"/>
  <c r="B4100" i="3"/>
  <c r="B4099" i="3"/>
  <c r="B4098" i="3"/>
  <c r="B4097" i="3"/>
  <c r="B4096" i="3"/>
  <c r="B4095" i="3"/>
  <c r="B4094" i="3"/>
  <c r="B4093" i="3"/>
  <c r="B4092" i="3"/>
  <c r="B4091" i="3"/>
  <c r="B4090" i="3"/>
  <c r="B4089" i="3"/>
  <c r="B4088" i="3"/>
  <c r="B4087" i="3"/>
  <c r="B4086" i="3"/>
  <c r="B4085" i="3"/>
  <c r="B4084" i="3"/>
  <c r="B4083" i="3"/>
  <c r="B4082" i="3"/>
  <c r="B4081" i="3"/>
  <c r="B4080" i="3"/>
  <c r="B4079" i="3"/>
  <c r="B4078" i="3"/>
  <c r="B4077" i="3"/>
  <c r="B4076" i="3"/>
  <c r="B4075" i="3"/>
  <c r="B4074" i="3"/>
  <c r="B4073" i="3"/>
  <c r="B4072" i="3"/>
  <c r="B4071" i="3"/>
  <c r="B4070" i="3"/>
  <c r="B4069" i="3"/>
  <c r="B4068" i="3"/>
  <c r="B4067" i="3"/>
  <c r="B4066" i="3"/>
  <c r="B4065" i="3"/>
  <c r="B4064" i="3"/>
  <c r="B4063" i="3"/>
  <c r="B4062" i="3"/>
  <c r="B4061" i="3"/>
  <c r="B4060" i="3"/>
  <c r="B4059" i="3"/>
  <c r="B4058" i="3"/>
  <c r="B4057" i="3"/>
  <c r="B4056" i="3"/>
  <c r="B4055" i="3"/>
  <c r="B4054" i="3"/>
  <c r="B4053" i="3"/>
  <c r="B4052" i="3"/>
  <c r="B4051" i="3"/>
  <c r="B4050" i="3"/>
  <c r="B4049" i="3"/>
  <c r="B4048" i="3"/>
  <c r="B4047" i="3"/>
  <c r="B4046" i="3"/>
  <c r="B4045" i="3"/>
  <c r="B4044" i="3"/>
  <c r="B4043" i="3"/>
  <c r="B4042" i="3"/>
  <c r="B4041" i="3"/>
  <c r="B4040" i="3"/>
  <c r="B4039" i="3"/>
  <c r="B4038" i="3"/>
  <c r="B4037" i="3"/>
  <c r="B4036" i="3"/>
  <c r="B4035" i="3"/>
  <c r="B4034" i="3"/>
  <c r="B4033" i="3"/>
  <c r="B4032" i="3"/>
  <c r="B4031" i="3"/>
  <c r="B4030" i="3"/>
  <c r="B4029" i="3"/>
  <c r="B4028" i="3"/>
  <c r="B4027" i="3"/>
  <c r="B4026" i="3"/>
  <c r="B4025" i="3"/>
  <c r="B4024" i="3"/>
  <c r="B4023" i="3"/>
  <c r="B4022" i="3"/>
  <c r="B4021" i="3"/>
  <c r="B4020" i="3"/>
  <c r="B4019" i="3"/>
  <c r="B4018" i="3"/>
  <c r="B4017" i="3"/>
  <c r="B4016" i="3"/>
  <c r="B4015" i="3"/>
  <c r="B4014" i="3"/>
  <c r="B4013" i="3"/>
  <c r="B4012" i="3"/>
  <c r="B4011" i="3"/>
  <c r="B4010" i="3"/>
  <c r="B4009" i="3"/>
  <c r="B4008" i="3"/>
  <c r="B4007" i="3"/>
  <c r="B4006" i="3"/>
  <c r="B4005" i="3"/>
  <c r="B4004" i="3"/>
  <c r="B4003" i="3"/>
  <c r="B4002" i="3"/>
  <c r="B4001" i="3"/>
  <c r="B4000" i="3"/>
  <c r="B3999" i="3"/>
  <c r="B3998" i="3"/>
  <c r="B3997" i="3"/>
  <c r="B3996" i="3"/>
  <c r="B3995" i="3"/>
  <c r="B3994" i="3"/>
  <c r="B3993" i="3"/>
  <c r="B3992" i="3"/>
  <c r="B3991" i="3"/>
  <c r="B3990" i="3"/>
  <c r="B3989" i="3"/>
  <c r="B3988" i="3"/>
  <c r="B3987" i="3"/>
  <c r="B3986" i="3"/>
  <c r="B3985" i="3"/>
  <c r="B3984" i="3"/>
  <c r="B3983" i="3"/>
  <c r="B3982" i="3"/>
  <c r="B3981" i="3"/>
  <c r="B3980" i="3"/>
  <c r="B3979" i="3"/>
  <c r="B3978" i="3"/>
  <c r="B3977" i="3"/>
  <c r="B3976" i="3"/>
  <c r="B3975" i="3"/>
  <c r="B3974" i="3"/>
  <c r="B3973" i="3"/>
  <c r="B3972" i="3"/>
  <c r="B3971" i="3"/>
  <c r="B3970" i="3"/>
  <c r="B3969" i="3"/>
  <c r="B3968" i="3"/>
  <c r="B3967" i="3"/>
  <c r="B3966" i="3"/>
  <c r="B3965" i="3"/>
  <c r="B3964" i="3"/>
  <c r="B3963" i="3"/>
  <c r="B3962" i="3"/>
  <c r="B3961" i="3"/>
  <c r="B3960" i="3"/>
  <c r="B3959" i="3"/>
  <c r="B3958" i="3"/>
  <c r="B3957" i="3"/>
  <c r="B3956" i="3"/>
  <c r="B3955" i="3"/>
  <c r="B3954" i="3"/>
  <c r="B3953" i="3"/>
  <c r="B3952" i="3"/>
  <c r="B3951" i="3"/>
  <c r="B3950" i="3"/>
  <c r="B3949" i="3"/>
  <c r="B3948" i="3"/>
  <c r="B3947" i="3"/>
  <c r="B3946" i="3"/>
  <c r="B3945" i="3"/>
  <c r="B3944" i="3"/>
  <c r="B3943" i="3"/>
  <c r="B3942" i="3"/>
  <c r="B3941" i="3"/>
  <c r="B3940" i="3"/>
  <c r="B3939" i="3"/>
  <c r="B3938" i="3"/>
  <c r="B3937" i="3"/>
  <c r="B3936" i="3"/>
  <c r="B3935" i="3"/>
  <c r="B3934" i="3"/>
  <c r="B3933" i="3"/>
  <c r="B3932" i="3"/>
  <c r="B3931" i="3"/>
  <c r="B3930" i="3"/>
  <c r="B3929" i="3"/>
  <c r="B3928" i="3"/>
  <c r="B3927" i="3"/>
  <c r="B3926" i="3"/>
  <c r="B3925" i="3"/>
  <c r="B3924" i="3"/>
  <c r="B3923" i="3"/>
  <c r="B3922" i="3"/>
  <c r="B3921" i="3"/>
  <c r="B3920" i="3"/>
  <c r="B3919" i="3"/>
  <c r="B3918" i="3"/>
  <c r="B3917" i="3"/>
  <c r="B3916" i="3"/>
  <c r="B3915" i="3"/>
  <c r="B3914" i="3"/>
  <c r="B3913" i="3"/>
  <c r="B3912" i="3"/>
  <c r="B3911" i="3"/>
  <c r="B3910" i="3"/>
  <c r="B3909" i="3"/>
  <c r="B3908" i="3"/>
  <c r="B3907" i="3"/>
  <c r="B3906" i="3"/>
  <c r="B3905" i="3"/>
  <c r="B3904" i="3"/>
  <c r="B3903" i="3"/>
  <c r="B3902" i="3"/>
  <c r="B3901" i="3"/>
  <c r="B3900" i="3"/>
  <c r="B3899" i="3"/>
  <c r="B3898" i="3"/>
  <c r="B3897" i="3"/>
  <c r="B3896" i="3"/>
  <c r="B3895" i="3"/>
  <c r="B3894" i="3"/>
  <c r="B3893" i="3"/>
  <c r="B3892" i="3"/>
  <c r="B3891" i="3"/>
  <c r="B3890" i="3"/>
  <c r="B3889" i="3"/>
  <c r="B3888" i="3"/>
  <c r="B3887" i="3"/>
  <c r="B3886" i="3"/>
  <c r="B3885" i="3"/>
  <c r="B3884" i="3"/>
  <c r="B3883" i="3"/>
  <c r="B3882" i="3"/>
  <c r="B3881" i="3"/>
  <c r="B3880" i="3"/>
  <c r="B3879" i="3"/>
  <c r="B3878" i="3"/>
  <c r="B3877" i="3"/>
  <c r="B3876" i="3"/>
  <c r="B3875" i="3"/>
  <c r="B3874" i="3"/>
  <c r="B3873" i="3"/>
  <c r="B3872" i="3"/>
  <c r="B3871" i="3"/>
  <c r="B3870" i="3"/>
  <c r="B3869" i="3"/>
  <c r="B3868" i="3"/>
  <c r="B3867" i="3"/>
  <c r="B3866" i="3"/>
  <c r="B3865" i="3"/>
  <c r="B3864" i="3"/>
  <c r="B3863" i="3"/>
  <c r="B3862" i="3"/>
  <c r="B3861" i="3"/>
  <c r="B3860" i="3"/>
  <c r="B3859" i="3"/>
  <c r="B3858" i="3"/>
  <c r="B3857" i="3"/>
  <c r="B3856" i="3"/>
  <c r="B3855" i="3"/>
  <c r="B3854" i="3"/>
  <c r="B3853" i="3"/>
  <c r="B3852" i="3"/>
  <c r="B3851" i="3"/>
  <c r="B3850" i="3"/>
  <c r="B3849" i="3"/>
  <c r="B3848" i="3"/>
  <c r="B3847" i="3"/>
  <c r="B3846" i="3"/>
  <c r="B3845" i="3"/>
  <c r="B3844" i="3"/>
  <c r="B3843" i="3"/>
  <c r="B3842" i="3"/>
  <c r="B3841" i="3"/>
  <c r="B3840" i="3"/>
  <c r="B3839" i="3"/>
  <c r="B3838" i="3"/>
  <c r="B3837" i="3"/>
  <c r="B3836" i="3"/>
  <c r="B3835" i="3"/>
  <c r="B3834" i="3"/>
  <c r="B3833" i="3"/>
  <c r="B3832" i="3"/>
  <c r="B3831" i="3"/>
  <c r="B3830" i="3"/>
  <c r="B3829" i="3"/>
  <c r="B3828" i="3"/>
  <c r="B3827" i="3"/>
  <c r="B3826" i="3"/>
  <c r="B3825" i="3"/>
  <c r="B3824" i="3"/>
  <c r="B3823" i="3"/>
  <c r="B3822" i="3"/>
  <c r="B3821" i="3"/>
  <c r="B3820" i="3"/>
  <c r="B3819" i="3"/>
  <c r="B3818" i="3"/>
  <c r="B3817" i="3"/>
  <c r="B3816" i="3"/>
  <c r="B3815" i="3"/>
  <c r="B3814" i="3"/>
  <c r="B3813" i="3"/>
  <c r="B3812" i="3"/>
  <c r="B3811" i="3"/>
  <c r="B3810" i="3"/>
  <c r="B3809" i="3"/>
  <c r="B3808" i="3"/>
  <c r="B3807" i="3"/>
  <c r="B3806" i="3"/>
  <c r="B3805" i="3"/>
  <c r="B3804" i="3"/>
  <c r="B3803" i="3"/>
  <c r="B3802" i="3"/>
  <c r="B3801" i="3"/>
  <c r="B3800" i="3"/>
  <c r="B3799" i="3"/>
  <c r="B3798" i="3"/>
  <c r="B3797" i="3"/>
  <c r="B3796" i="3"/>
  <c r="B3795" i="3"/>
  <c r="B3794" i="3"/>
  <c r="B3793" i="3"/>
  <c r="B3792" i="3"/>
  <c r="B3791" i="3"/>
  <c r="B3790" i="3"/>
  <c r="B3789" i="3"/>
  <c r="B3788" i="3"/>
  <c r="B3787" i="3"/>
  <c r="B3786" i="3"/>
  <c r="B3785" i="3"/>
  <c r="B3784" i="3"/>
  <c r="B3783" i="3"/>
  <c r="B3782" i="3"/>
  <c r="B3781" i="3"/>
  <c r="B3780" i="3"/>
  <c r="B3779" i="3"/>
  <c r="B3778" i="3"/>
  <c r="B3777" i="3"/>
  <c r="B3776" i="3"/>
  <c r="B3775" i="3"/>
  <c r="B3774" i="3"/>
  <c r="B3773" i="3"/>
  <c r="B3772" i="3"/>
  <c r="B3771" i="3"/>
  <c r="B3770" i="3"/>
  <c r="B3769" i="3"/>
  <c r="B3768" i="3"/>
  <c r="B3767" i="3"/>
  <c r="B3766" i="3"/>
  <c r="B3765" i="3"/>
  <c r="B3764" i="3"/>
  <c r="B3763" i="3"/>
  <c r="B3762" i="3"/>
  <c r="B3761" i="3"/>
  <c r="B3760" i="3"/>
  <c r="B3759" i="3"/>
  <c r="B3758" i="3"/>
  <c r="B3757" i="3"/>
  <c r="B3756" i="3"/>
  <c r="B3755" i="3"/>
  <c r="B3754" i="3"/>
  <c r="B3753" i="3"/>
  <c r="B3752" i="3"/>
  <c r="B3751" i="3"/>
  <c r="B3750" i="3"/>
  <c r="B3749" i="3"/>
  <c r="B3748" i="3"/>
  <c r="B3747" i="3"/>
  <c r="B3746" i="3"/>
  <c r="B3745" i="3"/>
  <c r="B3744" i="3"/>
  <c r="B3743" i="3"/>
  <c r="B3742" i="3"/>
  <c r="B3741" i="3"/>
  <c r="B3740" i="3"/>
  <c r="B3739" i="3"/>
  <c r="B3738" i="3"/>
  <c r="B3737" i="3"/>
  <c r="B3736" i="3"/>
  <c r="B3735" i="3"/>
  <c r="B3734" i="3"/>
  <c r="B3733" i="3"/>
  <c r="B3732" i="3"/>
  <c r="B3731" i="3"/>
  <c r="B3730" i="3"/>
  <c r="B3729" i="3"/>
  <c r="B3728" i="3"/>
  <c r="B3727" i="3"/>
  <c r="B3726" i="3"/>
  <c r="B3725" i="3"/>
  <c r="B3724" i="3"/>
  <c r="B3723" i="3"/>
  <c r="B3722" i="3"/>
  <c r="B3721" i="3"/>
  <c r="B3720" i="3"/>
  <c r="B3719" i="3"/>
  <c r="B3718" i="3"/>
  <c r="B3717" i="3"/>
  <c r="B3716" i="3"/>
  <c r="B3715" i="3"/>
  <c r="B3714" i="3"/>
  <c r="B3713" i="3"/>
  <c r="B3712" i="3"/>
  <c r="B3711" i="3"/>
  <c r="B3710" i="3"/>
  <c r="B3709" i="3"/>
  <c r="B3708" i="3"/>
  <c r="B3707" i="3"/>
  <c r="B3706" i="3"/>
  <c r="B3705" i="3"/>
  <c r="B3704" i="3"/>
  <c r="B3703" i="3"/>
  <c r="B3702" i="3"/>
  <c r="B3701" i="3"/>
  <c r="B3700" i="3"/>
  <c r="B3699" i="3"/>
  <c r="B3698" i="3"/>
  <c r="B3697" i="3"/>
  <c r="B3696" i="3"/>
  <c r="B3695" i="3"/>
  <c r="B3694" i="3"/>
  <c r="B3693" i="3"/>
  <c r="B3692" i="3"/>
  <c r="B3691" i="3"/>
  <c r="B3690" i="3"/>
  <c r="B3689" i="3"/>
  <c r="B3688" i="3"/>
  <c r="B3687" i="3"/>
  <c r="B3686" i="3"/>
  <c r="B3685" i="3"/>
  <c r="B3684" i="3"/>
  <c r="B3683" i="3"/>
  <c r="B3682" i="3"/>
  <c r="B3681" i="3"/>
  <c r="B3680" i="3"/>
  <c r="B3679" i="3"/>
  <c r="B3678" i="3"/>
  <c r="B3677" i="3"/>
  <c r="B3676" i="3"/>
  <c r="B3675" i="3"/>
  <c r="B3674" i="3"/>
  <c r="B3673" i="3"/>
  <c r="B3672" i="3"/>
  <c r="B3671" i="3"/>
  <c r="B3670" i="3"/>
  <c r="B3669" i="3"/>
  <c r="B3668" i="3"/>
  <c r="B3667" i="3"/>
  <c r="B3666" i="3"/>
  <c r="B3665" i="3"/>
  <c r="B3664" i="3"/>
  <c r="B3663" i="3"/>
  <c r="B3662" i="3"/>
  <c r="B3661" i="3"/>
  <c r="B3660" i="3"/>
  <c r="B3659" i="3"/>
  <c r="B3658" i="3"/>
  <c r="B3657" i="3"/>
  <c r="B3656" i="3"/>
  <c r="B3655" i="3"/>
  <c r="B3654" i="3"/>
  <c r="B3653" i="3"/>
  <c r="B3652" i="3"/>
  <c r="B3651" i="3"/>
  <c r="B3650" i="3"/>
  <c r="B3649" i="3"/>
  <c r="B3648" i="3"/>
  <c r="B3647" i="3"/>
  <c r="B3646" i="3"/>
  <c r="B3645" i="3"/>
  <c r="B3644" i="3"/>
  <c r="B3643" i="3"/>
  <c r="B3642" i="3"/>
  <c r="B3641" i="3"/>
  <c r="B3640" i="3"/>
  <c r="B3639" i="3"/>
  <c r="B3638" i="3"/>
  <c r="B3637" i="3"/>
  <c r="B3636" i="3"/>
  <c r="B3635" i="3"/>
  <c r="B3634" i="3"/>
  <c r="B3633" i="3"/>
  <c r="B3632" i="3"/>
  <c r="B3631" i="3"/>
  <c r="B3630" i="3"/>
  <c r="B3629" i="3"/>
  <c r="B3628" i="3"/>
  <c r="B3627" i="3"/>
  <c r="B3626" i="3"/>
  <c r="B3625" i="3"/>
  <c r="B3624" i="3"/>
  <c r="B3623" i="3"/>
  <c r="B3622" i="3"/>
  <c r="B3621" i="3"/>
  <c r="B3620" i="3"/>
  <c r="B3619" i="3"/>
  <c r="B3618" i="3"/>
  <c r="B3617" i="3"/>
  <c r="B3616" i="3"/>
  <c r="B3615" i="3"/>
  <c r="B3614" i="3"/>
  <c r="B3613" i="3"/>
  <c r="B3612" i="3"/>
  <c r="B3611" i="3"/>
  <c r="B3610" i="3"/>
  <c r="B3609" i="3"/>
  <c r="B3608" i="3"/>
  <c r="B3607" i="3"/>
  <c r="B3606" i="3"/>
  <c r="B3605" i="3"/>
  <c r="B3604" i="3"/>
  <c r="B3603" i="3"/>
  <c r="B3602" i="3"/>
  <c r="B3601" i="3"/>
  <c r="B3600" i="3"/>
  <c r="B3599" i="3"/>
  <c r="B3598" i="3"/>
  <c r="B3597" i="3"/>
  <c r="B3596" i="3"/>
  <c r="B3595" i="3"/>
  <c r="B3594" i="3"/>
  <c r="B3593" i="3"/>
  <c r="B3592" i="3"/>
  <c r="B3591" i="3"/>
  <c r="B3590" i="3"/>
  <c r="B3589" i="3"/>
  <c r="B3588" i="3"/>
  <c r="B3587" i="3"/>
  <c r="B3586" i="3"/>
  <c r="B3585" i="3"/>
  <c r="B3584" i="3"/>
  <c r="B3583" i="3"/>
  <c r="B3582" i="3"/>
  <c r="B3581" i="3"/>
  <c r="B3580" i="3"/>
  <c r="B3579" i="3"/>
  <c r="B3578" i="3"/>
  <c r="B3577" i="3"/>
  <c r="B3576" i="3"/>
  <c r="B3575" i="3"/>
  <c r="B3574" i="3"/>
  <c r="B3573" i="3"/>
  <c r="B3572" i="3"/>
  <c r="B3571" i="3"/>
  <c r="B3570" i="3"/>
  <c r="B3569" i="3"/>
  <c r="B3568" i="3"/>
  <c r="B3567" i="3"/>
  <c r="B3566" i="3"/>
  <c r="B3565" i="3"/>
  <c r="B3564" i="3"/>
  <c r="B3563" i="3"/>
  <c r="B3562" i="3"/>
  <c r="B3561" i="3"/>
  <c r="B3560" i="3"/>
  <c r="B3559" i="3"/>
  <c r="B3558" i="3"/>
  <c r="B3557" i="3"/>
  <c r="B3556" i="3"/>
  <c r="B3555" i="3"/>
  <c r="B3554" i="3"/>
  <c r="B3553" i="3"/>
  <c r="B3552" i="3"/>
  <c r="B3551" i="3"/>
  <c r="B3550" i="3"/>
  <c r="B3549" i="3"/>
  <c r="B3548" i="3"/>
  <c r="B3547" i="3"/>
  <c r="B3546" i="3"/>
  <c r="B3545" i="3"/>
  <c r="B3544" i="3"/>
  <c r="B3543" i="3"/>
  <c r="B3542" i="3"/>
  <c r="B3541" i="3"/>
  <c r="B3540" i="3"/>
  <c r="B3539" i="3"/>
  <c r="B3538" i="3"/>
  <c r="B3537" i="3"/>
  <c r="B3536" i="3"/>
  <c r="B3535" i="3"/>
  <c r="B3534" i="3"/>
  <c r="B3533" i="3"/>
  <c r="B3532" i="3"/>
  <c r="B3531" i="3"/>
  <c r="B3530" i="3"/>
  <c r="B3529" i="3"/>
  <c r="B3528" i="3"/>
  <c r="B3527" i="3"/>
  <c r="B3526" i="3"/>
  <c r="B3525" i="3"/>
  <c r="B3524" i="3"/>
  <c r="B3523" i="3"/>
  <c r="B3522" i="3"/>
  <c r="B3521" i="3"/>
  <c r="B3520" i="3"/>
  <c r="B3519" i="3"/>
  <c r="B3518" i="3"/>
  <c r="B3517" i="3"/>
  <c r="B3516" i="3"/>
  <c r="B3515" i="3"/>
  <c r="B3514" i="3"/>
  <c r="B3513" i="3"/>
  <c r="B3512" i="3"/>
  <c r="B3511" i="3"/>
  <c r="B3510" i="3"/>
  <c r="B3509" i="3"/>
  <c r="B3508" i="3"/>
  <c r="B3507" i="3"/>
  <c r="B3506" i="3"/>
  <c r="B3505" i="3"/>
  <c r="B3504" i="3"/>
  <c r="B3503" i="3"/>
  <c r="B3502" i="3"/>
  <c r="B3501" i="3"/>
  <c r="B3500" i="3"/>
  <c r="B3499" i="3"/>
  <c r="B3498" i="3"/>
  <c r="B3497" i="3"/>
  <c r="B3496" i="3"/>
  <c r="B3495" i="3"/>
  <c r="B3494" i="3"/>
  <c r="B3493" i="3"/>
  <c r="B3492" i="3"/>
  <c r="B3491" i="3"/>
  <c r="B3490" i="3"/>
  <c r="B3489" i="3"/>
  <c r="B3488" i="3"/>
  <c r="B3487" i="3"/>
  <c r="B3486" i="3"/>
  <c r="B3485" i="3"/>
  <c r="B3484" i="3"/>
  <c r="B3483" i="3"/>
  <c r="B3482" i="3"/>
  <c r="B3481" i="3"/>
  <c r="B3480" i="3"/>
  <c r="B3479" i="3"/>
  <c r="B3478" i="3"/>
  <c r="B3477" i="3"/>
  <c r="B3476" i="3"/>
  <c r="B3475" i="3"/>
  <c r="B3474" i="3"/>
  <c r="B3473" i="3"/>
  <c r="B3472" i="3"/>
  <c r="B3471" i="3"/>
  <c r="B3470" i="3"/>
  <c r="B3469" i="3"/>
  <c r="B3468" i="3"/>
  <c r="B3467" i="3"/>
  <c r="B3466" i="3"/>
  <c r="B3465" i="3"/>
  <c r="B3464" i="3"/>
  <c r="B3463" i="3"/>
  <c r="B3462" i="3"/>
  <c r="B3461" i="3"/>
  <c r="B3460" i="3"/>
  <c r="B3459" i="3"/>
  <c r="B3458" i="3"/>
  <c r="B3457" i="3"/>
  <c r="B3456" i="3"/>
  <c r="B3455" i="3"/>
  <c r="B3454" i="3"/>
  <c r="B3453" i="3"/>
  <c r="B3452" i="3"/>
  <c r="B3451" i="3"/>
  <c r="B3450" i="3"/>
  <c r="B3449" i="3"/>
  <c r="B3448" i="3"/>
  <c r="B3447" i="3"/>
  <c r="B3446" i="3"/>
  <c r="B3445" i="3"/>
  <c r="B3444" i="3"/>
  <c r="B3443" i="3"/>
  <c r="B3442" i="3"/>
  <c r="B3441" i="3"/>
  <c r="B3440" i="3"/>
  <c r="B3439" i="3"/>
  <c r="B3438" i="3"/>
  <c r="B3437" i="3"/>
  <c r="B3436" i="3"/>
  <c r="B3435" i="3"/>
  <c r="B3434" i="3"/>
  <c r="B3433" i="3"/>
  <c r="B3432" i="3"/>
  <c r="B3431" i="3"/>
  <c r="B3430" i="3"/>
  <c r="B3429" i="3"/>
  <c r="B3428" i="3"/>
  <c r="B3427" i="3"/>
  <c r="B3426" i="3"/>
  <c r="B3425" i="3"/>
  <c r="B3424" i="3"/>
  <c r="B3423" i="3"/>
  <c r="B3422" i="3"/>
  <c r="B3421" i="3"/>
  <c r="B3420" i="3"/>
  <c r="B3419" i="3"/>
  <c r="B3418" i="3"/>
  <c r="B3417" i="3"/>
  <c r="B3416" i="3"/>
  <c r="B3415" i="3"/>
  <c r="B3414" i="3"/>
  <c r="B3413" i="3"/>
  <c r="B3412" i="3"/>
  <c r="B3411" i="3"/>
  <c r="B3410" i="3"/>
  <c r="B3409" i="3"/>
  <c r="B3408" i="3"/>
  <c r="B3407" i="3"/>
  <c r="B3406" i="3"/>
  <c r="B3405" i="3"/>
  <c r="B3404" i="3"/>
  <c r="B3403" i="3"/>
  <c r="B3402" i="3"/>
  <c r="B3401" i="3"/>
  <c r="B3400" i="3"/>
  <c r="B3399" i="3"/>
  <c r="B3398" i="3"/>
  <c r="B3397" i="3"/>
  <c r="B3396" i="3"/>
  <c r="B3395" i="3"/>
  <c r="B3394" i="3"/>
  <c r="B3393" i="3"/>
  <c r="B3392" i="3"/>
  <c r="B3391" i="3"/>
  <c r="B3390" i="3"/>
  <c r="B3389" i="3"/>
  <c r="B3388" i="3"/>
  <c r="B3387" i="3"/>
  <c r="B3386" i="3"/>
  <c r="B3385" i="3"/>
  <c r="B3384" i="3"/>
  <c r="B3383" i="3"/>
  <c r="B3382" i="3"/>
  <c r="B3381" i="3"/>
  <c r="B3380" i="3"/>
  <c r="B3379" i="3"/>
  <c r="B3378" i="3"/>
  <c r="B3377" i="3"/>
  <c r="B3376" i="3"/>
  <c r="B3375" i="3"/>
  <c r="B3374" i="3"/>
  <c r="B3373" i="3"/>
  <c r="B3372" i="3"/>
  <c r="B3371" i="3"/>
  <c r="B3370" i="3"/>
  <c r="B3369" i="3"/>
  <c r="B3368" i="3"/>
  <c r="B3367" i="3"/>
  <c r="B3366" i="3"/>
  <c r="B3365" i="3"/>
  <c r="B3364" i="3"/>
  <c r="B3363" i="3"/>
  <c r="B3362" i="3"/>
  <c r="B3361" i="3"/>
  <c r="B3360" i="3"/>
  <c r="B3359" i="3"/>
  <c r="B3358" i="3"/>
  <c r="B3357" i="3"/>
  <c r="B3356" i="3"/>
  <c r="B3355" i="3"/>
  <c r="B3354" i="3"/>
  <c r="B3353" i="3"/>
  <c r="B3352" i="3"/>
  <c r="B3351" i="3"/>
  <c r="B3350" i="3"/>
  <c r="B3349" i="3"/>
  <c r="B3348" i="3"/>
  <c r="B3347" i="3"/>
  <c r="B3346" i="3"/>
  <c r="B3345" i="3"/>
  <c r="B3344" i="3"/>
  <c r="B3343" i="3"/>
  <c r="B3342" i="3"/>
  <c r="B3341" i="3"/>
  <c r="B3340" i="3"/>
  <c r="B3339" i="3"/>
  <c r="B3338" i="3"/>
  <c r="B3337" i="3"/>
  <c r="B3336" i="3"/>
  <c r="B3335" i="3"/>
  <c r="B3334" i="3"/>
  <c r="B3333" i="3"/>
  <c r="B3332" i="3"/>
  <c r="B3331" i="3"/>
  <c r="B3330" i="3"/>
  <c r="B3329" i="3"/>
  <c r="B3328" i="3"/>
  <c r="B3327" i="3"/>
  <c r="B3326" i="3"/>
  <c r="B3325" i="3"/>
  <c r="B3324" i="3"/>
  <c r="B3323" i="3"/>
  <c r="B3322" i="3"/>
  <c r="B3321" i="3"/>
  <c r="B3320" i="3"/>
  <c r="B3319" i="3"/>
  <c r="B3318" i="3"/>
  <c r="B3317" i="3"/>
  <c r="B3316" i="3"/>
  <c r="B3315" i="3"/>
  <c r="B3314" i="3"/>
  <c r="B3313" i="3"/>
  <c r="B3312" i="3"/>
  <c r="B3311" i="3"/>
  <c r="B3310" i="3"/>
  <c r="B3309" i="3"/>
  <c r="B3308" i="3"/>
  <c r="B3307" i="3"/>
  <c r="B3306" i="3"/>
  <c r="B3305" i="3"/>
  <c r="B3304" i="3"/>
  <c r="B3303" i="3"/>
  <c r="B3302" i="3"/>
  <c r="B3301" i="3"/>
  <c r="B3300" i="3"/>
  <c r="B3299" i="3"/>
  <c r="B3298" i="3"/>
  <c r="B3297" i="3"/>
  <c r="B3296" i="3"/>
  <c r="B3295" i="3"/>
  <c r="B3294" i="3"/>
  <c r="B3293" i="3"/>
  <c r="B3292" i="3"/>
  <c r="B3291" i="3"/>
  <c r="B3290" i="3"/>
  <c r="B3289" i="3"/>
  <c r="B3288" i="3"/>
  <c r="B3287" i="3"/>
  <c r="B3286" i="3"/>
  <c r="B3285" i="3"/>
  <c r="B3284" i="3"/>
  <c r="B3283" i="3"/>
  <c r="B3282" i="3"/>
  <c r="B3281" i="3"/>
  <c r="B3280" i="3"/>
  <c r="B3279" i="3"/>
  <c r="B3278" i="3"/>
  <c r="B3277" i="3"/>
  <c r="B3276" i="3"/>
  <c r="B3275" i="3"/>
  <c r="B3274" i="3"/>
  <c r="B3273" i="3"/>
  <c r="B3272" i="3"/>
  <c r="B3271" i="3"/>
  <c r="B3270" i="3"/>
  <c r="B3269" i="3"/>
  <c r="B3268" i="3"/>
  <c r="B3267" i="3"/>
  <c r="B3266" i="3"/>
  <c r="B3265" i="3"/>
  <c r="B3264" i="3"/>
  <c r="B3263" i="3"/>
  <c r="B3262" i="3"/>
  <c r="B3261" i="3"/>
  <c r="B3260" i="3"/>
  <c r="B3259" i="3"/>
  <c r="B3258" i="3"/>
  <c r="B3257" i="3"/>
  <c r="B3256" i="3"/>
  <c r="B3255" i="3"/>
  <c r="B3254" i="3"/>
  <c r="B3253" i="3"/>
  <c r="B3252" i="3"/>
  <c r="B3251" i="3"/>
  <c r="B3250" i="3"/>
  <c r="B3249" i="3"/>
  <c r="B3248" i="3"/>
  <c r="B3247" i="3"/>
  <c r="B3246" i="3"/>
  <c r="B3245" i="3"/>
  <c r="B3244" i="3"/>
  <c r="B3243" i="3"/>
  <c r="B3242" i="3"/>
  <c r="B3241" i="3"/>
  <c r="B3240" i="3"/>
  <c r="B3239" i="3"/>
  <c r="B3238" i="3"/>
  <c r="B3237" i="3"/>
  <c r="B3236" i="3"/>
  <c r="B3235" i="3"/>
  <c r="B3234" i="3"/>
  <c r="B3233" i="3"/>
  <c r="B3232" i="3"/>
  <c r="B3231" i="3"/>
  <c r="B3230" i="3"/>
  <c r="B3229" i="3"/>
  <c r="B3228" i="3"/>
  <c r="B3227" i="3"/>
  <c r="B3226" i="3"/>
  <c r="B3225" i="3"/>
  <c r="B3224" i="3"/>
  <c r="B3223" i="3"/>
  <c r="B3222" i="3"/>
  <c r="B3221" i="3"/>
  <c r="B3220" i="3"/>
  <c r="B3219" i="3"/>
  <c r="B3218" i="3"/>
  <c r="B3217" i="3"/>
  <c r="B3216" i="3"/>
  <c r="B3215" i="3"/>
  <c r="B3214" i="3"/>
  <c r="B3213" i="3"/>
  <c r="B3212" i="3"/>
  <c r="B3211" i="3"/>
  <c r="B3210" i="3"/>
  <c r="B3209" i="3"/>
  <c r="B3208" i="3"/>
  <c r="B3207" i="3"/>
  <c r="B3206" i="3"/>
  <c r="B3205" i="3"/>
  <c r="B3204" i="3"/>
  <c r="B3203" i="3"/>
  <c r="B3202" i="3"/>
  <c r="B3201" i="3"/>
  <c r="B3200" i="3"/>
  <c r="B3199" i="3"/>
  <c r="B3198" i="3"/>
  <c r="B3197" i="3"/>
  <c r="B3196" i="3"/>
  <c r="B3195" i="3"/>
  <c r="B3194" i="3"/>
  <c r="B3193" i="3"/>
  <c r="B3192" i="3"/>
  <c r="B3191" i="3"/>
  <c r="B3190" i="3"/>
  <c r="B3189" i="3"/>
  <c r="B3188" i="3"/>
  <c r="B3187" i="3"/>
  <c r="B3186" i="3"/>
  <c r="B3185" i="3"/>
  <c r="B3184" i="3"/>
  <c r="B3183" i="3"/>
  <c r="B3182" i="3"/>
  <c r="B3181" i="3"/>
  <c r="B3180" i="3"/>
  <c r="B3179" i="3"/>
  <c r="B3178" i="3"/>
  <c r="B3177" i="3"/>
  <c r="B3176" i="3"/>
  <c r="B3175" i="3"/>
  <c r="B3174" i="3"/>
  <c r="B3173" i="3"/>
  <c r="B3172" i="3"/>
  <c r="B3171" i="3"/>
  <c r="B3170" i="3"/>
  <c r="B3169" i="3"/>
  <c r="B3168" i="3"/>
  <c r="B3167" i="3"/>
  <c r="B3166" i="3"/>
  <c r="B3165" i="3"/>
  <c r="B3164" i="3"/>
  <c r="B3163" i="3"/>
  <c r="B3162" i="3"/>
  <c r="B3161" i="3"/>
  <c r="B3160" i="3"/>
  <c r="B3159" i="3"/>
  <c r="B3158" i="3"/>
  <c r="B3157" i="3"/>
  <c r="B3156" i="3"/>
  <c r="B3155" i="3"/>
  <c r="B3154" i="3"/>
  <c r="B3153" i="3"/>
  <c r="B3152" i="3"/>
  <c r="B3151" i="3"/>
  <c r="B3150" i="3"/>
  <c r="B3149" i="3"/>
  <c r="B3148" i="3"/>
  <c r="B3147" i="3"/>
  <c r="B3146" i="3"/>
  <c r="B3145" i="3"/>
  <c r="B3144" i="3"/>
  <c r="B3143" i="3"/>
  <c r="B3142" i="3"/>
  <c r="B3141" i="3"/>
  <c r="B3140" i="3"/>
  <c r="B3139" i="3"/>
  <c r="B3138" i="3"/>
  <c r="B3137" i="3"/>
  <c r="B3136" i="3"/>
  <c r="B3135" i="3"/>
  <c r="B3134" i="3"/>
  <c r="B3133" i="3"/>
  <c r="B3132" i="3"/>
  <c r="B3131" i="3"/>
  <c r="B3130" i="3"/>
  <c r="B3129" i="3"/>
  <c r="B3128" i="3"/>
  <c r="B3127" i="3"/>
  <c r="B3126" i="3"/>
  <c r="B3125" i="3"/>
  <c r="B3124" i="3"/>
  <c r="B3123" i="3"/>
  <c r="B3122" i="3"/>
  <c r="B3121" i="3"/>
  <c r="B3120" i="3"/>
  <c r="B3119" i="3"/>
  <c r="B3118" i="3"/>
  <c r="B3117" i="3"/>
  <c r="B3116" i="3"/>
  <c r="B3115" i="3"/>
  <c r="B3114" i="3"/>
  <c r="B3113" i="3"/>
  <c r="B3112" i="3"/>
  <c r="B3111" i="3"/>
  <c r="B3110" i="3"/>
  <c r="B3109" i="3"/>
  <c r="B3108" i="3"/>
  <c r="B3107" i="3"/>
  <c r="B3106" i="3"/>
  <c r="B3105" i="3"/>
  <c r="B3104" i="3"/>
  <c r="B3103" i="3"/>
  <c r="B3102" i="3"/>
  <c r="B3101" i="3"/>
  <c r="B3100" i="3"/>
  <c r="B3099" i="3"/>
  <c r="B3098" i="3"/>
  <c r="B3097" i="3"/>
  <c r="B3096" i="3"/>
  <c r="B3095" i="3"/>
  <c r="B3094" i="3"/>
  <c r="B3093" i="3"/>
  <c r="B3092" i="3"/>
  <c r="B3091" i="3"/>
  <c r="B3090" i="3"/>
  <c r="B3089" i="3"/>
  <c r="B3088" i="3"/>
  <c r="B3087" i="3"/>
  <c r="B3086" i="3"/>
  <c r="B3085" i="3"/>
  <c r="B3084" i="3"/>
  <c r="B3083" i="3"/>
  <c r="B3082" i="3"/>
  <c r="B3081" i="3"/>
  <c r="B3080" i="3"/>
  <c r="B3079" i="3"/>
  <c r="B3078" i="3"/>
  <c r="B3077" i="3"/>
  <c r="B3076" i="3"/>
  <c r="B3075" i="3"/>
  <c r="B3074" i="3"/>
  <c r="B3073" i="3"/>
  <c r="B3072" i="3"/>
  <c r="B3071" i="3"/>
  <c r="B3070" i="3"/>
  <c r="B3069" i="3"/>
  <c r="B3068" i="3"/>
  <c r="B3067" i="3"/>
  <c r="B3066" i="3"/>
  <c r="B3065" i="3"/>
  <c r="B3064" i="3"/>
  <c r="B3063" i="3"/>
  <c r="B3062" i="3"/>
  <c r="B3061" i="3"/>
  <c r="B3060" i="3"/>
  <c r="B3059" i="3"/>
  <c r="B3058" i="3"/>
  <c r="B3057" i="3"/>
  <c r="B3056" i="3"/>
  <c r="B3055" i="3"/>
  <c r="B3054" i="3"/>
  <c r="B3053" i="3"/>
  <c r="B3052" i="3"/>
  <c r="B3051" i="3"/>
  <c r="B3050" i="3"/>
  <c r="B3049" i="3"/>
  <c r="B3048" i="3"/>
  <c r="B3047" i="3"/>
  <c r="B3046" i="3"/>
  <c r="B3045" i="3"/>
  <c r="B3044" i="3"/>
  <c r="B3043" i="3"/>
  <c r="B3042" i="3"/>
  <c r="B3041" i="3"/>
  <c r="B3040" i="3"/>
  <c r="B3039" i="3"/>
  <c r="B3038" i="3"/>
  <c r="B3037" i="3"/>
  <c r="B3036" i="3"/>
  <c r="B3035" i="3"/>
  <c r="B3034" i="3"/>
  <c r="B3033" i="3"/>
  <c r="B3032" i="3"/>
  <c r="B3031" i="3"/>
  <c r="B3030" i="3"/>
  <c r="B3029" i="3"/>
  <c r="B3028" i="3"/>
  <c r="B3027" i="3"/>
  <c r="B3026" i="3"/>
  <c r="B3025" i="3"/>
  <c r="B3024" i="3"/>
  <c r="B3023" i="3"/>
  <c r="B3022" i="3"/>
  <c r="B3021" i="3"/>
  <c r="B3020" i="3"/>
  <c r="B3019" i="3"/>
  <c r="B3018" i="3"/>
  <c r="B3017" i="3"/>
  <c r="B3016" i="3"/>
  <c r="B3015" i="3"/>
  <c r="B3014" i="3"/>
  <c r="B3013" i="3"/>
  <c r="B3012" i="3"/>
  <c r="B3011" i="3"/>
  <c r="B3010" i="3"/>
  <c r="B3009" i="3"/>
  <c r="B3008" i="3"/>
  <c r="B3007" i="3"/>
  <c r="B3006" i="3"/>
  <c r="B3005" i="3"/>
  <c r="B3004" i="3"/>
  <c r="B3003" i="3"/>
  <c r="B3002" i="3"/>
  <c r="B3001" i="3"/>
  <c r="B3000" i="3"/>
  <c r="B2999" i="3"/>
  <c r="B2998" i="3"/>
  <c r="B2997" i="3"/>
  <c r="B2996" i="3"/>
  <c r="B2995" i="3"/>
  <c r="B2994" i="3"/>
  <c r="B2993" i="3"/>
  <c r="B2992" i="3"/>
  <c r="B2991" i="3"/>
  <c r="B2990" i="3"/>
  <c r="B2989" i="3"/>
  <c r="B2988" i="3"/>
  <c r="B2987" i="3"/>
  <c r="B2986" i="3"/>
  <c r="B2985" i="3"/>
  <c r="B2984" i="3"/>
  <c r="B2983" i="3"/>
  <c r="B2982" i="3"/>
  <c r="B2981" i="3"/>
  <c r="B2980" i="3"/>
  <c r="B2979" i="3"/>
  <c r="B2978" i="3"/>
  <c r="B2977" i="3"/>
  <c r="B2976" i="3"/>
  <c r="B2975" i="3"/>
  <c r="B2974" i="3"/>
  <c r="B2973" i="3"/>
  <c r="B2972" i="3"/>
  <c r="B2971" i="3"/>
  <c r="B2970" i="3"/>
  <c r="B2969" i="3"/>
  <c r="B2968" i="3"/>
  <c r="B2967" i="3"/>
  <c r="B2966" i="3"/>
  <c r="B2965" i="3"/>
  <c r="B2964" i="3"/>
  <c r="B2963" i="3"/>
  <c r="B2962" i="3"/>
  <c r="B2961" i="3"/>
  <c r="B2960" i="3"/>
  <c r="B2959" i="3"/>
  <c r="B2958" i="3"/>
  <c r="B2957" i="3"/>
  <c r="B2956" i="3"/>
  <c r="B2955" i="3"/>
  <c r="B2954" i="3"/>
  <c r="B2953" i="3"/>
  <c r="B2952" i="3"/>
  <c r="B2951" i="3"/>
  <c r="B2950" i="3"/>
  <c r="B2949" i="3"/>
  <c r="B2948" i="3"/>
  <c r="B2947" i="3"/>
  <c r="B2946" i="3"/>
  <c r="B2945" i="3"/>
  <c r="B2944" i="3"/>
  <c r="B2943" i="3"/>
  <c r="B2942" i="3"/>
  <c r="B2941" i="3"/>
  <c r="B2940" i="3"/>
  <c r="B2939" i="3"/>
  <c r="B2938" i="3"/>
  <c r="B2937" i="3"/>
  <c r="B2936" i="3"/>
  <c r="B2935" i="3"/>
  <c r="B2934" i="3"/>
  <c r="B2933" i="3"/>
  <c r="B2932" i="3"/>
  <c r="B2931" i="3"/>
  <c r="B2930" i="3"/>
  <c r="B2929" i="3"/>
  <c r="B2928" i="3"/>
  <c r="B2927" i="3"/>
  <c r="B2926" i="3"/>
  <c r="B2925" i="3"/>
  <c r="B2924" i="3"/>
  <c r="B2923" i="3"/>
  <c r="B2922" i="3"/>
  <c r="B2921" i="3"/>
  <c r="B2920" i="3"/>
  <c r="B2919" i="3"/>
  <c r="B2918" i="3"/>
  <c r="B2917" i="3"/>
  <c r="B2916" i="3"/>
  <c r="B2915" i="3"/>
  <c r="B2914" i="3"/>
  <c r="B2913" i="3"/>
  <c r="B2912" i="3"/>
  <c r="B2911" i="3"/>
  <c r="B2910" i="3"/>
  <c r="B2909" i="3"/>
  <c r="B2908" i="3"/>
  <c r="B2907" i="3"/>
  <c r="B2906" i="3"/>
  <c r="B2905" i="3"/>
  <c r="B2904" i="3"/>
  <c r="B2903" i="3"/>
  <c r="B2902" i="3"/>
  <c r="B2901" i="3"/>
  <c r="B2900" i="3"/>
  <c r="B2899" i="3"/>
  <c r="B2898" i="3"/>
  <c r="B2897" i="3"/>
  <c r="B2896" i="3"/>
  <c r="B2895" i="3"/>
  <c r="B2894" i="3"/>
  <c r="B2893" i="3"/>
  <c r="B2892" i="3"/>
  <c r="B2891" i="3"/>
  <c r="B2890" i="3"/>
  <c r="B2889" i="3"/>
  <c r="B2888" i="3"/>
  <c r="B2887" i="3"/>
  <c r="B2886" i="3"/>
  <c r="B2885" i="3"/>
  <c r="B2884" i="3"/>
  <c r="B2883" i="3"/>
  <c r="B2882" i="3"/>
  <c r="B2881" i="3"/>
  <c r="B2880" i="3"/>
  <c r="B2879" i="3"/>
  <c r="B2878" i="3"/>
  <c r="B2877" i="3"/>
  <c r="B2876" i="3"/>
  <c r="B2875" i="3"/>
  <c r="B2874" i="3"/>
  <c r="B2873" i="3"/>
  <c r="B2872" i="3"/>
  <c r="B2871" i="3"/>
  <c r="B2870" i="3"/>
  <c r="B2869" i="3"/>
  <c r="B2868" i="3"/>
  <c r="B2867" i="3"/>
  <c r="B2866" i="3"/>
  <c r="B2865" i="3"/>
  <c r="B2864" i="3"/>
  <c r="B2863" i="3"/>
  <c r="B2862" i="3"/>
  <c r="B2861" i="3"/>
  <c r="B2860" i="3"/>
  <c r="B2859" i="3"/>
  <c r="B2858" i="3"/>
  <c r="B2857" i="3"/>
  <c r="B2856" i="3"/>
  <c r="B2855" i="3"/>
  <c r="B2854" i="3"/>
  <c r="B2853" i="3"/>
  <c r="B2852" i="3"/>
  <c r="B2851" i="3"/>
  <c r="B2850" i="3"/>
  <c r="B2849" i="3"/>
  <c r="B2848" i="3"/>
  <c r="B2847" i="3"/>
  <c r="B2846" i="3"/>
  <c r="B2845" i="3"/>
  <c r="B2844" i="3"/>
  <c r="B2843" i="3"/>
  <c r="B2842" i="3"/>
  <c r="B2841" i="3"/>
  <c r="B2840" i="3"/>
  <c r="B2839" i="3"/>
  <c r="B2838" i="3"/>
  <c r="B2837" i="3"/>
  <c r="B2836" i="3"/>
  <c r="B2835" i="3"/>
  <c r="B2834" i="3"/>
  <c r="B2833" i="3"/>
  <c r="B2832" i="3"/>
  <c r="B2831" i="3"/>
  <c r="B2830" i="3"/>
  <c r="B2829" i="3"/>
  <c r="B2828" i="3"/>
  <c r="B2827" i="3"/>
  <c r="B2826" i="3"/>
  <c r="B2825" i="3"/>
  <c r="B2824" i="3"/>
  <c r="B2823" i="3"/>
  <c r="B2822" i="3"/>
  <c r="B2821" i="3"/>
  <c r="B2820" i="3"/>
  <c r="B2819" i="3"/>
  <c r="B2818" i="3"/>
  <c r="B2817" i="3"/>
  <c r="B2816" i="3"/>
  <c r="B2815" i="3"/>
  <c r="B2814" i="3"/>
  <c r="B2813" i="3"/>
  <c r="B2812" i="3"/>
  <c r="B2811" i="3"/>
  <c r="B2810" i="3"/>
  <c r="B2809" i="3"/>
  <c r="B2808" i="3"/>
  <c r="B2807" i="3"/>
  <c r="B2806" i="3"/>
  <c r="B2805" i="3"/>
  <c r="B2804" i="3"/>
  <c r="B2803" i="3"/>
  <c r="B2802" i="3"/>
  <c r="B2801" i="3"/>
  <c r="B2800" i="3"/>
  <c r="B2799" i="3"/>
  <c r="B2798" i="3"/>
  <c r="B2797" i="3"/>
  <c r="B2796" i="3"/>
  <c r="B2795" i="3"/>
  <c r="B2794" i="3"/>
  <c r="B2793" i="3"/>
  <c r="B2792" i="3"/>
  <c r="B2791" i="3"/>
  <c r="B2790" i="3"/>
  <c r="B2789" i="3"/>
  <c r="B2788" i="3"/>
  <c r="B2787" i="3"/>
  <c r="B2786" i="3"/>
  <c r="B2785" i="3"/>
  <c r="B2784" i="3"/>
  <c r="B2783" i="3"/>
  <c r="B2782" i="3"/>
  <c r="B2781" i="3"/>
  <c r="B2780" i="3"/>
  <c r="B2779" i="3"/>
  <c r="B2778" i="3"/>
  <c r="B2777" i="3"/>
  <c r="B2776" i="3"/>
  <c r="B2775" i="3"/>
  <c r="B2774" i="3"/>
  <c r="B2773" i="3"/>
  <c r="B2772" i="3"/>
  <c r="B2771" i="3"/>
  <c r="B2770" i="3"/>
  <c r="B2769" i="3"/>
  <c r="B2768" i="3"/>
  <c r="B2767" i="3"/>
  <c r="B2766" i="3"/>
  <c r="B2765" i="3"/>
  <c r="B2764" i="3"/>
  <c r="B2763" i="3"/>
  <c r="B2762" i="3"/>
  <c r="B2761" i="3"/>
  <c r="B2760" i="3"/>
  <c r="B2759" i="3"/>
  <c r="B2758" i="3"/>
  <c r="B2757" i="3"/>
  <c r="B2756" i="3"/>
  <c r="B2755" i="3"/>
  <c r="B2754" i="3"/>
  <c r="B2753" i="3"/>
  <c r="B2752" i="3"/>
  <c r="B2751" i="3"/>
  <c r="B2750" i="3"/>
  <c r="B2749" i="3"/>
  <c r="B2748" i="3"/>
  <c r="B2747" i="3"/>
  <c r="B2746" i="3"/>
  <c r="B2745" i="3"/>
  <c r="B2744" i="3"/>
  <c r="B2743" i="3"/>
  <c r="B2742" i="3"/>
  <c r="B2741" i="3"/>
  <c r="B2740" i="3"/>
  <c r="B2739" i="3"/>
  <c r="B2738" i="3"/>
  <c r="B2737" i="3"/>
  <c r="B2736" i="3"/>
  <c r="B2735" i="3"/>
  <c r="B2734" i="3"/>
  <c r="B2733" i="3"/>
  <c r="B2732" i="3"/>
  <c r="B2731" i="3"/>
  <c r="B2730" i="3"/>
  <c r="B2729" i="3"/>
  <c r="B2728" i="3"/>
  <c r="B2727" i="3"/>
  <c r="B2726" i="3"/>
  <c r="B2725" i="3"/>
  <c r="B2724" i="3"/>
  <c r="B2723" i="3"/>
  <c r="B2722" i="3"/>
  <c r="B2721" i="3"/>
  <c r="B2720" i="3"/>
  <c r="B2719" i="3"/>
  <c r="B2718" i="3"/>
  <c r="B2717" i="3"/>
  <c r="B2716" i="3"/>
  <c r="B2715" i="3"/>
  <c r="B2714" i="3"/>
  <c r="B2713" i="3"/>
  <c r="B2712" i="3"/>
  <c r="B2711" i="3"/>
  <c r="B2710" i="3"/>
  <c r="B2709" i="3"/>
  <c r="B2708" i="3"/>
  <c r="B2707" i="3"/>
  <c r="B2706" i="3"/>
  <c r="B2705" i="3"/>
  <c r="B2704" i="3"/>
  <c r="B2703" i="3"/>
  <c r="B2702" i="3"/>
  <c r="B2701" i="3"/>
  <c r="B2700" i="3"/>
  <c r="B2699" i="3"/>
  <c r="B2698" i="3"/>
  <c r="B2697" i="3"/>
  <c r="B2696" i="3"/>
  <c r="B2695" i="3"/>
  <c r="B2694" i="3"/>
  <c r="B2693" i="3"/>
  <c r="B2692" i="3"/>
  <c r="B2691" i="3"/>
  <c r="B2690" i="3"/>
  <c r="B2689" i="3"/>
  <c r="B2688" i="3"/>
  <c r="B2687" i="3"/>
  <c r="B2686" i="3"/>
  <c r="B2685" i="3"/>
  <c r="B2684" i="3"/>
  <c r="B2683" i="3"/>
  <c r="B2682" i="3"/>
  <c r="B2681" i="3"/>
  <c r="B2680" i="3"/>
  <c r="B2679" i="3"/>
  <c r="B2678" i="3"/>
  <c r="B2677" i="3"/>
  <c r="B2676" i="3"/>
  <c r="B2675" i="3"/>
  <c r="B2674" i="3"/>
  <c r="B2673" i="3"/>
  <c r="B2672" i="3"/>
  <c r="B2671" i="3"/>
  <c r="B2670" i="3"/>
  <c r="B2669" i="3"/>
  <c r="B2668" i="3"/>
  <c r="B2667" i="3"/>
  <c r="B2666" i="3"/>
  <c r="B2665" i="3"/>
  <c r="B2664" i="3"/>
  <c r="B2663" i="3"/>
  <c r="B2662" i="3"/>
  <c r="B2661" i="3"/>
  <c r="B2660" i="3"/>
  <c r="B2659" i="3"/>
  <c r="B2658" i="3"/>
  <c r="B2657" i="3"/>
  <c r="B2656" i="3"/>
  <c r="B2655" i="3"/>
  <c r="B2654" i="3"/>
  <c r="B2653" i="3"/>
  <c r="B2652" i="3"/>
  <c r="B2651" i="3"/>
  <c r="B2650" i="3"/>
  <c r="B2649" i="3"/>
  <c r="B2648" i="3"/>
  <c r="B2647" i="3"/>
  <c r="B2646" i="3"/>
  <c r="B2645" i="3"/>
  <c r="B2644" i="3"/>
  <c r="B2643" i="3"/>
  <c r="B2642" i="3"/>
  <c r="B2641" i="3"/>
  <c r="B2640" i="3"/>
  <c r="B2639" i="3"/>
  <c r="B2638" i="3"/>
  <c r="B2637" i="3"/>
  <c r="B2636" i="3"/>
  <c r="B2635" i="3"/>
  <c r="B2634" i="3"/>
  <c r="B2633" i="3"/>
  <c r="B2632" i="3"/>
  <c r="B2631" i="3"/>
  <c r="B2630" i="3"/>
  <c r="B2629" i="3"/>
  <c r="B2628" i="3"/>
  <c r="B2627" i="3"/>
  <c r="B2626" i="3"/>
  <c r="B2625" i="3"/>
  <c r="B2624" i="3"/>
  <c r="B2623" i="3"/>
  <c r="B2622" i="3"/>
  <c r="B2621" i="3"/>
  <c r="B2620" i="3"/>
  <c r="B2619" i="3"/>
  <c r="B2618" i="3"/>
  <c r="B2617" i="3"/>
  <c r="B2616" i="3"/>
  <c r="B2615" i="3"/>
  <c r="B2614" i="3"/>
  <c r="B2613" i="3"/>
  <c r="B2612" i="3"/>
  <c r="B2611" i="3"/>
  <c r="B2610" i="3"/>
  <c r="B2609" i="3"/>
  <c r="B2608" i="3"/>
  <c r="B2607" i="3"/>
  <c r="B2606" i="3"/>
  <c r="B2605" i="3"/>
  <c r="B2604" i="3"/>
  <c r="B2603" i="3"/>
  <c r="B2602" i="3"/>
  <c r="B2601" i="3"/>
  <c r="B2600" i="3"/>
  <c r="B2599" i="3"/>
  <c r="B2598" i="3"/>
  <c r="B2597" i="3"/>
  <c r="B2596" i="3"/>
  <c r="B2595" i="3"/>
  <c r="B2594" i="3"/>
  <c r="B2593" i="3"/>
  <c r="B2592" i="3"/>
  <c r="B2591" i="3"/>
  <c r="B2590" i="3"/>
  <c r="B2589" i="3"/>
  <c r="B2588" i="3"/>
  <c r="B2587" i="3"/>
  <c r="B2586" i="3"/>
  <c r="B2585" i="3"/>
  <c r="B2584" i="3"/>
  <c r="B2583" i="3"/>
  <c r="B2582" i="3"/>
  <c r="B2581" i="3"/>
  <c r="B2580" i="3"/>
  <c r="B2579" i="3"/>
  <c r="B2578" i="3"/>
  <c r="B2577" i="3"/>
  <c r="B2576" i="3"/>
  <c r="B2575" i="3"/>
  <c r="B2574" i="3"/>
  <c r="B2573" i="3"/>
  <c r="B2572" i="3"/>
  <c r="B2571" i="3"/>
  <c r="B2570" i="3"/>
  <c r="B2569" i="3"/>
  <c r="B2568" i="3"/>
  <c r="B2567" i="3"/>
  <c r="B2566" i="3"/>
  <c r="B2565" i="3"/>
  <c r="B2564" i="3"/>
  <c r="B2563" i="3"/>
  <c r="B2562" i="3"/>
  <c r="B2561" i="3"/>
  <c r="B2560" i="3"/>
  <c r="B2559" i="3"/>
  <c r="B2558" i="3"/>
  <c r="B2557" i="3"/>
  <c r="B2556" i="3"/>
  <c r="B2555" i="3"/>
  <c r="B2554" i="3"/>
  <c r="B2553" i="3"/>
  <c r="B2552" i="3"/>
  <c r="B2551" i="3"/>
  <c r="B2550" i="3"/>
  <c r="B2549" i="3"/>
  <c r="B2548" i="3"/>
  <c r="B2547" i="3"/>
  <c r="B2546" i="3"/>
  <c r="B2545" i="3"/>
  <c r="B2544" i="3"/>
  <c r="B2543" i="3"/>
  <c r="B2542" i="3"/>
  <c r="B2541" i="3"/>
  <c r="B2540" i="3"/>
  <c r="B2539" i="3"/>
  <c r="B2538" i="3"/>
  <c r="B2537" i="3"/>
  <c r="B2536" i="3"/>
  <c r="B2535" i="3"/>
  <c r="B2534" i="3"/>
  <c r="B2533" i="3"/>
  <c r="B2532" i="3"/>
  <c r="B2531" i="3"/>
  <c r="B2530" i="3"/>
  <c r="B2529" i="3"/>
  <c r="B2528" i="3"/>
  <c r="B2527" i="3"/>
  <c r="B2526" i="3"/>
  <c r="B2525" i="3"/>
  <c r="B2524" i="3"/>
  <c r="B2523" i="3"/>
  <c r="B2522" i="3"/>
  <c r="B2521" i="3"/>
  <c r="B2520" i="3"/>
  <c r="B2519" i="3"/>
  <c r="B2518" i="3"/>
  <c r="B2517" i="3"/>
  <c r="B2516" i="3"/>
  <c r="B2515" i="3"/>
  <c r="B2514" i="3"/>
  <c r="B2513" i="3"/>
  <c r="B2512" i="3"/>
  <c r="B2511" i="3"/>
  <c r="B2510" i="3"/>
  <c r="B2509" i="3"/>
  <c r="B2508" i="3"/>
  <c r="B2507" i="3"/>
  <c r="B2506" i="3"/>
  <c r="B2505" i="3"/>
  <c r="B2504" i="3"/>
  <c r="B2503" i="3"/>
  <c r="B2502" i="3"/>
  <c r="B2501" i="3"/>
  <c r="B2500" i="3"/>
  <c r="B2499" i="3"/>
  <c r="B2498" i="3"/>
  <c r="B2497" i="3"/>
  <c r="B2496" i="3"/>
  <c r="B2495" i="3"/>
  <c r="B2494" i="3"/>
  <c r="B2493" i="3"/>
  <c r="B2492" i="3"/>
  <c r="B2491" i="3"/>
  <c r="B2490" i="3"/>
  <c r="B2489" i="3"/>
  <c r="B2488" i="3"/>
  <c r="B2487" i="3"/>
  <c r="B2486" i="3"/>
  <c r="B2485" i="3"/>
  <c r="B2484" i="3"/>
  <c r="B2483" i="3"/>
  <c r="B2482" i="3"/>
  <c r="B2481" i="3"/>
  <c r="B2480" i="3"/>
  <c r="B2479" i="3"/>
  <c r="B2478" i="3"/>
  <c r="B2477" i="3"/>
  <c r="B2476" i="3"/>
  <c r="B2475" i="3"/>
  <c r="B2474" i="3"/>
  <c r="B2473" i="3"/>
  <c r="B2472" i="3"/>
  <c r="B2471" i="3"/>
  <c r="B2470" i="3"/>
  <c r="B2469" i="3"/>
  <c r="B2468" i="3"/>
  <c r="B2467" i="3"/>
  <c r="B2466" i="3"/>
  <c r="B2465" i="3"/>
  <c r="B2464" i="3"/>
  <c r="B2463" i="3"/>
  <c r="B2462" i="3"/>
  <c r="B2461" i="3"/>
  <c r="B2460" i="3"/>
  <c r="B2459" i="3"/>
  <c r="B2458" i="3"/>
  <c r="B2457" i="3"/>
  <c r="B2456" i="3"/>
  <c r="B2455" i="3"/>
  <c r="B2454" i="3"/>
  <c r="B2453" i="3"/>
  <c r="B2452" i="3"/>
  <c r="B2451" i="3"/>
  <c r="B2450" i="3"/>
  <c r="B2449" i="3"/>
  <c r="B2448" i="3"/>
  <c r="B2447" i="3"/>
  <c r="B2446" i="3"/>
  <c r="B2445" i="3"/>
  <c r="B2444" i="3"/>
  <c r="B2443" i="3"/>
  <c r="B2442" i="3"/>
  <c r="B2441" i="3"/>
  <c r="B2440" i="3"/>
  <c r="B2439" i="3"/>
  <c r="B2438" i="3"/>
  <c r="B2437" i="3"/>
  <c r="B2436" i="3"/>
  <c r="B2435" i="3"/>
  <c r="B2434" i="3"/>
  <c r="B2433" i="3"/>
  <c r="B2432" i="3"/>
  <c r="B2431" i="3"/>
  <c r="B2430" i="3"/>
  <c r="B2429" i="3"/>
  <c r="B2428" i="3"/>
  <c r="B2427" i="3"/>
  <c r="B2426" i="3"/>
  <c r="B2425" i="3"/>
  <c r="B2424" i="3"/>
  <c r="B2423" i="3"/>
  <c r="B2422" i="3"/>
  <c r="B2421" i="3"/>
  <c r="B2420" i="3"/>
  <c r="B2419" i="3"/>
  <c r="B2418" i="3"/>
  <c r="B2417" i="3"/>
  <c r="B2416" i="3"/>
  <c r="B2415" i="3"/>
  <c r="B2414" i="3"/>
  <c r="B2413" i="3"/>
  <c r="B2412" i="3"/>
  <c r="B2411" i="3"/>
  <c r="B2410" i="3"/>
  <c r="B2409" i="3"/>
  <c r="B2408" i="3"/>
  <c r="B2407" i="3"/>
  <c r="B2406" i="3"/>
  <c r="B2405" i="3"/>
  <c r="B2404" i="3"/>
  <c r="B2403" i="3"/>
  <c r="B2402" i="3"/>
  <c r="B2401" i="3"/>
  <c r="B2400" i="3"/>
  <c r="B2399" i="3"/>
  <c r="B2398" i="3"/>
  <c r="B2397" i="3"/>
  <c r="B2396" i="3"/>
  <c r="B2395" i="3"/>
  <c r="B2394" i="3"/>
  <c r="B2393" i="3"/>
  <c r="B2392" i="3"/>
  <c r="B2391" i="3"/>
  <c r="B2390" i="3"/>
  <c r="B2389" i="3"/>
  <c r="B2388" i="3"/>
  <c r="B2387" i="3"/>
  <c r="B2386" i="3"/>
  <c r="B2385" i="3"/>
  <c r="B2384" i="3"/>
  <c r="B2383" i="3"/>
  <c r="B2382" i="3"/>
  <c r="B2381" i="3"/>
  <c r="B2380" i="3"/>
  <c r="B2379" i="3"/>
  <c r="B2378" i="3"/>
  <c r="B2377" i="3"/>
  <c r="B2376" i="3"/>
  <c r="B2375" i="3"/>
  <c r="B2374" i="3"/>
  <c r="B2373" i="3"/>
  <c r="B2372" i="3"/>
  <c r="B2371" i="3"/>
  <c r="B2370" i="3"/>
  <c r="B2369" i="3"/>
  <c r="B2368" i="3"/>
  <c r="B2367" i="3"/>
  <c r="B2366" i="3"/>
  <c r="B2365" i="3"/>
  <c r="B2364" i="3"/>
  <c r="B2363" i="3"/>
  <c r="B2362" i="3"/>
  <c r="B2361" i="3"/>
  <c r="B2360" i="3"/>
  <c r="B2359" i="3"/>
  <c r="B2358" i="3"/>
  <c r="B2357" i="3"/>
  <c r="B2356" i="3"/>
  <c r="B2355" i="3"/>
  <c r="B2354" i="3"/>
  <c r="B2353" i="3"/>
  <c r="B2352" i="3"/>
  <c r="B2351" i="3"/>
  <c r="B2350" i="3"/>
  <c r="B2349" i="3"/>
  <c r="B2348" i="3"/>
  <c r="B2347" i="3"/>
  <c r="B2346" i="3"/>
  <c r="B2345" i="3"/>
  <c r="B2344" i="3"/>
  <c r="B2343" i="3"/>
  <c r="B2342" i="3"/>
  <c r="B2341" i="3"/>
  <c r="B2340" i="3"/>
  <c r="B2339" i="3"/>
  <c r="B2338" i="3"/>
  <c r="B2337" i="3"/>
  <c r="B2336" i="3"/>
  <c r="B2335" i="3"/>
  <c r="B2334" i="3"/>
  <c r="B2333" i="3"/>
  <c r="B2332" i="3"/>
  <c r="B2331" i="3"/>
  <c r="B2330" i="3"/>
  <c r="B2329" i="3"/>
  <c r="B2328" i="3"/>
  <c r="B2327" i="3"/>
  <c r="B2326" i="3"/>
  <c r="B2325" i="3"/>
  <c r="B2324" i="3"/>
  <c r="B2323" i="3"/>
  <c r="B2322" i="3"/>
  <c r="B2321" i="3"/>
  <c r="B2320" i="3"/>
  <c r="B2319" i="3"/>
  <c r="B2318" i="3"/>
  <c r="B2317" i="3"/>
  <c r="B2316" i="3"/>
  <c r="B2315" i="3"/>
  <c r="B2314" i="3"/>
  <c r="B2313" i="3"/>
  <c r="B2312" i="3"/>
  <c r="B2311" i="3"/>
  <c r="B2310" i="3"/>
  <c r="B2309" i="3"/>
  <c r="B2308" i="3"/>
  <c r="B2307" i="3"/>
  <c r="B2306" i="3"/>
  <c r="B2305" i="3"/>
  <c r="B2304" i="3"/>
  <c r="B2303" i="3"/>
  <c r="B2302" i="3"/>
  <c r="B2301" i="3"/>
  <c r="B2300" i="3"/>
  <c r="B2299" i="3"/>
  <c r="B2298" i="3"/>
  <c r="B2297" i="3"/>
  <c r="B2296" i="3"/>
  <c r="B2295" i="3"/>
  <c r="B2294" i="3"/>
  <c r="B2293" i="3"/>
  <c r="B2292" i="3"/>
  <c r="B2291" i="3"/>
  <c r="B2290" i="3"/>
  <c r="B2289" i="3"/>
  <c r="B2288" i="3"/>
  <c r="B2287" i="3"/>
  <c r="B2286" i="3"/>
  <c r="B2285" i="3"/>
  <c r="B2284" i="3"/>
  <c r="B2283" i="3"/>
  <c r="B2282" i="3"/>
  <c r="B2281" i="3"/>
  <c r="B2280" i="3"/>
  <c r="B2279" i="3"/>
  <c r="B2278" i="3"/>
  <c r="B2277" i="3"/>
  <c r="B2276" i="3"/>
  <c r="B2275" i="3"/>
  <c r="B2274" i="3"/>
  <c r="B2273" i="3"/>
  <c r="B2272" i="3"/>
  <c r="B2271" i="3"/>
  <c r="B2270" i="3"/>
  <c r="B2269" i="3"/>
  <c r="B2268" i="3"/>
  <c r="B2267" i="3"/>
  <c r="B2266" i="3"/>
  <c r="B2265" i="3"/>
  <c r="B2264" i="3"/>
  <c r="B2263" i="3"/>
  <c r="B2262" i="3"/>
  <c r="B2261" i="3"/>
  <c r="B2260" i="3"/>
  <c r="B2259" i="3"/>
  <c r="B2258" i="3"/>
  <c r="B2257" i="3"/>
  <c r="B2256" i="3"/>
  <c r="B2255" i="3"/>
  <c r="B2254" i="3"/>
  <c r="B2253" i="3"/>
  <c r="B2252" i="3"/>
  <c r="B2251" i="3"/>
  <c r="B2250" i="3"/>
  <c r="B2249" i="3"/>
  <c r="B2248" i="3"/>
  <c r="B2247" i="3"/>
  <c r="B2246" i="3"/>
  <c r="B2245" i="3"/>
  <c r="B2244" i="3"/>
  <c r="B2243" i="3"/>
  <c r="B2242" i="3"/>
  <c r="B2241" i="3"/>
  <c r="B2240" i="3"/>
  <c r="B2239" i="3"/>
  <c r="B2238" i="3"/>
  <c r="B2237" i="3"/>
  <c r="B2236" i="3"/>
  <c r="B2235" i="3"/>
  <c r="B2234" i="3"/>
  <c r="B2233" i="3"/>
  <c r="B2232" i="3"/>
  <c r="B2231" i="3"/>
  <c r="B2230" i="3"/>
  <c r="B2229" i="3"/>
  <c r="B2228" i="3"/>
  <c r="B2227" i="3"/>
  <c r="B2226" i="3"/>
  <c r="B2225" i="3"/>
  <c r="B2224" i="3"/>
  <c r="B2223" i="3"/>
  <c r="B2222" i="3"/>
  <c r="B2221" i="3"/>
  <c r="B2220" i="3"/>
  <c r="B2219" i="3"/>
  <c r="B2218" i="3"/>
  <c r="B2217" i="3"/>
  <c r="B2216" i="3"/>
  <c r="B2215" i="3"/>
  <c r="B2214" i="3"/>
  <c r="B2213" i="3"/>
  <c r="B2212" i="3"/>
  <c r="B2211" i="3"/>
  <c r="B2210" i="3"/>
  <c r="B2209" i="3"/>
  <c r="B2208" i="3"/>
  <c r="B2207" i="3"/>
  <c r="B2206" i="3"/>
  <c r="B2205" i="3"/>
  <c r="B2204" i="3"/>
  <c r="B2203" i="3"/>
  <c r="B2202" i="3"/>
  <c r="B2201" i="3"/>
  <c r="B2200" i="3"/>
  <c r="B2199" i="3"/>
  <c r="B2198" i="3"/>
  <c r="B2197" i="3"/>
  <c r="B2196" i="3"/>
  <c r="B2195" i="3"/>
  <c r="B2194" i="3"/>
  <c r="B2193" i="3"/>
  <c r="B2192" i="3"/>
  <c r="B2191" i="3"/>
  <c r="B2190" i="3"/>
  <c r="B2189" i="3"/>
  <c r="B2188" i="3"/>
  <c r="B2187" i="3"/>
  <c r="B2186" i="3"/>
  <c r="B2185" i="3"/>
  <c r="B2184" i="3"/>
  <c r="B2183" i="3"/>
  <c r="B2182" i="3"/>
  <c r="B2181" i="3"/>
  <c r="B2180" i="3"/>
  <c r="B2179" i="3"/>
  <c r="B2178" i="3"/>
  <c r="B2177" i="3"/>
  <c r="B2176" i="3"/>
  <c r="B2175" i="3"/>
  <c r="B2174" i="3"/>
  <c r="B2173" i="3"/>
  <c r="B2172" i="3"/>
  <c r="B2171" i="3"/>
  <c r="B2170" i="3"/>
  <c r="B2169" i="3"/>
  <c r="B2168" i="3"/>
  <c r="B2167" i="3"/>
  <c r="B2166" i="3"/>
  <c r="B2165" i="3"/>
  <c r="B2164" i="3"/>
  <c r="B2163" i="3"/>
  <c r="B2162" i="3"/>
  <c r="B2161" i="3"/>
  <c r="B2160" i="3"/>
  <c r="B2159" i="3"/>
  <c r="B2158" i="3"/>
  <c r="B2157" i="3"/>
  <c r="B2156" i="3"/>
  <c r="B2155" i="3"/>
  <c r="B2154" i="3"/>
  <c r="B2153" i="3"/>
  <c r="B2152" i="3"/>
  <c r="B2151" i="3"/>
  <c r="B2150" i="3"/>
  <c r="B2149" i="3"/>
  <c r="B2148" i="3"/>
  <c r="B2147" i="3"/>
  <c r="B2146" i="3"/>
  <c r="B2145" i="3"/>
  <c r="B2144" i="3"/>
  <c r="B2143" i="3"/>
  <c r="B2142" i="3"/>
  <c r="B2141" i="3"/>
  <c r="B2140" i="3"/>
  <c r="B2139" i="3"/>
  <c r="B2138" i="3"/>
  <c r="B2137" i="3"/>
  <c r="B2136" i="3"/>
  <c r="B2135" i="3"/>
  <c r="B2134" i="3"/>
  <c r="B2133" i="3"/>
  <c r="B2132" i="3"/>
  <c r="B2131" i="3"/>
  <c r="B2130" i="3"/>
  <c r="B2129" i="3"/>
  <c r="B2128" i="3"/>
  <c r="B2127" i="3"/>
  <c r="B2126" i="3"/>
  <c r="B2125" i="3"/>
  <c r="B2124" i="3"/>
  <c r="B2123" i="3"/>
  <c r="B2122" i="3"/>
  <c r="B2121" i="3"/>
  <c r="B2120" i="3"/>
  <c r="B2119" i="3"/>
  <c r="B2118" i="3"/>
  <c r="B2117" i="3"/>
  <c r="B2116" i="3"/>
  <c r="B2115" i="3"/>
  <c r="B2114" i="3"/>
  <c r="B2113" i="3"/>
  <c r="B2112" i="3"/>
  <c r="B2111" i="3"/>
  <c r="B2110" i="3"/>
  <c r="B2109" i="3"/>
  <c r="B2108" i="3"/>
  <c r="B2107" i="3"/>
  <c r="B2106" i="3"/>
  <c r="B2105" i="3"/>
  <c r="B2104" i="3"/>
  <c r="B2103" i="3"/>
  <c r="B2102" i="3"/>
  <c r="B2101" i="3"/>
  <c r="B2100" i="3"/>
  <c r="B2099" i="3"/>
  <c r="B2098" i="3"/>
  <c r="B2097" i="3"/>
  <c r="B2096" i="3"/>
  <c r="B2095" i="3"/>
  <c r="B2094" i="3"/>
  <c r="B2093" i="3"/>
  <c r="B2092" i="3"/>
  <c r="B2091" i="3"/>
  <c r="B2090" i="3"/>
  <c r="B2089" i="3"/>
  <c r="B2088" i="3"/>
  <c r="B2087" i="3"/>
  <c r="B2086" i="3"/>
  <c r="B2085" i="3"/>
  <c r="B2084" i="3"/>
  <c r="B2083" i="3"/>
  <c r="B2082" i="3"/>
  <c r="B2081" i="3"/>
  <c r="B2080" i="3"/>
  <c r="B2079" i="3"/>
  <c r="B2078" i="3"/>
  <c r="B2077" i="3"/>
  <c r="B2076" i="3"/>
  <c r="B2075" i="3"/>
  <c r="B2074" i="3"/>
  <c r="B2073" i="3"/>
  <c r="B2072" i="3"/>
  <c r="B2071" i="3"/>
  <c r="B2070" i="3"/>
  <c r="B2069" i="3"/>
  <c r="B2068" i="3"/>
  <c r="B2067" i="3"/>
  <c r="B2066" i="3"/>
  <c r="B2065" i="3"/>
  <c r="B2064" i="3"/>
  <c r="B2063" i="3"/>
  <c r="B2062" i="3"/>
  <c r="B2061" i="3"/>
  <c r="B2060" i="3"/>
  <c r="B2059" i="3"/>
  <c r="B2058" i="3"/>
  <c r="B2057" i="3"/>
  <c r="B2056" i="3"/>
  <c r="B2055" i="3"/>
  <c r="B2054" i="3"/>
  <c r="B2053" i="3"/>
  <c r="B2052" i="3"/>
  <c r="B2051" i="3"/>
  <c r="B2050" i="3"/>
  <c r="B2049" i="3"/>
  <c r="B2048" i="3"/>
  <c r="B2047" i="3"/>
  <c r="B2046" i="3"/>
  <c r="B2045" i="3"/>
  <c r="B2044" i="3"/>
  <c r="B2043" i="3"/>
  <c r="B2042" i="3"/>
  <c r="B2041" i="3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5274" i="1" l="1"/>
  <c r="B5273" i="1"/>
  <c r="B5272" i="1"/>
  <c r="B5271" i="1"/>
  <c r="B5270" i="1"/>
  <c r="B5269" i="1"/>
  <c r="B5268" i="1"/>
  <c r="B5267" i="1"/>
  <c r="B5266" i="1"/>
  <c r="B5265" i="1"/>
  <c r="B5264" i="1"/>
  <c r="B5263" i="1"/>
  <c r="B5262" i="1"/>
  <c r="B5261" i="1"/>
  <c r="B5260" i="1"/>
  <c r="B5259" i="1"/>
  <c r="B5258" i="1"/>
  <c r="B5257" i="1"/>
  <c r="B5256" i="1"/>
  <c r="B5255" i="1"/>
  <c r="B5254" i="1"/>
  <c r="B5253" i="1"/>
  <c r="B5252" i="1"/>
  <c r="B5251" i="1"/>
  <c r="B5250" i="1"/>
  <c r="B5249" i="1"/>
  <c r="B5248" i="1"/>
  <c r="B5247" i="1"/>
  <c r="B5246" i="1"/>
  <c r="B5245" i="1"/>
  <c r="B5244" i="1"/>
  <c r="B5243" i="1"/>
  <c r="B5242" i="1"/>
  <c r="B5241" i="1"/>
  <c r="B5240" i="1"/>
  <c r="B5239" i="1"/>
  <c r="B5238" i="1"/>
  <c r="B5237" i="1"/>
  <c r="B5236" i="1"/>
  <c r="B5235" i="1"/>
  <c r="B5234" i="1"/>
  <c r="B5233" i="1"/>
  <c r="B5232" i="1"/>
  <c r="B5231" i="1"/>
  <c r="B5230" i="1"/>
  <c r="B5229" i="1"/>
  <c r="B5228" i="1"/>
  <c r="B5227" i="1"/>
  <c r="B5226" i="1"/>
  <c r="B5225" i="1"/>
  <c r="B5224" i="1"/>
  <c r="B5223" i="1"/>
  <c r="B5222" i="1"/>
  <c r="B5221" i="1"/>
  <c r="B5220" i="1"/>
  <c r="B5219" i="1"/>
  <c r="B5218" i="1"/>
  <c r="B5217" i="1"/>
  <c r="B5216" i="1"/>
  <c r="B5215" i="1"/>
  <c r="B5214" i="1"/>
  <c r="B5213" i="1"/>
  <c r="B5212" i="1"/>
  <c r="B5211" i="1"/>
  <c r="B5210" i="1"/>
  <c r="B5209" i="1"/>
  <c r="B5208" i="1"/>
  <c r="B5207" i="1"/>
  <c r="B5206" i="1"/>
  <c r="B5205" i="1"/>
  <c r="B5204" i="1"/>
  <c r="B5203" i="1"/>
  <c r="B5202" i="1"/>
  <c r="B5201" i="1"/>
  <c r="B5200" i="1"/>
  <c r="B5199" i="1"/>
  <c r="B5198" i="1"/>
  <c r="B5197" i="1"/>
  <c r="B5196" i="1"/>
  <c r="B5195" i="1"/>
  <c r="B5194" i="1"/>
  <c r="B5193" i="1"/>
  <c r="B5192" i="1"/>
  <c r="B5191" i="1"/>
  <c r="B5190" i="1"/>
  <c r="B5189" i="1"/>
  <c r="B5188" i="1"/>
  <c r="B5187" i="1"/>
  <c r="B5186" i="1"/>
  <c r="B5185" i="1"/>
  <c r="B5184" i="1"/>
  <c r="B5183" i="1"/>
  <c r="B5182" i="1"/>
  <c r="B5181" i="1"/>
  <c r="B5180" i="1"/>
  <c r="B5179" i="1"/>
  <c r="B5178" i="1"/>
  <c r="B5177" i="1"/>
  <c r="B5176" i="1"/>
  <c r="B5175" i="1"/>
  <c r="B5174" i="1"/>
  <c r="B5173" i="1"/>
  <c r="B5172" i="1"/>
  <c r="B5171" i="1"/>
  <c r="B5170" i="1"/>
  <c r="B5169" i="1"/>
  <c r="B5168" i="1"/>
  <c r="B5167" i="1"/>
  <c r="B5166" i="1"/>
  <c r="B5165" i="1"/>
  <c r="B5164" i="1"/>
  <c r="B5163" i="1"/>
  <c r="B5162" i="1"/>
  <c r="B5161" i="1"/>
  <c r="B5160" i="1"/>
  <c r="B5159" i="1"/>
  <c r="B5158" i="1"/>
  <c r="B5157" i="1"/>
  <c r="B5156" i="1"/>
  <c r="B5155" i="1"/>
  <c r="B5154" i="1"/>
  <c r="B5153" i="1"/>
  <c r="B5152" i="1"/>
  <c r="B5151" i="1"/>
  <c r="B5150" i="1"/>
  <c r="B5149" i="1"/>
  <c r="B5148" i="1"/>
  <c r="B5147" i="1"/>
  <c r="B5146" i="1"/>
  <c r="B5145" i="1"/>
  <c r="B5144" i="1"/>
  <c r="B5143" i="1"/>
  <c r="B5142" i="1"/>
  <c r="B5141" i="1"/>
  <c r="B5140" i="1"/>
  <c r="B5139" i="1"/>
  <c r="B5138" i="1"/>
  <c r="B5137" i="1"/>
  <c r="B5136" i="1"/>
  <c r="B5135" i="1"/>
  <c r="B5134" i="1"/>
  <c r="B5133" i="1"/>
  <c r="B5132" i="1"/>
  <c r="B5131" i="1"/>
  <c r="B5130" i="1"/>
  <c r="B5129" i="1"/>
  <c r="B5128" i="1"/>
  <c r="B5127" i="1"/>
  <c r="B5126" i="1"/>
  <c r="B5125" i="1"/>
  <c r="B5124" i="1"/>
  <c r="B5123" i="1"/>
  <c r="B5122" i="1"/>
  <c r="B5121" i="1"/>
  <c r="B5120" i="1"/>
  <c r="B5119" i="1"/>
  <c r="B5118" i="1"/>
  <c r="B5117" i="1"/>
  <c r="B5116" i="1"/>
  <c r="B5115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2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4492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4417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8" i="1"/>
  <c r="B4347" i="1"/>
  <c r="B4346" i="1"/>
  <c r="B4345" i="1"/>
  <c r="B4344" i="1"/>
  <c r="B4343" i="1"/>
  <c r="B4342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4267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60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90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5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6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3505" i="1"/>
  <c r="B3504" i="1"/>
  <c r="B3503" i="1"/>
  <c r="B3502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6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K4" i="2"/>
  <c r="C4" i="2"/>
</calcChain>
</file>

<file path=xl/sharedStrings.xml><?xml version="1.0" encoding="utf-8"?>
<sst xmlns="http://schemas.openxmlformats.org/spreadsheetml/2006/main" count="40401" uniqueCount="5649">
  <si>
    <t>Scorecard Forecast Accuracy</t>
  </si>
  <si>
    <t>NTX Forecast Accuracy</t>
  </si>
  <si>
    <t>STX Forecast Accuracy</t>
  </si>
  <si>
    <t>Market</t>
  </si>
  <si>
    <t>NTX</t>
  </si>
  <si>
    <t>STX</t>
  </si>
  <si>
    <t>Forecast Accuracy</t>
  </si>
  <si>
    <t>Status</t>
  </si>
  <si>
    <t>Task</t>
  </si>
  <si>
    <t>Within 14</t>
  </si>
  <si>
    <t>Actualized</t>
  </si>
  <si>
    <t>CI020</t>
  </si>
  <si>
    <t>CI025</t>
  </si>
  <si>
    <t>CI050</t>
  </si>
  <si>
    <t>CI128</t>
  </si>
  <si>
    <t>CL100</t>
  </si>
  <si>
    <t>RE020</t>
  </si>
  <si>
    <t>CL001</t>
  </si>
  <si>
    <t>CI032</t>
  </si>
  <si>
    <t>Grand Total</t>
  </si>
  <si>
    <t>PACE Job Number</t>
  </si>
  <si>
    <t>Initial FCST</t>
  </si>
  <si>
    <t>Cur FCST</t>
  </si>
  <si>
    <t>App FCST</t>
  </si>
  <si>
    <t>Actual</t>
  </si>
  <si>
    <t>Push Status</t>
  </si>
  <si>
    <t>Action Required</t>
  </si>
  <si>
    <t>None</t>
  </si>
  <si>
    <t>MRNTX032090</t>
  </si>
  <si>
    <t>MRWSH020015</t>
  </si>
  <si>
    <t>MRSTX034023</t>
  </si>
  <si>
    <t>MRWSH017751</t>
  </si>
  <si>
    <t>MRSTX036651</t>
  </si>
  <si>
    <t>MRSTX034020</t>
  </si>
  <si>
    <t>MRSTX035832</t>
  </si>
  <si>
    <t>MRNTX033050</t>
  </si>
  <si>
    <t>MRWSH020361</t>
  </si>
  <si>
    <t>MRWSH022089</t>
  </si>
  <si>
    <t>MRNTX032970</t>
  </si>
  <si>
    <t>MRNTX031765</t>
  </si>
  <si>
    <t>MRSTX036258</t>
  </si>
  <si>
    <t>MRNTX030295</t>
  </si>
  <si>
    <t>MRWSH020966</t>
  </si>
  <si>
    <t>MRANM020354</t>
  </si>
  <si>
    <t>Pending Push, Pull back in</t>
  </si>
  <si>
    <t>MRWSH022546</t>
  </si>
  <si>
    <t>MRSTX036942</t>
  </si>
  <si>
    <t>MRNTX029688</t>
  </si>
  <si>
    <t>MRNTX029339</t>
  </si>
  <si>
    <t>MRSTX035667</t>
  </si>
  <si>
    <t>MRSTX036007</t>
  </si>
  <si>
    <t>MRWSH021034</t>
  </si>
  <si>
    <t>MRNTX033884</t>
  </si>
  <si>
    <t>MRSTX036090</t>
  </si>
  <si>
    <t>MRSTX033872</t>
  </si>
  <si>
    <t>MRWSH020649</t>
  </si>
  <si>
    <t>MRNTX036370</t>
  </si>
  <si>
    <t>MRWSH020275</t>
  </si>
  <si>
    <t>MRSTX035704</t>
  </si>
  <si>
    <t>MRNTX031320</t>
  </si>
  <si>
    <t>MRSTX032277</t>
  </si>
  <si>
    <t>MRNTX036846</t>
  </si>
  <si>
    <t>MRWSH019939</t>
  </si>
  <si>
    <t>MRWSH020950</t>
  </si>
  <si>
    <t>MRNTX030274</t>
  </si>
  <si>
    <t>MRSTX033773</t>
  </si>
  <si>
    <t>MRNTX032537</t>
  </si>
  <si>
    <t>MRNTX032953</t>
  </si>
  <si>
    <t>MRWSH020179</t>
  </si>
  <si>
    <t>MRNTX032264</t>
  </si>
  <si>
    <t>MRNTX032350</t>
  </si>
  <si>
    <t>MRWSH020219</t>
  </si>
  <si>
    <t>MRNTX031379</t>
  </si>
  <si>
    <t>MRSTX031593</t>
  </si>
  <si>
    <t>MRNTX032549</t>
  </si>
  <si>
    <t>MRNTX032690</t>
  </si>
  <si>
    <t>MRWSH019956</t>
  </si>
  <si>
    <t>MRNTX031357</t>
  </si>
  <si>
    <t>MRWSH020613</t>
  </si>
  <si>
    <t>MRWSH022024</t>
  </si>
  <si>
    <t>MRNTX032382</t>
  </si>
  <si>
    <t>MRWSH024548</t>
  </si>
  <si>
    <t>MRSTX036262</t>
  </si>
  <si>
    <t>MRNTX032995</t>
  </si>
  <si>
    <t>MRNTX030950</t>
  </si>
  <si>
    <t>MRWSH022701</t>
  </si>
  <si>
    <t>MRSTX035546</t>
  </si>
  <si>
    <t>MRSTX033931</t>
  </si>
  <si>
    <t>MRNTX036542</t>
  </si>
  <si>
    <t>MRNTX032506</t>
  </si>
  <si>
    <t>MRWSH021968</t>
  </si>
  <si>
    <t>MRWSH015428</t>
  </si>
  <si>
    <t>MRWSH024741</t>
  </si>
  <si>
    <t>MRWSH024943</t>
  </si>
  <si>
    <t>MRSTX031725</t>
  </si>
  <si>
    <t>MRWSH024668</t>
  </si>
  <si>
    <t>MRSTX036281</t>
  </si>
  <si>
    <t>MRWSH022555</t>
  </si>
  <si>
    <t>MRNTX032261</t>
  </si>
  <si>
    <t>MRNTX031301</t>
  </si>
  <si>
    <t>MRNTX030292</t>
  </si>
  <si>
    <t>MRWSH022223</t>
  </si>
  <si>
    <t>MRNTX031409</t>
  </si>
  <si>
    <t>MRNTX030424</t>
  </si>
  <si>
    <t>MRWSH024784</t>
  </si>
  <si>
    <t>MRNTX032982</t>
  </si>
  <si>
    <t>MRNTX033421</t>
  </si>
  <si>
    <t>MRWSH022785</t>
  </si>
  <si>
    <t>MRWSH022553</t>
  </si>
  <si>
    <t>MRWSH020992</t>
  </si>
  <si>
    <t>MRNTX031378</t>
  </si>
  <si>
    <t>MRWSH020130</t>
  </si>
  <si>
    <t>MRSTX032603</t>
  </si>
  <si>
    <t>MRWSH020899</t>
  </si>
  <si>
    <t>MRNTX030786</t>
  </si>
  <si>
    <t>MRWSH025212</t>
  </si>
  <si>
    <t>MRWSH022506</t>
  </si>
  <si>
    <t>MRSTX036124</t>
  </si>
  <si>
    <t>MRNTX036154</t>
  </si>
  <si>
    <t>MRNTX031973</t>
  </si>
  <si>
    <t>MRSTX031631</t>
  </si>
  <si>
    <t>MRWSH024609</t>
  </si>
  <si>
    <t>MRNTX032503</t>
  </si>
  <si>
    <t>MRWSH024983</t>
  </si>
  <si>
    <t>MRNTX029600</t>
  </si>
  <si>
    <t>MRNTX036618</t>
  </si>
  <si>
    <t>MRWSH022879</t>
  </si>
  <si>
    <t>MRNTX032050</t>
  </si>
  <si>
    <t>MRSTX033659</t>
  </si>
  <si>
    <t>MRNTX036201</t>
  </si>
  <si>
    <t>MRWSH024976</t>
  </si>
  <si>
    <t>MRNTX029672</t>
  </si>
  <si>
    <t>MRNTX029444</t>
  </si>
  <si>
    <t>MRSTX031110</t>
  </si>
  <si>
    <t>MRWSH024995</t>
  </si>
  <si>
    <t>MRWSH020824</t>
  </si>
  <si>
    <t>MRWSH017714</t>
  </si>
  <si>
    <t>MRNTX033631</t>
  </si>
  <si>
    <t>MRWSH022135</t>
  </si>
  <si>
    <t>MRNTX036854</t>
  </si>
  <si>
    <t>MRSTX031925</t>
  </si>
  <si>
    <t>MRSTX027791</t>
  </si>
  <si>
    <t>MRSTX030946</t>
  </si>
  <si>
    <t>MRWSH024536</t>
  </si>
  <si>
    <t>MRNTX032238</t>
  </si>
  <si>
    <t>MRNTX031135</t>
  </si>
  <si>
    <t>MRSTX033224</t>
  </si>
  <si>
    <t>MRSTX035739</t>
  </si>
  <si>
    <t>MRWSH020547</t>
  </si>
  <si>
    <t>MRNTX031166</t>
  </si>
  <si>
    <t>MRSTX036416</t>
  </si>
  <si>
    <t>MRNTX032904</t>
  </si>
  <si>
    <t>MRWSH020043</t>
  </si>
  <si>
    <t>MRWSH024684</t>
  </si>
  <si>
    <t>MRNTX031829</t>
  </si>
  <si>
    <t>MRNTX033161</t>
  </si>
  <si>
    <t>MRNTX033292</t>
  </si>
  <si>
    <t>MRWSH022892</t>
  </si>
  <si>
    <t>MRWSH022346</t>
  </si>
  <si>
    <t>MRWSH022105</t>
  </si>
  <si>
    <t>MRWSH024954</t>
  </si>
  <si>
    <t>MRSTX036098</t>
  </si>
  <si>
    <t>MRNTX030467</t>
  </si>
  <si>
    <t>MRWSH020357</t>
  </si>
  <si>
    <t>MRNTX033402</t>
  </si>
  <si>
    <t>MRSTX031591</t>
  </si>
  <si>
    <t>MRNTX036574</t>
  </si>
  <si>
    <t>MRNTX033924</t>
  </si>
  <si>
    <t>MRNTX031202</t>
  </si>
  <si>
    <t>MRSTX031858</t>
  </si>
  <si>
    <t>MRNTX029230</t>
  </si>
  <si>
    <t>MRWSH020223</t>
  </si>
  <si>
    <t>MRSTX031136</t>
  </si>
  <si>
    <t>MRWSH024663</t>
  </si>
  <si>
    <t>MRSTX032460</t>
  </si>
  <si>
    <t>MRSTX033150</t>
  </si>
  <si>
    <t>MRSTX030886</t>
  </si>
  <si>
    <t>MRWSH022523</t>
  </si>
  <si>
    <t>MRWSH024492</t>
  </si>
  <si>
    <t>MRNTX031739</t>
  </si>
  <si>
    <t>MRSTX031626</t>
  </si>
  <si>
    <t>MRSTX034358</t>
  </si>
  <si>
    <t>MRWSH024962</t>
  </si>
  <si>
    <t>MRNTX033219</t>
  </si>
  <si>
    <t>MRWSH024513</t>
  </si>
  <si>
    <t>MRWSH022164</t>
  </si>
  <si>
    <t>MRNTX032041</t>
  </si>
  <si>
    <t>MRSTX033507</t>
  </si>
  <si>
    <t>MRNTX036230</t>
  </si>
  <si>
    <t>MRWSH020478</t>
  </si>
  <si>
    <t>MRNTX031807</t>
  </si>
  <si>
    <t>MRWSH020603</t>
  </si>
  <si>
    <t>MRSTX032429</t>
  </si>
  <si>
    <t>MRSTX036334</t>
  </si>
  <si>
    <t>MRWSH015669</t>
  </si>
  <si>
    <t>MRSTX035619</t>
  </si>
  <si>
    <t>MRSTX036653</t>
  </si>
  <si>
    <t>MRWSH020703</t>
  </si>
  <si>
    <t>MRNTX037289</t>
  </si>
  <si>
    <t>MRNTX032181</t>
  </si>
  <si>
    <t>MRSTX035649</t>
  </si>
  <si>
    <t>MRWSH022260</t>
  </si>
  <si>
    <t>MRNTX030673</t>
  </si>
  <si>
    <t>MRSTX035696</t>
  </si>
  <si>
    <t>MRSTX014434</t>
  </si>
  <si>
    <t>MRSTX032595</t>
  </si>
  <si>
    <t>MRNTX036852</t>
  </si>
  <si>
    <t>MRWSH019963</t>
  </si>
  <si>
    <t>MRSTX033157</t>
  </si>
  <si>
    <t>MRSTX036061</t>
  </si>
  <si>
    <t>MRWSH024884</t>
  </si>
  <si>
    <t>MRSTX015467</t>
  </si>
  <si>
    <t>MRNTX033519</t>
  </si>
  <si>
    <t>MRNTX033715</t>
  </si>
  <si>
    <t>MRWSH020677</t>
  </si>
  <si>
    <t>MRWSH024990</t>
  </si>
  <si>
    <t>MRNTX030925</t>
  </si>
  <si>
    <t>MRWSH024725</t>
  </si>
  <si>
    <t>MRSTX036004</t>
  </si>
  <si>
    <t>MRWSH025009</t>
  </si>
  <si>
    <t>MRNTX030389</t>
  </si>
  <si>
    <t>MRWSH020206</t>
  </si>
  <si>
    <t>MRSTX033818</t>
  </si>
  <si>
    <t>MRSTX034393</t>
  </si>
  <si>
    <t>MRNTX031294</t>
  </si>
  <si>
    <t>MRWSH022887</t>
  </si>
  <si>
    <t>MRNTX036424</t>
  </si>
  <si>
    <t>MRSTX034079</t>
  </si>
  <si>
    <t>MRWSH024929</t>
  </si>
  <si>
    <t>MRNTX030215</t>
  </si>
  <si>
    <t>MRNTX035990</t>
  </si>
  <si>
    <t>MRNTX029397</t>
  </si>
  <si>
    <t>MRWSH022507</t>
  </si>
  <si>
    <t>MRSTX034064</t>
  </si>
  <si>
    <t>MRNTX031005</t>
  </si>
  <si>
    <t>MRNTX033629</t>
  </si>
  <si>
    <t>MRSTX032906</t>
  </si>
  <si>
    <t>MRNTX033926</t>
  </si>
  <si>
    <t>MRNTX033885</t>
  </si>
  <si>
    <t>MRNTX033849</t>
  </si>
  <si>
    <t>MRWSH022183</t>
  </si>
  <si>
    <t>MRNTX033830</t>
  </si>
  <si>
    <t>MRWSH024589</t>
  </si>
  <si>
    <t>MRNTX036584</t>
  </si>
  <si>
    <t>MRNTX032391</t>
  </si>
  <si>
    <t>MRNTX036053</t>
  </si>
  <si>
    <t>MRNTX029235</t>
  </si>
  <si>
    <t>MRSTX035868</t>
  </si>
  <si>
    <t>MRNTX032942</t>
  </si>
  <si>
    <t>MRSTX035614</t>
  </si>
  <si>
    <t>MRSTX030892</t>
  </si>
  <si>
    <t>MRNTX030687</t>
  </si>
  <si>
    <t>MRSTX035665</t>
  </si>
  <si>
    <t>MRSTX034047</t>
  </si>
  <si>
    <t>MRWSH020589</t>
  </si>
  <si>
    <t>MRWSH024472</t>
  </si>
  <si>
    <t>MRSTX030889</t>
  </si>
  <si>
    <t>MRSTX019643</t>
  </si>
  <si>
    <t>MRSTX035598</t>
  </si>
  <si>
    <t>MRWSH024814</t>
  </si>
  <si>
    <t>MRSTX036306</t>
  </si>
  <si>
    <t>MRSTX036074</t>
  </si>
  <si>
    <t>MRNTX036529</t>
  </si>
  <si>
    <t>MRSTX036147</t>
  </si>
  <si>
    <t>MRNTX031899</t>
  </si>
  <si>
    <t>MRNTX033353</t>
  </si>
  <si>
    <t>MRSTX035700</t>
  </si>
  <si>
    <t>MRWSH020247</t>
  </si>
  <si>
    <t>MRANM006705</t>
  </si>
  <si>
    <t>MRSTX036264</t>
  </si>
  <si>
    <t>MRWSH022694</t>
  </si>
  <si>
    <t>MRWSH022122</t>
  </si>
  <si>
    <t>MRNTX031745</t>
  </si>
  <si>
    <t>MRANM020125</t>
  </si>
  <si>
    <t>MRNTX032032</t>
  </si>
  <si>
    <t>MRWSH022687</t>
  </si>
  <si>
    <t>MRNTX033181</t>
  </si>
  <si>
    <t>MRNTX033765</t>
  </si>
  <si>
    <t>MRNTX032243</t>
  </si>
  <si>
    <t>MRWSH021924</t>
  </si>
  <si>
    <t>MRNTX032344</t>
  </si>
  <si>
    <t>MRNTX029610</t>
  </si>
  <si>
    <t>MRNTX032486</t>
  </si>
  <si>
    <t>MRNTX029512</t>
  </si>
  <si>
    <t>MRSTX035756</t>
  </si>
  <si>
    <t>MRSTX031111</t>
  </si>
  <si>
    <t>MRSTX033878</t>
  </si>
  <si>
    <t>MRWSH015836</t>
  </si>
  <si>
    <t>MRSTX031114</t>
  </si>
  <si>
    <t>MRNTX032292</t>
  </si>
  <si>
    <t>MRWSH020683</t>
  </si>
  <si>
    <t>MRNTX030945</t>
  </si>
  <si>
    <t>MRSTX033519</t>
  </si>
  <si>
    <t>MRSTX034343</t>
  </si>
  <si>
    <t>MRNTX032957</t>
  </si>
  <si>
    <t>MRSTX034018</t>
  </si>
  <si>
    <t>MRWSH021065</t>
  </si>
  <si>
    <t>MRSTX032749</t>
  </si>
  <si>
    <t>MRWSH024953</t>
  </si>
  <si>
    <t>MRNTX031392</t>
  </si>
  <si>
    <t>MRNTX033777</t>
  </si>
  <si>
    <t>MRWSH022328</t>
  </si>
  <si>
    <t>MRSTX015771</t>
  </si>
  <si>
    <t>MRWSH022071</t>
  </si>
  <si>
    <t>MRNTX033197</t>
  </si>
  <si>
    <t>MRNTX031329</t>
  </si>
  <si>
    <t>MRWSH024946</t>
  </si>
  <si>
    <t>MRSTX033859</t>
  </si>
  <si>
    <t>MRNTX031609</t>
  </si>
  <si>
    <t>MRNTX031256</t>
  </si>
  <si>
    <t>MRSTX033513</t>
  </si>
  <si>
    <t>MRWSH020039</t>
  </si>
  <si>
    <t>MRSTX034223</t>
  </si>
  <si>
    <t>MRWSH025004</t>
  </si>
  <si>
    <t>MRWSH024926</t>
  </si>
  <si>
    <t>MRWSH020227</t>
  </si>
  <si>
    <t>MRWSH025005</t>
  </si>
  <si>
    <t>MRSTX034291</t>
  </si>
  <si>
    <t>MRNTX024692</t>
  </si>
  <si>
    <t>MRSTX034505</t>
  </si>
  <si>
    <t>MRWSH024935</t>
  </si>
  <si>
    <t>MRNTX031032</t>
  </si>
  <si>
    <t>MRNTX033873</t>
  </si>
  <si>
    <t>MRWSH022973</t>
  </si>
  <si>
    <t>MRNTX036619</t>
  </si>
  <si>
    <t>MRWSH022337</t>
  </si>
  <si>
    <t>MRWSH022693</t>
  </si>
  <si>
    <t>MRNTX036707</t>
  </si>
  <si>
    <t>MRNTX030894</t>
  </si>
  <si>
    <t>MRSTX036461</t>
  </si>
  <si>
    <t>MRNTX033902</t>
  </si>
  <si>
    <t>MRSTX034081</t>
  </si>
  <si>
    <t>MRNTX031420</t>
  </si>
  <si>
    <t>MRNTX033860</t>
  </si>
  <si>
    <t>MRWSH022602</t>
  </si>
  <si>
    <t>MRNTX032022</t>
  </si>
  <si>
    <t>MRNTX030280</t>
  </si>
  <si>
    <t>MRNTX036421</t>
  </si>
  <si>
    <t>MRNTX036178</t>
  </si>
  <si>
    <t>MRNTX030335</t>
  </si>
  <si>
    <t>MRSTX032427</t>
  </si>
  <si>
    <t>MRNTX036839</t>
  </si>
  <si>
    <t>MRNTX036181</t>
  </si>
  <si>
    <t>MRNTX030908</t>
  </si>
  <si>
    <t>MRSTX036013</t>
  </si>
  <si>
    <t>MRNTX036694</t>
  </si>
  <si>
    <t>MRNTX031370</t>
  </si>
  <si>
    <t>MRWSH020417</t>
  </si>
  <si>
    <t>MRSTX035583</t>
  </si>
  <si>
    <t>MRANM006454</t>
  </si>
  <si>
    <t>MRWSH025521</t>
  </si>
  <si>
    <t>MRWSH020211</t>
  </si>
  <si>
    <t>MRNTX033834</t>
  </si>
  <si>
    <t>MRSTX035852</t>
  </si>
  <si>
    <t>MRNTX030329</t>
  </si>
  <si>
    <t>MRWSH024772</t>
  </si>
  <si>
    <t>MRSTX035721</t>
  </si>
  <si>
    <t>MRNTX031499</t>
  </si>
  <si>
    <t>MRNTX032120</t>
  </si>
  <si>
    <t>MRWSH022310</t>
  </si>
  <si>
    <t>MRNTX037264</t>
  </si>
  <si>
    <t>MRWSH022502</t>
  </si>
  <si>
    <t>MRSTX033230</t>
  </si>
  <si>
    <t>MRNTX033156</t>
  </si>
  <si>
    <t>MRWSH020069</t>
  </si>
  <si>
    <t>MRSTX035837</t>
  </si>
  <si>
    <t>MRWSH022685</t>
  </si>
  <si>
    <t>MRWSH022516</t>
  </si>
  <si>
    <t>MRWSH024573</t>
  </si>
  <si>
    <t>MRNTX032293</t>
  </si>
  <si>
    <t>MRNTX029456</t>
  </si>
  <si>
    <t>MRNTX031261</t>
  </si>
  <si>
    <t>MRSTX036080</t>
  </si>
  <si>
    <t>MRWSH020430</t>
  </si>
  <si>
    <t>MRNTX033906</t>
  </si>
  <si>
    <t>MRWSH020009</t>
  </si>
  <si>
    <t>MRANM020162</t>
  </si>
  <si>
    <t>MRNTX033515</t>
  </si>
  <si>
    <t>MRANM020456</t>
  </si>
  <si>
    <t>MRNTX033067</t>
  </si>
  <si>
    <t>MRNTX036825</t>
  </si>
  <si>
    <t>MRWSH020078</t>
  </si>
  <si>
    <t>MRNTX029189</t>
  </si>
  <si>
    <t>MRWSH020133</t>
  </si>
  <si>
    <t>MRNTX031255</t>
  </si>
  <si>
    <t>MRWSH023052</t>
  </si>
  <si>
    <t>MRANM020363</t>
  </si>
  <si>
    <t>MRANM020504</t>
  </si>
  <si>
    <t>MRNTX033482</t>
  </si>
  <si>
    <t>MRSTX034300</t>
  </si>
  <si>
    <t>MRSTX033533</t>
  </si>
  <si>
    <t>MRNTX033416</t>
  </si>
  <si>
    <t>MRNTX036007</t>
  </si>
  <si>
    <t>MRWSH022860</t>
  </si>
  <si>
    <t>MRNTX033524</t>
  </si>
  <si>
    <t>MRNTX036788</t>
  </si>
  <si>
    <t>MRNTX032100</t>
  </si>
  <si>
    <t>MRNTX029326</t>
  </si>
  <si>
    <t>MRNTX030501</t>
  </si>
  <si>
    <t>MRNTX032956</t>
  </si>
  <si>
    <t>MRNTX033409</t>
  </si>
  <si>
    <t>MRWSH020943</t>
  </si>
  <si>
    <t>MRNTX031643</t>
  </si>
  <si>
    <t>MRWSH020214</t>
  </si>
  <si>
    <t>MRNTX033638</t>
  </si>
  <si>
    <t>MRSTX036106</t>
  </si>
  <si>
    <t>MRNTX032110</t>
  </si>
  <si>
    <t>MRNTX029253</t>
  </si>
  <si>
    <t>MRWSH020018</t>
  </si>
  <si>
    <t>MRWSH022101</t>
  </si>
  <si>
    <t>MRSTX030924</t>
  </si>
  <si>
    <t>MRNTX036668</t>
  </si>
  <si>
    <t>MRANM020548</t>
  </si>
  <si>
    <t>MRNTX033728</t>
  </si>
  <si>
    <t>MRNTX036651</t>
  </si>
  <si>
    <t>MRNTX031682</t>
  </si>
  <si>
    <t>MRNTX031205</t>
  </si>
  <si>
    <t>MRNTX036521</t>
  </si>
  <si>
    <t>MRNTX033244</t>
  </si>
  <si>
    <t>MRNTX030869</t>
  </si>
  <si>
    <t>MRNTX036202</t>
  </si>
  <si>
    <t>MRNTX033911</t>
  </si>
  <si>
    <t>MRNTX033213</t>
  </si>
  <si>
    <t>MRSTX033969</t>
  </si>
  <si>
    <t>MRNTX036214</t>
  </si>
  <si>
    <t>MRSTX034273</t>
  </si>
  <si>
    <t>MRNTX029592</t>
  </si>
  <si>
    <t>MRNTX036643</t>
  </si>
  <si>
    <t>MRNTX030948</t>
  </si>
  <si>
    <t>MRNTX033391</t>
  </si>
  <si>
    <t>MRNTX033484</t>
  </si>
  <si>
    <t>MRNTX036539</t>
  </si>
  <si>
    <t>MRANM014310</t>
  </si>
  <si>
    <t>MRNTX033105</t>
  </si>
  <si>
    <t>MRSTX036316</t>
  </si>
  <si>
    <t>MRNTX036104</t>
  </si>
  <si>
    <t>MRWSH020055</t>
  </si>
  <si>
    <t>MRANM014675</t>
  </si>
  <si>
    <t>MRNTX033881</t>
  </si>
  <si>
    <t>MRWSH020999</t>
  </si>
  <si>
    <t>MRNTX033641</t>
  </si>
  <si>
    <t>MRANM020141</t>
  </si>
  <si>
    <t>MRNTX029651</t>
  </si>
  <si>
    <t>MRNTX036532</t>
  </si>
  <si>
    <t>MRWSH022567</t>
  </si>
  <si>
    <t>MRNTX036717</t>
  </si>
  <si>
    <t>MRNTX035481</t>
  </si>
  <si>
    <t>MRWSH019959</t>
  </si>
  <si>
    <t>MRSTX034091</t>
  </si>
  <si>
    <t>MRWSH021961</t>
  </si>
  <si>
    <t>MRNTX036648</t>
  </si>
  <si>
    <t>MRWSH022009</t>
  </si>
  <si>
    <t>MRNTX036808</t>
  </si>
  <si>
    <t>MRSTX033913</t>
  </si>
  <si>
    <t>MRWSH023155</t>
  </si>
  <si>
    <t>MRNTX033031</t>
  </si>
  <si>
    <t>MRNTX036803</t>
  </si>
  <si>
    <t>MRWSH020643</t>
  </si>
  <si>
    <t>MRWSH024696</t>
  </si>
  <si>
    <t>MRNTX036603</t>
  </si>
  <si>
    <t>MRNTX036177</t>
  </si>
  <si>
    <t>MRNTX036256</t>
  </si>
  <si>
    <t>MRSTX033439</t>
  </si>
  <si>
    <t>MRNTX033599</t>
  </si>
  <si>
    <t>MRNTX029205</t>
  </si>
  <si>
    <t>MRNTX036747</t>
  </si>
  <si>
    <t>MRSTX033899</t>
  </si>
  <si>
    <t>MRWSH020449</t>
  </si>
  <si>
    <t>MRSTX033855</t>
  </si>
  <si>
    <t>MRWSH021066</t>
  </si>
  <si>
    <t>MRNTX033775</t>
  </si>
  <si>
    <t>MRNTX036196</t>
  </si>
  <si>
    <t>MRNTX031230</t>
  </si>
  <si>
    <t>MRNTX036173</t>
  </si>
  <si>
    <t>MRNTX037207</t>
  </si>
  <si>
    <t>MRNTX032019</t>
  </si>
  <si>
    <t>MRNTX029356</t>
  </si>
  <si>
    <t>MRNTX031382</t>
  </si>
  <si>
    <t>MRNTX031347</t>
  </si>
  <si>
    <t>MRNTX030924</t>
  </si>
  <si>
    <t>MRNTX036575</t>
  </si>
  <si>
    <t>MRWSH022490</t>
  </si>
  <si>
    <t>MRNTX037328</t>
  </si>
  <si>
    <t>MRNTX036737</t>
  </si>
  <si>
    <t>MRNTX031467</t>
  </si>
  <si>
    <t>MRNTX033256</t>
  </si>
  <si>
    <t>MRNTX032843</t>
  </si>
  <si>
    <t>MRSTX036582</t>
  </si>
  <si>
    <t>MRWSH022851</t>
  </si>
  <si>
    <t>MRANM020349</t>
  </si>
  <si>
    <t>MRNTX033314</t>
  </si>
  <si>
    <t>MRNTX036526</t>
  </si>
  <si>
    <t>MRNTX033914</t>
  </si>
  <si>
    <t>MRNTX032969</t>
  </si>
  <si>
    <t>MRNTX036530</t>
  </si>
  <si>
    <t>MRWSH020196</t>
  </si>
  <si>
    <t>MRWSH021025</t>
  </si>
  <si>
    <t>MRNTX033058</t>
  </si>
  <si>
    <t>MRSTX035968</t>
  </si>
  <si>
    <t>MRNTX029446</t>
  </si>
  <si>
    <t>MRWSH020205</t>
  </si>
  <si>
    <t>MRNTX032972</t>
  </si>
  <si>
    <t>MRNTX032925</t>
  </si>
  <si>
    <t>MRWSH022004</t>
  </si>
  <si>
    <t>MRWSH020154</t>
  </si>
  <si>
    <t>MRNTX033066</t>
  </si>
  <si>
    <t>MRNTX031601</t>
  </si>
  <si>
    <t>MRNTX036659</t>
  </si>
  <si>
    <t>MRNTX032415</t>
  </si>
  <si>
    <t>MRSTX035507</t>
  </si>
  <si>
    <t>MRSTX033883</t>
  </si>
  <si>
    <t>MRSTX033793</t>
  </si>
  <si>
    <t>MRNTX030592</t>
  </si>
  <si>
    <t>MRWSH020046</t>
  </si>
  <si>
    <t>MRSTX035855</t>
  </si>
  <si>
    <t>MRSTX034451</t>
  </si>
  <si>
    <t>MRNTX030838</t>
  </si>
  <si>
    <t>MRSTX035743</t>
  </si>
  <si>
    <t>MRNTX029285</t>
  </si>
  <si>
    <t>MRSTX032691</t>
  </si>
  <si>
    <t>MRNTX032536</t>
  </si>
  <si>
    <t>MRNTX032405</t>
  </si>
  <si>
    <t>MRSTX032752</t>
  </si>
  <si>
    <t>MRNTX030694</t>
  </si>
  <si>
    <t>MRSTX036541</t>
  </si>
  <si>
    <t>MRSTX031480</t>
  </si>
  <si>
    <t>MRNTX036633</t>
  </si>
  <si>
    <t>MRSTX036382</t>
  </si>
  <si>
    <t>MRSTX036224</t>
  </si>
  <si>
    <t>MRNTX032935</t>
  </si>
  <si>
    <t>MRNTX030868</t>
  </si>
  <si>
    <t>MRSTX034382</t>
  </si>
  <si>
    <t>MRSTX033827</t>
  </si>
  <si>
    <t>MRNTX029378</t>
  </si>
  <si>
    <t>MRSTX036408</t>
  </si>
  <si>
    <t>MRSTX036364</t>
  </si>
  <si>
    <t>MRSTX036643</t>
  </si>
  <si>
    <t>MRNTX031142</t>
  </si>
  <si>
    <t>MRSTX034173</t>
  </si>
  <si>
    <t>MRSTX034465</t>
  </si>
  <si>
    <t>MRSTX035707</t>
  </si>
  <si>
    <t>MRSTX033989</t>
  </si>
  <si>
    <t>MRSTX033005</t>
  </si>
  <si>
    <t>MRSTX033411</t>
  </si>
  <si>
    <t>MRNTX033424</t>
  </si>
  <si>
    <t>MRNTX036666</t>
  </si>
  <si>
    <t>MRNTX032108</t>
  </si>
  <si>
    <t>MRSTX035558</t>
  </si>
  <si>
    <t>MRNTX029412</t>
  </si>
  <si>
    <t>MRNTX033400</t>
  </si>
  <si>
    <t>MRNTX029595</t>
  </si>
  <si>
    <t>MRSTX032838</t>
  </si>
  <si>
    <t>MRNTX030434</t>
  </si>
  <si>
    <t>MRNTX036493</t>
  </si>
  <si>
    <t>MRSTX031571</t>
  </si>
  <si>
    <t>MRSTX034036</t>
  </si>
  <si>
    <t>MRNTX029232</t>
  </si>
  <si>
    <t>MRNTX030484</t>
  </si>
  <si>
    <t>MRNTX029481</t>
  </si>
  <si>
    <t>MRSTX035564</t>
  </si>
  <si>
    <t>MRNTX033065</t>
  </si>
  <si>
    <t>MRSTX036402</t>
  </si>
  <si>
    <t>MRNTX033842</t>
  </si>
  <si>
    <t>MRSTX036156</t>
  </si>
  <si>
    <t>MRNTX036751</t>
  </si>
  <si>
    <t>MRSTX036000</t>
  </si>
  <si>
    <t>MRSTX033970</t>
  </si>
  <si>
    <t>MRSTX035836</t>
  </si>
  <si>
    <t>MRNTX029539</t>
  </si>
  <si>
    <t>MRSTX036548</t>
  </si>
  <si>
    <t>MRSTX035945</t>
  </si>
  <si>
    <t>MRNTX032481</t>
  </si>
  <si>
    <t>MRNTX030893</t>
  </si>
  <si>
    <t>MRSTX034112</t>
  </si>
  <si>
    <t>MRNTX032048</t>
  </si>
  <si>
    <t>MRSTX034083</t>
  </si>
  <si>
    <t>MRNTX029458</t>
  </si>
  <si>
    <t>MRSTX034085</t>
  </si>
  <si>
    <t>MRSTX035793</t>
  </si>
  <si>
    <t>MRSTX036116</t>
  </si>
  <si>
    <t>MRSTX031479</t>
  </si>
  <si>
    <t>MRNTX036559</t>
  </si>
  <si>
    <t>MRNTX030366</t>
  </si>
  <si>
    <t>MRNTX032368</t>
  </si>
  <si>
    <t>MRNTX033549</t>
  </si>
  <si>
    <t>MRNTX029348</t>
  </si>
  <si>
    <t>MRSTX033634</t>
  </si>
  <si>
    <t>MRSTX033534</t>
  </si>
  <si>
    <t>MRNTX029236</t>
  </si>
  <si>
    <t>MRSTX033813</t>
  </si>
  <si>
    <t>MRNTX033136</t>
  </si>
  <si>
    <t>MRSTX030901</t>
  </si>
  <si>
    <t>MRSTX034526</t>
  </si>
  <si>
    <t>MRNTX033333</t>
  </si>
  <si>
    <t>MRNTX031886</t>
  </si>
  <si>
    <t>MRSTX034264</t>
  </si>
  <si>
    <t>MRSTX033165</t>
  </si>
  <si>
    <t>MRNTX031998</t>
  </si>
  <si>
    <t>MRNTX032553</t>
  </si>
  <si>
    <t>MRNTX036670</t>
  </si>
  <si>
    <t>MRNTX031642</t>
  </si>
  <si>
    <t>MRNTX032027</t>
  </si>
  <si>
    <t>MRNTX033070</t>
  </si>
  <si>
    <t>MRNTX031425</t>
  </si>
  <si>
    <t>MRNTX031781</t>
  </si>
  <si>
    <t>MRNTX036464</t>
  </si>
  <si>
    <t>MRSTX036227</t>
  </si>
  <si>
    <t>MRNTX036938</t>
  </si>
  <si>
    <t>MRNTX036760</t>
  </si>
  <si>
    <t>MRNTX030245</t>
  </si>
  <si>
    <t>MRNTX036185</t>
  </si>
  <si>
    <t>MRSTX033705</t>
  </si>
  <si>
    <t>MRNTX031984</t>
  </si>
  <si>
    <t>MRSTX034494</t>
  </si>
  <si>
    <t>MRNTX029518</t>
  </si>
  <si>
    <t>MRSTX036242</t>
  </si>
  <si>
    <t>MRNTX032846</t>
  </si>
  <si>
    <t>MRSTX033505</t>
  </si>
  <si>
    <t>MRSTX031122</t>
  </si>
  <si>
    <t>MRNTX033394</t>
  </si>
  <si>
    <t>MRSTX032893</t>
  </si>
  <si>
    <t>MRNTX031979</t>
  </si>
  <si>
    <t>MRNTX029673</t>
  </si>
  <si>
    <t>MRNTX033139</t>
  </si>
  <si>
    <t>MRNTX032919</t>
  </si>
  <si>
    <t>MRNTX036463</t>
  </si>
  <si>
    <t>MRSTX035657</t>
  </si>
  <si>
    <t>MRSTX035567</t>
  </si>
  <si>
    <t>MRNTX031006</t>
  </si>
  <si>
    <t>MRNTX032585</t>
  </si>
  <si>
    <t>MRNTX030926</t>
  </si>
  <si>
    <t>MRNTX033346</t>
  </si>
  <si>
    <t>MRNTX033241</t>
  </si>
  <si>
    <t>MRSTX036187</t>
  </si>
  <si>
    <t>MRSTX036551</t>
  </si>
  <si>
    <t>MRSTX036223</t>
  </si>
  <si>
    <t>MRSTX036247</t>
  </si>
  <si>
    <t>MRSTX036113</t>
  </si>
  <si>
    <t>MRNTX033537</t>
  </si>
  <si>
    <t>MRSTX036555</t>
  </si>
  <si>
    <t>MRSTX031635</t>
  </si>
  <si>
    <t>MRNTX029725</t>
  </si>
  <si>
    <t>MRNTX029200</t>
  </si>
  <si>
    <t>MRNTX029536</t>
  </si>
  <si>
    <t>MRNTX033720</t>
  </si>
  <si>
    <t>MRNTX032416</t>
  </si>
  <si>
    <t>MRSTX034022</t>
  </si>
  <si>
    <t>MRNTX033805</t>
  </si>
  <si>
    <t>MRSTX034078</t>
  </si>
  <si>
    <t>MRNTX031777</t>
  </si>
  <si>
    <t>MRNTX029708</t>
  </si>
  <si>
    <t>MRNTX029344</t>
  </si>
  <si>
    <t>MRSTX036005</t>
  </si>
  <si>
    <t>MRNTX031215</t>
  </si>
  <si>
    <t>MRNTX030686</t>
  </si>
  <si>
    <t>MRSTX034621</t>
  </si>
  <si>
    <t>MRSTX035826</t>
  </si>
  <si>
    <t>MRNTX032374</t>
  </si>
  <si>
    <t>MRNTX030875</t>
  </si>
  <si>
    <t>MRSTX034472</t>
  </si>
  <si>
    <t>MRNTX029598</t>
  </si>
  <si>
    <t>MRNTX036357</t>
  </si>
  <si>
    <t>MRSTX034452</t>
  </si>
  <si>
    <t>MRNTX032144</t>
  </si>
  <si>
    <t>MRSTX036391</t>
  </si>
  <si>
    <t>MRNTX036512</t>
  </si>
  <si>
    <t>MRSTX032420</t>
  </si>
  <si>
    <t>MRNTX031530</t>
  </si>
  <si>
    <t>MRNTX036674</t>
  </si>
  <si>
    <t>MRSTX036294</t>
  </si>
  <si>
    <t>MRSTX033525</t>
  </si>
  <si>
    <t>MRSTX033861</t>
  </si>
  <si>
    <t>MRSTX034603</t>
  </si>
  <si>
    <t>MRSTX032649</t>
  </si>
  <si>
    <t>MRSTX036448</t>
  </si>
  <si>
    <t>MRSTX031481</t>
  </si>
  <si>
    <t>MRSTX036084</t>
  </si>
  <si>
    <t>MRSTX036052</t>
  </si>
  <si>
    <t>MRSTX036049</t>
  </si>
  <si>
    <t>MRNTX036503</t>
  </si>
  <si>
    <t>MRNTX033789</t>
  </si>
  <si>
    <t>MRNTX033757</t>
  </si>
  <si>
    <t>MRSTX033621</t>
  </si>
  <si>
    <t>MRNTX033407</t>
  </si>
  <si>
    <t>MRNTX029411</t>
  </si>
  <si>
    <t>MRNTX033302</t>
  </si>
  <si>
    <t>MRNTX031860</t>
  </si>
  <si>
    <t>MRSTX034268</t>
  </si>
  <si>
    <t>MRNTX030830</t>
  </si>
  <si>
    <t>MRSTX034292</t>
  </si>
  <si>
    <t>MRNTX029515</t>
  </si>
  <si>
    <t>MRSTX036002</t>
  </si>
  <si>
    <t>MRNTX032307</t>
  </si>
  <si>
    <t>MRNTX029179</t>
  </si>
  <si>
    <t>MRNTX029294</t>
  </si>
  <si>
    <t>MRNTX029726</t>
  </si>
  <si>
    <t>MRNTX031755</t>
  </si>
  <si>
    <t>MRSTX035633</t>
  </si>
  <si>
    <t>MRNTX032542</t>
  </si>
  <si>
    <t>MRNTX033464</t>
  </si>
  <si>
    <t>MRNTX029379</t>
  </si>
  <si>
    <t>MRWSH019958</t>
  </si>
  <si>
    <t>MRNTX029334</t>
  </si>
  <si>
    <t>MRNTX033587</t>
  </si>
  <si>
    <t>MRNTX032401</t>
  </si>
  <si>
    <t>MRSTX036077</t>
  </si>
  <si>
    <t>MRNTX030625</t>
  </si>
  <si>
    <t>MRNTX033247</t>
  </si>
  <si>
    <t>MRWSH022941</t>
  </si>
  <si>
    <t>MRNTX033010</t>
  </si>
  <si>
    <t>MRNTX030672</t>
  </si>
  <si>
    <t>MRNTX032216</t>
  </si>
  <si>
    <t>MRNTX033783</t>
  </si>
  <si>
    <t>MRNTX032031</t>
  </si>
  <si>
    <t>MRNTX036228</t>
  </si>
  <si>
    <t>MRSTX034045</t>
  </si>
  <si>
    <t>MRNTX032730</t>
  </si>
  <si>
    <t>MRSTX035929</t>
  </si>
  <si>
    <t>MRSTX036157</t>
  </si>
  <si>
    <t>MRNTX031543</t>
  </si>
  <si>
    <t>MRSTX036132</t>
  </si>
  <si>
    <t>MRSTX034161</t>
  </si>
  <si>
    <t>MRSTX030965</t>
  </si>
  <si>
    <t>MRSTX034119</t>
  </si>
  <si>
    <t>MRSTX033942</t>
  </si>
  <si>
    <t>MRNTX029187</t>
  </si>
  <si>
    <t>MRSTX035737</t>
  </si>
  <si>
    <t>MRNTX033722</t>
  </si>
  <si>
    <t>MRSTX035867</t>
  </si>
  <si>
    <t>MRSTX035778</t>
  </si>
  <si>
    <t>MRNTX036568</t>
  </si>
  <si>
    <t>MRNTX031300</t>
  </si>
  <si>
    <t>MRNTX031694</t>
  </si>
  <si>
    <t>MRNTX032663</t>
  </si>
  <si>
    <t>MRSTX031930</t>
  </si>
  <si>
    <t>MRNTX036248</t>
  </si>
  <si>
    <t>MRSTX036118</t>
  </si>
  <si>
    <t>MRNTX036259</t>
  </si>
  <si>
    <t>MRSTX033290</t>
  </si>
  <si>
    <t>MRNTX030889</t>
  </si>
  <si>
    <t>MRSTX030945</t>
  </si>
  <si>
    <t>MRSTX032399</t>
  </si>
  <si>
    <t>MRSTX034399</t>
  </si>
  <si>
    <t>MRSTX033249</t>
  </si>
  <si>
    <t>MRSTX034201</t>
  </si>
  <si>
    <t>MRSTX034094</t>
  </si>
  <si>
    <t>MRNTX032363</t>
  </si>
  <si>
    <t>MRSTX036048</t>
  </si>
  <si>
    <t>MRSTX034262</t>
  </si>
  <si>
    <t>MRSTX036235</t>
  </si>
  <si>
    <t>MRNTX032955</t>
  </si>
  <si>
    <t>MRSTX031602</t>
  </si>
  <si>
    <t>MRSTX035749</t>
  </si>
  <si>
    <t>MRSTX036944</t>
  </si>
  <si>
    <t>MRNTX032962</t>
  </si>
  <si>
    <t>MRSTX033838</t>
  </si>
  <si>
    <t>MRSTX035562</t>
  </si>
  <si>
    <t>MRNTX036716</t>
  </si>
  <si>
    <t>MRNTX032938</t>
  </si>
  <si>
    <t>MRNTX031305</t>
  </si>
  <si>
    <t>MRSTX033994</t>
  </si>
  <si>
    <t>MRSTX031737</t>
  </si>
  <si>
    <t>MRSTX036023</t>
  </si>
  <si>
    <t>MRSTX035963</t>
  </si>
  <si>
    <t>MRSTX032720</t>
  </si>
  <si>
    <t>MRSTX035683</t>
  </si>
  <si>
    <t>MRNTX030328</t>
  </si>
  <si>
    <t>MRSTX031601</t>
  </si>
  <si>
    <t>MRNTX029328</t>
  </si>
  <si>
    <t>MRNTX036507</t>
  </si>
  <si>
    <t>MRSTX033664</t>
  </si>
  <si>
    <t>MRNTX030554</t>
  </si>
  <si>
    <t>MRNTX032872</t>
  </si>
  <si>
    <t>MRNTX032318</t>
  </si>
  <si>
    <t>MRNTX036135</t>
  </si>
  <si>
    <t>MRSTX036330</t>
  </si>
  <si>
    <t>MRNTX033604</t>
  </si>
  <si>
    <t>MRSTX032761</t>
  </si>
  <si>
    <t>MRSTX032124</t>
  </si>
  <si>
    <t>MRNTX033668</t>
  </si>
  <si>
    <t>MRSTX033303</t>
  </si>
  <si>
    <t>MRNTX030840</t>
  </si>
  <si>
    <t>MRSTX035874</t>
  </si>
  <si>
    <t>MRNTX035977</t>
  </si>
  <si>
    <t>MRSTX030887</t>
  </si>
  <si>
    <t>MRNTX031669</t>
  </si>
  <si>
    <t>MRNTX033323</t>
  </si>
  <si>
    <t>MRSTX036130</t>
  </si>
  <si>
    <t>MRNTX033173</t>
  </si>
  <si>
    <t>MRSTX033863</t>
  </si>
  <si>
    <t>MRSTX036565</t>
  </si>
  <si>
    <t>MRSTX032564</t>
  </si>
  <si>
    <t>MRNTX029349</t>
  </si>
  <si>
    <t>MRNTX032898</t>
  </si>
  <si>
    <t>MRNTX033091</t>
  </si>
  <si>
    <t>MRNTX033367</t>
  </si>
  <si>
    <t>MRSTX036100</t>
  </si>
  <si>
    <t>MRNTX036159</t>
  </si>
  <si>
    <t>MRSTX036573</t>
  </si>
  <si>
    <t>MRNTX031751</t>
  </si>
  <si>
    <t>MRNTX036862</t>
  </si>
  <si>
    <t>MRNTX031779</t>
  </si>
  <si>
    <t>MRNTX032136</t>
  </si>
  <si>
    <t>MRNTX033994</t>
  </si>
  <si>
    <t>MRSTX033984</t>
  </si>
  <si>
    <t>MRNTX033894</t>
  </si>
  <si>
    <t>MRNTX031096</t>
  </si>
  <si>
    <t>MRNTX032001</t>
  </si>
  <si>
    <t>MRSTX033738</t>
  </si>
  <si>
    <t>MRSTX022405</t>
  </si>
  <si>
    <t>MRSTX034518</t>
  </si>
  <si>
    <t>MRNTX032560</t>
  </si>
  <si>
    <t>MRNTX030557</t>
  </si>
  <si>
    <t>MRNTX032398</t>
  </si>
  <si>
    <t>MRNTX033858</t>
  </si>
  <si>
    <t>MRSTX031712</t>
  </si>
  <si>
    <t>MRNTX033763</t>
  </si>
  <si>
    <t>MRNTX033494</t>
  </si>
  <si>
    <t>MRNTX030561</t>
  </si>
  <si>
    <t>MRNTX032761</t>
  </si>
  <si>
    <t>MRNTX031889</t>
  </si>
  <si>
    <t>MRSTX036079</t>
  </si>
  <si>
    <t>MRNTX033799</t>
  </si>
  <si>
    <t>MRNTX029402</t>
  </si>
  <si>
    <t>MRNTX036435</t>
  </si>
  <si>
    <t>MRNTX033412</t>
  </si>
  <si>
    <t>MRNTX036777</t>
  </si>
  <si>
    <t>MRNTX031799</t>
  </si>
  <si>
    <t>MRNTX032213</t>
  </si>
  <si>
    <t>MRNTX033027</t>
  </si>
  <si>
    <t>MRNTX032483</t>
  </si>
  <si>
    <t>MRSTX033383</t>
  </si>
  <si>
    <t>MRNTX032425</t>
  </si>
  <si>
    <t>MRNTX031102</t>
  </si>
  <si>
    <t>MRNTX032576</t>
  </si>
  <si>
    <t>MRSTX030838</t>
  </si>
  <si>
    <t>MRNTX030816</t>
  </si>
  <si>
    <t>MRNTX030992</t>
  </si>
  <si>
    <t>MRNTX032296</t>
  </si>
  <si>
    <t>MRANM019728</t>
  </si>
  <si>
    <t>MRNTX033999</t>
  </si>
  <si>
    <t>MRSTX031713</t>
  </si>
  <si>
    <t>MRSTX036676</t>
  </si>
  <si>
    <t>MRNTX030352</t>
  </si>
  <si>
    <t>MRNTX031589</t>
  </si>
  <si>
    <t>MRNTX031410</t>
  </si>
  <si>
    <t>MRNTX031932</t>
  </si>
  <si>
    <t>MRNTX032976</t>
  </si>
  <si>
    <t>MRNTX030899</t>
  </si>
  <si>
    <t>MRSTX034144</t>
  </si>
  <si>
    <t>MRNTX032364</t>
  </si>
  <si>
    <t>MRNTX031558</t>
  </si>
  <si>
    <t>MRNTX036585</t>
  </si>
  <si>
    <t>MRNTX033199</t>
  </si>
  <si>
    <t>MRNTX031938</t>
  </si>
  <si>
    <t>MRNTX031650</t>
  </si>
  <si>
    <t>MRNTX033871</t>
  </si>
  <si>
    <t>MRNTX031201</t>
  </si>
  <si>
    <t>MRNTX032928</t>
  </si>
  <si>
    <t>MRNTX031578</t>
  </si>
  <si>
    <t>MRNTX033608</t>
  </si>
  <si>
    <t>MRNTX033980</t>
  </si>
  <si>
    <t>MRNTX036702</t>
  </si>
  <si>
    <t>MRNTX030367</t>
  </si>
  <si>
    <t>MRNTX032750</t>
  </si>
  <si>
    <t>MRNTX033733</t>
  </si>
  <si>
    <t>MRSTX036112</t>
  </si>
  <si>
    <t>MRSTX033967</t>
  </si>
  <si>
    <t>MRSTX011814</t>
  </si>
  <si>
    <t>MRSTX030899</t>
  </si>
  <si>
    <t>MRSTX031627</t>
  </si>
  <si>
    <t>MRSTX033203</t>
  </si>
  <si>
    <t>MRSTX034655</t>
  </si>
  <si>
    <t>MRNTX030755</t>
  </si>
  <si>
    <t>MRNTX033303</t>
  </si>
  <si>
    <t>MRNTX036604</t>
  </si>
  <si>
    <t>MRSTX036962</t>
  </si>
  <si>
    <t>MRNTX032083</t>
  </si>
  <si>
    <t>MRNTX036432</t>
  </si>
  <si>
    <t>MRNTX034000</t>
  </si>
  <si>
    <t>MRNTX036258</t>
  </si>
  <si>
    <t>MRNTX033045</t>
  </si>
  <si>
    <t>MRSTX036254</t>
  </si>
  <si>
    <t>MRNTX029457</t>
  </si>
  <si>
    <t>MRNTX036438</t>
  </si>
  <si>
    <t>MRNTX031099</t>
  </si>
  <si>
    <t>MRNTX032819</t>
  </si>
  <si>
    <t>MRNTX031557</t>
  </si>
  <si>
    <t>MRNTX033526</t>
  </si>
  <si>
    <t>MRNTX036851</t>
  </si>
  <si>
    <t>MRNTX036249</t>
  </si>
  <si>
    <t>MRNTX030888</t>
  </si>
  <si>
    <t>MRNTX031719</t>
  </si>
  <si>
    <t>MRNTX030478</t>
  </si>
  <si>
    <t>MRNTX032129</t>
  </si>
  <si>
    <t>MRNTX029382</t>
  </si>
  <si>
    <t>MRNTX033436</t>
  </si>
  <si>
    <t>MRSTX030950</t>
  </si>
  <si>
    <t>MRNTX032020</t>
  </si>
  <si>
    <t>MRNTX030448</t>
  </si>
  <si>
    <t>MRNTX030580</t>
  </si>
  <si>
    <t>MRNTX031789</t>
  </si>
  <si>
    <t>MRSTX036263</t>
  </si>
  <si>
    <t>MRNTX036453</t>
  </si>
  <si>
    <t>MRSTX032392</t>
  </si>
  <si>
    <t>MRNTX030231</t>
  </si>
  <si>
    <t>MRSTX034692</t>
  </si>
  <si>
    <t>MRSTX036963</t>
  </si>
  <si>
    <t>MRSTX035612</t>
  </si>
  <si>
    <t>MRNTX031095</t>
  </si>
  <si>
    <t>MRNTX030834</t>
  </si>
  <si>
    <t>MRNTX033970</t>
  </si>
  <si>
    <t>MRNTX031849</t>
  </si>
  <si>
    <t>MRNTX036710</t>
  </si>
  <si>
    <t>MRNTX033104</t>
  </si>
  <si>
    <t>MRSTX036580</t>
  </si>
  <si>
    <t>MRNTX036441</t>
  </si>
  <si>
    <t>MRNTX036430</t>
  </si>
  <si>
    <t>MRNTX031649</t>
  </si>
  <si>
    <t>MRSTX033463</t>
  </si>
  <si>
    <t>MRNTX029198</t>
  </si>
  <si>
    <t>MRNTX029210</t>
  </si>
  <si>
    <t>MRNTX036744</t>
  </si>
  <si>
    <t>MRNTX032396</t>
  </si>
  <si>
    <t>MRNTX034020</t>
  </si>
  <si>
    <t>MRNTX036693</t>
  </si>
  <si>
    <t>MRNTX030742</t>
  </si>
  <si>
    <t>MRNTX036692</t>
  </si>
  <si>
    <t>MRNTX033522</t>
  </si>
  <si>
    <t>MRNTX030419</t>
  </si>
  <si>
    <t>MRNTX032646</t>
  </si>
  <si>
    <t>MRNTX033221</t>
  </si>
  <si>
    <t>MRNTX033920</t>
  </si>
  <si>
    <t>MRNTX031918</t>
  </si>
  <si>
    <t>MRNTX031224</t>
  </si>
  <si>
    <t>MRNTX033534</t>
  </si>
  <si>
    <t>MRNTX036449</t>
  </si>
  <si>
    <t>MRNTX033527</t>
  </si>
  <si>
    <t>MRNTX031029</t>
  </si>
  <si>
    <t>MRNTX036531</t>
  </si>
  <si>
    <t>MRNTX036785</t>
  </si>
  <si>
    <t>MRNTX036845</t>
  </si>
  <si>
    <t>MRSTX033618</t>
  </si>
  <si>
    <t>MRNTX030932</t>
  </si>
  <si>
    <t>MRSTX034647</t>
  </si>
  <si>
    <t>MRNTX032847</t>
  </si>
  <si>
    <t>MRNTX031625</t>
  </si>
  <si>
    <t>MRNTX030883</t>
  </si>
  <si>
    <t>MRNTX030809</t>
  </si>
  <si>
    <t>MRNTX025071</t>
  </si>
  <si>
    <t>MRSTX032527</t>
  </si>
  <si>
    <t>MRNTX033870</t>
  </si>
  <si>
    <t>MRNTX032184</t>
  </si>
  <si>
    <t>MRNTX033766</t>
  </si>
  <si>
    <t>MRNTX032193</t>
  </si>
  <si>
    <t>MRSTX034154</t>
  </si>
  <si>
    <t>MRNTX032132</t>
  </si>
  <si>
    <t>MRSTX031062</t>
  </si>
  <si>
    <t>MRSTX034329</t>
  </si>
  <si>
    <t>MRNTX036445</t>
  </si>
  <si>
    <t>MRNTX031307</t>
  </si>
  <si>
    <t>MRNTX031847</t>
  </si>
  <si>
    <t>MRNTX036000</t>
  </si>
  <si>
    <t>MRNTX030680</t>
  </si>
  <si>
    <t>MRNTX032981</t>
  </si>
  <si>
    <t>MRNTX030688</t>
  </si>
  <si>
    <t>MRSTX034407</t>
  </si>
  <si>
    <t>MRNTX031852</t>
  </si>
  <si>
    <t>MRNTX031185</t>
  </si>
  <si>
    <t>MRNTX032000</t>
  </si>
  <si>
    <t>MRNTX032591</t>
  </si>
  <si>
    <t>MRNTX031292</t>
  </si>
  <si>
    <t>MRNTX032558</t>
  </si>
  <si>
    <t>MRWSH022675</t>
  </si>
  <si>
    <t>MRNTX031077</t>
  </si>
  <si>
    <t>MRSTX032072</t>
  </si>
  <si>
    <t>MRNTX031966</t>
  </si>
  <si>
    <t>MRNTX032721</t>
  </si>
  <si>
    <t>MRNTX029602</t>
  </si>
  <si>
    <t>MRSTX018554</t>
  </si>
  <si>
    <t>MRSTX031072</t>
  </si>
  <si>
    <t>MRNTX032461</t>
  </si>
  <si>
    <t>MRNTX032546</t>
  </si>
  <si>
    <t>MRNTX030257</t>
  </si>
  <si>
    <t>MRNTX032587</t>
  </si>
  <si>
    <t>MRNTX036817</t>
  </si>
  <si>
    <t>MRNTX030326</t>
  </si>
  <si>
    <t>MRNTX033226</t>
  </si>
  <si>
    <t>MRNTX029537</t>
  </si>
  <si>
    <t>MRNTX032948</t>
  </si>
  <si>
    <t>MRNTX029309</t>
  </si>
  <si>
    <t>MRNTX032853</t>
  </si>
  <si>
    <t>MRNTX031449</t>
  </si>
  <si>
    <t>MRSTX033833</t>
  </si>
  <si>
    <t>MRNTX032335</t>
  </si>
  <si>
    <t>MRNTX030735</t>
  </si>
  <si>
    <t>MRNTX031262</t>
  </si>
  <si>
    <t>MRNTX032815</t>
  </si>
  <si>
    <t>MRNTX030853</t>
  </si>
  <si>
    <t>MRNTX032581</t>
  </si>
  <si>
    <t>MRNTX029409</t>
  </si>
  <si>
    <t>MRNTX033968</t>
  </si>
  <si>
    <t>MRSTX034387</t>
  </si>
  <si>
    <t>MRSTX034340</t>
  </si>
  <si>
    <t>MRNTX030736</t>
  </si>
  <si>
    <t>MRNTX030228</t>
  </si>
  <si>
    <t>MRSTX035617</t>
  </si>
  <si>
    <t>MRNTX031022</t>
  </si>
  <si>
    <t>MRSTX031666</t>
  </si>
  <si>
    <t>MRNTX032337</t>
  </si>
  <si>
    <t>MRNTX031592</t>
  </si>
  <si>
    <t>MRNTX031446</t>
  </si>
  <si>
    <t>MRNTX031250</t>
  </si>
  <si>
    <t>MRNTX032372</t>
  </si>
  <si>
    <t>MRNTX029335</t>
  </si>
  <si>
    <t>MRNTX031538</t>
  </si>
  <si>
    <t>MRNTX031531</t>
  </si>
  <si>
    <t>MRNTX032603</t>
  </si>
  <si>
    <t>MRNTX036761</t>
  </si>
  <si>
    <t>MRNTX032670</t>
  </si>
  <si>
    <t>MRSTX033403</t>
  </si>
  <si>
    <t>MRNTX036565</t>
  </si>
  <si>
    <t>MRNTX033236</t>
  </si>
  <si>
    <t>MRNTX029630</t>
  </si>
  <si>
    <t>MRNTX031011</t>
  </si>
  <si>
    <t>MRNTX030817</t>
  </si>
  <si>
    <t>MRNTX032676</t>
  </si>
  <si>
    <t>MRNTX030741</t>
  </si>
  <si>
    <t>MRNTX031349</t>
  </si>
  <si>
    <t>MRNTX030933</t>
  </si>
  <si>
    <t>MRNTX029533</t>
  </si>
  <si>
    <t>MRNTX029466</t>
  </si>
  <si>
    <t>MRNTX030740</t>
  </si>
  <si>
    <t>MRNTX032153</t>
  </si>
  <si>
    <t>MRNTX031337</t>
  </si>
  <si>
    <t>MRNTX032752</t>
  </si>
  <si>
    <t>MRNTX033853</t>
  </si>
  <si>
    <t>MRSTX030897</t>
  </si>
  <si>
    <t>MRNTX031304</t>
  </si>
  <si>
    <t>MRNTX030748</t>
  </si>
  <si>
    <t>MRNTX029617</t>
  </si>
  <si>
    <t>MRSTX036229</t>
  </si>
  <si>
    <t>MRNTX033708</t>
  </si>
  <si>
    <t>MRNTX033114</t>
  </si>
  <si>
    <t>MRNTX036945</t>
  </si>
  <si>
    <t>MRNTX036622</t>
  </si>
  <si>
    <t>MRNTX030622</t>
  </si>
  <si>
    <t>MRNTX033651</t>
  </si>
  <si>
    <t>MRNTX032895</t>
  </si>
  <si>
    <t>MRNTX032176</t>
  </si>
  <si>
    <t>MRNTX033743</t>
  </si>
  <si>
    <t>MRNTX032102</t>
  </si>
  <si>
    <t>MRNTX032639</t>
  </si>
  <si>
    <t>MRNTX033872</t>
  </si>
  <si>
    <t>MRNTX033074</t>
  </si>
  <si>
    <t>MRNTX032463</t>
  </si>
  <si>
    <t>MRNTX030447</t>
  </si>
  <si>
    <t>MRSTX032730</t>
  </si>
  <si>
    <t>MRNTX032320</t>
  </si>
  <si>
    <t>MRSTX036269</t>
  </si>
  <si>
    <t>MRNTX030681</t>
  </si>
  <si>
    <t>MRNTX030239</t>
  </si>
  <si>
    <t>MRSTX032921</t>
  </si>
  <si>
    <t>MRSTX036560</t>
  </si>
  <si>
    <t>MRNTX031148</t>
  </si>
  <si>
    <t>MRNTX033941</t>
  </si>
  <si>
    <t>MRNTX033893</t>
  </si>
  <si>
    <t>MRNTX033856</t>
  </si>
  <si>
    <t>MRNTX032567</t>
  </si>
  <si>
    <t>MRNTX031563</t>
  </si>
  <si>
    <t>MRNTX030379</t>
  </si>
  <si>
    <t>MRNTX031003</t>
  </si>
  <si>
    <t>MRSTX034115</t>
  </si>
  <si>
    <t>MRNTX031434</t>
  </si>
  <si>
    <t>MRSTX033980</t>
  </si>
  <si>
    <t>MRNTX031254</t>
  </si>
  <si>
    <t>MRNTX031535</t>
  </si>
  <si>
    <t>MRNTX029173</t>
  </si>
  <si>
    <t>MRSTX036104</t>
  </si>
  <si>
    <t>MRNTX031495</t>
  </si>
  <si>
    <t>MRWSH024678</t>
  </si>
  <si>
    <t>MRNTX036517</t>
  </si>
  <si>
    <t>MRSTX036154</t>
  </si>
  <si>
    <t>MRNTX030814</t>
  </si>
  <si>
    <t>MRNTX030479</t>
  </si>
  <si>
    <t>MRNTX025542</t>
  </si>
  <si>
    <t>MRNTX030857</t>
  </si>
  <si>
    <t>MRNTX033015</t>
  </si>
  <si>
    <t>MRSTX036583</t>
  </si>
  <si>
    <t>MRNTX030611</t>
  </si>
  <si>
    <t>MRNTX032588</t>
  </si>
  <si>
    <t>MRNTX032304</t>
  </si>
  <si>
    <t>MRSTX036440</t>
  </si>
  <si>
    <t>MRNTX029220</t>
  </si>
  <si>
    <t>MRNTX036772</t>
  </si>
  <si>
    <t>MRSTX036578</t>
  </si>
  <si>
    <t>MRNTX032586</t>
  </si>
  <si>
    <t>MRNTX036572</t>
  </si>
  <si>
    <t>MRNTX032606</t>
  </si>
  <si>
    <t>MRSTX031684</t>
  </si>
  <si>
    <t>MRNTX033231</t>
  </si>
  <si>
    <t>MRNTX031028</t>
  </si>
  <si>
    <t>MRNTX031184</t>
  </si>
  <si>
    <t>MRNTX033887</t>
  </si>
  <si>
    <t>MRNTX036944</t>
  </si>
  <si>
    <t>MRNTX033671</t>
  </si>
  <si>
    <t>MRNTX037296</t>
  </si>
  <si>
    <t>MRNTX032724</t>
  </si>
  <si>
    <t>MRNTX030527</t>
  </si>
  <si>
    <t>MRNTX032954</t>
  </si>
  <si>
    <t>MRNTX029227</t>
  </si>
  <si>
    <t>MRNTX033262</t>
  </si>
  <si>
    <t>MRNTX031574</t>
  </si>
  <si>
    <t>MRNTX033090</t>
  </si>
  <si>
    <t>MRNTX033905</t>
  </si>
  <si>
    <t>MRSTX034444</t>
  </si>
  <si>
    <t>MRNTX032507</t>
  </si>
  <si>
    <t>MRNTX033978</t>
  </si>
  <si>
    <t>MRNTX032816</t>
  </si>
  <si>
    <t>MRNTX030404</t>
  </si>
  <si>
    <t>MRNTX031173</t>
  </si>
  <si>
    <t>MRNTX030646</t>
  </si>
  <si>
    <t>MRSTX036633</t>
  </si>
  <si>
    <t>MRNTX030363</t>
  </si>
  <si>
    <t>MRNTX032619</t>
  </si>
  <si>
    <t>MRSTX036630</t>
  </si>
  <si>
    <t>MRNTX036229</t>
  </si>
  <si>
    <t>MRNTX030462</t>
  </si>
  <si>
    <t>MRSTX031941</t>
  </si>
  <si>
    <t>MRNTX030607</t>
  </si>
  <si>
    <t>MRSTX031091</t>
  </si>
  <si>
    <t>MRNTX031614</t>
  </si>
  <si>
    <t>MRNTX031523</t>
  </si>
  <si>
    <t>MRNTX030815</t>
  </si>
  <si>
    <t>MRNTX030708</t>
  </si>
  <si>
    <t>MRNTX036451</t>
  </si>
  <si>
    <t>MRSTX033603</t>
  </si>
  <si>
    <t>MRNTX032319</t>
  </si>
  <si>
    <t>MRNTX032284</t>
  </si>
  <si>
    <t>MRNTX032647</t>
  </si>
  <si>
    <t>MRNTX036544</t>
  </si>
  <si>
    <t>MRNTX030990</t>
  </si>
  <si>
    <t>MRNTX032742</t>
  </si>
  <si>
    <t>MRNTX036770</t>
  </si>
  <si>
    <t>MRNTX033985</t>
  </si>
  <si>
    <t>MRNTX032579</t>
  </si>
  <si>
    <t>MRNTX029246</t>
  </si>
  <si>
    <t>MRSTX033620</t>
  </si>
  <si>
    <t>MRSTX032764</t>
  </si>
  <si>
    <t>MRNTX032550</t>
  </si>
  <si>
    <t>MRNTX030795</t>
  </si>
  <si>
    <t>MRNTX029646</t>
  </si>
  <si>
    <t>MRNTX030887</t>
  </si>
  <si>
    <t>MRNTX032584</t>
  </si>
  <si>
    <t>MRNTX032912</t>
  </si>
  <si>
    <t>MRSTX034269</t>
  </si>
  <si>
    <t>MRNTX030718</t>
  </si>
  <si>
    <t>MRNTX033649</t>
  </si>
  <si>
    <t>MRWSH019745</t>
  </si>
  <si>
    <t>MRSTX033468</t>
  </si>
  <si>
    <t>MRSTX034092</t>
  </si>
  <si>
    <t>MRNTX031929</t>
  </si>
  <si>
    <t>MRNTX031334</t>
  </si>
  <si>
    <t>MRNTX036030</t>
  </si>
  <si>
    <t>MRNTX037162</t>
  </si>
  <si>
    <t>MRNTX036923</t>
  </si>
  <si>
    <t>MRNTX033703</t>
  </si>
  <si>
    <t>MRNTX032465</t>
  </si>
  <si>
    <t>MRNTX036562</t>
  </si>
  <si>
    <t>MRNTX032905</t>
  </si>
  <si>
    <t>MRNTX036033</t>
  </si>
  <si>
    <t>MRNTX031391</t>
  </si>
  <si>
    <t>MRNTX031784</t>
  </si>
  <si>
    <t>MRNTX030368</t>
  </si>
  <si>
    <t>MRNTX030722</t>
  </si>
  <si>
    <t>MRNTX036264</t>
  </si>
  <si>
    <t>MRNTX036194</t>
  </si>
  <si>
    <t>MRNTX032927</t>
  </si>
  <si>
    <t>MRNTX032848</t>
  </si>
  <si>
    <t>MRNTX031848</t>
  </si>
  <si>
    <t>MRSTX032566</t>
  </si>
  <si>
    <t>MRNTX032877</t>
  </si>
  <si>
    <t>MRNTX032851</t>
  </si>
  <si>
    <t>MRNTX032064</t>
  </si>
  <si>
    <t>MRSTX033622</t>
  </si>
  <si>
    <t>MRNTX030469</t>
  </si>
  <si>
    <t>MRNTX031232</t>
  </si>
  <si>
    <t>MRSTX036015</t>
  </si>
  <si>
    <t>MRSTX036627</t>
  </si>
  <si>
    <t>MRNTX032195</t>
  </si>
  <si>
    <t>MRNTX033735</t>
  </si>
  <si>
    <t>MRNTX033023</t>
  </si>
  <si>
    <t>MRNTX036356</t>
  </si>
  <si>
    <t>MRNTX030724</t>
  </si>
  <si>
    <t>MRSTX031148</t>
  </si>
  <si>
    <t>MRNTX033521</t>
  </si>
  <si>
    <t>MRNTX033102</t>
  </si>
  <si>
    <t>MRNTX031369</t>
  </si>
  <si>
    <t>MRNTX032161</t>
  </si>
  <si>
    <t>MRNTX031001</t>
  </si>
  <si>
    <t>MRNTX036339</t>
  </si>
  <si>
    <t>MRNTX033459</t>
  </si>
  <si>
    <t>MRNTX032226</t>
  </si>
  <si>
    <t>MRSTX034513</t>
  </si>
  <si>
    <t>MRNTX033886</t>
  </si>
  <si>
    <t>MRSTX036404</t>
  </si>
  <si>
    <t>MRNTX030307</t>
  </si>
  <si>
    <t>MRSTX035783</t>
  </si>
  <si>
    <t>MRSTX036298</t>
  </si>
  <si>
    <t>MRNTX031742</t>
  </si>
  <si>
    <t>MRNTX031273</t>
  </si>
  <si>
    <t>MRSTX033371</t>
  </si>
  <si>
    <t>MRNTX032651</t>
  </si>
  <si>
    <t>MRWSH019925</t>
  </si>
  <si>
    <t>MRSTX035985</t>
  </si>
  <si>
    <t>MRWSH019977</t>
  </si>
  <si>
    <t>MRSTX034456</t>
  </si>
  <si>
    <t>MRSTX036400</t>
  </si>
  <si>
    <t>MRSTX032274</t>
  </si>
  <si>
    <t>MRSTX031726</t>
  </si>
  <si>
    <t>MRNTX032287</t>
  </si>
  <si>
    <t>MRSTX036396</t>
  </si>
  <si>
    <t>MRSTX036068</t>
  </si>
  <si>
    <t>MRSTX032735</t>
  </si>
  <si>
    <t>MRNTX029307</t>
  </si>
  <si>
    <t>MRNTX032252</t>
  </si>
  <si>
    <t>MRSTX033947</t>
  </si>
  <si>
    <t>MRNTX032601</t>
  </si>
  <si>
    <t>MRNTX031872</t>
  </si>
  <si>
    <t>MRNTX030423</t>
  </si>
  <si>
    <t>MRSTX034097</t>
  </si>
  <si>
    <t>MRSTX034244</t>
  </si>
  <si>
    <t>MRWSH020123</t>
  </si>
  <si>
    <t>MRNTX031731</t>
  </si>
  <si>
    <t>MRNTX031728</t>
  </si>
  <si>
    <t>MRNTX032437</t>
  </si>
  <si>
    <t>MRSTX031743</t>
  </si>
  <si>
    <t>MRSTX035742</t>
  </si>
  <si>
    <t>MRNTX031835</t>
  </si>
  <si>
    <t>MRNTX032130</t>
  </si>
  <si>
    <t>MRSTX027211</t>
  </si>
  <si>
    <t>MRSTX033641</t>
  </si>
  <si>
    <t>MRNTX036152</t>
  </si>
  <si>
    <t>MRNTX031715</t>
  </si>
  <si>
    <t>MRNTX030540</t>
  </si>
  <si>
    <t>MRNTX030528</t>
  </si>
  <si>
    <t>MRSTX036360</t>
  </si>
  <si>
    <t>MRNTX030920</t>
  </si>
  <si>
    <t>MRSTX034487</t>
  </si>
  <si>
    <t>MRNTX031225</t>
  </si>
  <si>
    <t>MRNTX030720</t>
  </si>
  <si>
    <t>MRWSH024672</t>
  </si>
  <si>
    <t>MRSTX031738</t>
  </si>
  <si>
    <t>MRNTX031162</t>
  </si>
  <si>
    <t>MRNTX033975</t>
  </si>
  <si>
    <t>MRSTX033939</t>
  </si>
  <si>
    <t>MRNTX031974</t>
  </si>
  <si>
    <t>MRSTX036407</t>
  </si>
  <si>
    <t>MRSTX036303</t>
  </si>
  <si>
    <t>MRSTX036291</t>
  </si>
  <si>
    <t>MRWSH022344</t>
  </si>
  <si>
    <t>MRSTX034544</t>
  </si>
  <si>
    <t>MRSTX031609</t>
  </si>
  <si>
    <t>MRSTX035716</t>
  </si>
  <si>
    <t>MRNTX030730</t>
  </si>
  <si>
    <t>MRNTX029250</t>
  </si>
  <si>
    <t>MRWSH022670</t>
  </si>
  <si>
    <t>MRNTX031375</t>
  </si>
  <si>
    <t>MRNTX036137</t>
  </si>
  <si>
    <t>MRNTX030660</t>
  </si>
  <si>
    <t>MRSTX036652</t>
  </si>
  <si>
    <t>MRWSH020523</t>
  </si>
  <si>
    <t>MRNTX032340</t>
  </si>
  <si>
    <t>MRSTX034416</t>
  </si>
  <si>
    <t>MRSTX035956</t>
  </si>
  <si>
    <t>MRSTX032608</t>
  </si>
  <si>
    <t>MRSTX035996</t>
  </si>
  <si>
    <t>MRSTX014985</t>
  </si>
  <si>
    <t>MRNTX032302</t>
  </si>
  <si>
    <t>MRNTX033741</t>
  </si>
  <si>
    <t>MRSTX018547</t>
  </si>
  <si>
    <t>MRNTX030731</t>
  </si>
  <si>
    <t>MRSTX030979</t>
  </si>
  <si>
    <t>MRSTX036136</t>
  </si>
  <si>
    <t>MRSTX032575</t>
  </si>
  <si>
    <t>MRSTX032771</t>
  </si>
  <si>
    <t>MRSTX036066</t>
  </si>
  <si>
    <t>MRSTX036427</t>
  </si>
  <si>
    <t>MRSTX034008</t>
  </si>
  <si>
    <t>MRWSH020172</t>
  </si>
  <si>
    <t>MRWSH020518</t>
  </si>
  <si>
    <t>MRSTX033876</t>
  </si>
  <si>
    <t>MRSTX033518</t>
  </si>
  <si>
    <t>MRSTX031274</t>
  </si>
  <si>
    <t>MRNTX033390</t>
  </si>
  <si>
    <t>MRNTX032269</t>
  </si>
  <si>
    <t>MRWSH019964</t>
  </si>
  <si>
    <t>MRWSH020532</t>
  </si>
  <si>
    <t>MRNTX032764</t>
  </si>
  <si>
    <t>MRWSH022591</t>
  </si>
  <si>
    <t>MRSTX033672</t>
  </si>
  <si>
    <t>MRSTX036466</t>
  </si>
  <si>
    <t>MRWSH019912</t>
  </si>
  <si>
    <t>MRNTX033607</t>
  </si>
  <si>
    <t>MRNTX031117</t>
  </si>
  <si>
    <t>MRNTX031177</t>
  </si>
  <si>
    <t>MRSTX032607</t>
  </si>
  <si>
    <t>MRSTX032027</t>
  </si>
  <si>
    <t>MRSTX030843</t>
  </si>
  <si>
    <t>MRNTX032899</t>
  </si>
  <si>
    <t>MRNTX033646</t>
  </si>
  <si>
    <t>MRSTX036626</t>
  </si>
  <si>
    <t>MRNTX031965</t>
  </si>
  <si>
    <t>MRNTX031820</t>
  </si>
  <si>
    <t>MRSTX033464</t>
  </si>
  <si>
    <t>MRNTX032082</t>
  </si>
  <si>
    <t>MRSTX027212</t>
  </si>
  <si>
    <t>MRWSH020024</t>
  </si>
  <si>
    <t>MRSTX036115</t>
  </si>
  <si>
    <t>MRSTX034516</t>
  </si>
  <si>
    <t>MRSTX034029</t>
  </si>
  <si>
    <t>MRSTX034660</t>
  </si>
  <si>
    <t>MRSTX036409</t>
  </si>
  <si>
    <t>MRNTX031165</t>
  </si>
  <si>
    <t>MRSTX036272</t>
  </si>
  <si>
    <t>MRSTX036397</t>
  </si>
  <si>
    <t>MRSTX033636</t>
  </si>
  <si>
    <t>MRNTX031026</t>
  </si>
  <si>
    <t>MRNTX031798</t>
  </si>
  <si>
    <t>MRSTX031483</t>
  </si>
  <si>
    <t>MRNTX031080</t>
  </si>
  <si>
    <t>MRNTX031119</t>
  </si>
  <si>
    <t>MRSTX033528</t>
  </si>
  <si>
    <t>MRSTX036214</t>
  </si>
  <si>
    <t>MRNTX029319</t>
  </si>
  <si>
    <t>MRNTX030420</t>
  </si>
  <si>
    <t>MRNTX030903</t>
  </si>
  <si>
    <t>MRSTX036437</t>
  </si>
  <si>
    <t>MRSTX034074</t>
  </si>
  <si>
    <t>MRSTX033653</t>
  </si>
  <si>
    <t>MRNTX030922</t>
  </si>
  <si>
    <t>MRSTX036325</t>
  </si>
  <si>
    <t>MRSTX033575</t>
  </si>
  <si>
    <t>MRSTX033339</t>
  </si>
  <si>
    <t>MRNTX030662</t>
  </si>
  <si>
    <t>MRSTX036340</t>
  </si>
  <si>
    <t>MRSTX032038</t>
  </si>
  <si>
    <t>MRNTX031629</t>
  </si>
  <si>
    <t>MRSTX036322</t>
  </si>
  <si>
    <t>MRSTX030896</t>
  </si>
  <si>
    <t>MRNTX032573</t>
  </si>
  <si>
    <t>MRSTX036091</t>
  </si>
  <si>
    <t>MRSTX033602</t>
  </si>
  <si>
    <t>MRNTX032124</t>
  </si>
  <si>
    <t>MRNTX032540</t>
  </si>
  <si>
    <t>MRSTX030922</t>
  </si>
  <si>
    <t>MRNTX036338</t>
  </si>
  <si>
    <t>MRSTX036631</t>
  </si>
  <si>
    <t>MRSTX036099</t>
  </si>
  <si>
    <t>MRSTX030817</t>
  </si>
  <si>
    <t>MRWSH020187</t>
  </si>
  <si>
    <t>MRSTX033788</t>
  </si>
  <si>
    <t>MRSTX036350</t>
  </si>
  <si>
    <t>MRNTX032640</t>
  </si>
  <si>
    <t>MRNTX029228</t>
  </si>
  <si>
    <t>MRNTX031219</t>
  </si>
  <si>
    <t>MRSTX031662</t>
  </si>
  <si>
    <t>MRNTX033643</t>
  </si>
  <si>
    <t>MRNTX031547</t>
  </si>
  <si>
    <t>MRSTX034176</t>
  </si>
  <si>
    <t>MRSTX033860</t>
  </si>
  <si>
    <t>MRNTX031866</t>
  </si>
  <si>
    <t>MRSTX034246</t>
  </si>
  <si>
    <t>MRSTX033924</t>
  </si>
  <si>
    <t>MRNTX031115</t>
  </si>
  <si>
    <t>MRSTX033954</t>
  </si>
  <si>
    <t>MRANM017281</t>
  </si>
  <si>
    <t>MRSTX032841</t>
  </si>
  <si>
    <t>MRNTX031607</t>
  </si>
  <si>
    <t>MRNTX031288</t>
  </si>
  <si>
    <t>MRANM020477</t>
  </si>
  <si>
    <t>MRNTX033134</t>
  </si>
  <si>
    <t>MRNTX030565</t>
  </si>
  <si>
    <t>MRNTX029298</t>
  </si>
  <si>
    <t>MRSTX032690</t>
  </si>
  <si>
    <t>MRSTX033616</t>
  </si>
  <si>
    <t>MRSTX033754</t>
  </si>
  <si>
    <t>MRNTX031144</t>
  </si>
  <si>
    <t>MRNTX033060</t>
  </si>
  <si>
    <t>MRNTX031415</t>
  </si>
  <si>
    <t>MRSTX033100</t>
  </si>
  <si>
    <t>MRSTX032071</t>
  </si>
  <si>
    <t>MRSTX034449</t>
  </si>
  <si>
    <t>MRSTX034635</t>
  </si>
  <si>
    <t>MRSTX034004</t>
  </si>
  <si>
    <t>MRNTX030976</t>
  </si>
  <si>
    <t>MRSTX033897</t>
  </si>
  <si>
    <t>MRNTX031628</t>
  </si>
  <si>
    <t>MRSTX036455</t>
  </si>
  <si>
    <t>MRNTX030387</t>
  </si>
  <si>
    <t>MRSTX031269</t>
  </si>
  <si>
    <t>MRNTX030265</t>
  </si>
  <si>
    <t>MRNTX030536</t>
  </si>
  <si>
    <t>MRSTX033771</t>
  </si>
  <si>
    <t>MRNTX030226</t>
  </si>
  <si>
    <t>MRNTX033116</t>
  </si>
  <si>
    <t>MRNTX032133</t>
  </si>
  <si>
    <t>MRSTX035541</t>
  </si>
  <si>
    <t>MRSTX033785</t>
  </si>
  <si>
    <t>MRSTX034229</t>
  </si>
  <si>
    <t>MRSTX034394</t>
  </si>
  <si>
    <t>MRNTX032870</t>
  </si>
  <si>
    <t>MRNTX032655</t>
  </si>
  <si>
    <t>MRNTX030421</t>
  </si>
  <si>
    <t>MRSTX036107</t>
  </si>
  <si>
    <t>MRSTX034053</t>
  </si>
  <si>
    <t>MRNTX031926</t>
  </si>
  <si>
    <t>MRNTX032183</t>
  </si>
  <si>
    <t>MRNTX030560</t>
  </si>
  <si>
    <t>MRNTX030589</t>
  </si>
  <si>
    <t>MRSTX034253</t>
  </si>
  <si>
    <t>MRNTX033517</t>
  </si>
  <si>
    <t>MRNTX030303</t>
  </si>
  <si>
    <t>MRSTX011255</t>
  </si>
  <si>
    <t>MRSTX032620</t>
  </si>
  <si>
    <t>MRSTX032644</t>
  </si>
  <si>
    <t>MRSTX034171</t>
  </si>
  <si>
    <t>MRANM020147</t>
  </si>
  <si>
    <t>MRSTX035668</t>
  </si>
  <si>
    <t>MRNTX030382</t>
  </si>
  <si>
    <t>MRNTX031891</t>
  </si>
  <si>
    <t>MRNTX031509</t>
  </si>
  <si>
    <t>MRSTX033497</t>
  </si>
  <si>
    <t>MRNTX032086</t>
  </si>
  <si>
    <t>MRANM020464</t>
  </si>
  <si>
    <t>MRNTX032612</t>
  </si>
  <si>
    <t>MRNTX031109</t>
  </si>
  <si>
    <t>MRNTX032326</t>
  </si>
  <si>
    <t>MRSTX036367</t>
  </si>
  <si>
    <t>MRSTX033663</t>
  </si>
  <si>
    <t>MRNTX032030</t>
  </si>
  <si>
    <t>MRNTX032316</t>
  </si>
  <si>
    <t>MRSTX036470</t>
  </si>
  <si>
    <t>MRSTX036176</t>
  </si>
  <si>
    <t>MRNTX031103</t>
  </si>
  <si>
    <t>MRSTX033244</t>
  </si>
  <si>
    <t>MRNTX033625</t>
  </si>
  <si>
    <t>MRSTX033889</t>
  </si>
  <si>
    <t>MRNTX031815</t>
  </si>
  <si>
    <t>MRNTX031061</t>
  </si>
  <si>
    <t>MRNTX036324</t>
  </si>
  <si>
    <t>MRSTX030825</t>
  </si>
  <si>
    <t>MRSTX033864</t>
  </si>
  <si>
    <t>MRSTX033496</t>
  </si>
  <si>
    <t>MRNTX031018</t>
  </si>
  <si>
    <t>MRANM019680</t>
  </si>
  <si>
    <t>MRSTX032537</t>
  </si>
  <si>
    <t>MRNTX033024</t>
  </si>
  <si>
    <t>MRSTX033904</t>
  </si>
  <si>
    <t>MRNTX031335</t>
  </si>
  <si>
    <t>MRANM020204</t>
  </si>
  <si>
    <t>MRNTX031346</t>
  </si>
  <si>
    <t>MRSTX033532</t>
  </si>
  <si>
    <t>MRNTX030986</t>
  </si>
  <si>
    <t>MRNTX033232</t>
  </si>
  <si>
    <t>MRSTX033515</t>
  </si>
  <si>
    <t>MRANM020195</t>
  </si>
  <si>
    <t>MRANM020422</t>
  </si>
  <si>
    <t>MRSTX032463</t>
  </si>
  <si>
    <t>MRNTX037071</t>
  </si>
  <si>
    <t>MRNTX030403</t>
  </si>
  <si>
    <t>MRSTX034335</t>
  </si>
  <si>
    <t>MRNTX031846</t>
  </si>
  <si>
    <t>MRSTX030878</t>
  </si>
  <si>
    <t>MRSTX036385</t>
  </si>
  <si>
    <t>MRSTX033373</t>
  </si>
  <si>
    <t>MRANM017211</t>
  </si>
  <si>
    <t>MRNTX029209</t>
  </si>
  <si>
    <t>MRNTX032285</t>
  </si>
  <si>
    <t>MRSTX034375</t>
  </si>
  <si>
    <t>MRSTX035519</t>
  </si>
  <si>
    <t>MRNTX032910</t>
  </si>
  <si>
    <t>MRNTX032697</t>
  </si>
  <si>
    <t>MRNTX031044</t>
  </si>
  <si>
    <t>MRSTX035718</t>
  </si>
  <si>
    <t>MRSTX033502</t>
  </si>
  <si>
    <t>MRNTX031002</t>
  </si>
  <si>
    <t>MRSTX036266</t>
  </si>
  <si>
    <t>MRSTX035525</t>
  </si>
  <si>
    <t>MRNTX031282</t>
  </si>
  <si>
    <t>MRNTX032424</t>
  </si>
  <si>
    <t>MRNTX032818</t>
  </si>
  <si>
    <t>MRSTX035893</t>
  </si>
  <si>
    <t>MRNTX030309</t>
  </si>
  <si>
    <t>MRSTX034419</t>
  </si>
  <si>
    <t>MRNTX032496</t>
  </si>
  <si>
    <t>MRNTX032148</t>
  </si>
  <si>
    <t>MRSTX035681</t>
  </si>
  <si>
    <t>MRNTX036307</t>
  </si>
  <si>
    <t>MRSTX036414</t>
  </si>
  <si>
    <t>MRNTX031421</t>
  </si>
  <si>
    <t>MRNTX033596</t>
  </si>
  <si>
    <t>MRNTX031652</t>
  </si>
  <si>
    <t>MRNTX033142</t>
  </si>
  <si>
    <t>MRANM020457</t>
  </si>
  <si>
    <t>MRANM020368</t>
  </si>
  <si>
    <t>MRSTX033893</t>
  </si>
  <si>
    <t>MRSTX033802</t>
  </si>
  <si>
    <t>MRANM020356</t>
  </si>
  <si>
    <t>MRSTX010701</t>
  </si>
  <si>
    <t>MRSTX036119</t>
  </si>
  <si>
    <t>MRSTX033837</t>
  </si>
  <si>
    <t>MRNTX030752</t>
  </si>
  <si>
    <t>MRANM020098</t>
  </si>
  <si>
    <t>MRNTX032440</t>
  </si>
  <si>
    <t>MRNTX032355</t>
  </si>
  <si>
    <t>MRSTX034362</t>
  </si>
  <si>
    <t>MRSTX034062</t>
  </si>
  <si>
    <t>MRNTX031384</t>
  </si>
  <si>
    <t>MRSTX034069</t>
  </si>
  <si>
    <t>MRSTX034448</t>
  </si>
  <si>
    <t>MRNTX031772</t>
  </si>
  <si>
    <t>MRNTX030234</t>
  </si>
  <si>
    <t>MRSTX033537</t>
  </si>
  <si>
    <t>MRNTX033437</t>
  </si>
  <si>
    <t>MRNTX032155</t>
  </si>
  <si>
    <t>MRNTX030972</t>
  </si>
  <si>
    <t>MRNTX030553</t>
  </si>
  <si>
    <t>MRNTX030390</t>
  </si>
  <si>
    <t>MRNTX032096</t>
  </si>
  <si>
    <t>MRSTX036381</t>
  </si>
  <si>
    <t>MRSTX034000</t>
  </si>
  <si>
    <t>MRNTX032964</t>
  </si>
  <si>
    <t>MRNTX031977</t>
  </si>
  <si>
    <t>MRSTX034333</t>
  </si>
  <si>
    <t>MRNTX031452</t>
  </si>
  <si>
    <t>MRNTX031904</t>
  </si>
  <si>
    <t>MRSTX033993</t>
  </si>
  <si>
    <t>MRSTX034438</t>
  </si>
  <si>
    <t>MRNTX033154</t>
  </si>
  <si>
    <t>MRWSH006940</t>
  </si>
  <si>
    <t>MRNTX031182</t>
  </si>
  <si>
    <t>MRNTX037284</t>
  </si>
  <si>
    <t>MRSTX033504</t>
  </si>
  <si>
    <t>MRSTX032898</t>
  </si>
  <si>
    <t>MRNTX031214</t>
  </si>
  <si>
    <t>MRSTX034310</t>
  </si>
  <si>
    <t>MRNTX030418</t>
  </si>
  <si>
    <t>MRSTX033600</t>
  </si>
  <si>
    <t>MRNTX031882</t>
  </si>
  <si>
    <t>MRNTX032824</t>
  </si>
  <si>
    <t>MRNTX030495</t>
  </si>
  <si>
    <t>MRSTX033847</t>
  </si>
  <si>
    <t>MRNTX036193</t>
  </si>
  <si>
    <t>MRNTX031199</t>
  </si>
  <si>
    <t>MRNTX031577</t>
  </si>
  <si>
    <t>MRNTX031995</t>
  </si>
  <si>
    <t>MRNTX031834</t>
  </si>
  <si>
    <t>MRNTX030572</t>
  </si>
  <si>
    <t>MRNTX030383</t>
  </si>
  <si>
    <t>MRNTX033673</t>
  </si>
  <si>
    <t>MRNTX030824</t>
  </si>
  <si>
    <t>MRNTX030240</t>
  </si>
  <si>
    <t>MRSTX031906</t>
  </si>
  <si>
    <t>MRNTX031227</t>
  </si>
  <si>
    <t>MRNTX030827</t>
  </si>
  <si>
    <t>MRNTX031455</t>
  </si>
  <si>
    <t>MRNTX025021</t>
  </si>
  <si>
    <t>MRNTX030764</t>
  </si>
  <si>
    <t>MRNTX031167</t>
  </si>
  <si>
    <t>MRSTX032847</t>
  </si>
  <si>
    <t>MRNTX015140</t>
  </si>
  <si>
    <t>MRNTX033798</t>
  </si>
  <si>
    <t>MRNTX032571</t>
  </si>
  <si>
    <t>MRNTX031822</t>
  </si>
  <si>
    <t>MRNTX032377</t>
  </si>
  <si>
    <t>MRSTX033554</t>
  </si>
  <si>
    <t>MRSTX033965</t>
  </si>
  <si>
    <t>MRNTX031910</t>
  </si>
  <si>
    <t>MRSTX031613</t>
  </si>
  <si>
    <t>MRNTX033727</t>
  </si>
  <si>
    <t>MRSTX035812</t>
  </si>
  <si>
    <t>MRSTX034026</t>
  </si>
  <si>
    <t>MRSTX033894</t>
  </si>
  <si>
    <t>MRSTX033691</t>
  </si>
  <si>
    <t>MRSTX014313</t>
  </si>
  <si>
    <t>MRSTX036019</t>
  </si>
  <si>
    <t>MRSTX034285</t>
  </si>
  <si>
    <t>MRNTX033823</t>
  </si>
  <si>
    <t>MRSTX031986</t>
  </si>
  <si>
    <t>MRNTX033392</t>
  </si>
  <si>
    <t>MRNTX031158</t>
  </si>
  <si>
    <t>MRSTX034245</t>
  </si>
  <si>
    <t>MRNTX031236</t>
  </si>
  <si>
    <t>MRNTX011255</t>
  </si>
  <si>
    <t>MRSTX033944</t>
  </si>
  <si>
    <t>MRNTX030783</t>
  </si>
  <si>
    <t>MRSTX033335</t>
  </si>
  <si>
    <t>MRSTX034439</t>
  </si>
  <si>
    <t>MRNTX022068</t>
  </si>
  <si>
    <t>MRSTX031137</t>
  </si>
  <si>
    <t>MRNTX030670</t>
  </si>
  <si>
    <t>MRSTX033368</t>
  </si>
  <si>
    <t>MRNTX031152</t>
  </si>
  <si>
    <t>MRNTX030542</t>
  </si>
  <si>
    <t>MRSTX031133</t>
  </si>
  <si>
    <t>MRNTX031386</t>
  </si>
  <si>
    <t>MRSTX031281</t>
  </si>
  <si>
    <t>MRSTX033870</t>
  </si>
  <si>
    <t>MRNTX031178</t>
  </si>
  <si>
    <t>MRNTX031274</t>
  </si>
  <si>
    <t>MRNTX030705</t>
  </si>
  <si>
    <t>MRSTX036117</t>
  </si>
  <si>
    <t>MRSTX033841</t>
  </si>
  <si>
    <t>MRNTX031139</t>
  </si>
  <si>
    <t>MRSTX034339</t>
  </si>
  <si>
    <t>MRSTX033830</t>
  </si>
  <si>
    <t>MRSTX033914</t>
  </si>
  <si>
    <t>MRSTX034443</t>
  </si>
  <si>
    <t>MRNTX031235</t>
  </si>
  <si>
    <t>MRSTX036076</t>
  </si>
  <si>
    <t>MRNTX030600</t>
  </si>
  <si>
    <t>MRNTX033455</t>
  </si>
  <si>
    <t>MRSTX031603</t>
  </si>
  <si>
    <t>MRSTX033918</t>
  </si>
  <si>
    <t>MRNTX032392</t>
  </si>
  <si>
    <t>MRNTX033115</t>
  </si>
  <si>
    <t>MRNTX036027</t>
  </si>
  <si>
    <t>MRNTX025579</t>
  </si>
  <si>
    <t>MRNTX025604</t>
  </si>
  <si>
    <t>MRNTX032688</t>
  </si>
  <si>
    <t>MRNTX030556</t>
  </si>
  <si>
    <t>MRSTX033521</t>
  </si>
  <si>
    <t>MRSTX033896</t>
  </si>
  <si>
    <t>MRSTX034186</t>
  </si>
  <si>
    <t>MRSTX031674</t>
  </si>
  <si>
    <t>MRSTX033992</t>
  </si>
  <si>
    <t>MRNTX031356</t>
  </si>
  <si>
    <t>MRSTX036239</t>
  </si>
  <si>
    <t>MRNTX030905</t>
  </si>
  <si>
    <t>MRNTX032402</t>
  </si>
  <si>
    <t>MRSTX033549</t>
  </si>
  <si>
    <t>MRSTX030836</t>
  </si>
  <si>
    <t>MRNTX030355</t>
  </si>
  <si>
    <t>MRSTX034486</t>
  </si>
  <si>
    <t>MRSTX033744</t>
  </si>
  <si>
    <t>MRSTX031143</t>
  </si>
  <si>
    <t>MRNTX032631</t>
  </si>
  <si>
    <t>MRSTX036085</t>
  </si>
  <si>
    <t>MRNTX032605</t>
  </si>
  <si>
    <t>MRSTX031608</t>
  </si>
  <si>
    <t>MRSTX034397</t>
  </si>
  <si>
    <t>MRSTX035973</t>
  </si>
  <si>
    <t>MRNTX030396</t>
  </si>
  <si>
    <t>MRNTX033289</t>
  </si>
  <si>
    <t>MRNTX033109</t>
  </si>
  <si>
    <t>MRSTX036070</t>
  </si>
  <si>
    <t>MRNTX033342</t>
  </si>
  <si>
    <t>MRNTX031964</t>
  </si>
  <si>
    <t>MRNTX030936</t>
  </si>
  <si>
    <t>MRSTX034458</t>
  </si>
  <si>
    <t>MRNTX031909</t>
  </si>
  <si>
    <t>MRSTX033328</t>
  </si>
  <si>
    <t>MRNTX030663</t>
  </si>
  <si>
    <t>MRSTX032283</t>
  </si>
  <si>
    <t>MRNTX031923</t>
  </si>
  <si>
    <t>MRSTX034191</t>
  </si>
  <si>
    <t>MRSTX032916</t>
  </si>
  <si>
    <t>MRSTX031672</t>
  </si>
  <si>
    <t>MRNTX032034</t>
  </si>
  <si>
    <t>MRNTX032270</t>
  </si>
  <si>
    <t>MRNTX032277</t>
  </si>
  <si>
    <t>MRNTX031533</t>
  </si>
  <si>
    <t>MRNTX031985</t>
  </si>
  <si>
    <t>MRNTX030779</t>
  </si>
  <si>
    <t>MRSTX033781</t>
  </si>
  <si>
    <t>MRNTX031208</t>
  </si>
  <si>
    <t>MRSTX036109</t>
  </si>
  <si>
    <t>Forecast</t>
  </si>
  <si>
    <t>SS014</t>
  </si>
  <si>
    <t>MRANM022105</t>
  </si>
  <si>
    <t>MRNTX033275</t>
  </si>
  <si>
    <t>MRNTX033364</t>
  </si>
  <si>
    <t>MRANM022171</t>
  </si>
  <si>
    <t>MRANM022154</t>
  </si>
  <si>
    <t>MRANM022180</t>
  </si>
  <si>
    <t>MRANM022066</t>
  </si>
  <si>
    <t>MRANM022130</t>
  </si>
  <si>
    <t>MRSTX039920</t>
  </si>
  <si>
    <t>MRNTX033490</t>
  </si>
  <si>
    <t>MRNTX033835</t>
  </si>
  <si>
    <t>MRANM022082</t>
  </si>
  <si>
    <t>MRANM022179</t>
  </si>
  <si>
    <t>MRSTX039849</t>
  </si>
  <si>
    <t>MRANM022145</t>
  </si>
  <si>
    <t>MRANM022170</t>
  </si>
  <si>
    <t>MRANM022040</t>
  </si>
  <si>
    <t>MRANM022107</t>
  </si>
  <si>
    <t>MRSTX039846</t>
  </si>
  <si>
    <t>SS076</t>
  </si>
  <si>
    <t>MRANM022173</t>
  </si>
  <si>
    <t>MRSTX036071</t>
  </si>
  <si>
    <t>MRSTX033685</t>
  </si>
  <si>
    <t>MRANM022163</t>
  </si>
  <si>
    <t>MRSTX031739</t>
  </si>
  <si>
    <t>MRSTX034162</t>
  </si>
  <si>
    <t>MRSTX034422</t>
  </si>
  <si>
    <t>MRANM022169</t>
  </si>
  <si>
    <t>MRANM022167</t>
  </si>
  <si>
    <t>RE007</t>
  </si>
  <si>
    <t>MRNTX018481</t>
  </si>
  <si>
    <t>MRNTX025129</t>
  </si>
  <si>
    <t>MRNTX030268</t>
  </si>
  <si>
    <t>MRNTX019574</t>
  </si>
  <si>
    <t>MRNTX037063</t>
  </si>
  <si>
    <t>MRNTX030617</t>
  </si>
  <si>
    <t>MRNTX031942</t>
  </si>
  <si>
    <t>MRNTX032490</t>
  </si>
  <si>
    <t>MRNTX021427</t>
  </si>
  <si>
    <t>MRNTX025174</t>
  </si>
  <si>
    <t>MRNTX031940</t>
  </si>
  <si>
    <t>MRNTX009192</t>
  </si>
  <si>
    <t>MRNTX025417</t>
  </si>
  <si>
    <t>MRNTX029233</t>
  </si>
  <si>
    <t>MRNTX029234</t>
  </si>
  <si>
    <t>MRNTX029278</t>
  </si>
  <si>
    <t>MRNTX029386</t>
  </si>
  <si>
    <t>MRNTX029545</t>
  </si>
  <si>
    <t>MRNTX029547</t>
  </si>
  <si>
    <t>MRNTX029599</t>
  </si>
  <si>
    <t>MRNTX029607</t>
  </si>
  <si>
    <t>MRNTX029614</t>
  </si>
  <si>
    <t>MRNTX030261</t>
  </si>
  <si>
    <t>MRNTX030322</t>
  </si>
  <si>
    <t>MRNTX030354</t>
  </si>
  <si>
    <t>MRNTX030360</t>
  </si>
  <si>
    <t>MRNTX030411</t>
  </si>
  <si>
    <t>MRNTX030413</t>
  </si>
  <si>
    <t>MRNTX030414</t>
  </si>
  <si>
    <t>MRNTX030461</t>
  </si>
  <si>
    <t>MRNTX030475</t>
  </si>
  <si>
    <t>MRNTX030497</t>
  </si>
  <si>
    <t>MRNTX030529</t>
  </si>
  <si>
    <t>MRNTX030533</t>
  </si>
  <si>
    <t>MRNTX030562</t>
  </si>
  <si>
    <t>MRNTX030584</t>
  </si>
  <si>
    <t>MRNTX030601</t>
  </si>
  <si>
    <t>MRNTX030612</t>
  </si>
  <si>
    <t>MRNTX030678</t>
  </si>
  <si>
    <t>MRNTX030695</t>
  </si>
  <si>
    <t>MRNTX030717</t>
  </si>
  <si>
    <t>MRNTX030727</t>
  </si>
  <si>
    <t>MRNTX030745</t>
  </si>
  <si>
    <t>MRNTX030768</t>
  </si>
  <si>
    <t>MRNTX030825</t>
  </si>
  <si>
    <t>MRNTX030844</t>
  </si>
  <si>
    <t>MRNTX030856</t>
  </si>
  <si>
    <t>MRNTX030864</t>
  </si>
  <si>
    <t>MRNTX030937</t>
  </si>
  <si>
    <t>MRNTX030939</t>
  </si>
  <si>
    <t>MRNTX030953</t>
  </si>
  <si>
    <t>MRNTX031004</t>
  </si>
  <si>
    <t>MRNTX031019</t>
  </si>
  <si>
    <t>MRNTX031053</t>
  </si>
  <si>
    <t>MRNTX031062</t>
  </si>
  <si>
    <t>MRNTX031082</t>
  </si>
  <si>
    <t>MRNTX031112</t>
  </si>
  <si>
    <t>MRNTX031127</t>
  </si>
  <si>
    <t>MRNTX031136</t>
  </si>
  <si>
    <t>MRNTX031193</t>
  </si>
  <si>
    <t>MRNTX031200</t>
  </si>
  <si>
    <t>MRNTX031203</t>
  </si>
  <si>
    <t>MRNTX031206</t>
  </si>
  <si>
    <t>MRNTX031234</t>
  </si>
  <si>
    <t>MRNTX031239</t>
  </si>
  <si>
    <t>MRNTX031258</t>
  </si>
  <si>
    <t>MRNTX031265</t>
  </si>
  <si>
    <t>MRNTX031266</t>
  </si>
  <si>
    <t>MRNTX031271</t>
  </si>
  <si>
    <t>MRNTX031314</t>
  </si>
  <si>
    <t>MRNTX031315</t>
  </si>
  <si>
    <t>MRNTX031332</t>
  </si>
  <si>
    <t>MRNTX031342</t>
  </si>
  <si>
    <t>MRNTX031344</t>
  </si>
  <si>
    <t>MRNTX031448</t>
  </si>
  <si>
    <t>MRNTX031468</t>
  </si>
  <si>
    <t>MRNTX031471</t>
  </si>
  <si>
    <t>MRNTX031507</t>
  </si>
  <si>
    <t>MRNTX031527</t>
  </si>
  <si>
    <t>MRNTX031553</t>
  </si>
  <si>
    <t>MRNTX031567</t>
  </si>
  <si>
    <t>MRNTX031596</t>
  </si>
  <si>
    <t>MRNTX031606</t>
  </si>
  <si>
    <t>MRNTX031631</t>
  </si>
  <si>
    <t>MRNTX031634</t>
  </si>
  <si>
    <t>MRNTX031636</t>
  </si>
  <si>
    <t>MRNTX031648</t>
  </si>
  <si>
    <t>MRNTX031658</t>
  </si>
  <si>
    <t>MRNTX031666</t>
  </si>
  <si>
    <t>MRNTX031732</t>
  </si>
  <si>
    <t>MRNTX031741</t>
  </si>
  <si>
    <t>MRNTX031753</t>
  </si>
  <si>
    <t>MRNTX031787</t>
  </si>
  <si>
    <t>MRNTX031794</t>
  </si>
  <si>
    <t>MRNTX031826</t>
  </si>
  <si>
    <t>MRNTX031862</t>
  </si>
  <si>
    <t>MRNTX031867</t>
  </si>
  <si>
    <t>MRNTX031875</t>
  </si>
  <si>
    <t>MRNTX031894</t>
  </si>
  <si>
    <t>MRNTX031957</t>
  </si>
  <si>
    <t>MRNTX031962</t>
  </si>
  <si>
    <t>MRNTX031994</t>
  </si>
  <si>
    <t>MRNTX032040</t>
  </si>
  <si>
    <t>MRNTX032116</t>
  </si>
  <si>
    <t>MRNTX032117</t>
  </si>
  <si>
    <t>MRNTX032197</t>
  </si>
  <si>
    <t>MRNTX032200</t>
  </si>
  <si>
    <t>MRNTX032239</t>
  </si>
  <si>
    <t>MRNTX032272</t>
  </si>
  <si>
    <t>MRNTX032297</t>
  </si>
  <si>
    <t>MRNTX032315</t>
  </si>
  <si>
    <t>MRNTX032336</t>
  </si>
  <si>
    <t>MRNTX032347</t>
  </si>
  <si>
    <t>MRNTX032351</t>
  </si>
  <si>
    <t>MRNTX032352</t>
  </si>
  <si>
    <t>MRNTX032359</t>
  </si>
  <si>
    <t>MRNTX032367</t>
  </si>
  <si>
    <t>MRNTX032375</t>
  </si>
  <si>
    <t>MRNTX032519</t>
  </si>
  <si>
    <t>MRNTX032570</t>
  </si>
  <si>
    <t>MRNTX032592</t>
  </si>
  <si>
    <t>MRNTX032599</t>
  </si>
  <si>
    <t>MRNTX032659</t>
  </si>
  <si>
    <t>MRNTX032664</t>
  </si>
  <si>
    <t>MRNTX032759</t>
  </si>
  <si>
    <t>MRNTX032769</t>
  </si>
  <si>
    <t>MRNTX032770</t>
  </si>
  <si>
    <t>MRNTX032784</t>
  </si>
  <si>
    <t>MRNTX032841</t>
  </si>
  <si>
    <t>MRNTX032842</t>
  </si>
  <si>
    <t>MRNTX032861</t>
  </si>
  <si>
    <t>MRNTX032907</t>
  </si>
  <si>
    <t>MRNTX032922</t>
  </si>
  <si>
    <t>MRNTX032959</t>
  </si>
  <si>
    <t>MRNTX032988</t>
  </si>
  <si>
    <t>MRNTX033003</t>
  </si>
  <si>
    <t>MRNTX033030</t>
  </si>
  <si>
    <t>MRNTX033040</t>
  </si>
  <si>
    <t>MRNTX033056</t>
  </si>
  <si>
    <t>MRNTX033059</t>
  </si>
  <si>
    <t>MRNTX033082</t>
  </si>
  <si>
    <t>MRNTX033093</t>
  </si>
  <si>
    <t>MRNTX033130</t>
  </si>
  <si>
    <t>MRNTX033195</t>
  </si>
  <si>
    <t>MRNTX033212</t>
  </si>
  <si>
    <t>MRNTX033214</t>
  </si>
  <si>
    <t>MRNTX033281</t>
  </si>
  <si>
    <t>MRNTX033291</t>
  </si>
  <si>
    <t>MRNTX033375</t>
  </si>
  <si>
    <t>MRNTX033378</t>
  </si>
  <si>
    <t>MRNTX033539</t>
  </si>
  <si>
    <t>MRNTX033561</t>
  </si>
  <si>
    <t>MRNTX033562</t>
  </si>
  <si>
    <t>MRNTX033573</t>
  </si>
  <si>
    <t>MRNTX033614</t>
  </si>
  <si>
    <t>MRNTX033635</t>
  </si>
  <si>
    <t>MRNTX033662</t>
  </si>
  <si>
    <t>MRNTX033696</t>
  </si>
  <si>
    <t>MRNTX033704</t>
  </si>
  <si>
    <t>MRNTX033759</t>
  </si>
  <si>
    <t>MRNTX033767</t>
  </si>
  <si>
    <t>MRNTX033803</t>
  </si>
  <si>
    <t>MRNTX033846</t>
  </si>
  <si>
    <t>MRNTX033892</t>
  </si>
  <si>
    <t>MRNTX033900</t>
  </si>
  <si>
    <t>MRNTX033919</t>
  </si>
  <si>
    <t>MRNTX033935</t>
  </si>
  <si>
    <t>MRNTX033947</t>
  </si>
  <si>
    <t>MRNTX033953</t>
  </si>
  <si>
    <t>MRNTX033955</t>
  </si>
  <si>
    <t>MRNTX033958</t>
  </si>
  <si>
    <t>MRNTX035593</t>
  </si>
  <si>
    <t>MRNTX036368</t>
  </si>
  <si>
    <t>MRNTX036437</t>
  </si>
  <si>
    <t>MRNTX036552</t>
  </si>
  <si>
    <t>MRNTX026169</t>
  </si>
  <si>
    <t>MRNTX026181</t>
  </si>
  <si>
    <t>MRNTX026184</t>
  </si>
  <si>
    <t>MRNTX026194</t>
  </si>
  <si>
    <t>MRNTX026208</t>
  </si>
  <si>
    <t>MRNTX026212</t>
  </si>
  <si>
    <t>MRNTX029345</t>
  </si>
  <si>
    <t>MRNTX029463</t>
  </si>
  <si>
    <t>MRNTX029678</t>
  </si>
  <si>
    <t>MRNTX029680</t>
  </si>
  <si>
    <t>MRNTX030656</t>
  </si>
  <si>
    <t>MRNTX030979</t>
  </si>
  <si>
    <t>MRNTX031222</t>
  </si>
  <si>
    <t>MRNTX031857</t>
  </si>
  <si>
    <t>MRNTX032047</t>
  </si>
  <si>
    <t>MRNTX032169</t>
  </si>
  <si>
    <t>MRNTX032547</t>
  </si>
  <si>
    <t>MRNTX032753</t>
  </si>
  <si>
    <t>MRNTX033332</t>
  </si>
  <si>
    <t>MRNTX033411</t>
  </si>
  <si>
    <t>MRNTX033523</t>
  </si>
  <si>
    <t>MRNTX034366</t>
  </si>
  <si>
    <t>MRNTX034815</t>
  </si>
  <si>
    <t>MRNTX034835</t>
  </si>
  <si>
    <t>MRNTX034937</t>
  </si>
  <si>
    <t>MRNTX034988</t>
  </si>
  <si>
    <t>MRNTX035018</t>
  </si>
  <si>
    <t>MRNTX035215</t>
  </si>
  <si>
    <t>MRNTX035277</t>
  </si>
  <si>
    <t>MRNTX035308</t>
  </si>
  <si>
    <t>MRNTX035311</t>
  </si>
  <si>
    <t>MRNTX035315</t>
  </si>
  <si>
    <t>MRNTX035326</t>
  </si>
  <si>
    <t>MRNTX035335</t>
  </si>
  <si>
    <t>MRNTX035342</t>
  </si>
  <si>
    <t>MRNTX037777</t>
  </si>
  <si>
    <t>MRNTX037884</t>
  </si>
  <si>
    <t>MRNTX037886</t>
  </si>
  <si>
    <t>MRNTX037905</t>
  </si>
  <si>
    <t>MRNTX037927</t>
  </si>
  <si>
    <t>MRNTX037946</t>
  </si>
  <si>
    <t>MRNTX009246</t>
  </si>
  <si>
    <t>MRNTX017736</t>
  </si>
  <si>
    <t>MRNTX018658</t>
  </si>
  <si>
    <t>MRNTX019317</t>
  </si>
  <si>
    <t>MRNTX020035</t>
  </si>
  <si>
    <t>MRNTX021524</t>
  </si>
  <si>
    <t>MRNTX024431</t>
  </si>
  <si>
    <t>MRNTX024632</t>
  </si>
  <si>
    <t>MRNTX025406</t>
  </si>
  <si>
    <t>MRNTX025578</t>
  </si>
  <si>
    <t>MRNTX025629</t>
  </si>
  <si>
    <t>MRNTX026192</t>
  </si>
  <si>
    <t>MRNTX026254</t>
  </si>
  <si>
    <t>MRNTX026255</t>
  </si>
  <si>
    <t>MRNTX028496</t>
  </si>
  <si>
    <t>MRNTX029197</t>
  </si>
  <si>
    <t>MRNTX029271</t>
  </si>
  <si>
    <t>MRNTX030227</t>
  </si>
  <si>
    <t>MRNTX030336</t>
  </si>
  <si>
    <t>MRNTX030340</t>
  </si>
  <si>
    <t>MRNTX030342</t>
  </si>
  <si>
    <t>MRNTX030359</t>
  </si>
  <si>
    <t>MRNTX030370</t>
  </si>
  <si>
    <t>MRNTX030409</t>
  </si>
  <si>
    <t>MRNTX030426</t>
  </si>
  <si>
    <t>MRNTX030429</t>
  </si>
  <si>
    <t>MRNTX030436</t>
  </si>
  <si>
    <t>MRNTX030463</t>
  </si>
  <si>
    <t>MRNTX030464</t>
  </si>
  <si>
    <t>MRNTX030485</t>
  </si>
  <si>
    <t>MRNTX030493</t>
  </si>
  <si>
    <t>MRNTX030499</t>
  </si>
  <si>
    <t>MRNTX030551</t>
  </si>
  <si>
    <t>MRNTX030627</t>
  </si>
  <si>
    <t>MRNTX030636</t>
  </si>
  <si>
    <t>MRNTX030638</t>
  </si>
  <si>
    <t>MRNTX030648</t>
  </si>
  <si>
    <t>MRNTX030711</t>
  </si>
  <si>
    <t>MRNTX030714</t>
  </si>
  <si>
    <t>MRNTX030739</t>
  </si>
  <si>
    <t>MRNTX030784</t>
  </si>
  <si>
    <t>MRNTX030794</t>
  </si>
  <si>
    <t>MRNTX030796</t>
  </si>
  <si>
    <t>MRNTX030810</t>
  </si>
  <si>
    <t>MRNTX030821</t>
  </si>
  <si>
    <t>MRNTX030871</t>
  </si>
  <si>
    <t>MRNTX031045</t>
  </si>
  <si>
    <t>MRNTX031084</t>
  </si>
  <si>
    <t>MRNTX031100</t>
  </si>
  <si>
    <t>MRNTX031101</t>
  </si>
  <si>
    <t>MRNTX031104</t>
  </si>
  <si>
    <t>MRNTX031124</t>
  </si>
  <si>
    <t>MRNTX031145</t>
  </si>
  <si>
    <t>MRNTX031161</t>
  </si>
  <si>
    <t>MRNTX031170</t>
  </si>
  <si>
    <t>MRNTX031228</t>
  </si>
  <si>
    <t>MRNTX031238</t>
  </si>
  <si>
    <t>MRNTX031241</t>
  </si>
  <si>
    <t>MRNTX031244</t>
  </si>
  <si>
    <t>MRNTX031286</t>
  </si>
  <si>
    <t>MRNTX031322</t>
  </si>
  <si>
    <t>MRNTX031350</t>
  </si>
  <si>
    <t>MRNTX031387</t>
  </si>
  <si>
    <t>MRNTX031400</t>
  </si>
  <si>
    <t>MRNTX031441</t>
  </si>
  <si>
    <t>MRNTX031470</t>
  </si>
  <si>
    <t>MRNTX031472</t>
  </si>
  <si>
    <t>MRNTX031485</t>
  </si>
  <si>
    <t>MRNTX031503</t>
  </si>
  <si>
    <t>MRNTX031512</t>
  </si>
  <si>
    <t>MRNTX031551</t>
  </si>
  <si>
    <t>MRNTX031583</t>
  </si>
  <si>
    <t>MRNTX031646</t>
  </si>
  <si>
    <t>MRNTX031662</t>
  </si>
  <si>
    <t>MRNTX031667</t>
  </si>
  <si>
    <t>MRNTX031677</t>
  </si>
  <si>
    <t>MRNTX031696</t>
  </si>
  <si>
    <t>MRNTX031701</t>
  </si>
  <si>
    <t>MRNTX031743</t>
  </si>
  <si>
    <t>MRNTX031800</t>
  </si>
  <si>
    <t>MRNTX031802</t>
  </si>
  <si>
    <t>MRNTX031878</t>
  </si>
  <si>
    <t>MRNTX031924</t>
  </si>
  <si>
    <t>MRNTX031927</t>
  </si>
  <si>
    <t>MRNTX031958</t>
  </si>
  <si>
    <t>MRNTX032012</t>
  </si>
  <si>
    <t>MRNTX032016</t>
  </si>
  <si>
    <t>MRNTX032044</t>
  </si>
  <si>
    <t>MRNTX032182</t>
  </si>
  <si>
    <t>MRNTX032310</t>
  </si>
  <si>
    <t>MRNTX032317</t>
  </si>
  <si>
    <t>MRNTX032435</t>
  </si>
  <si>
    <t>MRNTX032492</t>
  </si>
  <si>
    <t>MRNTX032566</t>
  </si>
  <si>
    <t>MRNTX032615</t>
  </si>
  <si>
    <t>MRNTX032621</t>
  </si>
  <si>
    <t>MRNTX032634</t>
  </si>
  <si>
    <t>MRNTX032637</t>
  </si>
  <si>
    <t>MRNTX032657</t>
  </si>
  <si>
    <t>MRNTX032740</t>
  </si>
  <si>
    <t>MRNTX032777</t>
  </si>
  <si>
    <t>MRNTX032783</t>
  </si>
  <si>
    <t>MRNTX032808</t>
  </si>
  <si>
    <t>MRNTX032821</t>
  </si>
  <si>
    <t>MRNTX032832</t>
  </si>
  <si>
    <t>MRNTX032837</t>
  </si>
  <si>
    <t>MRNTX032916</t>
  </si>
  <si>
    <t>MRNTX032931</t>
  </si>
  <si>
    <t>MRNTX032936</t>
  </si>
  <si>
    <t>MRNTX032999</t>
  </si>
  <si>
    <t>MRNTX033000</t>
  </si>
  <si>
    <t>MRNTX033008</t>
  </si>
  <si>
    <t>MRNTX033029</t>
  </si>
  <si>
    <t>MRNTX033076</t>
  </si>
  <si>
    <t>MRNTX033261</t>
  </si>
  <si>
    <t>MRNTX033271</t>
  </si>
  <si>
    <t>MRNTX033325</t>
  </si>
  <si>
    <t>MRNTX033359</t>
  </si>
  <si>
    <t>MRNTX033361</t>
  </si>
  <si>
    <t>MRNTX033454</t>
  </si>
  <si>
    <t>MRNTX033499</t>
  </si>
  <si>
    <t>MRNTX033513</t>
  </si>
  <si>
    <t>MRNTX033520</t>
  </si>
  <si>
    <t>MRNTX033605</t>
  </si>
  <si>
    <t>MRNTX033623</t>
  </si>
  <si>
    <t>MRNTX033665</t>
  </si>
  <si>
    <t>MRNTX033675</t>
  </si>
  <si>
    <t>MRNTX033794</t>
  </si>
  <si>
    <t>MRNTX033824</t>
  </si>
  <si>
    <t>MRNTX033838</t>
  </si>
  <si>
    <t>MRNTX033865</t>
  </si>
  <si>
    <t>MRNTX033922</t>
  </si>
  <si>
    <t>MRNTX033929</t>
  </si>
  <si>
    <t>MRNTX033981</t>
  </si>
  <si>
    <t>MRNTX034084</t>
  </si>
  <si>
    <t>MRNTX034085</t>
  </si>
  <si>
    <t>MRNTX035403</t>
  </si>
  <si>
    <t>MRNTX035404</t>
  </si>
  <si>
    <t>MRNTX035408</t>
  </si>
  <si>
    <t>MRNTX035450</t>
  </si>
  <si>
    <t>MRNTX035505</t>
  </si>
  <si>
    <t>MRNTX035520</t>
  </si>
  <si>
    <t>MRNTX036221</t>
  </si>
  <si>
    <t>MRNTX036225</t>
  </si>
  <si>
    <t>MRNTX036303</t>
  </si>
  <si>
    <t>MRNTX036308</t>
  </si>
  <si>
    <t>MRNTX036310</t>
  </si>
  <si>
    <t>MRNTX036365</t>
  </si>
  <si>
    <t>MRNTX037921</t>
  </si>
  <si>
    <t>MRNTX021684</t>
  </si>
  <si>
    <t>MRNTX021712</t>
  </si>
  <si>
    <t>MRNTX022107</t>
  </si>
  <si>
    <t>MRNTX026165</t>
  </si>
  <si>
    <t>MRNTX026199</t>
  </si>
  <si>
    <t>MRNTX026204</t>
  </si>
  <si>
    <t>MRNTX026207</t>
  </si>
  <si>
    <t>MRNTX026209</t>
  </si>
  <si>
    <t>MRNTX026219</t>
  </si>
  <si>
    <t>MRNTX026221</t>
  </si>
  <si>
    <t>MRNTX026222</t>
  </si>
  <si>
    <t>MRNTX026248</t>
  </si>
  <si>
    <t>MRNTX026250</t>
  </si>
  <si>
    <t>MRNTX026252</t>
  </si>
  <si>
    <t>MRNTX026253</t>
  </si>
  <si>
    <t>MRNTX026264</t>
  </si>
  <si>
    <t>MRNTX029204</t>
  </si>
  <si>
    <t>MRNTX030242</t>
  </si>
  <si>
    <t>MRNTX030502</t>
  </si>
  <si>
    <t>MRNTX030543</t>
  </si>
  <si>
    <t>MRNTX030567</t>
  </si>
  <si>
    <t>MRNTX030570</t>
  </si>
  <si>
    <t>MRNTX030723</t>
  </si>
  <si>
    <t>MRNTX030754</t>
  </si>
  <si>
    <t>MRNTX030832</t>
  </si>
  <si>
    <t>MRNTX030878</t>
  </si>
  <si>
    <t>MRNTX031041</t>
  </si>
  <si>
    <t>MRNTX031049</t>
  </si>
  <si>
    <t>MRNTX031090</t>
  </si>
  <si>
    <t>MRNTX031154</t>
  </si>
  <si>
    <t>MRNTX031190</t>
  </si>
  <si>
    <t>MRNTX031197</t>
  </si>
  <si>
    <t>MRNTX031330</t>
  </si>
  <si>
    <t>MRNTX031436</t>
  </si>
  <si>
    <t>MRNTX031489</t>
  </si>
  <si>
    <t>MRNTX031526</t>
  </si>
  <si>
    <t>MRNTX031528</t>
  </si>
  <si>
    <t>MRNTX031588</t>
  </si>
  <si>
    <t>MRNTX031686</t>
  </si>
  <si>
    <t>MRNTX031699</t>
  </si>
  <si>
    <t>MRNTX031708</t>
  </si>
  <si>
    <t>MRNTX031709</t>
  </si>
  <si>
    <t>MRNTX031841</t>
  </si>
  <si>
    <t>MRNTX031842</t>
  </si>
  <si>
    <t>MRNTX031880</t>
  </si>
  <si>
    <t>MRNTX032074</t>
  </si>
  <si>
    <t>MRNTX032085</t>
  </si>
  <si>
    <t>MRNTX032106</t>
  </si>
  <si>
    <t>MRNTX032115</t>
  </si>
  <si>
    <t>MRNTX032187</t>
  </si>
  <si>
    <t>MRNTX032189</t>
  </si>
  <si>
    <t>MRNTX032358</t>
  </si>
  <si>
    <t>MRNTX032548</t>
  </si>
  <si>
    <t>MRNTX032780</t>
  </si>
  <si>
    <t>MRNTX033061</t>
  </si>
  <si>
    <t>MRNTX033131</t>
  </si>
  <si>
    <t>MRNTX033299</t>
  </si>
  <si>
    <t>MRNTX033319</t>
  </si>
  <si>
    <t>MRNTX033502</t>
  </si>
  <si>
    <t>MRNTX033570</t>
  </si>
  <si>
    <t>MRNTX033639</t>
  </si>
  <si>
    <t>MRNTX033795</t>
  </si>
  <si>
    <t>MRNTX033815</t>
  </si>
  <si>
    <t>MRNTX034771</t>
  </si>
  <si>
    <t>MRNTX036828</t>
  </si>
  <si>
    <t>MRNTX037287</t>
  </si>
  <si>
    <t>MRNTX037493</t>
  </si>
  <si>
    <t>MRNTX037879</t>
  </si>
  <si>
    <t>MRNTX037909</t>
  </si>
  <si>
    <t>MRNTX037935</t>
  </si>
  <si>
    <t>MRNTX029305</t>
  </si>
  <si>
    <t>MRNTX029372</t>
  </si>
  <si>
    <t>MRNTX029390</t>
  </si>
  <si>
    <t>MRNTX029460</t>
  </si>
  <si>
    <t>MRNTX029627</t>
  </si>
  <si>
    <t>MRNTX029685</t>
  </si>
  <si>
    <t>MRNTX029686</t>
  </si>
  <si>
    <t>MRNTX030880</t>
  </si>
  <si>
    <t>MRNTX033654</t>
  </si>
  <si>
    <t>MRNTX033944</t>
  </si>
  <si>
    <t>MRNTX035971</t>
  </si>
  <si>
    <t>MRNTX036012</t>
  </si>
  <si>
    <t>MRNTX036042</t>
  </si>
  <si>
    <t>MRNTX036049</t>
  </si>
  <si>
    <t>MRNTX036087</t>
  </si>
  <si>
    <t>MRNTX036419</t>
  </si>
  <si>
    <t>MRNTX036425</t>
  </si>
  <si>
    <t>MRNTX036563</t>
  </si>
  <si>
    <t>MRNTX036942</t>
  </si>
  <si>
    <t>MRNTX021190</t>
  </si>
  <si>
    <t>MRNTX021248</t>
  </si>
  <si>
    <t>MRNTX024696</t>
  </si>
  <si>
    <t>MRNTX026175</t>
  </si>
  <si>
    <t>MRNTX026217</t>
  </si>
  <si>
    <t>MRNTX026256</t>
  </si>
  <si>
    <t>MRNTX026257</t>
  </si>
  <si>
    <t>MRNTX026260</t>
  </si>
  <si>
    <t>MRNTX026263</t>
  </si>
  <si>
    <t>MRNTX029214</t>
  </si>
  <si>
    <t>MRNTX029279</t>
  </si>
  <si>
    <t>MRNTX029357</t>
  </si>
  <si>
    <t>MRNTX029414</t>
  </si>
  <si>
    <t>MRNTX029528</t>
  </si>
  <si>
    <t>MRNTX029682</t>
  </si>
  <si>
    <t>MRNTX030243</t>
  </si>
  <si>
    <t>MRNTX030457</t>
  </si>
  <si>
    <t>MRNTX030480</t>
  </si>
  <si>
    <t>MRNTX030512</t>
  </si>
  <si>
    <t>MRNTX030537</t>
  </si>
  <si>
    <t>MRNTX030577</t>
  </si>
  <si>
    <t>MRNTX030658</t>
  </si>
  <si>
    <t>MRNTX030726</t>
  </si>
  <si>
    <t>MRNTX030758</t>
  </si>
  <si>
    <t>MRNTX030862</t>
  </si>
  <si>
    <t>MRNTX030873</t>
  </si>
  <si>
    <t>MRNTX030975</t>
  </si>
  <si>
    <t>MRNTX031059</t>
  </si>
  <si>
    <t>MRNTX031069</t>
  </si>
  <si>
    <t>MRNTX031088</t>
  </si>
  <si>
    <t>MRNTX031149</t>
  </si>
  <si>
    <t>MRNTX031278</t>
  </si>
  <si>
    <t>MRNTX031318</t>
  </si>
  <si>
    <t>MRNTX031405</t>
  </si>
  <si>
    <t>MRNTX031418</t>
  </si>
  <si>
    <t>MRNTX031422</t>
  </si>
  <si>
    <t>MRNTX031427</t>
  </si>
  <si>
    <t>MRNTX031447</t>
  </si>
  <si>
    <t>MRNTX031518</t>
  </si>
  <si>
    <t>MRNTX031520</t>
  </si>
  <si>
    <t>MRNTX031608</t>
  </si>
  <si>
    <t>MRNTX031645</t>
  </si>
  <si>
    <t>MRNTX031681</t>
  </si>
  <si>
    <t>MRNTX031692</t>
  </si>
  <si>
    <t>MRNTX031980</t>
  </si>
  <si>
    <t>MRNTX032097</t>
  </si>
  <si>
    <t>MRNTX032118</t>
  </si>
  <si>
    <t>MRNTX032135</t>
  </si>
  <si>
    <t>MRNTX032231</t>
  </si>
  <si>
    <t>MRNTX032502</t>
  </si>
  <si>
    <t>MRNTX034776</t>
  </si>
  <si>
    <t>MRNTX037478</t>
  </si>
  <si>
    <t>MRNTX037485</t>
  </si>
  <si>
    <t>MRNTX037918</t>
  </si>
  <si>
    <t>MRNTX009133</t>
  </si>
  <si>
    <t>MRNTX023714</t>
  </si>
  <si>
    <t>MRNTX024449</t>
  </si>
  <si>
    <t>MRNTX024710</t>
  </si>
  <si>
    <t>MRNTX024751</t>
  </si>
  <si>
    <t>MRNTX024892</t>
  </si>
  <si>
    <t>MRNTX024921</t>
  </si>
  <si>
    <t>MRNTX025284</t>
  </si>
  <si>
    <t>MRNTX025460</t>
  </si>
  <si>
    <t>MRNTX025537</t>
  </si>
  <si>
    <t>MRNTX025748</t>
  </si>
  <si>
    <t>MRNTX026176</t>
  </si>
  <si>
    <t>MRNTX026189</t>
  </si>
  <si>
    <t>MRNTX026220</t>
  </si>
  <si>
    <t>MRNTX029255</t>
  </si>
  <si>
    <t>MRNTX029739</t>
  </si>
  <si>
    <t>MRNTX030263</t>
  </si>
  <si>
    <t>MRNTX030330</t>
  </si>
  <si>
    <t>MRNTX030362</t>
  </si>
  <si>
    <t>MRNTX030701</t>
  </si>
  <si>
    <t>MRNTX030732</t>
  </si>
  <si>
    <t>MRNTX031037</t>
  </si>
  <si>
    <t>MRNTX031183</t>
  </si>
  <si>
    <t>MRNTX031333</t>
  </si>
  <si>
    <t>MRNTX031363</t>
  </si>
  <si>
    <t>MRNTX031404</t>
  </si>
  <si>
    <t>MRNTX031496</t>
  </si>
  <si>
    <t>MRNTX031758</t>
  </si>
  <si>
    <t>MRNTX031803</t>
  </si>
  <si>
    <t>MRNTX031854</t>
  </si>
  <si>
    <t>MRNTX031895</t>
  </si>
  <si>
    <t>MRNTX031908</t>
  </si>
  <si>
    <t>MRNTX031914</t>
  </si>
  <si>
    <t>MRNTX031925</t>
  </si>
  <si>
    <t>MRNTX031933</t>
  </si>
  <si>
    <t>MRNTX032940</t>
  </si>
  <si>
    <t>MRNTX033032</t>
  </si>
  <si>
    <t>MRNTX033126</t>
  </si>
  <si>
    <t>MRNTX033185</t>
  </si>
  <si>
    <t>MRNTX033216</t>
  </si>
  <si>
    <t>MRNTX033478</t>
  </si>
  <si>
    <t>MRNTX033601</t>
  </si>
  <si>
    <t>MRNTX033664</t>
  </si>
  <si>
    <t>MRNTX033791</t>
  </si>
  <si>
    <t>MRNTX033804</t>
  </si>
  <si>
    <t>MRNTX033811</t>
  </si>
  <si>
    <t>MRNTX033850</t>
  </si>
  <si>
    <t>MRNTX033938</t>
  </si>
  <si>
    <t>MRNTX033967</t>
  </si>
  <si>
    <t>MRNTX036297</t>
  </si>
  <si>
    <t>MRNTX036302</t>
  </si>
  <si>
    <t>MRNTX029455</t>
  </si>
  <si>
    <t>MRNTX029469</t>
  </si>
  <si>
    <t>MRNTX029619</t>
  </si>
  <si>
    <t>MRNTX030706</t>
  </si>
  <si>
    <t>MRNTX031209</t>
  </si>
  <si>
    <t>MRNTX031252</t>
  </si>
  <si>
    <t>MRNTX031361</t>
  </si>
  <si>
    <t>MRNTX031426</t>
  </si>
  <si>
    <t>MRNTX031451</t>
  </si>
  <si>
    <t>MRNTX032859</t>
  </si>
  <si>
    <t>MRNTX033048</t>
  </si>
  <si>
    <t>MRNTX033152</t>
  </si>
  <si>
    <t>MRNTX033372</t>
  </si>
  <si>
    <t>MRNTX033483</t>
  </si>
  <si>
    <t>MRNTX033541</t>
  </si>
  <si>
    <t>MRNTX033796</t>
  </si>
  <si>
    <t>MRNTX033816</t>
  </si>
  <si>
    <t>MRNTX033945</t>
  </si>
  <si>
    <t>MRNTX034195</t>
  </si>
  <si>
    <t>MRNTX034197</t>
  </si>
  <si>
    <t>MRNTX034913</t>
  </si>
  <si>
    <t>MRNTX034933</t>
  </si>
  <si>
    <t>MRNTX036023</t>
  </si>
  <si>
    <t>MRNTX036043</t>
  </si>
  <si>
    <t>MRNTX036101</t>
  </si>
  <si>
    <t>MRNTX036122</t>
  </si>
  <si>
    <t>MRNTX036169</t>
  </si>
  <si>
    <t>MRNTX036191</t>
  </si>
  <si>
    <t>MRNTX036211</t>
  </si>
  <si>
    <t>MRNTX036242</t>
  </si>
  <si>
    <t>MRNTX036269</t>
  </si>
  <si>
    <t>MRNTX036492</t>
  </si>
  <si>
    <t>MRNTX036534</t>
  </si>
  <si>
    <t>MRNTX036599</t>
  </si>
  <si>
    <t>MRNTX036641</t>
  </si>
  <si>
    <t>MRNTX036642</t>
  </si>
  <si>
    <t>MRNTX036665</t>
  </si>
  <si>
    <t>MRNTX036691</t>
  </si>
  <si>
    <t>MRNTX036696</t>
  </si>
  <si>
    <t>MRNTX036697</t>
  </si>
  <si>
    <t>MRNTX036748</t>
  </si>
  <si>
    <t>MRNTX036776</t>
  </si>
  <si>
    <t>MRNTX036793</t>
  </si>
  <si>
    <t>MRNTX036801</t>
  </si>
  <si>
    <t>MRNTX036805</t>
  </si>
  <si>
    <t>MRNTX036830</t>
  </si>
  <si>
    <t>MRNTX037178</t>
  </si>
  <si>
    <t>MRNTX018931</t>
  </si>
  <si>
    <t>MRNTX024483</t>
  </si>
  <si>
    <t>MRNTX025308</t>
  </si>
  <si>
    <t>MRNTX025327</t>
  </si>
  <si>
    <t>MRNTX026161</t>
  </si>
  <si>
    <t>MRNTX029174</t>
  </si>
  <si>
    <t>MRNTX029183</t>
  </si>
  <si>
    <t>MRNTX029229</t>
  </si>
  <si>
    <t>MRNTX029245</t>
  </si>
  <si>
    <t>MRNTX029282</t>
  </si>
  <si>
    <t>MRNTX029283</t>
  </si>
  <si>
    <t>MRNTX029338</t>
  </si>
  <si>
    <t>MRNTX029341</t>
  </si>
  <si>
    <t>MRNTX029369</t>
  </si>
  <si>
    <t>MRNTX029392</t>
  </si>
  <si>
    <t>MRNTX029437</t>
  </si>
  <si>
    <t>MRNTX029453</t>
  </si>
  <si>
    <t>MRNTX029462</t>
  </si>
  <si>
    <t>MRNTX029485</t>
  </si>
  <si>
    <t>MRNTX029625</t>
  </si>
  <si>
    <t>MRNTX029669</t>
  </si>
  <si>
    <t>MRNTX029692</t>
  </si>
  <si>
    <t>MRNTX029704</t>
  </si>
  <si>
    <t>MRNTX029740</t>
  </si>
  <si>
    <t>MRNTX030294</t>
  </si>
  <si>
    <t>MRNTX030393</t>
  </si>
  <si>
    <t>MRNTX030487</t>
  </si>
  <si>
    <t>MRNTX030634</t>
  </si>
  <si>
    <t>MRNTX030650</t>
  </si>
  <si>
    <t>MRNTX030652</t>
  </si>
  <si>
    <t>MRNTX030693</t>
  </si>
  <si>
    <t>MRNTX030826</t>
  </si>
  <si>
    <t>MRNTX030882</t>
  </si>
  <si>
    <t>MRNTX030895</t>
  </si>
  <si>
    <t>MRNTX030983</t>
  </si>
  <si>
    <t>MRNTX031047</t>
  </si>
  <si>
    <t>MRNTX031092</t>
  </si>
  <si>
    <t>MRNTX031207</t>
  </si>
  <si>
    <t>MRNTX031243</t>
  </si>
  <si>
    <t>MRNTX031270</t>
  </si>
  <si>
    <t>MRNTX031296</t>
  </si>
  <si>
    <t>MRNTX031308</t>
  </si>
  <si>
    <t>MRNTX031312</t>
  </si>
  <si>
    <t>MRNTX031321</t>
  </si>
  <si>
    <t>MRNTX031394</t>
  </si>
  <si>
    <t>MRNTX031508</t>
  </si>
  <si>
    <t>MRNTX031514</t>
  </si>
  <si>
    <t>MRNTX031548</t>
  </si>
  <si>
    <t>MRNTX031571</t>
  </si>
  <si>
    <t>MRNTX031585</t>
  </si>
  <si>
    <t>MRNTX031641</t>
  </si>
  <si>
    <t>MRNTX031764</t>
  </si>
  <si>
    <t>MRNTX032017</t>
  </si>
  <si>
    <t>MRNTX032033</t>
  </si>
  <si>
    <t>MRNTX032052</t>
  </si>
  <si>
    <t>MRNTX032088</t>
  </si>
  <si>
    <t>MRNTX032122</t>
  </si>
  <si>
    <t>MRNTX032178</t>
  </si>
  <si>
    <t>MRNTX032201</t>
  </si>
  <si>
    <t>MRNTX032210</t>
  </si>
  <si>
    <t>MRNTX032221</t>
  </si>
  <si>
    <t>MRNTX032241</t>
  </si>
  <si>
    <t>MRNTX032242</t>
  </si>
  <si>
    <t>MRNTX032248</t>
  </si>
  <si>
    <t>MRNTX032308</t>
  </si>
  <si>
    <t>MRNTX032470</t>
  </si>
  <si>
    <t>MRNTX032474</t>
  </si>
  <si>
    <t>MRNTX032574</t>
  </si>
  <si>
    <t>MRNTX032618</t>
  </si>
  <si>
    <t>MRNTX032628</t>
  </si>
  <si>
    <t>MRNTX032642</t>
  </si>
  <si>
    <t>MRNTX032684</t>
  </si>
  <si>
    <t>MRNTX032706</t>
  </si>
  <si>
    <t>MRNTX032727</t>
  </si>
  <si>
    <t>MRNTX032756</t>
  </si>
  <si>
    <t>MRNTX032787</t>
  </si>
  <si>
    <t>MRNTX032802</t>
  </si>
  <si>
    <t>MRNTX032807</t>
  </si>
  <si>
    <t>MRNTX032852</t>
  </si>
  <si>
    <t>MRNTX032857</t>
  </si>
  <si>
    <t>MRNTX032873</t>
  </si>
  <si>
    <t>MRNTX032886</t>
  </si>
  <si>
    <t>MRNTX032894</t>
  </si>
  <si>
    <t>MRNTX032985</t>
  </si>
  <si>
    <t>MRNTX032993</t>
  </si>
  <si>
    <t>MRNTX033001</t>
  </si>
  <si>
    <t>MRNTX033026</t>
  </si>
  <si>
    <t>MRNTX033054</t>
  </si>
  <si>
    <t>MRNTX033062</t>
  </si>
  <si>
    <t>MRNTX033077</t>
  </si>
  <si>
    <t>MRNTX033174</t>
  </si>
  <si>
    <t>MRNTX033198</t>
  </si>
  <si>
    <t>MRNTX033215</t>
  </si>
  <si>
    <t>MRNTX033276</t>
  </si>
  <si>
    <t>MRNTX033283</t>
  </si>
  <si>
    <t>MRNTX033288</t>
  </si>
  <si>
    <t>MRNTX033347</t>
  </si>
  <si>
    <t>MRNTX033369</t>
  </si>
  <si>
    <t>MRNTX033432</t>
  </si>
  <si>
    <t>MRNTX033457</t>
  </si>
  <si>
    <t>MRNTX033462</t>
  </si>
  <si>
    <t>MRNTX033469</t>
  </si>
  <si>
    <t>MRNTX033473</t>
  </si>
  <si>
    <t>MRNTX033493</t>
  </si>
  <si>
    <t>MRNTX033571</t>
  </si>
  <si>
    <t>MRNTX033577</t>
  </si>
  <si>
    <t>MRNTX033603</t>
  </si>
  <si>
    <t>MRNTX033644</t>
  </si>
  <si>
    <t>MRNTX033694</t>
  </si>
  <si>
    <t>MRNTX033754</t>
  </si>
  <si>
    <t>MRNTX033779</t>
  </si>
  <si>
    <t>MRNTX033784</t>
  </si>
  <si>
    <t>MRNTX033787</t>
  </si>
  <si>
    <t>MRNTX033827</t>
  </si>
  <si>
    <t>MRNTX033852</t>
  </si>
  <si>
    <t>MRNTX033909</t>
  </si>
  <si>
    <t>MRNTX033910</t>
  </si>
  <si>
    <t>MRNTX033927</t>
  </si>
  <si>
    <t>MRNTX033956</t>
  </si>
  <si>
    <t>MRNTX033957</t>
  </si>
  <si>
    <t>MRNTX035859</t>
  </si>
  <si>
    <t>MRNTX035970</t>
  </si>
  <si>
    <t>MRNTX035980</t>
  </si>
  <si>
    <t>MRNTX035989</t>
  </si>
  <si>
    <t>MRNTX036052</t>
  </si>
  <si>
    <t>MRNTX036106</t>
  </si>
  <si>
    <t>MRNTX036132</t>
  </si>
  <si>
    <t>MRNTX036134</t>
  </si>
  <si>
    <t>MRNTX036143</t>
  </si>
  <si>
    <t>MRNTX036150</t>
  </si>
  <si>
    <t>MRNTX036168</t>
  </si>
  <si>
    <t>MRNTX036189</t>
  </si>
  <si>
    <t>MRNTX036192</t>
  </si>
  <si>
    <t>MRNTX036209</t>
  </si>
  <si>
    <t>MRNTX036212</t>
  </si>
  <si>
    <t>MRNTX036243</t>
  </si>
  <si>
    <t>MRNTX036245</t>
  </si>
  <si>
    <t>MRNTX036270</t>
  </si>
  <si>
    <t>MRNTX036337</t>
  </si>
  <si>
    <t>MRNTX036422</t>
  </si>
  <si>
    <t>MRNTX036426</t>
  </si>
  <si>
    <t>MRNTX036436</t>
  </si>
  <si>
    <t>MRNTX036446</t>
  </si>
  <si>
    <t>MRNTX036450</t>
  </si>
  <si>
    <t>MRNTX036460</t>
  </si>
  <si>
    <t>MRNTX036466</t>
  </si>
  <si>
    <t>MRNTX036474</t>
  </si>
  <si>
    <t>MRNTX036513</t>
  </si>
  <si>
    <t>MRNTX036581</t>
  </si>
  <si>
    <t>MRNTX036594</t>
  </si>
  <si>
    <t>MRNTX036605</t>
  </si>
  <si>
    <t>MRNTX036609</t>
  </si>
  <si>
    <t>MRNTX036637</t>
  </si>
  <si>
    <t>MRNTX036664</t>
  </si>
  <si>
    <t>MRNTX036676</t>
  </si>
  <si>
    <t>MRNTX036678</t>
  </si>
  <si>
    <t>MRNTX036690</t>
  </si>
  <si>
    <t>MRNTX036700</t>
  </si>
  <si>
    <t>MRNTX036742</t>
  </si>
  <si>
    <t>MRNTX036752</t>
  </si>
  <si>
    <t>MRNTX036786</t>
  </si>
  <si>
    <t>MRNTX036787</t>
  </si>
  <si>
    <t>MRNTX036850</t>
  </si>
  <si>
    <t>MRNTX036855</t>
  </si>
  <si>
    <t>MRNTX036860</t>
  </si>
  <si>
    <t>MRNTX036927</t>
  </si>
  <si>
    <t>MRNTX037073</t>
  </si>
  <si>
    <t>MRNTX037075</t>
  </si>
  <si>
    <t>MRNTX037218</t>
  </si>
  <si>
    <t>MRNTX037219</t>
  </si>
  <si>
    <t>MRNTX037220</t>
  </si>
  <si>
    <t>MRNTX037239</t>
  </si>
  <si>
    <t>MRNTX037273</t>
  </si>
  <si>
    <t>MRNTX037298</t>
  </si>
  <si>
    <t>MRNTX037326</t>
  </si>
  <si>
    <t>MRNTX037782</t>
  </si>
  <si>
    <t>MRNTX037943</t>
  </si>
  <si>
    <t>MRNTX028482</t>
  </si>
  <si>
    <t>MRNTX034083</t>
  </si>
  <si>
    <t>MRNTX037076</t>
  </si>
  <si>
    <t>MRNTX037078</t>
  </si>
  <si>
    <t>MRNTX037164</t>
  </si>
  <si>
    <t>MRNTX037166</t>
  </si>
  <si>
    <t>MRSTX037504</t>
  </si>
  <si>
    <t>MRSTX037422</t>
  </si>
  <si>
    <t>MRSTX037423</t>
  </si>
  <si>
    <t>MRSTX008618</t>
  </si>
  <si>
    <t>MRSTX009010</t>
  </si>
  <si>
    <t>MRSTX009013</t>
  </si>
  <si>
    <t>MRSTX009056</t>
  </si>
  <si>
    <t>MRSTX009123</t>
  </si>
  <si>
    <t>MRSTX009128</t>
  </si>
  <si>
    <t>MRSTX009178</t>
  </si>
  <si>
    <t>MRSTX009142</t>
  </si>
  <si>
    <t>MRSTX009162</t>
  </si>
  <si>
    <t>MRSTX009193</t>
  </si>
  <si>
    <t>MRSTX011260</t>
  </si>
  <si>
    <t>MRSTX014673</t>
  </si>
  <si>
    <t>MRSTX014658</t>
  </si>
  <si>
    <t>MRSTX014724</t>
  </si>
  <si>
    <t>MRSTX014757</t>
  </si>
  <si>
    <t>MRSTX015431</t>
  </si>
  <si>
    <t>MRSTX015752</t>
  </si>
  <si>
    <t>MRSTX023594</t>
  </si>
  <si>
    <t>MRSTX023475</t>
  </si>
  <si>
    <t>MRSTX025547</t>
  </si>
  <si>
    <t>MRSTX025533</t>
  </si>
  <si>
    <t>MRSTX025534</t>
  </si>
  <si>
    <t>MRSTX025579</t>
  </si>
  <si>
    <t>MRSTX025570</t>
  </si>
  <si>
    <t>MRSTX025535</t>
  </si>
  <si>
    <t>MRSTX025852</t>
  </si>
  <si>
    <t>MRSTX027604</t>
  </si>
  <si>
    <t>MRSTX027635</t>
  </si>
  <si>
    <t>MRSTX027592</t>
  </si>
  <si>
    <t>MRSTX027531</t>
  </si>
  <si>
    <t>MRSTX027639</t>
  </si>
  <si>
    <t>MRSTX027641</t>
  </si>
  <si>
    <t>MRSTX030598</t>
  </si>
  <si>
    <t>MRSTX030601</t>
  </si>
  <si>
    <t>MRSTX030925</t>
  </si>
  <si>
    <t>MRSTX030930</t>
  </si>
  <si>
    <t>MRSTX030971</t>
  </si>
  <si>
    <t>MRSTX030981</t>
  </si>
  <si>
    <t>MRSTX030921</t>
  </si>
  <si>
    <t>MRSTX030920</t>
  </si>
  <si>
    <t>MRSTX031124</t>
  </si>
  <si>
    <t>MRSTX031104</t>
  </si>
  <si>
    <t>MRSTX031126</t>
  </si>
  <si>
    <t>MRSTX031129</t>
  </si>
  <si>
    <t>MRSTX031280</t>
  </si>
  <si>
    <t>MRSTX031277</t>
  </si>
  <si>
    <t>MRSTX031320</t>
  </si>
  <si>
    <t>MRSTX031458</t>
  </si>
  <si>
    <t>MRSTX031448</t>
  </si>
  <si>
    <t>MRSTX031599</t>
  </si>
  <si>
    <t>MRSTX031499</t>
  </si>
  <si>
    <t>MRSTX031630</t>
  </si>
  <si>
    <t>MRSTX031663</t>
  </si>
  <si>
    <t>MRSTX031722</t>
  </si>
  <si>
    <t>MRSTX031724</t>
  </si>
  <si>
    <t>MRSTX031742</t>
  </si>
  <si>
    <t>MRSTX032438</t>
  </si>
  <si>
    <t>MRSTX032396</t>
  </si>
  <si>
    <t>MRSTX032828</t>
  </si>
  <si>
    <t>MRSTX032406</t>
  </si>
  <si>
    <t>MRSTX032447</t>
  </si>
  <si>
    <t>MRSTX033488</t>
  </si>
  <si>
    <t>MRSTX033476</t>
  </si>
  <si>
    <t>MRSTX032446</t>
  </si>
  <si>
    <t>MRSTX033700</t>
  </si>
  <si>
    <t>MRSTX033443</t>
  </si>
  <si>
    <t>MRSTX033491</t>
  </si>
  <si>
    <t>MRSTX033178</t>
  </si>
  <si>
    <t>MRSTX033449</t>
  </si>
  <si>
    <t>MRSTX033544</t>
  </si>
  <si>
    <t>MRSTX032284</t>
  </si>
  <si>
    <t>MRSTX033511</t>
  </si>
  <si>
    <t>MRSTX033535</t>
  </si>
  <si>
    <t>MRSTX033509</t>
  </si>
  <si>
    <t>MRSTX033522</t>
  </si>
  <si>
    <t>MRSTX032638</t>
  </si>
  <si>
    <t>MRSTX033573</t>
  </si>
  <si>
    <t>MRSTX033719</t>
  </si>
  <si>
    <t>MRSTX033553</t>
  </si>
  <si>
    <t>MRSTX033577</t>
  </si>
  <si>
    <t>MRSTX033574</t>
  </si>
  <si>
    <t>MRSTX033529</t>
  </si>
  <si>
    <t>MRSTX033559</t>
  </si>
  <si>
    <t>MRSTX033607</t>
  </si>
  <si>
    <t>MRSTX033941</t>
  </si>
  <si>
    <t>MRSTX033763</t>
  </si>
  <si>
    <t>MRSTX033772</t>
  </si>
  <si>
    <t>MRSTX033810</t>
  </si>
  <si>
    <t>MRSTX033927</t>
  </si>
  <si>
    <t>MRSTX033562</t>
  </si>
  <si>
    <t>MRSTX033783</t>
  </si>
  <si>
    <t>MRSTX033971</t>
  </si>
  <si>
    <t>MRSTX033817</t>
  </si>
  <si>
    <t>MRSTX033812</t>
  </si>
  <si>
    <t>MRSTX033961</t>
  </si>
  <si>
    <t>MRSTX033220</t>
  </si>
  <si>
    <t>MRSTX033979</t>
  </si>
  <si>
    <t>MRSTX033966</t>
  </si>
  <si>
    <t>MRSTX033936</t>
  </si>
  <si>
    <t>MRSTX033988</t>
  </si>
  <si>
    <t>MRSTX033973</t>
  </si>
  <si>
    <t>MRSTX033968</t>
  </si>
  <si>
    <t>MRSTX033845</t>
  </si>
  <si>
    <t>MRSTX033951</t>
  </si>
  <si>
    <t>MRSTX033959</t>
  </si>
  <si>
    <t>MRSTX033690</t>
  </si>
  <si>
    <t>MRSTX033661</t>
  </si>
  <si>
    <t>MRSTX033874</t>
  </si>
  <si>
    <t>MRSTX033140</t>
  </si>
  <si>
    <t>MRSTX033828</t>
  </si>
  <si>
    <t>MRSTX033891</t>
  </si>
  <si>
    <t>MRSTX034334</t>
  </si>
  <si>
    <t>MRSTX033633</t>
  </si>
  <si>
    <t>MRSTX034169</t>
  </si>
  <si>
    <t>MRSTX034002</t>
  </si>
  <si>
    <t>MRSTX033977</t>
  </si>
  <si>
    <t>MRSTX034016</t>
  </si>
  <si>
    <t>MRSTX034134</t>
  </si>
  <si>
    <t>MRSTX034380</t>
  </si>
  <si>
    <t>MRSTX034165</t>
  </si>
  <si>
    <t>MRSTX034075</t>
  </si>
  <si>
    <t>MRSTX033885</t>
  </si>
  <si>
    <t>MRSTX034504</t>
  </si>
  <si>
    <t>MRSTX033916</t>
  </si>
  <si>
    <t>MRSTX034404</t>
  </si>
  <si>
    <t>MRSTX034609</t>
  </si>
  <si>
    <t>MRSTX034195</t>
  </si>
  <si>
    <t>MRSTX034402</t>
  </si>
  <si>
    <t>MRSTX034670</t>
  </si>
  <si>
    <t>MRSTX034243</t>
  </si>
  <si>
    <t>MRSTX034206</t>
  </si>
  <si>
    <t>MRSTX034403</t>
  </si>
  <si>
    <t>MRSTX034265</t>
  </si>
  <si>
    <t>MRSTX034259</t>
  </si>
  <si>
    <t>MRSTX034431</t>
  </si>
  <si>
    <t>MRSTX034237</t>
  </si>
  <si>
    <t>MRSTX034280</t>
  </si>
  <si>
    <t>MRSTX034305</t>
  </si>
  <si>
    <t>MRSTX034311</t>
  </si>
  <si>
    <t>MRSTX034739</t>
  </si>
  <si>
    <t>MRSTX034303</t>
  </si>
  <si>
    <t>MRSTX034324</t>
  </si>
  <si>
    <t>MRSTX034554</t>
  </si>
  <si>
    <t>MRSTX033354</t>
  </si>
  <si>
    <t>MRSTX033363</t>
  </si>
  <si>
    <t>MRSTX034546</t>
  </si>
  <si>
    <t>MRSTX034318</t>
  </si>
  <si>
    <t>MRSTX034566</t>
  </si>
  <si>
    <t>MRSTX033421</t>
  </si>
  <si>
    <t>MRSTX034762</t>
  </si>
  <si>
    <t>MRSTX034760</t>
  </si>
  <si>
    <t>MRSTX034952</t>
  </si>
  <si>
    <t>MRSTX034971</t>
  </si>
  <si>
    <t>MRSTX034974</t>
  </si>
  <si>
    <t>MRSTX034981</t>
  </si>
  <si>
    <t>MRSTX035231</t>
  </si>
  <si>
    <t>MRSTX035233</t>
  </si>
  <si>
    <t>MRSTX035237</t>
  </si>
  <si>
    <t>MRSTX035316</t>
  </si>
  <si>
    <t>MRSTX035345</t>
  </si>
  <si>
    <t>MRSTX035352</t>
  </si>
  <si>
    <t>MRSTX035353</t>
  </si>
  <si>
    <t>MRSTX035587</t>
  </si>
  <si>
    <t>MRSTX035360</t>
  </si>
  <si>
    <t>MRSTX035363</t>
  </si>
  <si>
    <t>MRSTX035367</t>
  </si>
  <si>
    <t>MRSTX035596</t>
  </si>
  <si>
    <t>MRSTX035616</t>
  </si>
  <si>
    <t>MRSTX035585</t>
  </si>
  <si>
    <t>MRSTX035357</t>
  </si>
  <si>
    <t>MRSTX035364</t>
  </si>
  <si>
    <t>MRSTX035588</t>
  </si>
  <si>
    <t>MRSTX035691</t>
  </si>
  <si>
    <t>MRSTX035538</t>
  </si>
  <si>
    <t>MRSTX035581</t>
  </si>
  <si>
    <t>MRSTX035566</t>
  </si>
  <si>
    <t>MRSTX035978</t>
  </si>
  <si>
    <t>MRSTX035711</t>
  </si>
  <si>
    <t>MRSTX036009</t>
  </si>
  <si>
    <t>MRSTX035559</t>
  </si>
  <si>
    <t>MRSTX036081</t>
  </si>
  <si>
    <t>MRSTX036016</t>
  </si>
  <si>
    <t>MRSTX035543</t>
  </si>
  <si>
    <t>MRSTX035814</t>
  </si>
  <si>
    <t>MRSTX035976</t>
  </si>
  <si>
    <t>MRSTX036125</t>
  </si>
  <si>
    <t>MRSTX035803</t>
  </si>
  <si>
    <t>MRSTX036189</t>
  </si>
  <si>
    <t>MRSTX036134</t>
  </si>
  <si>
    <t>MRSTX036017</t>
  </si>
  <si>
    <t>MRSTX036218</t>
  </si>
  <si>
    <t>MRSTX036220</t>
  </si>
  <si>
    <t>MRSTX036146</t>
  </si>
  <si>
    <t>MRSTX035902</t>
  </si>
  <si>
    <t>MRSTX036036</t>
  </si>
  <si>
    <t>MRSTX036018</t>
  </si>
  <si>
    <t>MRSTX036163</t>
  </si>
  <si>
    <t>MRSTX036432</t>
  </si>
  <si>
    <t>MRSTX035830</t>
  </si>
  <si>
    <t>MRSTX035653</t>
  </si>
  <si>
    <t>MRSTX035780</t>
  </si>
  <si>
    <t>MRSTX036033</t>
  </si>
  <si>
    <t>MRSTX036171</t>
  </si>
  <si>
    <t>MRSTX036433</t>
  </si>
  <si>
    <t>MRSTX036435</t>
  </si>
  <si>
    <t>MRSTX036170</t>
  </si>
  <si>
    <t>MRSTX036122</t>
  </si>
  <si>
    <t>MRSTX035647</t>
  </si>
  <si>
    <t>MRSTX036444</t>
  </si>
  <si>
    <t>MRSTX035779</t>
  </si>
  <si>
    <t>MRSTX036441</t>
  </si>
  <si>
    <t>MRSTX035949</t>
  </si>
  <si>
    <t>MRSTX036463</t>
  </si>
  <si>
    <t>MRSTX036326</t>
  </si>
  <si>
    <t>MRSTX036332</t>
  </si>
  <si>
    <t>MRSTX036335</t>
  </si>
  <si>
    <t>MRSTX036337</t>
  </si>
  <si>
    <t>MRSTX036286</t>
  </si>
  <si>
    <t>MRSTX036276</t>
  </si>
  <si>
    <t>MRSTX035959</t>
  </si>
  <si>
    <t>MRSTX036446</t>
  </si>
  <si>
    <t>MRSTX036375</t>
  </si>
  <si>
    <t>MRSTX035962</t>
  </si>
  <si>
    <t>MRSTX036411</t>
  </si>
  <si>
    <t>MRSTX036508</t>
  </si>
  <si>
    <t>MRSTX036515</t>
  </si>
  <si>
    <t>MRSTX036527</t>
  </si>
  <si>
    <t>MRSTX036516</t>
  </si>
  <si>
    <t>MRSTX036344</t>
  </si>
  <si>
    <t>MRSTX036509</t>
  </si>
  <si>
    <t>MRSTX036528</t>
  </si>
  <si>
    <t>MRSTX036536</t>
  </si>
  <si>
    <t>MRSTX036511</t>
  </si>
  <si>
    <t>MRSTX036547</t>
  </si>
  <si>
    <t>MRSTX036557</t>
  </si>
  <si>
    <t>MRSTX036576</t>
  </si>
  <si>
    <t>MRSTX036629</t>
  </si>
  <si>
    <t>MRSTX036632</t>
  </si>
  <si>
    <t>MRSTX036635</t>
  </si>
  <si>
    <t>MRSTX036641</t>
  </si>
  <si>
    <t>MRSTX036663</t>
  </si>
  <si>
    <t>MRSTX036664</t>
  </si>
  <si>
    <t>MRSTX036673</t>
  </si>
  <si>
    <t>MRSTX036670</t>
  </si>
  <si>
    <t>MRSTX036662</t>
  </si>
  <si>
    <t>MRSTX036665</t>
  </si>
  <si>
    <t>MRSTX036667</t>
  </si>
  <si>
    <t>MRSTX036669</t>
  </si>
  <si>
    <t>MRSTX036674</t>
  </si>
  <si>
    <t>MRSTX037637</t>
  </si>
  <si>
    <t>MRSTX038134</t>
  </si>
  <si>
    <t>MRSTX038213</t>
  </si>
  <si>
    <t>MRSTX038230</t>
  </si>
  <si>
    <t>MRSTX038173</t>
  </si>
  <si>
    <t>MRSTX038231</t>
  </si>
  <si>
    <t>MRSTX038215</t>
  </si>
  <si>
    <t>MRSTX009053</t>
  </si>
  <si>
    <t>MRSTX027599</t>
  </si>
  <si>
    <t>MRSTX027543</t>
  </si>
  <si>
    <t>MRSTX027548</t>
  </si>
  <si>
    <t>MRSTX030061</t>
  </si>
  <si>
    <t>MRSTX029672</t>
  </si>
  <si>
    <t>MRSTX029896</t>
  </si>
  <si>
    <t>MRSTX029892</t>
  </si>
  <si>
    <t>MRSTX029880</t>
  </si>
  <si>
    <t>MRSTX029883</t>
  </si>
  <si>
    <t>MRSTX029876</t>
  </si>
  <si>
    <t>MRSTX029889</t>
  </si>
  <si>
    <t>MRSTX029920</t>
  </si>
  <si>
    <t>MRSTX030068</t>
  </si>
  <si>
    <t>MRSTX029949</t>
  </si>
  <si>
    <t>MRSTX029511</t>
  </si>
  <si>
    <t>MRSTX029530</t>
  </si>
  <si>
    <t>MRSTX029729</t>
  </si>
  <si>
    <t>MRSTX029736</t>
  </si>
  <si>
    <t>MRSTX029995</t>
  </si>
  <si>
    <t>MRSTX029587</t>
  </si>
  <si>
    <t>MRSTX029604</t>
  </si>
  <si>
    <t>MRSTX029640</t>
  </si>
  <si>
    <t>MRSTX029443</t>
  </si>
  <si>
    <t>MRSTX029403</t>
  </si>
  <si>
    <t>MRSTX030072</t>
  </si>
  <si>
    <t>MRSTX029663</t>
  </si>
  <si>
    <t>MRSTX030898</t>
  </si>
  <si>
    <t>MRSTX031400</t>
  </si>
  <si>
    <t>MRSTX031590</t>
  </si>
  <si>
    <t>MRSTX031680</t>
  </si>
  <si>
    <t>MRSTX031731</t>
  </si>
  <si>
    <t>MRSTX031920</t>
  </si>
  <si>
    <t>MRSTX031978</t>
  </si>
  <si>
    <t>MRSTX033182</t>
  </si>
  <si>
    <t>MRSTX032279</t>
  </si>
  <si>
    <t>MRSTX033555</t>
  </si>
  <si>
    <t>MRSTX033561</t>
  </si>
  <si>
    <t>MRSTX032680</t>
  </si>
  <si>
    <t>MRSTX033945</t>
  </si>
  <si>
    <t>MRSTX032927</t>
  </si>
  <si>
    <t>MRSTX033085</t>
  </si>
  <si>
    <t>MRSTX033814</t>
  </si>
  <si>
    <t>MRSTX033975</t>
  </si>
  <si>
    <t>MRSTX033657</t>
  </si>
  <si>
    <t>MRSTX033940</t>
  </si>
  <si>
    <t>MRSTX033638</t>
  </si>
  <si>
    <t>MRSTX034014</t>
  </si>
  <si>
    <t>MRSTX033679</t>
  </si>
  <si>
    <t>MRSTX033908</t>
  </si>
  <si>
    <t>MRSTX034182</t>
  </si>
  <si>
    <t>MRSTX034386</t>
  </si>
  <si>
    <t>MRSTX034001</t>
  </si>
  <si>
    <t>MRSTX033131</t>
  </si>
  <si>
    <t>MRSTX034051</t>
  </si>
  <si>
    <t>MRSTX034187</t>
  </si>
  <si>
    <t>MRSTX034054</t>
  </si>
  <si>
    <t>MRSTX034429</t>
  </si>
  <si>
    <t>MRSTX033320</t>
  </si>
  <si>
    <t>MRSTX034665</t>
  </si>
  <si>
    <t>MRSTX034238</t>
  </si>
  <si>
    <t>MRSTX034432</t>
  </si>
  <si>
    <t>MRSTX034447</t>
  </si>
  <si>
    <t>MRSTX034524</t>
  </si>
  <si>
    <t>MRSTX035029</t>
  </si>
  <si>
    <t>MRSTX034975</t>
  </si>
  <si>
    <t>MRSTX034998</t>
  </si>
  <si>
    <t>MRSTX035024</t>
  </si>
  <si>
    <t>MRSTX034988</t>
  </si>
  <si>
    <t>MRSTX034978</t>
  </si>
  <si>
    <t>MRSTX035035</t>
  </si>
  <si>
    <t>MRSTX035020</t>
  </si>
  <si>
    <t>MRSTX035014</t>
  </si>
  <si>
    <t>MRSTX035019</t>
  </si>
  <si>
    <t>MRSTX035011</t>
  </si>
  <si>
    <t>MRSTX035007</t>
  </si>
  <si>
    <t>MRSTX035232</t>
  </si>
  <si>
    <t>MRSTX035268</t>
  </si>
  <si>
    <t>MRSTX035314</t>
  </si>
  <si>
    <t>MRSTX035366</t>
  </si>
  <si>
    <t>MRSTX035359</t>
  </si>
  <si>
    <t>MRSTX036135</t>
  </si>
  <si>
    <t>MRSTX036240</t>
  </si>
  <si>
    <t>MRSTX036073</t>
  </si>
  <si>
    <t>MRSTX036268</t>
  </si>
  <si>
    <t>MRSTX036533</t>
  </si>
  <si>
    <t>MRSTX036545</t>
  </si>
  <si>
    <t>MRSTX036585</t>
  </si>
  <si>
    <t>MRSTX037676</t>
  </si>
  <si>
    <t>MRSTX037783</t>
  </si>
  <si>
    <t>MRSTX037567</t>
  </si>
  <si>
    <t>MRSTX038190</t>
  </si>
  <si>
    <t>MRSTX038192</t>
  </si>
  <si>
    <t>MRSTX038219</t>
  </si>
  <si>
    <t>MRSTX038220</t>
  </si>
  <si>
    <t>MRSTX038169</t>
  </si>
  <si>
    <t>MRSTX038108</t>
  </si>
  <si>
    <t>MRSTX008787</t>
  </si>
  <si>
    <t>MRSTX009015</t>
  </si>
  <si>
    <t>MRSTX011254</t>
  </si>
  <si>
    <t>MRSTX025455</t>
  </si>
  <si>
    <t>MRSTX027527</t>
  </si>
  <si>
    <t>MRSTX029241</t>
  </si>
  <si>
    <t>MRSTX029704</t>
  </si>
  <si>
    <t>MRSTX029866</t>
  </si>
  <si>
    <t>MRSTX030044</t>
  </si>
  <si>
    <t>MRSTX029479</t>
  </si>
  <si>
    <t>MRSTX029698</t>
  </si>
  <si>
    <t>MRSTX029963</t>
  </si>
  <si>
    <t>MRSTX029510</t>
  </si>
  <si>
    <t>MRSTX030070</t>
  </si>
  <si>
    <t>MRSTX029492</t>
  </si>
  <si>
    <t>MRSTX029788</t>
  </si>
  <si>
    <t>MRSTX030006</t>
  </si>
  <si>
    <t>MRSTX029387</t>
  </si>
  <si>
    <t>MRSTX029420</t>
  </si>
  <si>
    <t>MRSTX030306</t>
  </si>
  <si>
    <t>MRSTX030307</t>
  </si>
  <si>
    <t>MRSTX030305</t>
  </si>
  <si>
    <t>MRSTX030811</t>
  </si>
  <si>
    <t>MRSTX030876</t>
  </si>
  <si>
    <t>MRSTX031142</t>
  </si>
  <si>
    <t>MRSTX031397</t>
  </si>
  <si>
    <t>MRSTX031315</t>
  </si>
  <si>
    <t>MRSTX032068</t>
  </si>
  <si>
    <t>MRSTX031892</t>
  </si>
  <si>
    <t>MRSTX033457</t>
  </si>
  <si>
    <t>MRSTX033499</t>
  </si>
  <si>
    <t>MRSTX033520</t>
  </si>
  <si>
    <t>MRSTX033527</t>
  </si>
  <si>
    <t>MRSTX033487</t>
  </si>
  <si>
    <t>MRSTX033542</t>
  </si>
  <si>
    <t>MRSTX033536</t>
  </si>
  <si>
    <t>MRSTX033592</t>
  </si>
  <si>
    <t>MRSTX033568</t>
  </si>
  <si>
    <t>MRSTX033541</t>
  </si>
  <si>
    <t>MRSTX033767</t>
  </si>
  <si>
    <t>MRSTX033769</t>
  </si>
  <si>
    <t>MRSTX033591</t>
  </si>
  <si>
    <t>MRSTX033586</t>
  </si>
  <si>
    <t>MRSTX033606</t>
  </si>
  <si>
    <t>MRSTX033776</t>
  </si>
  <si>
    <t>MRSTX033626</t>
  </si>
  <si>
    <t>MRSTX033824</t>
  </si>
  <si>
    <t>MRSTX033960</t>
  </si>
  <si>
    <t>MRSTX032696</t>
  </si>
  <si>
    <t>MRSTX033972</t>
  </si>
  <si>
    <t>MRSTX033795</t>
  </si>
  <si>
    <t>MRSTX033107</t>
  </si>
  <si>
    <t>MRSTX033666</t>
  </si>
  <si>
    <t>MRSTX033835</t>
  </si>
  <si>
    <t>MRSTX033687</t>
  </si>
  <si>
    <t>MRSTX033997</t>
  </si>
  <si>
    <t>MRSTX034140</t>
  </si>
  <si>
    <t>MRSTX034021</t>
  </si>
  <si>
    <t>MRSTX034224</t>
  </si>
  <si>
    <t>MRSTX034151</t>
  </si>
  <si>
    <t>MRSTX034370</t>
  </si>
  <si>
    <t>MRSTX034363</t>
  </si>
  <si>
    <t>MRSTX034030</t>
  </si>
  <si>
    <t>MRSTX034248</t>
  </si>
  <si>
    <t>MRSTX034436</t>
  </si>
  <si>
    <t>MRSTX034464</t>
  </si>
  <si>
    <t>MRSTX034250</t>
  </si>
  <si>
    <t>MRSTX034538</t>
  </si>
  <si>
    <t>MRSTX034551</t>
  </si>
  <si>
    <t>MRSTX033418</t>
  </si>
  <si>
    <t>MRSTX035028</t>
  </si>
  <si>
    <t>MRSTX035269</t>
  </si>
  <si>
    <t>MRSTX036089</t>
  </si>
  <si>
    <t>MRSTX036167</t>
  </si>
  <si>
    <t>MRSTX002915</t>
  </si>
  <si>
    <t>MRSTX008966</t>
  </si>
  <si>
    <t>MRSTX009093</t>
  </si>
  <si>
    <t>MRSTX022803</t>
  </si>
  <si>
    <t>MRSTX025532</t>
  </si>
  <si>
    <t>MRSTX025572</t>
  </si>
  <si>
    <t>MRSTX025850</t>
  </si>
  <si>
    <t>MRSTX028172</t>
  </si>
  <si>
    <t>MRSTX030726</t>
  </si>
  <si>
    <t>MRSTX030769</t>
  </si>
  <si>
    <t>MRSTX030759</t>
  </si>
  <si>
    <t>MRSTX031061</t>
  </si>
  <si>
    <t>MRSTX031368</t>
  </si>
  <si>
    <t>MRSTX031351</t>
  </si>
  <si>
    <t>MRSTX032055</t>
  </si>
  <si>
    <t>MRSTX033737</t>
  </si>
  <si>
    <t>MRSTX033756</t>
  </si>
  <si>
    <t>MRSTX032715</t>
  </si>
  <si>
    <t>MRSTX032516</t>
  </si>
  <si>
    <t>MRSTX033673</t>
  </si>
  <si>
    <t>MRSTX032508</t>
  </si>
  <si>
    <t>MRSTX034017</t>
  </si>
  <si>
    <t>MRSTX034012</t>
  </si>
  <si>
    <t>MRSTX035639</t>
  </si>
  <si>
    <t>MRSTX035979</t>
  </si>
  <si>
    <t>MRSTX035574</t>
  </si>
  <si>
    <t>MRSTX035577</t>
  </si>
  <si>
    <t>MRSTX035682</t>
  </si>
  <si>
    <t>MRSTX036457</t>
  </si>
  <si>
    <t>MRSTX036349</t>
  </si>
  <si>
    <t>MRSTX036442</t>
  </si>
  <si>
    <t>MRSTX036398</t>
  </si>
  <si>
    <t>MRSTX036502</t>
  </si>
  <si>
    <t>MRSTX036566</t>
  </si>
  <si>
    <t>MRSTX038120</t>
  </si>
  <si>
    <t>MRSTX038182</t>
  </si>
  <si>
    <t>MRSTX008166</t>
  </si>
  <si>
    <t>MRSTX008724</t>
  </si>
  <si>
    <t>MRSTX016425</t>
  </si>
  <si>
    <t>MRSTX016505</t>
  </si>
  <si>
    <t>MRSTX027397</t>
  </si>
  <si>
    <t>MRSTX029185</t>
  </si>
  <si>
    <t>MRSTX029193</t>
  </si>
  <si>
    <t>MRSTX029194</t>
  </si>
  <si>
    <t>MRSTX029214</t>
  </si>
  <si>
    <t>MRSTX029212</t>
  </si>
  <si>
    <t>MRSTX029201</t>
  </si>
  <si>
    <t>MRSTX029203</t>
  </si>
  <si>
    <t>MRSTX029215</t>
  </si>
  <si>
    <t>MRSTX029474</t>
  </si>
  <si>
    <t>MRSTX029900</t>
  </si>
  <si>
    <t>MRSTX029461</t>
  </si>
  <si>
    <t>MRSTX029906</t>
  </si>
  <si>
    <t>MRSTX030067</t>
  </si>
  <si>
    <t>MRSTX029742</t>
  </si>
  <si>
    <t>MRSTX029976</t>
  </si>
  <si>
    <t>MRSTX029780</t>
  </si>
  <si>
    <t>MRSTX029521</t>
  </si>
  <si>
    <t>MRSTX029776</t>
  </si>
  <si>
    <t>MRSTX029610</t>
  </si>
  <si>
    <t>MRSTX029850</t>
  </si>
  <si>
    <t>MRSTX031727</t>
  </si>
  <si>
    <t>MRSTX031733</t>
  </si>
  <si>
    <t>MRSTX031729</t>
  </si>
  <si>
    <t>MRSTX031728</t>
  </si>
  <si>
    <t>MRSTX032056</t>
  </si>
  <si>
    <t>MRSTX031896</t>
  </si>
  <si>
    <t>MRSTX033479</t>
  </si>
  <si>
    <t>MRSTX033563</t>
  </si>
  <si>
    <t>MRSTX033803</t>
  </si>
  <si>
    <t>MRSTX033609</t>
  </si>
  <si>
    <t>MRSTX033628</t>
  </si>
  <si>
    <t>MRSTX033615</t>
  </si>
  <si>
    <t>MRSTX033650</t>
  </si>
  <si>
    <t>MRSTX034044</t>
  </si>
  <si>
    <t>MRSTX034347</t>
  </si>
  <si>
    <t>MRSTX034372</t>
  </si>
  <si>
    <t>MRSTX032517</t>
  </si>
  <si>
    <t>MRSTX034071</t>
  </si>
  <si>
    <t>MRSTX034183</t>
  </si>
  <si>
    <t>MRSTX034108</t>
  </si>
  <si>
    <t>MRSTX034406</t>
  </si>
  <si>
    <t>MRSTX034252</t>
  </si>
  <si>
    <t>MRSTX034257</t>
  </si>
  <si>
    <t>MRSTX034455</t>
  </si>
  <si>
    <t>MRSTX033352</t>
  </si>
  <si>
    <t>MRSTX033389</t>
  </si>
  <si>
    <t>MRSTX033410</t>
  </si>
  <si>
    <t>MRSTX034979</t>
  </si>
  <si>
    <t>MRSTX008723</t>
  </si>
  <si>
    <t>MRSTX008844</t>
  </si>
  <si>
    <t>MRSTX023455</t>
  </si>
  <si>
    <t>MRSTX024472</t>
  </si>
  <si>
    <t>MRSTX025057</t>
  </si>
  <si>
    <t>MRSTX025059</t>
  </si>
  <si>
    <t>MRSTX026578</t>
  </si>
  <si>
    <t>MRSTX026987</t>
  </si>
  <si>
    <t>MRSTX027621</t>
  </si>
  <si>
    <t>MRSTX028169</t>
  </si>
  <si>
    <t>MRSTX028661</t>
  </si>
  <si>
    <t>MRSTX028669</t>
  </si>
  <si>
    <t>MRSTX028680</t>
  </si>
  <si>
    <t>MRSTX028674</t>
  </si>
  <si>
    <t>MRSTX029192</t>
  </si>
  <si>
    <t>MRSTX029202</t>
  </si>
  <si>
    <t>MRSTX029213</t>
  </si>
  <si>
    <t>MRSTX029481</t>
  </si>
  <si>
    <t>MRSTX030803</t>
  </si>
  <si>
    <t>MRSTX031348</t>
  </si>
  <si>
    <t>MRSTX031343</t>
  </si>
  <si>
    <t>MRSTX031355</t>
  </si>
  <si>
    <t>MRSTX031366</t>
  </si>
  <si>
    <t>MRSTX031730</t>
  </si>
  <si>
    <t>MRSTX031776</t>
  </si>
  <si>
    <t>MRSTX031732</t>
  </si>
  <si>
    <t>MRSTX031851</t>
  </si>
  <si>
    <t>MRSTX032242</t>
  </si>
  <si>
    <t>MRSTX033723</t>
  </si>
  <si>
    <t>MRSTX033503</t>
  </si>
  <si>
    <t>MRSTX033492</t>
  </si>
  <si>
    <t>MRSTX033708</t>
  </si>
  <si>
    <t>MRSTX033064</t>
  </si>
  <si>
    <t>MRSTX033514</t>
  </si>
  <si>
    <t>MRSTX033500</t>
  </si>
  <si>
    <t>MRSTX033593</t>
  </si>
  <si>
    <t>MRSTX033921</t>
  </si>
  <si>
    <t>MRSTX033589</t>
  </si>
  <si>
    <t>MRSTX033787</t>
  </si>
  <si>
    <t>MRSTX033742</t>
  </si>
  <si>
    <t>MRSTX033619</t>
  </si>
  <si>
    <t>MRSTX033920</t>
  </si>
  <si>
    <t>MRSTX033595</t>
  </si>
  <si>
    <t>MRSTX033567</t>
  </si>
  <si>
    <t>MRSTX033823</t>
  </si>
  <si>
    <t>MRSTX033852</t>
  </si>
  <si>
    <t>MRSTX033842</t>
  </si>
  <si>
    <t>MRSTX033601</t>
  </si>
  <si>
    <t>MRSTX033991</t>
  </si>
  <si>
    <t>MRSTX033675</t>
  </si>
  <si>
    <t>MRSTX033976</t>
  </si>
  <si>
    <t>MRSTX033669</t>
  </si>
  <si>
    <t>MRSTX033911</t>
  </si>
  <si>
    <t>MRSTX034005</t>
  </si>
  <si>
    <t>MRSTX033677</t>
  </si>
  <si>
    <t>MRSTX033998</t>
  </si>
  <si>
    <t>MRSTX034033</t>
  </si>
  <si>
    <t>MRSTX033915</t>
  </si>
  <si>
    <t>MRSTX033909</t>
  </si>
  <si>
    <t>MRSTX034225</t>
  </si>
  <si>
    <t>MRSTX034401</t>
  </si>
  <si>
    <t>MRSTX034003</t>
  </si>
  <si>
    <t>MRSTX034056</t>
  </si>
  <si>
    <t>MRSTX034391</t>
  </si>
  <si>
    <t>MRSTX034087</t>
  </si>
  <si>
    <t>MRSTX034254</t>
  </si>
  <si>
    <t>MRSTX034274</t>
  </si>
  <si>
    <t>MRSTX034260</t>
  </si>
  <si>
    <t>MRSTX034423</t>
  </si>
  <si>
    <t>MRSTX034124</t>
  </si>
  <si>
    <t>MRSTX034462</t>
  </si>
  <si>
    <t>MRSTX034323</t>
  </si>
  <si>
    <t>MRSTX034319</t>
  </si>
  <si>
    <t>MRSTX036424</t>
  </si>
  <si>
    <t>MRSTX036575</t>
  </si>
  <si>
    <t>MRSTX003783</t>
  </si>
  <si>
    <t>MRSTX012952</t>
  </si>
  <si>
    <t>MRSTX036940</t>
  </si>
  <si>
    <t>MRSTX036366</t>
  </si>
  <si>
    <t>MRSTX035861</t>
  </si>
  <si>
    <t>MRSTX034103</t>
  </si>
  <si>
    <t>MRSTX034107</t>
  </si>
  <si>
    <t>MRSTX034163</t>
  </si>
  <si>
    <t>MRSTX033922</t>
  </si>
  <si>
    <t>MRSTX035957</t>
  </si>
  <si>
    <t>MRSTX035881</t>
  </si>
  <si>
    <t>MRSTX034122</t>
  </si>
  <si>
    <t>MRSTX034098</t>
  </si>
  <si>
    <t>MRSTX034514</t>
  </si>
  <si>
    <t>MRSTX033645</t>
  </si>
  <si>
    <t>MRSTX032397</t>
  </si>
  <si>
    <t>MRSTX031619</t>
  </si>
  <si>
    <t>MRSTX036060</t>
  </si>
  <si>
    <t>MRSTX035809</t>
  </si>
  <si>
    <t>MRSTX033678</t>
  </si>
  <si>
    <t>MRSTX036406</t>
  </si>
  <si>
    <t>MRSTX034116</t>
  </si>
  <si>
    <t>MRSTX035977</t>
  </si>
  <si>
    <t>MRSTX034267</t>
  </si>
  <si>
    <t>MRSTX034010</t>
  </si>
  <si>
    <t>MRSTX033907</t>
  </si>
  <si>
    <t>MRSTX032386</t>
  </si>
  <si>
    <t>MRSTX035531</t>
  </si>
  <si>
    <t>MRSTX035766</t>
  </si>
  <si>
    <t>MRSTX035529</t>
  </si>
  <si>
    <t>MRSTX034652</t>
  </si>
  <si>
    <t>MRSTX036056</t>
  </si>
  <si>
    <t>MRSTX034263</t>
  </si>
  <si>
    <t>MRSTX033658</t>
  </si>
  <si>
    <t>MRSTX036645</t>
  </si>
  <si>
    <t>MRSTX036552</t>
  </si>
  <si>
    <t>MRSTX036428</t>
  </si>
  <si>
    <t>MRSTX034067</t>
  </si>
  <si>
    <t>MRSTX034168</t>
  </si>
  <si>
    <t>MRSTX033649</t>
  </si>
  <si>
    <t>MRSTX033642</t>
  </si>
  <si>
    <t>MRSTX029688</t>
  </si>
  <si>
    <t>MRSTX035003</t>
  </si>
  <si>
    <t>MRSTX035031</t>
  </si>
  <si>
    <t>MRSTX035010</t>
  </si>
  <si>
    <t>MRSTX034987</t>
  </si>
  <si>
    <t>MRSTX030011</t>
  </si>
  <si>
    <t>MRSTX029557</t>
  </si>
  <si>
    <t>MRSTX030020</t>
  </si>
  <si>
    <t>MRSTX029405</t>
  </si>
  <si>
    <t>MRSTX029567</t>
  </si>
  <si>
    <t>MRSTX029519</t>
  </si>
  <si>
    <t>MRSTX029887</t>
  </si>
  <si>
    <t>MRSTX038098</t>
  </si>
  <si>
    <t>MRSTX037537</t>
  </si>
  <si>
    <t>MRSTX038089</t>
  </si>
  <si>
    <t>MRSTX038088</t>
  </si>
  <si>
    <t>MRSTX029662</t>
  </si>
  <si>
    <t>MRSTX029902</t>
  </si>
  <si>
    <t>MRSTX029532</t>
  </si>
  <si>
    <t>MRSTX029674</t>
  </si>
  <si>
    <t>MRSTX038186</t>
  </si>
  <si>
    <t>MRSTX037754</t>
  </si>
  <si>
    <t>MRSTX038156</t>
  </si>
  <si>
    <t>MRSTX038174</t>
  </si>
  <si>
    <t>MRSTX035004</t>
  </si>
  <si>
    <t>MRSTX029413</t>
  </si>
  <si>
    <t>MRSTX029393</t>
  </si>
  <si>
    <t>MRSTX037539</t>
  </si>
  <si>
    <t>MRSTX038148</t>
  </si>
  <si>
    <t>MRSTX038199</t>
  </si>
  <si>
    <t>MRSTX035006</t>
  </si>
  <si>
    <t>MRSTX035017</t>
  </si>
  <si>
    <t>MRSTX029664</t>
  </si>
  <si>
    <t>MRSTX029563</t>
  </si>
  <si>
    <t>MRSTX029572</t>
  </si>
  <si>
    <t>MRSTX029950</t>
  </si>
  <si>
    <t>MRSTX029684</t>
  </si>
  <si>
    <t>MRSTX038176</t>
  </si>
  <si>
    <t>MRSTX038087</t>
  </si>
  <si>
    <t>MRSTX038194</t>
  </si>
  <si>
    <t>MRSTX034992</t>
  </si>
  <si>
    <t>MRSTX034994</t>
  </si>
  <si>
    <t>MRSTX030007</t>
  </si>
  <si>
    <t>MRSTX029931</t>
  </si>
  <si>
    <t>MRSTX029529</t>
  </si>
  <si>
    <t>MRSTX029670</t>
  </si>
  <si>
    <t>MRSTX038104</t>
  </si>
  <si>
    <t>MRSTX038224</t>
  </si>
  <si>
    <t>MRSTX038197</t>
  </si>
  <si>
    <t>MRSTX038196</t>
  </si>
  <si>
    <t>MRSTX029401</t>
  </si>
  <si>
    <t>MRSTX029397</t>
  </si>
  <si>
    <t>MRSTX029554</t>
  </si>
  <si>
    <t>MRSTX029539</t>
  </si>
  <si>
    <t>MRSTX029501</t>
  </si>
  <si>
    <t>MRSTX029955</t>
  </si>
  <si>
    <t>MRSTX029693</t>
  </si>
  <si>
    <t>MRSTX038700</t>
  </si>
  <si>
    <t>MRSTX038168</t>
  </si>
  <si>
    <t>MRSTX037540</t>
  </si>
  <si>
    <t>MRSTX029389</t>
  </si>
  <si>
    <t>MRSTX029528</t>
  </si>
  <si>
    <t>MRSTX029524</t>
  </si>
  <si>
    <t>MRSTX029908</t>
  </si>
  <si>
    <t>MRSTX038097</t>
  </si>
  <si>
    <t>MRSTX038117</t>
  </si>
  <si>
    <t>MRSTX038195</t>
  </si>
  <si>
    <t>MRSTX030822</t>
  </si>
  <si>
    <t>MRSTX033318</t>
  </si>
  <si>
    <t>MRSTX036894</t>
  </si>
  <si>
    <t>MRSTX035664</t>
  </si>
  <si>
    <t>MRSTX030834</t>
  </si>
  <si>
    <t>MRSTX032561</t>
  </si>
  <si>
    <t>MRSTX032418</t>
  </si>
  <si>
    <t>MRSTX035759</t>
  </si>
  <si>
    <t>MRSTX035864</t>
  </si>
  <si>
    <t>MRSTX035788</t>
  </si>
  <si>
    <t>MRSTX033458</t>
  </si>
  <si>
    <t>MRSTX033797</t>
  </si>
  <si>
    <t>MRSTX036295</t>
  </si>
  <si>
    <t>MRSTX035869</t>
  </si>
  <si>
    <t>MRSTX033225</t>
  </si>
  <si>
    <t>MRSTX030879</t>
  </si>
  <si>
    <t>MRSTX036050</t>
  </si>
  <si>
    <t>MRSTX033789</t>
  </si>
  <si>
    <t>MRSTX035727</t>
  </si>
  <si>
    <t>MRSTX034035</t>
  </si>
  <si>
    <t>MRSTX033856</t>
  </si>
  <si>
    <t>MRSTX033686</t>
  </si>
  <si>
    <t>MRSTX036336</t>
  </si>
  <si>
    <t>MRSTX035866</t>
  </si>
  <si>
    <t>MRSTX034567</t>
  </si>
  <si>
    <t>MRSTX033724</t>
  </si>
  <si>
    <t>MRSTX031139</t>
  </si>
  <si>
    <t>MRSTX036356</t>
  </si>
  <si>
    <t>MRSTX036133</t>
  </si>
  <si>
    <t>MRSTX035651</t>
  </si>
  <si>
    <t>MRSTX033843</t>
  </si>
  <si>
    <t>MRSTX033760</t>
  </si>
  <si>
    <t>MRSTX036293</t>
  </si>
  <si>
    <t>MRSTX033849</t>
  </si>
  <si>
    <t>MRSTX033758</t>
  </si>
  <si>
    <t>MRSTX033749</t>
  </si>
  <si>
    <t>MRSTX032012</t>
  </si>
  <si>
    <t>MRSTX036270</t>
  </si>
  <si>
    <t>MRSTX035909</t>
  </si>
  <si>
    <t>MRSTX035786</t>
  </si>
  <si>
    <t>MRSTX034398</t>
  </si>
  <si>
    <t>MRSTX033276</t>
  </si>
  <si>
    <t>MRSTX034315</t>
  </si>
  <si>
    <t>MRSTX034060</t>
  </si>
  <si>
    <t>MRSTX036898</t>
  </si>
  <si>
    <t>MRSTX036901</t>
  </si>
  <si>
    <t>MRSTX036184</t>
  </si>
  <si>
    <t>MRSTX034469</t>
  </si>
  <si>
    <t>MRSTX034028</t>
  </si>
  <si>
    <t>MRSTX034042</t>
  </si>
  <si>
    <t>MRSTX033986</t>
  </si>
  <si>
    <t>MRSTX036646</t>
  </si>
  <si>
    <t>MRSTX035943</t>
  </si>
  <si>
    <t>MRSTX036092</t>
  </si>
  <si>
    <t>MRSTX034306</t>
  </si>
  <si>
    <t>MRSTX034410</t>
  </si>
  <si>
    <t>MRSTX034063</t>
  </si>
  <si>
    <t>MRSTX033075</t>
  </si>
  <si>
    <t>MRSTX036395</t>
  </si>
  <si>
    <t>MRSTX036283</t>
  </si>
  <si>
    <t>MRSTX034316</t>
  </si>
  <si>
    <t>MRSTX033229</t>
  </si>
  <si>
    <t>MRSTX036251</t>
  </si>
  <si>
    <t>MRSTX033241</t>
  </si>
  <si>
    <t>MRSTX036377</t>
  </si>
  <si>
    <t>MRSTX036456</t>
  </si>
  <si>
    <t>MRSTX034330</t>
  </si>
  <si>
    <t>MRSTX036346</t>
  </si>
  <si>
    <t>MRSTX036387</t>
  </si>
  <si>
    <t>MRSTX036243</t>
  </si>
  <si>
    <t>MRSTX036246</t>
  </si>
  <si>
    <t>MRSTX036194</t>
  </si>
  <si>
    <t>MRSTX034489</t>
  </si>
  <si>
    <t>MRSTX033168</t>
  </si>
  <si>
    <t>MRSTX036567</t>
  </si>
  <si>
    <t>MRSTX031102</t>
  </si>
  <si>
    <t>MRSTX030927</t>
  </si>
  <si>
    <t>MRSTX033540</t>
  </si>
  <si>
    <t>MRSTX033570</t>
  </si>
  <si>
    <t>MRSTX033560</t>
  </si>
  <si>
    <t>MRSTX032790</t>
  </si>
  <si>
    <t>MRSTX036644</t>
  </si>
  <si>
    <t>MRSTX036638</t>
  </si>
  <si>
    <t>MRSTX032821</t>
  </si>
  <si>
    <t>MRSTX033548</t>
  </si>
  <si>
    <t>MRSTX033643</t>
  </si>
  <si>
    <t>MRSTX031668</t>
  </si>
  <si>
    <t>MRSTX036425</t>
  </si>
  <si>
    <t>MRSTX033486</t>
  </si>
  <si>
    <t>MRSTX032816</t>
  </si>
  <si>
    <t>MRSTX031470</t>
  </si>
  <si>
    <t>MRSTX034499</t>
  </si>
  <si>
    <t>MRSTX033684</t>
  </si>
  <si>
    <t>MRSTX036475</t>
  </si>
  <si>
    <t>MRSTX036450</t>
  </si>
  <si>
    <t>MRSTX036467</t>
  </si>
  <si>
    <t>MRSTX033807</t>
  </si>
  <si>
    <t>MRSTX032272</t>
  </si>
  <si>
    <t>MRSTX031121</t>
  </si>
  <si>
    <t>MRSTX036577</t>
  </si>
  <si>
    <t>MRSTX033867</t>
  </si>
  <si>
    <t>MRSTX033639</t>
  </si>
  <si>
    <t>MRSTX030998</t>
  </si>
  <si>
    <t>MRSTX034230</t>
  </si>
  <si>
    <t>MRSTX034698</t>
  </si>
  <si>
    <t>MRSTX034601</t>
  </si>
  <si>
    <t>MRSTX034278</t>
  </si>
  <si>
    <t>MRSTX034148</t>
  </si>
  <si>
    <t>MRSTX032650</t>
  </si>
  <si>
    <t>MRSTX033651</t>
  </si>
  <si>
    <t>MRSTX035913</t>
  </si>
  <si>
    <t>MRSTX034217</t>
  </si>
  <si>
    <t>MRSTX034102</t>
  </si>
  <si>
    <t>MRSTX034034</t>
  </si>
  <si>
    <t>MRSTX032662</t>
  </si>
  <si>
    <t>MRSTX034222</t>
  </si>
  <si>
    <t>MRSTX035911</t>
  </si>
  <si>
    <t>MRSTX034990</t>
  </si>
  <si>
    <t>MRSTX038163</t>
  </si>
  <si>
    <t>MRSTX035002</t>
  </si>
  <si>
    <t>MRSTX029606</t>
  </si>
  <si>
    <t>MRSTX029814</t>
  </si>
  <si>
    <t>MRSTX029556</t>
  </si>
  <si>
    <t>MRSTX038034</t>
  </si>
  <si>
    <t>MRSTX030018</t>
  </si>
  <si>
    <t>MRSTX031297</t>
  </si>
  <si>
    <t>MRSTX035970</t>
  </si>
  <si>
    <t>MRSTX033338</t>
  </si>
  <si>
    <t>MRSTX030815</t>
  </si>
  <si>
    <t>MRSTX032616</t>
  </si>
  <si>
    <t>MRSTX036542</t>
  </si>
  <si>
    <t>MRSTX033873</t>
  </si>
  <si>
    <t>MRSTX033794</t>
  </si>
  <si>
    <t>MRSTX036544</t>
  </si>
  <si>
    <t>MRSTX033688</t>
  </si>
  <si>
    <t>MRSTX035712</t>
  </si>
  <si>
    <t>MRSTX030856</t>
  </si>
  <si>
    <t>MRSTX033890</t>
  </si>
  <si>
    <t>MRSTX033801</t>
  </si>
  <si>
    <t>MRSTX033905</t>
  </si>
  <si>
    <t>MRSTX033234</t>
  </si>
  <si>
    <t>MRSTX034411</t>
  </si>
  <si>
    <t>MRSTX034348</t>
  </si>
  <si>
    <t>MRSTX034308</t>
  </si>
  <si>
    <t>MRSTX034068</t>
  </si>
  <si>
    <t>MRSTX034058</t>
  </si>
  <si>
    <t>MRSTX036313</t>
  </si>
  <si>
    <t>MRSTX035824</t>
  </si>
  <si>
    <t>MRSTX034446</t>
  </si>
  <si>
    <t>MRSTX036256</t>
  </si>
  <si>
    <t>MRSTX036179</t>
  </si>
  <si>
    <t>MRSTX035580</t>
  </si>
  <si>
    <t>MRSTX036572</t>
  </si>
  <si>
    <t>MRSTX034468</t>
  </si>
  <si>
    <t>MRSTX032887</t>
  </si>
  <si>
    <t>MRSTX030872</t>
  </si>
  <si>
    <t>MRSTX036238</t>
  </si>
  <si>
    <t>MRSTX032786</t>
  </si>
  <si>
    <t>MRSTX033623</t>
  </si>
  <si>
    <t>MRSTX033545</t>
  </si>
  <si>
    <t>MRSTX035919</t>
  </si>
  <si>
    <t>MRSTX033584</t>
  </si>
  <si>
    <t>MRSTX033564</t>
  </si>
  <si>
    <t>MRSTX032781</t>
  </si>
  <si>
    <t>MRSTX033539</t>
  </si>
  <si>
    <t>MRSTX033498</t>
  </si>
  <si>
    <t>MRSTX033551</t>
  </si>
  <si>
    <t>MRNTX032420</t>
  </si>
  <si>
    <t>MRNTX033309</t>
  </si>
  <si>
    <t>MRSTX035757</t>
  </si>
  <si>
    <t>MRNTX033589</t>
  </si>
  <si>
    <t>MRWSH022752</t>
  </si>
  <si>
    <t>MRNTX032343</t>
  </si>
  <si>
    <t>MRNTX030538</t>
  </si>
  <si>
    <t>MRNTX036166</t>
  </si>
  <si>
    <t>MRNTX029387</t>
  </si>
  <si>
    <t>MRSTX030943</t>
  </si>
  <si>
    <t>MRNTX029401</t>
  </si>
  <si>
    <t>MRSTX033122</t>
  </si>
  <si>
    <t>MRNTX036848</t>
  </si>
  <si>
    <t>MRNTX036475</t>
  </si>
  <si>
    <t>MRNTX036858</t>
  </si>
  <si>
    <t>MRWSH021988</t>
  </si>
  <si>
    <t>MRSTX036358</t>
  </si>
  <si>
    <t>MRWSH022733</t>
  </si>
  <si>
    <t>MRNTX033510</t>
  </si>
  <si>
    <t>MRSTX035557</t>
  </si>
  <si>
    <t>MRSTX035544</t>
  </si>
  <si>
    <t>MRNTX029667</t>
  </si>
  <si>
    <t>MRSTX036429</t>
  </si>
  <si>
    <t>MRWSH020199</t>
  </si>
  <si>
    <t>MRWSH022788</t>
  </si>
  <si>
    <t>MRWSH021966</t>
  </si>
  <si>
    <t>MRWSH022829</t>
  </si>
  <si>
    <t>MRSTX036011</t>
  </si>
  <si>
    <t>MRWSH020648</t>
  </si>
  <si>
    <t>MRSTX035542</t>
  </si>
  <si>
    <t>MRNTX029223</t>
  </si>
  <si>
    <t>MRNTX029304</t>
  </si>
  <si>
    <t>MRNTX031747</t>
  </si>
  <si>
    <t>MRWSH019948</t>
  </si>
  <si>
    <t>MRWSH022867</t>
  </si>
  <si>
    <t>MRNTX033826</t>
  </si>
  <si>
    <t>MRNTX031073</t>
  </si>
  <si>
    <t>MRSTX036328</t>
  </si>
  <si>
    <t>MRSTX033779</t>
  </si>
  <si>
    <t>MRSTX035735</t>
  </si>
  <si>
    <t>MRSTX035751</t>
  </si>
  <si>
    <t>MRSTX036252</t>
  </si>
  <si>
    <t>MRWSH020678</t>
  </si>
  <si>
    <t>MRWSH020946</t>
  </si>
  <si>
    <t>MRWSH023118</t>
  </si>
  <si>
    <t>MRSTX034430</t>
  </si>
  <si>
    <t>MRSTX035878</t>
  </si>
  <si>
    <t>MRNTX036688</t>
  </si>
  <si>
    <t>MRWSH024599</t>
  </si>
  <si>
    <t>MRNTX037158</t>
  </si>
  <si>
    <t>MRWSH022504</t>
  </si>
  <si>
    <t>MRNTX036682</t>
  </si>
  <si>
    <t>MRNTX032323</t>
  </si>
  <si>
    <t>MRNTX029213</t>
  </si>
  <si>
    <t>MRNTX030713</t>
  </si>
  <si>
    <t>MRNTX036661</t>
  </si>
  <si>
    <t>MRANM013412</t>
  </si>
  <si>
    <t>MRSTX033493</t>
  </si>
  <si>
    <t>MRSTX031295</t>
  </si>
  <si>
    <t>MRNTX036498</t>
  </si>
  <si>
    <t>MRNTX030346</t>
  </si>
  <si>
    <t>MRWSH020641</t>
  </si>
  <si>
    <t>MRANM019748</t>
  </si>
  <si>
    <t>MRANM019759</t>
  </si>
  <si>
    <t>MRWSH022688</t>
  </si>
  <si>
    <t>MRWSH020353</t>
  </si>
  <si>
    <t>MRNTX030896</t>
  </si>
  <si>
    <t>MRWSH019975</t>
  </si>
  <si>
    <t>MRNTX031351</t>
  </si>
  <si>
    <t>MRNTX029491</t>
  </si>
  <si>
    <t>MRSTX035882</t>
  </si>
  <si>
    <t>MRNTX031298</t>
  </si>
  <si>
    <t>MRANM019761</t>
  </si>
  <si>
    <t>MRWSH023024</t>
  </si>
  <si>
    <t>MRSTX036233</t>
  </si>
  <si>
    <t>MRSTX011261</t>
  </si>
  <si>
    <t>MRSTX030884</t>
  </si>
  <si>
    <t>MRNTX036775</t>
  </si>
  <si>
    <t>MRANM017314</t>
  </si>
  <si>
    <t>MRNTX032889</t>
  </si>
  <si>
    <t>MRSTX035732</t>
  </si>
  <si>
    <t>MRNTX036186</t>
  </si>
  <si>
    <t>MRWSH024633</t>
  </si>
  <si>
    <t>MRNTX029601</t>
  </si>
  <si>
    <t>MRSTX031113</t>
  </si>
  <si>
    <t>MRNTX036645</t>
  </si>
  <si>
    <t>MRNTX029659</t>
  </si>
  <si>
    <t>MRWSH024917</t>
  </si>
  <si>
    <t>MRWSH022683</t>
  </si>
  <si>
    <t>MRSTX032778</t>
  </si>
  <si>
    <t>MRWSH022980</t>
  </si>
  <si>
    <t>MRNTX036111</t>
  </si>
  <si>
    <t>MRSTX031462</t>
  </si>
  <si>
    <t>MRNTX031383</t>
  </si>
  <si>
    <t>MRSTX030867</t>
  </si>
  <si>
    <t>MRSTX031625</t>
  </si>
  <si>
    <t>MRNTX032593</t>
  </si>
  <si>
    <t>MRSTX035670</t>
  </si>
  <si>
    <t>MRNTX036480</t>
  </si>
  <si>
    <t>MRSTX036203</t>
  </si>
  <si>
    <t>MRNTX032707</t>
  </si>
  <si>
    <t>MRSTX033239</t>
  </si>
  <si>
    <t>MRNTX031716</t>
  </si>
  <si>
    <t>MRSTX036006</t>
  </si>
  <si>
    <t>MRSTX036062</t>
  </si>
  <si>
    <t>MRNTX036130</t>
  </si>
  <si>
    <t>MRSTX031132</t>
  </si>
  <si>
    <t>MRSTX032692</t>
  </si>
  <si>
    <t>MRSTX031115</t>
  </si>
  <si>
    <t>MRNTX032620</t>
  </si>
  <si>
    <t>MRSTX032377</t>
  </si>
  <si>
    <t>MRSTX036072</t>
  </si>
  <si>
    <t>MRNTX030897</t>
  </si>
  <si>
    <t>MRNTX029504</t>
  </si>
  <si>
    <t>MRNTX036262</t>
  </si>
  <si>
    <t>MRNTX031660</t>
  </si>
  <si>
    <t>MRSTX031669</t>
  </si>
  <si>
    <t>MRSTX035626</t>
  </si>
  <si>
    <t>MRNTX029407</t>
  </si>
  <si>
    <t>MRSTX036103</t>
  </si>
  <si>
    <t>MRNTX036649</t>
  </si>
  <si>
    <t>MRNTX029522</t>
  </si>
  <si>
    <t>MRSTX030957</t>
  </si>
  <si>
    <t>MRNTX036789</t>
  </si>
  <si>
    <t>MRNTX036354</t>
  </si>
  <si>
    <t>MRNTX037280</t>
  </si>
  <si>
    <t>MRNTX036550</t>
  </si>
  <si>
    <t>MRSTX031651</t>
  </si>
  <si>
    <t>MRSTX031103</t>
  </si>
  <si>
    <t>MRNTX029694</t>
  </si>
  <si>
    <t>MRNTX030800</t>
  </si>
  <si>
    <t>MRNTX029662</t>
  </si>
  <si>
    <t>MRNTX032937</t>
  </si>
  <si>
    <t>MRNTX029473</t>
  </si>
  <si>
    <t>MRNTX032520</t>
  </si>
  <si>
    <t>MRNTX029461</t>
  </si>
  <si>
    <t>MRSTX036216</t>
  </si>
  <si>
    <t>MRSTX033748</t>
  </si>
  <si>
    <t>MRNTX029360</t>
  </si>
  <si>
    <t>MRNTX029701</t>
  </si>
  <si>
    <t>MRSTX036279</t>
  </si>
  <si>
    <t>MRNTX032799</t>
  </si>
  <si>
    <t>MRSTX036158</t>
  </si>
  <si>
    <t>MRNTX032725</t>
  </si>
  <si>
    <t>MRNTX036473</t>
  </si>
  <si>
    <t>MRSTX036161</t>
  </si>
  <si>
    <t>MRSTX035560</t>
  </si>
  <si>
    <t>MRWSH022031</t>
  </si>
  <si>
    <t>MRNTX032789</t>
  </si>
  <si>
    <t>MRWSH022254</t>
  </si>
  <si>
    <t>MRSTX032803</t>
  </si>
  <si>
    <t>MRWSH022603</t>
  </si>
  <si>
    <t>MRSTX034537</t>
  </si>
  <si>
    <t>MRNTX031198</t>
  </si>
  <si>
    <t>MRSTX031067</t>
  </si>
  <si>
    <t>MRWSH022104</t>
  </si>
  <si>
    <t>MRWSH024658</t>
  </si>
  <si>
    <t>MRWSH022945</t>
  </si>
  <si>
    <t>MRSTX036035</t>
  </si>
  <si>
    <t>MRWSH020352</t>
  </si>
  <si>
    <t>MRWSH022113</t>
  </si>
  <si>
    <t>MRSTX036210</t>
  </si>
  <si>
    <t>MRNTX032737</t>
  </si>
  <si>
    <t>MRWSH022271</t>
  </si>
  <si>
    <t>MRWSH020929</t>
  </si>
  <si>
    <t>MRNTX036095</t>
  </si>
  <si>
    <t>MRWSH020533</t>
  </si>
  <si>
    <t>MRNTX036233</t>
  </si>
  <si>
    <t>MRSTX036245</t>
  </si>
  <si>
    <t>MRNTX030437</t>
  </si>
  <si>
    <t>MRWSH016095</t>
  </si>
  <si>
    <t>MRWSH020095</t>
  </si>
  <si>
    <t>MRSTX036054</t>
  </si>
  <si>
    <t>MRSTX032332</t>
  </si>
  <si>
    <t>MRSTX032342</t>
  </si>
  <si>
    <t>MRSTX034479</t>
  </si>
  <si>
    <t>MRSTX044551</t>
  </si>
  <si>
    <t>MRSTX044703</t>
  </si>
  <si>
    <t>MRSTX042261</t>
  </si>
  <si>
    <t>MRSTX042383</t>
  </si>
  <si>
    <t>MRSTX042608</t>
  </si>
  <si>
    <t>MRSTX042624</t>
  </si>
  <si>
    <t>MRSTX042625</t>
  </si>
  <si>
    <t>MRSTX042718</t>
  </si>
  <si>
    <t>MRSTX042765</t>
  </si>
  <si>
    <t>MRSTX042810</t>
  </si>
  <si>
    <t>MRSTX042821</t>
  </si>
  <si>
    <t>MRSTX042965</t>
  </si>
  <si>
    <t>MRSTX042982</t>
  </si>
  <si>
    <t>MRSTX043172</t>
  </si>
  <si>
    <t>MRSTX043292</t>
  </si>
  <si>
    <t>MRSTX043447</t>
  </si>
  <si>
    <t>MRSTX043487</t>
  </si>
  <si>
    <t>MRSTX043651</t>
  </si>
  <si>
    <t>MRSTX043661</t>
  </si>
  <si>
    <t>MRSTX043718</t>
  </si>
  <si>
    <t>MRSTX043776</t>
  </si>
  <si>
    <t>MRSTX043922</t>
  </si>
  <si>
    <t>MRSTX043938</t>
  </si>
  <si>
    <t>MRSTX044142</t>
  </si>
  <si>
    <t>MRSTX043689</t>
  </si>
  <si>
    <t>MRSTX043771</t>
  </si>
  <si>
    <t>MRNTX040317</t>
  </si>
  <si>
    <t>MRNTX040341</t>
  </si>
  <si>
    <t>MRSTX044435</t>
  </si>
  <si>
    <t>MRSTX044453</t>
  </si>
  <si>
    <t>MRSTX044512</t>
  </si>
  <si>
    <t>MRSTX044541</t>
  </si>
  <si>
    <t>MRSTX044558</t>
  </si>
  <si>
    <t>MRSTX044724</t>
  </si>
  <si>
    <t>MRNTX040700</t>
  </si>
  <si>
    <t>MRNTX040712</t>
  </si>
  <si>
    <t>MRNTX040791</t>
  </si>
  <si>
    <t>MRNTX040840</t>
  </si>
  <si>
    <t>MRNTX040911</t>
  </si>
  <si>
    <t>MRNTX040926</t>
  </si>
  <si>
    <t>MRSTX031902</t>
  </si>
  <si>
    <t>MRSTX032126</t>
  </si>
  <si>
    <t>MRSTX042257</t>
  </si>
  <si>
    <t>MRSTX042258</t>
  </si>
  <si>
    <t>MRSTX042336</t>
  </si>
  <si>
    <t>MRSTX042356</t>
  </si>
  <si>
    <t>MRSTX042359</t>
  </si>
  <si>
    <t>MRSTX042391</t>
  </si>
  <si>
    <t>MRSTX042396</t>
  </si>
  <si>
    <t>MRSTX042401</t>
  </si>
  <si>
    <t>MRSTX042416</t>
  </si>
  <si>
    <t>MRSTX042420</t>
  </si>
  <si>
    <t>MRSTX042431</t>
  </si>
  <si>
    <t>MRSTX042432</t>
  </si>
  <si>
    <t>MRSTX042433</t>
  </si>
  <si>
    <t>MRSTX042439</t>
  </si>
  <si>
    <t>MRSTX042485</t>
  </si>
  <si>
    <t>MRSTX042492</t>
  </si>
  <si>
    <t>MRSTX042497</t>
  </si>
  <si>
    <t>MRSTX042506</t>
  </si>
  <si>
    <t>MRSTX042510</t>
  </si>
  <si>
    <t>MRSTX042517</t>
  </si>
  <si>
    <t>MRSTX042518</t>
  </si>
  <si>
    <t>MRSTX042523</t>
  </si>
  <si>
    <t>MRSTX042526</t>
  </si>
  <si>
    <t>MRSTX042528</t>
  </si>
  <si>
    <t>MRSTX042529</t>
  </si>
  <si>
    <t>MRSTX042531</t>
  </si>
  <si>
    <t>MRSTX042551</t>
  </si>
  <si>
    <t>MRSTX042556</t>
  </si>
  <si>
    <t>MRSTX042559</t>
  </si>
  <si>
    <t>MRSTX042603</t>
  </si>
  <si>
    <t>MRSTX042606</t>
  </si>
  <si>
    <t>MRSTX042623</t>
  </si>
  <si>
    <t>MRSTX042632</t>
  </si>
  <si>
    <t>MRSTX042636</t>
  </si>
  <si>
    <t>MRSTX042662</t>
  </si>
  <si>
    <t>MRSTX042667</t>
  </si>
  <si>
    <t>MRSTX042682</t>
  </si>
  <si>
    <t>MRSTX042685</t>
  </si>
  <si>
    <t>MRSTX042687</t>
  </si>
  <si>
    <t>MRSTX042688</t>
  </si>
  <si>
    <t>MRSTX042691</t>
  </si>
  <si>
    <t>MRSTX042692</t>
  </si>
  <si>
    <t>MRSTX042699</t>
  </si>
  <si>
    <t>MRSTX042708</t>
  </si>
  <si>
    <t>MRSTX042711</t>
  </si>
  <si>
    <t>MRSTX042721</t>
  </si>
  <si>
    <t>MRSTX042725</t>
  </si>
  <si>
    <t>MRSTX042729</t>
  </si>
  <si>
    <t>MRSTX042732</t>
  </si>
  <si>
    <t>MRSTX042740</t>
  </si>
  <si>
    <t>MRSTX042743</t>
  </si>
  <si>
    <t>MRSTX042751</t>
  </si>
  <si>
    <t>MRSTX042757</t>
  </si>
  <si>
    <t>MRSTX042760</t>
  </si>
  <si>
    <t>MRSTX042786</t>
  </si>
  <si>
    <t>MRSTX042793</t>
  </si>
  <si>
    <t>MRSTX042795</t>
  </si>
  <si>
    <t>MRSTX042796</t>
  </si>
  <si>
    <t>MRSTX042799</t>
  </si>
  <si>
    <t>MRSTX042801</t>
  </si>
  <si>
    <t>MRSTX042802</t>
  </si>
  <si>
    <t>MRSTX042805</t>
  </si>
  <si>
    <t>MRSTX042817</t>
  </si>
  <si>
    <t>MRSTX042824</t>
  </si>
  <si>
    <t>MRSTX042872</t>
  </si>
  <si>
    <t>MRSTX042877</t>
  </si>
  <si>
    <t>MRSTX042882</t>
  </si>
  <si>
    <t>MRSTX042919</t>
  </si>
  <si>
    <t>MRSTX042929</t>
  </si>
  <si>
    <t>MRSTX042931</t>
  </si>
  <si>
    <t>MRSTX042935</t>
  </si>
  <si>
    <t>MRSTX042937</t>
  </si>
  <si>
    <t>MRSTX042938</t>
  </si>
  <si>
    <t>MRSTX042939</t>
  </si>
  <si>
    <t>MRSTX042955</t>
  </si>
  <si>
    <t>MRSTX042971</t>
  </si>
  <si>
    <t>MRSTX042980</t>
  </si>
  <si>
    <t>MRSTX042981</t>
  </si>
  <si>
    <t>MRSTX042985</t>
  </si>
  <si>
    <t>MRSTX042986</t>
  </si>
  <si>
    <t>MRSTX042988</t>
  </si>
  <si>
    <t>MRSTX042994</t>
  </si>
  <si>
    <t>MRSTX042997</t>
  </si>
  <si>
    <t>MRSTX043001</t>
  </si>
  <si>
    <t>MRSTX043005</t>
  </si>
  <si>
    <t>MRSTX043018</t>
  </si>
  <si>
    <t>MRSTX043023</t>
  </si>
  <si>
    <t>MRSTX043029</t>
  </si>
  <si>
    <t>MRSTX043032</t>
  </si>
  <si>
    <t>MRSTX043037</t>
  </si>
  <si>
    <t>MRSTX043082</t>
  </si>
  <si>
    <t>MRSTX043087</t>
  </si>
  <si>
    <t>MRSTX043090</t>
  </si>
  <si>
    <t>MRSTX043092</t>
  </si>
  <si>
    <t>MRSTX043096</t>
  </si>
  <si>
    <t>MRSTX043099</t>
  </si>
  <si>
    <t>MRSTX043107</t>
  </si>
  <si>
    <t>MRSTX043134</t>
  </si>
  <si>
    <t>MRSTX043139</t>
  </si>
  <si>
    <t>MRSTX043147</t>
  </si>
  <si>
    <t>MRNTX039884</t>
  </si>
  <si>
    <t>MRNTX039897</t>
  </si>
  <si>
    <t>MRNTX039940</t>
  </si>
  <si>
    <t>MRSTX043170</t>
  </si>
  <si>
    <t>MRSTX043171</t>
  </si>
  <si>
    <t>MRSTX043178</t>
  </si>
  <si>
    <t>MRSTX043183</t>
  </si>
  <si>
    <t>MRSTX043184</t>
  </si>
  <si>
    <t>MRSTX043189</t>
  </si>
  <si>
    <t>MRSTX043204</t>
  </si>
  <si>
    <t>MRSTX043212</t>
  </si>
  <si>
    <t>MRSTX043216</t>
  </si>
  <si>
    <t>MRSTX043220</t>
  </si>
  <si>
    <t>MRSTX043225</t>
  </si>
  <si>
    <t>MRSTX043231</t>
  </si>
  <si>
    <t>MRSTX043237</t>
  </si>
  <si>
    <t>MRSTX043241</t>
  </si>
  <si>
    <t>MRSTX043247</t>
  </si>
  <si>
    <t>MRSTX043260</t>
  </si>
  <si>
    <t>MRSTX043266</t>
  </si>
  <si>
    <t>MRSTX043268</t>
  </si>
  <si>
    <t>MRSTX043339</t>
  </si>
  <si>
    <t>MRSTX043351</t>
  </si>
  <si>
    <t>MRSTX043372</t>
  </si>
  <si>
    <t>MRSTX043383</t>
  </si>
  <si>
    <t>MRSTX043392</t>
  </si>
  <si>
    <t>MRSTX043403</t>
  </si>
  <si>
    <t>MRSTX043405</t>
  </si>
  <si>
    <t>MRSTX043420</t>
  </si>
  <si>
    <t>MRSTX043464</t>
  </si>
  <si>
    <t>MRSTX043470</t>
  </si>
  <si>
    <t>MRSTX043474</t>
  </si>
  <si>
    <t>MRSTX043515</t>
  </si>
  <si>
    <t>MRSTX043539</t>
  </si>
  <si>
    <t>MRSTX043546</t>
  </si>
  <si>
    <t>MRSTX043550</t>
  </si>
  <si>
    <t>MRSTX043553</t>
  </si>
  <si>
    <t>MRSTX043558</t>
  </si>
  <si>
    <t>MRSTX043571</t>
  </si>
  <si>
    <t>MRSTX043590</t>
  </si>
  <si>
    <t>MRSTX043597</t>
  </si>
  <si>
    <t>MRSTX043602</t>
  </si>
  <si>
    <t>MRSTX043610</t>
  </si>
  <si>
    <t>MRNTX039980</t>
  </si>
  <si>
    <t>MRNTX040009</t>
  </si>
  <si>
    <t>MRNTX040024</t>
  </si>
  <si>
    <t>MRNTX040026</t>
  </si>
  <si>
    <t>MRNTX040144</t>
  </si>
  <si>
    <t>MRNTX040188</t>
  </si>
  <si>
    <t>MRNTX040242</t>
  </si>
  <si>
    <t>MRNTX040247</t>
  </si>
  <si>
    <t>MRSTX043619</t>
  </si>
  <si>
    <t>MRSTX043690</t>
  </si>
  <si>
    <t>MRSTX043695</t>
  </si>
  <si>
    <t>MRSTX043697</t>
  </si>
  <si>
    <t>MRSTX043698</t>
  </si>
  <si>
    <t>MRSTX043699</t>
  </si>
  <si>
    <t>MRSTX043705</t>
  </si>
  <si>
    <t>MRSTX043708</t>
  </si>
  <si>
    <t>MRSTX043712</t>
  </si>
  <si>
    <t>MRSTX043716</t>
  </si>
  <si>
    <t>MRSTX043732</t>
  </si>
  <si>
    <t>MRSTX043737</t>
  </si>
  <si>
    <t>MRSTX043740</t>
  </si>
  <si>
    <t>MRSTX043741</t>
  </si>
  <si>
    <t>MRSTX043745</t>
  </si>
  <si>
    <t>MRSTX043746</t>
  </si>
  <si>
    <t>MRSTX043747</t>
  </si>
  <si>
    <t>MRSTX043757</t>
  </si>
  <si>
    <t>MRSTX043758</t>
  </si>
  <si>
    <t>MRSTX043761</t>
  </si>
  <si>
    <t>MRSTX043782</t>
  </si>
  <si>
    <t>MRSTX043784</t>
  </si>
  <si>
    <t>MRSTX043790</t>
  </si>
  <si>
    <t>MRSTX043814</t>
  </si>
  <si>
    <t>MRSTX043818</t>
  </si>
  <si>
    <t>MRSTX043822</t>
  </si>
  <si>
    <t>MRSTX043832</t>
  </si>
  <si>
    <t>MRSTX043900</t>
  </si>
  <si>
    <t>MRSTX043910</t>
  </si>
  <si>
    <t>MRSTX043914</t>
  </si>
  <si>
    <t>MRSTX043919</t>
  </si>
  <si>
    <t>MRSTX043937</t>
  </si>
  <si>
    <t>MRSTX043948</t>
  </si>
  <si>
    <t>MRSTX043952</t>
  </si>
  <si>
    <t>MRSTX044161</t>
  </si>
  <si>
    <t>MRNTX031586</t>
  </si>
  <si>
    <t>MRNTX031595</t>
  </si>
  <si>
    <t>MRNTX031637</t>
  </si>
  <si>
    <t>MRNTX031655</t>
  </si>
  <si>
    <t>MRWSH024516</t>
  </si>
  <si>
    <t>MRWSH024538</t>
  </si>
  <si>
    <t>MRWSH024555</t>
  </si>
  <si>
    <t>MRWSH024595</t>
  </si>
  <si>
    <t>MRWSH024673</t>
  </si>
  <si>
    <t>MRNTX032004</t>
  </si>
  <si>
    <t>MRNTX032010</t>
  </si>
  <si>
    <t>MRNTX032089</t>
  </si>
  <si>
    <t>MRWSH024820</t>
  </si>
  <si>
    <t>MRWSH024852</t>
  </si>
  <si>
    <t>MRWSH025168</t>
  </si>
  <si>
    <t>MRNTX032497</t>
  </si>
  <si>
    <t>MRNTX032672</t>
  </si>
  <si>
    <t>MRNTX032732</t>
  </si>
  <si>
    <t>MRNTX032871</t>
  </si>
  <si>
    <t>MRNTX032941</t>
  </si>
  <si>
    <t>MRNTX033296</t>
  </si>
  <si>
    <t>MRNTX033445</t>
  </si>
  <si>
    <t>MRNTX033583</t>
  </si>
  <si>
    <t>MRNTX033792</t>
  </si>
  <si>
    <t>MRNTX029201</t>
  </si>
  <si>
    <t>MRNTX029330</t>
  </si>
  <si>
    <t>MRWSH016029</t>
  </si>
  <si>
    <t>MRWSH019940</t>
  </si>
  <si>
    <t>MRWSH020023</t>
  </si>
  <si>
    <t>MRWSH020073</t>
  </si>
  <si>
    <t>MRNTX029640</t>
  </si>
  <si>
    <t>MRNTX029731</t>
  </si>
  <si>
    <t>MRNTX030252</t>
  </si>
  <si>
    <t>MRNTX036123</t>
  </si>
  <si>
    <t>MRNTX036247</t>
  </si>
  <si>
    <t>MRNTX036360</t>
  </si>
  <si>
    <t>MRWSH020127</t>
  </si>
  <si>
    <t>MRWSH020165</t>
  </si>
  <si>
    <t>MRWSH020440</t>
  </si>
  <si>
    <t>MRWSH020453</t>
  </si>
  <si>
    <t>MRWSH020471</t>
  </si>
  <si>
    <t>MRWSH020618</t>
  </si>
  <si>
    <t>MRNTX030574</t>
  </si>
  <si>
    <t>MRNTX030587</t>
  </si>
  <si>
    <t>MRNTX036514</t>
  </si>
  <si>
    <t>MRWSH020878</t>
  </si>
  <si>
    <t>MRWSH020945</t>
  </si>
  <si>
    <t>MRWSH020957</t>
  </si>
  <si>
    <t>MRWSH020983</t>
  </si>
  <si>
    <t>MRWSH021973</t>
  </si>
  <si>
    <t>MRWSH022032</t>
  </si>
  <si>
    <t>MRWSH022056</t>
  </si>
  <si>
    <t>MRWSH022107</t>
  </si>
  <si>
    <t>MRNTX031064</t>
  </si>
  <si>
    <t>MRNTX037247</t>
  </si>
  <si>
    <t>MRNTX037272</t>
  </si>
  <si>
    <t>MRWSH022134</t>
  </si>
  <si>
    <t>MRWSH022244</t>
  </si>
  <si>
    <t>MRWSH022276</t>
  </si>
  <si>
    <t>MRWSH022319</t>
  </si>
  <si>
    <t>MRWSH022321</t>
  </si>
  <si>
    <t>MRWSH022551</t>
  </si>
  <si>
    <t>MRWSH022597</t>
  </si>
  <si>
    <t>MRNTX031174</t>
  </si>
  <si>
    <t>MRNTX031348</t>
  </si>
  <si>
    <t>MRWSH022704</t>
  </si>
  <si>
    <t>MRWSH022736</t>
  </si>
  <si>
    <t>MRNTX032211</t>
  </si>
  <si>
    <t>MRWSH025351</t>
  </si>
  <si>
    <t>MRWSH025361</t>
  </si>
  <si>
    <t>MRWSH025385</t>
  </si>
  <si>
    <t>MRWSH025390</t>
  </si>
  <si>
    <t>MRNTX031516</t>
  </si>
  <si>
    <t>MRNTX031687</t>
  </si>
  <si>
    <t>MRWSH023117</t>
  </si>
  <si>
    <t>MRWSH023119</t>
  </si>
  <si>
    <t>MRWSH023148</t>
  </si>
  <si>
    <t>MRWSH024471</t>
  </si>
  <si>
    <t>MRWSH024473</t>
  </si>
  <si>
    <t>MRWSH024479</t>
  </si>
  <si>
    <t>MRWSH024489</t>
  </si>
  <si>
    <t>MRWSH024494</t>
  </si>
  <si>
    <t>MRWSH024505</t>
  </si>
  <si>
    <t>MRWSH024519</t>
  </si>
  <si>
    <t>MRWSH024531</t>
  </si>
  <si>
    <t>MRWSH024533</t>
  </si>
  <si>
    <t>MRWSH024540</t>
  </si>
  <si>
    <t>MRWSH024544</t>
  </si>
  <si>
    <t>MRWSH024550</t>
  </si>
  <si>
    <t>MRWSH024551</t>
  </si>
  <si>
    <t>MRWSH024570</t>
  </si>
  <si>
    <t>MRWSH024590</t>
  </si>
  <si>
    <t>MRWSH024612</t>
  </si>
  <si>
    <t>MRWSH024688</t>
  </si>
  <si>
    <t>MRWSH024695</t>
  </si>
  <si>
    <t>MRWSH024704</t>
  </si>
  <si>
    <t>MRWSH024714</t>
  </si>
  <si>
    <t>MRWSH024736</t>
  </si>
  <si>
    <t>MRWSH024739</t>
  </si>
  <si>
    <t>MRWSH024747</t>
  </si>
  <si>
    <t>MRWSH024773</t>
  </si>
  <si>
    <t>MRWSH024927</t>
  </si>
  <si>
    <t>MRWSH025064</t>
  </si>
  <si>
    <t>MRWSH025065</t>
  </si>
  <si>
    <t>MRWSH025114</t>
  </si>
  <si>
    <t>MRWSH025149</t>
  </si>
  <si>
    <t>MRWSH025169</t>
  </si>
  <si>
    <t>MRANM014697</t>
  </si>
  <si>
    <t>MRNTX021911</t>
  </si>
  <si>
    <t>MRNTX032557</t>
  </si>
  <si>
    <t>MRNTX032682</t>
  </si>
  <si>
    <t>MRNTX027834</t>
  </si>
  <si>
    <t>MRNTX029288</t>
  </si>
  <si>
    <t>MRNTX029359</t>
  </si>
  <si>
    <t>MRNTX029377</t>
  </si>
  <si>
    <t>MRNTX036029</t>
  </si>
  <si>
    <t>MRNTX036034</t>
  </si>
  <si>
    <t>MRWSH019909</t>
  </si>
  <si>
    <t>MRWSH019922</t>
  </si>
  <si>
    <t>MRWSH020096</t>
  </si>
  <si>
    <t>MRNTX029603</t>
  </si>
  <si>
    <t>MRNTX029715</t>
  </si>
  <si>
    <t>MRNTX036058</t>
  </si>
  <si>
    <t>MRNTX036060</t>
  </si>
  <si>
    <t>MRNTX036088</t>
  </si>
  <si>
    <t>MRNTX036151</t>
  </si>
  <si>
    <t>MRWSH020159</t>
  </si>
  <si>
    <t>MRWSH020191</t>
  </si>
  <si>
    <t>MRWSH020195</t>
  </si>
  <si>
    <t>MRWSH020197</t>
  </si>
  <si>
    <t>MRWSH020489</t>
  </si>
  <si>
    <t>MRWSH020514</t>
  </si>
  <si>
    <t>MRWSH020676</t>
  </si>
  <si>
    <t>MRNTX036578</t>
  </si>
  <si>
    <t>MRNTX036709</t>
  </si>
  <si>
    <t>MRWSH020793</t>
  </si>
  <si>
    <t>MRWSH020967</t>
  </si>
  <si>
    <t>MRWSH021067</t>
  </si>
  <si>
    <t>MRWSH021082</t>
  </si>
  <si>
    <t>MRWSH021155</t>
  </si>
  <si>
    <t>MRWSH022058</t>
  </si>
  <si>
    <t>MRWSH022059</t>
  </si>
  <si>
    <t>MRNTX031014</t>
  </si>
  <si>
    <t>MRWSH022114</t>
  </si>
  <si>
    <t>MRWSH022170</t>
  </si>
  <si>
    <t>MRWSH022184</t>
  </si>
  <si>
    <t>MRWSH022190</t>
  </si>
  <si>
    <t>MRWSH022191</t>
  </si>
  <si>
    <t>MRWSH022265</t>
  </si>
  <si>
    <t>MRWSH022300</t>
  </si>
  <si>
    <t>MRWSH022522</t>
  </si>
  <si>
    <t>MRNTX031354</t>
  </si>
  <si>
    <t>MRWSH022662</t>
  </si>
  <si>
    <t>MRWSH022985</t>
  </si>
  <si>
    <t>MRWSH022990</t>
  </si>
  <si>
    <t>MRWSH023001</t>
  </si>
  <si>
    <t>MRWSH023006</t>
  </si>
  <si>
    <t>MRWSH023088</t>
  </si>
  <si>
    <t>MRNTX032172</t>
  </si>
  <si>
    <t>MRNTX032246</t>
  </si>
  <si>
    <t>MRNTX032283</t>
  </si>
  <si>
    <t>MRSTX011100</t>
  </si>
  <si>
    <t>MRSTX014549</t>
  </si>
  <si>
    <t>MRSTX035720</t>
  </si>
  <si>
    <t>MRSTX035774</t>
  </si>
  <si>
    <t>MRSTX035776</t>
  </si>
  <si>
    <t>MRSTX035807</t>
  </si>
  <si>
    <t>MRSTX035944</t>
  </si>
  <si>
    <t>MRSTX035974</t>
  </si>
  <si>
    <t>MRSTX035981</t>
  </si>
  <si>
    <t>MRSTX035983</t>
  </si>
  <si>
    <t>MRSTX035999</t>
  </si>
  <si>
    <t>MRWSH025348</t>
  </si>
  <si>
    <t>MRNTX031603</t>
  </si>
  <si>
    <t>MRSTX034555</t>
  </si>
  <si>
    <t>MRWSH024743</t>
  </si>
  <si>
    <t>MRSTX035521</t>
  </si>
  <si>
    <t>MRSTX035522</t>
  </si>
  <si>
    <t>MRSTX035523</t>
  </si>
  <si>
    <t>MRSTX035526</t>
  </si>
  <si>
    <t>MRSTX035530</t>
  </si>
  <si>
    <t>MRSTX035533</t>
  </si>
  <si>
    <t>MRSTX035601</t>
  </si>
  <si>
    <t>MRSTX035655</t>
  </si>
  <si>
    <t>MRWSH024982</t>
  </si>
  <si>
    <t>MRWSH024992</t>
  </si>
  <si>
    <t>MRNTX024603</t>
  </si>
  <si>
    <t>MRNTX024772</t>
  </si>
  <si>
    <t>MRNTX033086</t>
  </si>
  <si>
    <t>MRSTX036327</t>
  </si>
  <si>
    <t>MRSTX036374</t>
  </si>
  <si>
    <t>MRNTX025131</t>
  </si>
  <si>
    <t>MRSTX036434</t>
  </si>
  <si>
    <t>MRSTX036677</t>
  </si>
  <si>
    <t>MRNTX033555</t>
  </si>
  <si>
    <t>MRSTX030821</t>
  </si>
  <si>
    <t>MRNTX029267</t>
  </si>
  <si>
    <t>MRNTX029343</t>
  </si>
  <si>
    <t>MRNTX029440</t>
  </si>
  <si>
    <t>MRNTX033851</t>
  </si>
  <si>
    <t>MRNTX033854</t>
  </si>
  <si>
    <t>MRNTX033879</t>
  </si>
  <si>
    <t>MRNTX033925</t>
  </si>
  <si>
    <t>MRNTX033937</t>
  </si>
  <si>
    <t>MRNTX029703</t>
  </si>
  <si>
    <t>MRNTX030375</t>
  </si>
  <si>
    <t>MRNTX036418</t>
  </si>
  <si>
    <t>MRNTX036667</t>
  </si>
  <si>
    <t>MRNTX031054</t>
  </si>
  <si>
    <t>MRNTX036782</t>
  </si>
  <si>
    <t>MRNTX036790</t>
  </si>
  <si>
    <t>MRNTX036822</t>
  </si>
  <si>
    <t>MRNTX036844</t>
  </si>
  <si>
    <t>MRNTX037325</t>
  </si>
  <si>
    <t>MRSTX033683</t>
  </si>
  <si>
    <t>MRNTX031352</t>
  </si>
  <si>
    <t>MRSTX034149</t>
  </si>
  <si>
    <t>MRNTX032190</t>
  </si>
  <si>
    <t>MRWSH025324</t>
  </si>
  <si>
    <t>MRWSH024502</t>
  </si>
  <si>
    <t>MRNTX031990</t>
  </si>
  <si>
    <t>MRWSH025126</t>
  </si>
  <si>
    <t>MRWSH025141</t>
  </si>
  <si>
    <t>MRNTX022203</t>
  </si>
  <si>
    <t>MRNTX032494</t>
  </si>
  <si>
    <t>MRSTX031679</t>
  </si>
  <si>
    <t>MRWSH020001</t>
  </si>
  <si>
    <t>MRWSH020108</t>
  </si>
  <si>
    <t>MRWSH020565</t>
  </si>
  <si>
    <t>MRWSH020602</t>
  </si>
  <si>
    <t>MRWSH020897</t>
  </si>
  <si>
    <t>MRWSH021938</t>
  </si>
  <si>
    <t>MRWSH022015</t>
  </si>
  <si>
    <t>MRWSH022076</t>
  </si>
  <si>
    <t>MRWSH022109</t>
  </si>
  <si>
    <t>MRNTX030929</t>
  </si>
  <si>
    <t>MRWSH022155</t>
  </si>
  <si>
    <t>MRWSH022173</t>
  </si>
  <si>
    <t>MRWSH022200</t>
  </si>
  <si>
    <t>MRWSH022222</t>
  </si>
  <si>
    <t>MRWSH022263</t>
  </si>
  <si>
    <t>MRWSH022293</t>
  </si>
  <si>
    <t>MRNTX031377</t>
  </si>
  <si>
    <t>MRSTX035699</t>
  </si>
  <si>
    <t>MRSTX035763</t>
  </si>
  <si>
    <t>MRWSH025377</t>
  </si>
  <si>
    <t>MRSTX034549</t>
  </si>
  <si>
    <t>MRWSH024594</t>
  </si>
  <si>
    <t>MRWSH024753</t>
  </si>
  <si>
    <t>MRWSH025140</t>
  </si>
  <si>
    <t>MRWSH025219</t>
  </si>
  <si>
    <t>MRWSH025260</t>
  </si>
  <si>
    <t>MRNTX033055</t>
  </si>
  <si>
    <t>MRNTX033211</t>
  </si>
  <si>
    <t>MRNTX033430</t>
  </si>
  <si>
    <t>MRSTX030903</t>
  </si>
  <si>
    <t>MRSTX030948</t>
  </si>
  <si>
    <t>MRSTX031141</t>
  </si>
  <si>
    <t>MRSTX031723</t>
  </si>
  <si>
    <t>MRSTX031987</t>
  </si>
  <si>
    <t>MRSTX032478</t>
  </si>
  <si>
    <t>MRSTX032487</t>
  </si>
  <si>
    <t>MRNTX036452</t>
  </si>
  <si>
    <t>MRWSH021972</t>
  </si>
  <si>
    <t>MRWSH022087</t>
  </si>
  <si>
    <t>MRWSH022814</t>
  </si>
  <si>
    <t>MRWSH022921</t>
  </si>
  <si>
    <t>MRSTX035752</t>
  </si>
  <si>
    <t>MRSTX035811</t>
  </si>
  <si>
    <t>MRSTX034350</t>
  </si>
  <si>
    <t>MRSTX034527</t>
  </si>
  <si>
    <t>MRWSH024804</t>
  </si>
  <si>
    <t>MRSTX035661</t>
  </si>
  <si>
    <t>MRSTX035678</t>
  </si>
  <si>
    <t>MRSTX026302</t>
  </si>
  <si>
    <t>MRSTX026303</t>
  </si>
  <si>
    <t>MRSTX026304</t>
  </si>
  <si>
    <t>MRSTX036451</t>
  </si>
  <si>
    <t>MRSTX036574</t>
  </si>
  <si>
    <t>MRSTX030874</t>
  </si>
  <si>
    <t>MRSTX031614</t>
  </si>
  <si>
    <t>MRSTX031617</t>
  </si>
  <si>
    <t>MRWSH017725</t>
  </si>
  <si>
    <t>MRSTX032647</t>
  </si>
  <si>
    <t>MRSTX032659</t>
  </si>
  <si>
    <t>MRSTX032689</t>
  </si>
  <si>
    <t>MRSTX033692</t>
  </si>
  <si>
    <t>MRWSH022511</t>
  </si>
  <si>
    <t>MRSTX035593</t>
  </si>
  <si>
    <t>MRNTX030632</t>
  </si>
  <si>
    <t>MRWSH020902</t>
  </si>
  <si>
    <t>MRSTX042942</t>
  </si>
  <si>
    <t>MRSTX043039</t>
  </si>
  <si>
    <t>MRSTX043047</t>
  </si>
  <si>
    <t>MRSTX043067</t>
  </si>
  <si>
    <t>MRSTX043120</t>
  </si>
  <si>
    <t>MRSTX043254</t>
  </si>
  <si>
    <t>MRSTX043311</t>
  </si>
  <si>
    <t>MRSTX043493</t>
  </si>
  <si>
    <t>MRSTX043494</t>
  </si>
  <si>
    <t>MRSTX043816</t>
  </si>
  <si>
    <t>MRSTX043850</t>
  </si>
  <si>
    <t>MRSTX043858</t>
  </si>
  <si>
    <t>MRANM022044</t>
  </si>
  <si>
    <t>MRSTX044020</t>
  </si>
  <si>
    <t>MRANM022108</t>
  </si>
  <si>
    <t>MRANM022160</t>
  </si>
  <si>
    <t>MRSTX044219</t>
  </si>
  <si>
    <t>MRSTX044344</t>
  </si>
  <si>
    <t>MRSTX044429</t>
  </si>
  <si>
    <t>MRSTX044524</t>
  </si>
  <si>
    <t>MRSTX044537</t>
  </si>
  <si>
    <t>MRSTX044538</t>
  </si>
  <si>
    <t>MRSTX044554</t>
  </si>
  <si>
    <t>MRSTX044555</t>
  </si>
  <si>
    <t>MRSTX044556</t>
  </si>
  <si>
    <t>MRSTX044588</t>
  </si>
  <si>
    <t>MRSTX044739</t>
  </si>
  <si>
    <t>MRSTX030991</t>
  </si>
  <si>
    <t>MRSTX030999</t>
  </si>
  <si>
    <t>MRSTX042321</t>
  </si>
  <si>
    <t>MRSTX042337</t>
  </si>
  <si>
    <t>MRSTX042422</t>
  </si>
  <si>
    <t>MRSTX042455</t>
  </si>
  <si>
    <t>MRSTX042583</t>
  </si>
  <si>
    <t>MRNTX043243</t>
  </si>
  <si>
    <t>MRNTX043254</t>
  </si>
  <si>
    <t>MRNTX043454</t>
  </si>
  <si>
    <t>MRNTX043687</t>
  </si>
  <si>
    <t>MRNTX043774</t>
  </si>
  <si>
    <t>MRNTX040142</t>
  </si>
  <si>
    <t>MRNTX040258</t>
  </si>
  <si>
    <t>MRSTX043011</t>
  </si>
  <si>
    <t>MRNTX040578</t>
  </si>
  <si>
    <t>MRNTX040708</t>
  </si>
  <si>
    <t>MRSTX043133</t>
  </si>
  <si>
    <t>MRNTX040866</t>
  </si>
  <si>
    <t>MRNTX040885</t>
  </si>
  <si>
    <t>MRNTX041153</t>
  </si>
  <si>
    <t>MRNTX041159</t>
  </si>
  <si>
    <t>MRNTX041175</t>
  </si>
  <si>
    <t>MRSTX043720</t>
  </si>
  <si>
    <t>MRANM023007</t>
  </si>
  <si>
    <t>MRANM023572</t>
  </si>
  <si>
    <t>MRSTX044364</t>
  </si>
  <si>
    <t>MRWSH027056</t>
  </si>
  <si>
    <t>MRWSH027087</t>
  </si>
  <si>
    <t>MRNTX038469</t>
  </si>
  <si>
    <t>MRNTX040080</t>
  </si>
  <si>
    <t>MRNTX036671</t>
  </si>
  <si>
    <t>MRNTX036753</t>
  </si>
  <si>
    <t>MRNTX036781</t>
  </si>
  <si>
    <t>MRSTX040068</t>
  </si>
  <si>
    <t>MRSTX040082</t>
  </si>
  <si>
    <t>MRSTX040162</t>
  </si>
  <si>
    <t>MRSTX040218</t>
  </si>
  <si>
    <t>MRSTX040242</t>
  </si>
  <si>
    <t>MRSTX040255</t>
  </si>
  <si>
    <t>MRANM006631</t>
  </si>
  <si>
    <t>MRSTX033460</t>
  </si>
  <si>
    <t>MRNTX031912</t>
  </si>
  <si>
    <t>MRSTX033730</t>
  </si>
  <si>
    <t>MRSTX033792</t>
  </si>
  <si>
    <t>MRSTX033928</t>
  </si>
  <si>
    <t>MRSTX033933</t>
  </si>
  <si>
    <t>MRNTX032063</t>
  </si>
  <si>
    <t>MRSTX033952</t>
  </si>
  <si>
    <t>MRSTX034032</t>
  </si>
  <si>
    <t>MRNTX032475</t>
  </si>
  <si>
    <t>MRNTX032517</t>
  </si>
  <si>
    <t>MRNTX032551</t>
  </si>
  <si>
    <t>MRSTX034461</t>
  </si>
  <si>
    <t>MRWSH020934</t>
  </si>
  <si>
    <t>MRANM020131</t>
  </si>
  <si>
    <t>MRANM020441</t>
  </si>
  <si>
    <t>MRWSH022002</t>
  </si>
  <si>
    <t>MRWSH022081</t>
  </si>
  <si>
    <t>MRWSH022110</t>
  </si>
  <si>
    <t>MRWSH022285</t>
  </si>
  <si>
    <t>MRWSH022295</t>
  </si>
  <si>
    <t>MRANM022074</t>
  </si>
  <si>
    <t>MRANM022092</t>
  </si>
  <si>
    <t>MRANM022103</t>
  </si>
  <si>
    <t>MRANM022118</t>
  </si>
  <si>
    <t>MRANM022119</t>
  </si>
  <si>
    <t>MRANM022153</t>
  </si>
  <si>
    <t>MRWSH022761</t>
  </si>
  <si>
    <t>MRWSH024470</t>
  </si>
  <si>
    <t>MRNTX028230</t>
  </si>
  <si>
    <t>MRNTX029321</t>
  </si>
  <si>
    <t>MRNTX033959</t>
  </si>
  <si>
    <t>MRNTX029413</t>
  </si>
  <si>
    <t>MRNTX029540</t>
  </si>
  <si>
    <t>MRNTX029624</t>
  </si>
  <si>
    <t>MRNTX036062</t>
  </si>
  <si>
    <t>MRNTX036096</t>
  </si>
  <si>
    <t>MRNTX036182</t>
  </si>
  <si>
    <t>MRSTX039622</t>
  </si>
  <si>
    <t>MRWSH025130</t>
  </si>
  <si>
    <t>MRNTX030616</t>
  </si>
  <si>
    <t>MRNTX036567</t>
  </si>
  <si>
    <t>MRNTX036586</t>
  </si>
  <si>
    <t>MRNTX036589</t>
  </si>
  <si>
    <t>MRNTX036613</t>
  </si>
  <si>
    <t>MRNTX036628</t>
  </si>
  <si>
    <t>MRSTX039713</t>
  </si>
  <si>
    <t>MRSTX039722</t>
  </si>
  <si>
    <t>MRSTX039724</t>
  </si>
  <si>
    <t>MRSTX039735</t>
  </si>
  <si>
    <t>MRSTX039828</t>
  </si>
  <si>
    <t>MRSTX039861</t>
  </si>
  <si>
    <t>MRSTX039877</t>
  </si>
  <si>
    <t>MRSTX039895</t>
  </si>
  <si>
    <t>MRSTX039914</t>
  </si>
  <si>
    <t>MRSTX039949</t>
  </si>
  <si>
    <t>MRSTX039984</t>
  </si>
  <si>
    <t>MRSTX040015</t>
  </si>
  <si>
    <t>MRNTX030877</t>
  </si>
  <si>
    <t>MRNTX036941</t>
  </si>
  <si>
    <t>MRWSH011138</t>
  </si>
  <si>
    <t>MRNTX031367</t>
  </si>
  <si>
    <t>MRSTX033550</t>
  </si>
  <si>
    <t>MRWSH015536</t>
  </si>
  <si>
    <t>MRNTX031725</t>
  </si>
  <si>
    <t>MRWSH016104</t>
  </si>
  <si>
    <t>MRWSH019954</t>
  </si>
  <si>
    <t>MRWSH019990</t>
  </si>
  <si>
    <t>MRWSH020012</t>
  </si>
  <si>
    <t>MRNTX032300</t>
  </si>
  <si>
    <t>MRWSH020121</t>
  </si>
  <si>
    <t>MRWSH020271</t>
  </si>
  <si>
    <t>MRWSH020487</t>
  </si>
  <si>
    <t>MRANM017336</t>
  </si>
  <si>
    <t>MRNTX032624</t>
  </si>
  <si>
    <t>MRWSH020566</t>
  </si>
  <si>
    <t>MRWSH020572</t>
  </si>
  <si>
    <t>MRWSH020855</t>
  </si>
  <si>
    <t>MRWSH020954</t>
  </si>
  <si>
    <t>MRWSH021899</t>
  </si>
  <si>
    <t>MRWSH021977</t>
  </si>
  <si>
    <t>MRANM020159</t>
  </si>
  <si>
    <t>MRANM020194</t>
  </si>
  <si>
    <t>MRANM020339</t>
  </si>
  <si>
    <t>MRANM020383</t>
  </si>
  <si>
    <t>MRANM020394</t>
  </si>
  <si>
    <t>MRANM020407</t>
  </si>
  <si>
    <t>MRANM020424</t>
  </si>
  <si>
    <t>MRANM020435</t>
  </si>
  <si>
    <t>MRANM020465</t>
  </si>
  <si>
    <t>MRANM020471</t>
  </si>
  <si>
    <t>MRANM020529</t>
  </si>
  <si>
    <t>MRANM020532</t>
  </si>
  <si>
    <t>MRANM021941</t>
  </si>
  <si>
    <t>MRANM021945</t>
  </si>
  <si>
    <t>MRANM021958</t>
  </si>
  <si>
    <t>MRANM021959</t>
  </si>
  <si>
    <t>MRANM021964</t>
  </si>
  <si>
    <t>MRANM021974</t>
  </si>
  <si>
    <t>MRANM021975</t>
  </si>
  <si>
    <t>MRANM021977</t>
  </si>
  <si>
    <t>MRANM021988</t>
  </si>
  <si>
    <t>MRANM021989</t>
  </si>
  <si>
    <t>MRANM021990</t>
  </si>
  <si>
    <t>MRANM021991</t>
  </si>
  <si>
    <t>MRANM021992</t>
  </si>
  <si>
    <t>MRANM021995</t>
  </si>
  <si>
    <t>MRANM022036</t>
  </si>
  <si>
    <t>MRANM022048</t>
  </si>
  <si>
    <t>MRANM022055</t>
  </si>
  <si>
    <t>MRNTX032793</t>
  </si>
  <si>
    <t>MRWSH022128</t>
  </si>
  <si>
    <t>MRWSH022221</t>
  </si>
  <si>
    <t>MRWSH022237</t>
  </si>
  <si>
    <t>MRWSH022242</t>
  </si>
  <si>
    <t>MRWSH022324</t>
  </si>
  <si>
    <t>MRWSH022326</t>
  </si>
  <si>
    <t>MRWSH022348</t>
  </si>
  <si>
    <t>MRWSH022383</t>
  </si>
  <si>
    <t>MRNTX033098</t>
  </si>
  <si>
    <t>MRNTX033255</t>
  </si>
  <si>
    <t>MRWSH022709</t>
  </si>
  <si>
    <t>MRWSH022765</t>
  </si>
  <si>
    <t>MRWSH022767</t>
  </si>
  <si>
    <t>MRWSH022803</t>
  </si>
  <si>
    <t>MRWSH022820</t>
  </si>
  <si>
    <t>MRWSH022828</t>
  </si>
  <si>
    <t>MRWSH022837</t>
  </si>
  <si>
    <t>MRWSH022878</t>
  </si>
  <si>
    <t>MRWSH022880</t>
  </si>
  <si>
    <t>MRWSH022891</t>
  </si>
  <si>
    <t>MRNTX033382</t>
  </si>
  <si>
    <t>MRNTX033398</t>
  </si>
  <si>
    <t>MRNTX033419</t>
  </si>
  <si>
    <t>MRNTX033429</t>
  </si>
  <si>
    <t>MRNTX033579</t>
  </si>
  <si>
    <t>MRWSH023003</t>
  </si>
  <si>
    <t>MRWSH024604</t>
  </si>
  <si>
    <t>MRWSH024648</t>
  </si>
  <si>
    <t>MRNTX029196</t>
  </si>
  <si>
    <t>MRNTX033837</t>
  </si>
  <si>
    <t>MRWSH024728</t>
  </si>
  <si>
    <t>MRWSH024984</t>
  </si>
  <si>
    <t>MRWSH025080</t>
  </si>
  <si>
    <t>MRWSH025088</t>
  </si>
  <si>
    <t>MRNTX035993</t>
  </si>
  <si>
    <t>MRNTX036047</t>
  </si>
  <si>
    <t>MRSTX036636</t>
  </si>
  <si>
    <t>MRSTX036640</t>
  </si>
  <si>
    <t>MRWSH025115</t>
  </si>
  <si>
    <t>MRWSH025120</t>
  </si>
  <si>
    <t>MRWSH025180</t>
  </si>
  <si>
    <t>MRWSH025191</t>
  </si>
  <si>
    <t>MRWSH025208</t>
  </si>
  <si>
    <t>MRWSH025222</t>
  </si>
  <si>
    <t>MRWSH025256</t>
  </si>
  <si>
    <t>MRWSH025265</t>
  </si>
  <si>
    <t>MRWSH025295</t>
  </si>
  <si>
    <t>MRWSH025302</t>
  </si>
  <si>
    <t>MRNTX030649</t>
  </si>
  <si>
    <t>MRNTX036253</t>
  </si>
  <si>
    <t>MRNTX036420</t>
  </si>
  <si>
    <t>MRNTX036459</t>
  </si>
  <si>
    <t>MRNTX036478</t>
  </si>
  <si>
    <t>MRNTX037197</t>
  </si>
  <si>
    <t>MRNTX030851</t>
  </si>
  <si>
    <t>MRNTX036673</t>
  </si>
  <si>
    <t>MRNTX036740</t>
  </si>
  <si>
    <t>MRNTX036746</t>
  </si>
  <si>
    <t>MRNTX036780</t>
  </si>
  <si>
    <t>MRNTX036791</t>
  </si>
  <si>
    <t>MRNTX036798</t>
  </si>
  <si>
    <t>MRNTX036824</t>
  </si>
  <si>
    <t>MRNTX036853</t>
  </si>
  <si>
    <t>MRNTX036857</t>
  </si>
  <si>
    <t>MRNTX036957</t>
  </si>
  <si>
    <t>MRNTX036962</t>
  </si>
  <si>
    <t>MRNTX036963</t>
  </si>
  <si>
    <t>MRNTX036964</t>
  </si>
  <si>
    <t>MRNTX037064</t>
  </si>
  <si>
    <t>MRNTX037143</t>
  </si>
  <si>
    <t>MRNTX037174</t>
  </si>
  <si>
    <t>MRNTX037175</t>
  </si>
  <si>
    <t>MRSTX031299</t>
  </si>
  <si>
    <t>MRSTX031388</t>
  </si>
  <si>
    <t>MRSTX031482</t>
  </si>
  <si>
    <t>MRSTX031605</t>
  </si>
  <si>
    <t>MRSTX031616</t>
  </si>
  <si>
    <t>MRSTX031624</t>
  </si>
  <si>
    <t>MRSTX031967</t>
  </si>
  <si>
    <t>MRSTX032083</t>
  </si>
  <si>
    <t>MRSTX032294</t>
  </si>
  <si>
    <t>MRNTX031364</t>
  </si>
  <si>
    <t>MRNTX031437</t>
  </si>
  <si>
    <t>MRNTX031529</t>
  </si>
  <si>
    <t>MRNTX031541</t>
  </si>
  <si>
    <t>MRSTX033358</t>
  </si>
  <si>
    <t>MRSTX033481</t>
  </si>
  <si>
    <t>MRSTX033501</t>
  </si>
  <si>
    <t>MRSTX033526</t>
  </si>
  <si>
    <t>MRSTX033531</t>
  </si>
  <si>
    <t>MRSTX033572</t>
  </si>
  <si>
    <t>MRSTX033578</t>
  </si>
  <si>
    <t>MRSTX033594</t>
  </si>
  <si>
    <t>MRSTX033611</t>
  </si>
  <si>
    <t>MRSTX033617</t>
  </si>
  <si>
    <t>MRNTX031786</t>
  </si>
  <si>
    <t>MRNTX031950</t>
  </si>
  <si>
    <t>MRNTX031975</t>
  </si>
  <si>
    <t>MRSTX033655</t>
  </si>
  <si>
    <t>MRSTX033695</t>
  </si>
  <si>
    <t>MRSTX033697</t>
  </si>
  <si>
    <t>MRSTX033706</t>
  </si>
  <si>
    <t>MRSTX033770</t>
  </si>
  <si>
    <t>MRSTX033782</t>
  </si>
  <si>
    <t>MRSTX033868</t>
  </si>
  <si>
    <t>MRSTX033926</t>
  </si>
  <si>
    <t>MRNTX032159</t>
  </si>
  <si>
    <t>MRNTX032206</t>
  </si>
  <si>
    <t>MRNTX032230</t>
  </si>
  <si>
    <t>MRNTX032244</t>
  </si>
  <si>
    <t>MRNTX032250</t>
  </si>
  <si>
    <t>MRSTX034099</t>
  </si>
  <si>
    <t>MRSTX034111</t>
  </si>
  <si>
    <t>MRSTX034129</t>
  </si>
  <si>
    <t>MRSTX034199</t>
  </si>
  <si>
    <t>MRSTX034212</t>
  </si>
  <si>
    <t>MRSTX034214</t>
  </si>
  <si>
    <t>MRNTX032491</t>
  </si>
  <si>
    <t>MRNTX032510</t>
  </si>
  <si>
    <t>MRNTX032522</t>
  </si>
  <si>
    <t>MRNTX032627</t>
  </si>
  <si>
    <t>MRNTX032635</t>
  </si>
  <si>
    <t>MRSTX034258</t>
  </si>
  <si>
    <t>MRSTX034288</t>
  </si>
  <si>
    <t>MRSTX034296</t>
  </si>
  <si>
    <t>MRSTX034408</t>
  </si>
  <si>
    <t>MRSTX034503</t>
  </si>
  <si>
    <t>MRNTX032691</t>
  </si>
  <si>
    <t>MRNTX032882</t>
  </si>
  <si>
    <t>MRNTX032915</t>
  </si>
  <si>
    <t>MRSTX034591</t>
  </si>
  <si>
    <t>MRSTX034630</t>
  </si>
  <si>
    <t>MRSTX034682</t>
  </si>
  <si>
    <t>MRSTX034693</t>
  </si>
  <si>
    <t>MRSTX034772</t>
  </si>
  <si>
    <t>MRSTX035516</t>
  </si>
  <si>
    <t>MRSTX035594</t>
  </si>
  <si>
    <t>MRSTX035643</t>
  </si>
  <si>
    <t>MRSTX035685</t>
  </si>
  <si>
    <t>MRSTX035694</t>
  </si>
  <si>
    <t>MRNTX024666</t>
  </si>
  <si>
    <t>MRNTX033041</t>
  </si>
  <si>
    <t>MRNTX033119</t>
  </si>
  <si>
    <t>MRNTX033129</t>
  </si>
  <si>
    <t>MRNTX033146</t>
  </si>
  <si>
    <t>MRNTX033149</t>
  </si>
  <si>
    <t>MRNTX033259</t>
  </si>
  <si>
    <t>MRNTX033307</t>
  </si>
  <si>
    <t>MRSTX035754</t>
  </si>
  <si>
    <t>MRSTX035813</t>
  </si>
  <si>
    <t>MRSTX035821</t>
  </si>
  <si>
    <t>MRSTX035823</t>
  </si>
  <si>
    <t>MRSTX035838</t>
  </si>
  <si>
    <t>MRSTX035876</t>
  </si>
  <si>
    <t>MRSTX035900</t>
  </si>
  <si>
    <t>MRSTX035921</t>
  </si>
  <si>
    <t>MRSTX035986</t>
  </si>
  <si>
    <t>MRSTX035990</t>
  </si>
  <si>
    <t>MRNTX025127</t>
  </si>
  <si>
    <t>MRNTX025165</t>
  </si>
  <si>
    <t>MRNTX033377</t>
  </si>
  <si>
    <t>MRNTX033388</t>
  </si>
  <si>
    <t>MRNTX033507</t>
  </si>
  <si>
    <t>MRNTX033554</t>
  </si>
  <si>
    <t>MRSTX036020</t>
  </si>
  <si>
    <t>MRSTX036026</t>
  </si>
  <si>
    <t>MRSTX036028</t>
  </si>
  <si>
    <t>MRSTX036042</t>
  </si>
  <si>
    <t>MRSTX036053</t>
  </si>
  <si>
    <t>MRSTX036057</t>
  </si>
  <si>
    <t>MRSTX036059</t>
  </si>
  <si>
    <t>MRSTX036127</t>
  </si>
  <si>
    <t>MRSTX036149</t>
  </si>
  <si>
    <t>MRSTX036191</t>
  </si>
  <si>
    <t>MRNTX029208</t>
  </si>
  <si>
    <t>MRNTX029308</t>
  </si>
  <si>
    <t>MRNTX029317</t>
  </si>
  <si>
    <t>MRNTX029342</t>
  </si>
  <si>
    <t>MRNTX033753</t>
  </si>
  <si>
    <t>MRNTX033778</t>
  </si>
  <si>
    <t>MRNTX033806</t>
  </si>
  <si>
    <t>MRNTX033973</t>
  </si>
  <si>
    <t>MRSTX036265</t>
  </si>
  <si>
    <t>MRSTX036287</t>
  </si>
  <si>
    <t>MRSTX036288</t>
  </si>
  <si>
    <t>MRSTX036304</t>
  </si>
  <si>
    <t>MRSTX036314</t>
  </si>
  <si>
    <t>MRSTX036339</t>
  </si>
  <si>
    <t>MRSTX036348</t>
  </si>
  <si>
    <t>MRSTX036388</t>
  </si>
  <si>
    <t>MRSTX036389</t>
  </si>
  <si>
    <t>MRNTX029366</t>
  </si>
  <si>
    <t>MRNTX029385</t>
  </si>
  <si>
    <t>MRNTX029405</t>
  </si>
  <si>
    <t>MRNTX029441</t>
  </si>
  <si>
    <t>MRNTX029505</t>
  </si>
  <si>
    <t>MRNTX029534</t>
  </si>
  <si>
    <t>MRNTX029597</t>
  </si>
  <si>
    <t>MRNTX029681</t>
  </si>
  <si>
    <t>MRNTX035672</t>
  </si>
  <si>
    <t>MRNTX035866</t>
  </si>
  <si>
    <t>MRNTX035966</t>
  </si>
  <si>
    <t>MRNTX035967</t>
  </si>
  <si>
    <t>MRNTX035972</t>
  </si>
  <si>
    <t>MRNTX035973</t>
  </si>
  <si>
    <t>MRNTX035976</t>
  </si>
  <si>
    <t>MRNTX035978</t>
  </si>
  <si>
    <t>MRNTX035982</t>
  </si>
  <si>
    <t>MRNTX035983</t>
  </si>
  <si>
    <t>MRNTX035984</t>
  </si>
  <si>
    <t>MRNTX036055</t>
  </si>
  <si>
    <t>MRNTX036077</t>
  </si>
  <si>
    <t>MRNTX036084</t>
  </si>
  <si>
    <t>MRNTX036092</t>
  </si>
  <si>
    <t>MRNTX036107</t>
  </si>
  <si>
    <t>MRNTX036144</t>
  </si>
  <si>
    <t>MRNTX036158</t>
  </si>
  <si>
    <t>MRNTX036165</t>
  </si>
  <si>
    <t>MRNTX036167</t>
  </si>
  <si>
    <t>MRNTX036179</t>
  </si>
  <si>
    <t>MRNTX036235</t>
  </si>
  <si>
    <t>MRNTX036240</t>
  </si>
  <si>
    <t>MRSTX025793</t>
  </si>
  <si>
    <t>MRSTX025806</t>
  </si>
  <si>
    <t>MRSTX027412</t>
  </si>
  <si>
    <t>MRSTX036421</t>
  </si>
  <si>
    <t>MRSTX036438</t>
  </si>
  <si>
    <t>MRSTX036460</t>
  </si>
  <si>
    <t>MRSTX036465</t>
  </si>
  <si>
    <t>MRSTX036476</t>
  </si>
  <si>
    <t>MRSTX036579</t>
  </si>
  <si>
    <t>MRSTX036966</t>
  </si>
  <si>
    <t>MRSTX036969</t>
  </si>
  <si>
    <t>MRNTX030503</t>
  </si>
  <si>
    <t>MRNTX036263</t>
  </si>
  <si>
    <t>MRNTX036265</t>
  </si>
  <si>
    <t>MRNTX036268</t>
  </si>
  <si>
    <t>MRNTX036273</t>
  </si>
  <si>
    <t>MRNTX036431</t>
  </si>
  <si>
    <t>MRNTX036433</t>
  </si>
  <si>
    <t>MRNTX036442</t>
  </si>
  <si>
    <t>MRNTX036447</t>
  </si>
  <si>
    <t>MRNTX036455</t>
  </si>
  <si>
    <t>MRNTX036612</t>
  </si>
  <si>
    <t>MRSTX030818</t>
  </si>
  <si>
    <t>MRSTX030830</t>
  </si>
  <si>
    <t>MRSTX030850</t>
  </si>
  <si>
    <t>MRSTX030857</t>
  </si>
  <si>
    <t>MRSTX030881</t>
  </si>
  <si>
    <t>MRSTX030944</t>
  </si>
  <si>
    <t>MRSTX030952</t>
  </si>
  <si>
    <t>MRSTX030955</t>
  </si>
  <si>
    <t>MRSTX030956</t>
  </si>
  <si>
    <t>MRSTX031070</t>
  </si>
  <si>
    <t>MRSTX031080</t>
  </si>
  <si>
    <t>MRSTX031100</t>
  </si>
  <si>
    <t>MRSTX031101</t>
  </si>
  <si>
    <t>MRSTX031106</t>
  </si>
  <si>
    <t>MRSTX031116</t>
  </si>
  <si>
    <t>MRSTX031117</t>
  </si>
  <si>
    <t>MRNTX031097</t>
  </si>
  <si>
    <t>MRNTX037257</t>
  </si>
  <si>
    <t>MRNTX037268</t>
  </si>
  <si>
    <t>MRNTX037274</t>
  </si>
  <si>
    <t>MRNTX037297</t>
  </si>
  <si>
    <t>MRNTX037318</t>
  </si>
  <si>
    <t>MRSTX032349</t>
  </si>
  <si>
    <t>MRSTX032704</t>
  </si>
  <si>
    <t>MRSTX032725</t>
  </si>
  <si>
    <t>MRNTX030958</t>
  </si>
  <si>
    <t>MRNTX036959</t>
  </si>
  <si>
    <t>MRNTX036961</t>
  </si>
  <si>
    <t>MRNTX037069</t>
  </si>
  <si>
    <t>MRSTX032219</t>
  </si>
  <si>
    <t>MRNTX031408</t>
  </si>
  <si>
    <t>MRNTX031500</t>
  </si>
  <si>
    <t>MRSTX033546</t>
  </si>
  <si>
    <t>MRNTX031763</t>
  </si>
  <si>
    <t>MRNTX031804</t>
  </si>
  <si>
    <t>MRNTX031876</t>
  </si>
  <si>
    <t>MRSTX033632</t>
  </si>
  <si>
    <t>MRNTX032026</t>
  </si>
  <si>
    <t>MRNTX032113</t>
  </si>
  <si>
    <t>MRNTX032245</t>
  </si>
  <si>
    <t>MRSTX034024</t>
  </si>
  <si>
    <t>MRANM019591</t>
  </si>
  <si>
    <t>MRNTX032400</t>
  </si>
  <si>
    <t>MRNTX032454</t>
  </si>
  <si>
    <t>MRANM019688</t>
  </si>
  <si>
    <t>MRANM019720</t>
  </si>
  <si>
    <t>MRNTX032685</t>
  </si>
  <si>
    <t>MRNTX032731</t>
  </si>
  <si>
    <t>MRSTX035528</t>
  </si>
  <si>
    <t>MRWSH022332</t>
  </si>
  <si>
    <t>MRNTX033101</t>
  </si>
  <si>
    <t>MRNTX033249</t>
  </si>
  <si>
    <t>MRNTX033335</t>
  </si>
  <si>
    <t>MRSTX014666</t>
  </si>
  <si>
    <t>MRSTX035817</t>
  </si>
  <si>
    <t>MRWSH022658</t>
  </si>
  <si>
    <t>MRNTX033381</t>
  </si>
  <si>
    <t>MRNTX033384</t>
  </si>
  <si>
    <t>MRNTX033417</t>
  </si>
  <si>
    <t>MRNTX033512</t>
  </si>
  <si>
    <t>MRNTX029238</t>
  </si>
  <si>
    <t>MRNTX033713</t>
  </si>
  <si>
    <t>MRNTX033717</t>
  </si>
  <si>
    <t>MRNTX033790</t>
  </si>
  <si>
    <t>MRNTX033831</t>
  </si>
  <si>
    <t>MRNTX029436</t>
  </si>
  <si>
    <t>MRNTX036008</t>
  </si>
  <si>
    <t>MRNTX036032</t>
  </si>
  <si>
    <t>MRNTX036204</t>
  </si>
  <si>
    <t>MRNTX030321</t>
  </si>
  <si>
    <t>MRNTX030459</t>
  </si>
  <si>
    <t>MRSTX030816</t>
  </si>
  <si>
    <t>MRSTX030868</t>
  </si>
  <si>
    <t>MRNTX031121</t>
  </si>
  <si>
    <t>MRNTX037208</t>
  </si>
  <si>
    <t>MRSTX032419</t>
  </si>
  <si>
    <t>MRSTX033016</t>
  </si>
  <si>
    <t>MRNTX030703</t>
  </si>
  <si>
    <t>MRNTX036705</t>
  </si>
  <si>
    <t>MRSTX031140</t>
  </si>
  <si>
    <t>MRSTX031741</t>
  </si>
  <si>
    <t>MRSTX031759</t>
  </si>
  <si>
    <t>MRSTX031850</t>
  </si>
  <si>
    <t>MRANM006696</t>
  </si>
  <si>
    <t>MRWSH015418</t>
  </si>
  <si>
    <t>MRWSH020461</t>
  </si>
  <si>
    <t>MRANM020167</t>
  </si>
  <si>
    <t>MRANM020461</t>
  </si>
  <si>
    <t>MRNTX023510</t>
  </si>
  <si>
    <t>MRNTX024478</t>
  </si>
  <si>
    <t>MRWSH022258</t>
  </si>
  <si>
    <t>MRWSH022320</t>
  </si>
  <si>
    <t>MRWSH022369</t>
  </si>
  <si>
    <t>MRSTX035886</t>
  </si>
  <si>
    <t>MRWSH022905</t>
  </si>
  <si>
    <t>MRWSH022936</t>
  </si>
  <si>
    <t>MRWSH024400</t>
  </si>
  <si>
    <t>MRNTX033700</t>
  </si>
  <si>
    <t>MRSTX036255</t>
  </si>
  <si>
    <t>MRSTX036323</t>
  </si>
  <si>
    <t>MRWSH024945</t>
  </si>
  <si>
    <t>MRNTX036002</t>
  </si>
  <si>
    <t>MRNTX036022</t>
  </si>
  <si>
    <t>MRNTX036219</t>
  </si>
  <si>
    <t>MRNTX036223</t>
  </si>
  <si>
    <t>MRNTX036320</t>
  </si>
  <si>
    <t>MRNTX036352</t>
  </si>
  <si>
    <t>MRNTX036428</t>
  </si>
  <si>
    <t>MRSTX030929</t>
  </si>
  <si>
    <t>MRSTX032792</t>
  </si>
  <si>
    <t>MRSTX031956</t>
  </si>
  <si>
    <t>MRSTX032295</t>
  </si>
  <si>
    <t>MRSTX032309</t>
  </si>
  <si>
    <t>MRSTX033279</t>
  </si>
  <si>
    <t>MRSTX033428</t>
  </si>
  <si>
    <t>MRSTX033906</t>
  </si>
  <si>
    <t>MRWSH019920</t>
  </si>
  <si>
    <t>MRANM014317</t>
  </si>
  <si>
    <t>MRNTX042618</t>
  </si>
  <si>
    <t>MRSTX034048</t>
  </si>
  <si>
    <t>MRANM014683</t>
  </si>
  <si>
    <t>MRANM019569</t>
  </si>
  <si>
    <t>MRSTX034247</t>
  </si>
  <si>
    <t>MRSTX034251</t>
  </si>
  <si>
    <t>MRANM019708</t>
  </si>
  <si>
    <t>MRSTX035597</t>
  </si>
  <si>
    <t>MRSTX035666</t>
  </si>
  <si>
    <t>MRSTX035684</t>
  </si>
  <si>
    <t>MRSTX035698</t>
  </si>
  <si>
    <t>MRWSH022119</t>
  </si>
  <si>
    <t>MRWSH022327</t>
  </si>
  <si>
    <t>MRSTX035744</t>
  </si>
  <si>
    <t>MRSTX035750</t>
  </si>
  <si>
    <t>MRSTX035790</t>
  </si>
  <si>
    <t>MRSTX035897</t>
  </si>
  <si>
    <t>MRWSH022626</t>
  </si>
  <si>
    <t>MRSTX036008</t>
  </si>
  <si>
    <t>MRSTX036024</t>
  </si>
  <si>
    <t>MRSTX036027</t>
  </si>
  <si>
    <t>MRSTX036031</t>
  </si>
  <si>
    <t>MRSTX036047</t>
  </si>
  <si>
    <t>MRSTX036198</t>
  </si>
  <si>
    <t>MRSTX036226</t>
  </si>
  <si>
    <t>MRSTX036274</t>
  </si>
  <si>
    <t>MRSTX036317</t>
  </si>
  <si>
    <t>MRSTX036324</t>
  </si>
  <si>
    <t>MRNTX036110</t>
  </si>
  <si>
    <t>MRNTX036141</t>
  </si>
  <si>
    <t>MRSTX036581</t>
  </si>
  <si>
    <t>MRNTX036470</t>
  </si>
  <si>
    <t>MRNTX036545</t>
  </si>
  <si>
    <t>MRSTX033105</t>
  </si>
  <si>
    <t>MRWSH014073</t>
  </si>
  <si>
    <t>MRNTX036749</t>
  </si>
  <si>
    <t>MRWSH020354</t>
  </si>
  <si>
    <t>MRWSH020916</t>
  </si>
  <si>
    <t>MRWSH020973</t>
  </si>
  <si>
    <t>MRSTX035669</t>
  </si>
  <si>
    <t>MRWSH022060</t>
  </si>
  <si>
    <t>MRWSH022145</t>
  </si>
  <si>
    <t>MRSTX035816</t>
  </si>
  <si>
    <t>MRSTX036001</t>
  </si>
  <si>
    <t>MRWSH022843</t>
  </si>
  <si>
    <t>MRSTX036205</t>
  </si>
  <si>
    <t>MRSTX036338</t>
  </si>
  <si>
    <t>MRSTX036347</t>
  </si>
  <si>
    <t>MRSTX036362</t>
  </si>
  <si>
    <t>MRSTX036363</t>
  </si>
  <si>
    <t>MRSTX027611</t>
  </si>
  <si>
    <t>MRSTX036419</t>
  </si>
  <si>
    <t>MRSTX036422</t>
  </si>
  <si>
    <t>MRSTX036459</t>
  </si>
  <si>
    <t>MRSTX036468</t>
  </si>
  <si>
    <t>MRWSH020030</t>
  </si>
  <si>
    <t>MRANM017217</t>
  </si>
  <si>
    <t>MRSTX036128</t>
  </si>
  <si>
    <t>MRSTX030873</t>
  </si>
  <si>
    <t>MRSTX031112</t>
  </si>
  <si>
    <t>Pushed 14+</t>
  </si>
  <si>
    <t>Need to Pull In</t>
  </si>
  <si>
    <t>Pull In Not Approved</t>
  </si>
  <si>
    <t>Pending Pull In Approval</t>
  </si>
  <si>
    <t>LOCK: 11/5/2018</t>
  </si>
  <si>
    <t>MRANM022120</t>
  </si>
  <si>
    <t>MRANM022127</t>
  </si>
  <si>
    <t>MRANM023140</t>
  </si>
  <si>
    <t>MRANM023149</t>
  </si>
  <si>
    <t>MRANM023224</t>
  </si>
  <si>
    <t>MRANM023225</t>
  </si>
  <si>
    <t>MRANM023227</t>
  </si>
  <si>
    <t>MRANM023314</t>
  </si>
  <si>
    <t>MRANM023343</t>
  </si>
  <si>
    <t>MRANM023559</t>
  </si>
  <si>
    <t>MRANM023561</t>
  </si>
  <si>
    <t>MRANM023562</t>
  </si>
  <si>
    <t>MRANM023564</t>
  </si>
  <si>
    <t>MRANM023739</t>
  </si>
  <si>
    <t>MRANM023740</t>
  </si>
  <si>
    <t>MRANM023741</t>
  </si>
  <si>
    <t>MRANM023756</t>
  </si>
  <si>
    <t>MRNTX032225</t>
  </si>
  <si>
    <t>MRNTX032561</t>
  </si>
  <si>
    <t>MRSTX043886</t>
  </si>
  <si>
    <t>MRNTX032710</t>
  </si>
  <si>
    <t>MRNTX032715</t>
  </si>
  <si>
    <t>MRNTX032720</t>
  </si>
  <si>
    <t>MRNTX040145</t>
  </si>
  <si>
    <t>MRNTX040146</t>
  </si>
  <si>
    <t>MRNTX040168</t>
  </si>
  <si>
    <t>MRNTX040321</t>
  </si>
  <si>
    <t>MRNTX040349</t>
  </si>
  <si>
    <t>MRNTX044328</t>
  </si>
  <si>
    <t>MRNTX044329</t>
  </si>
  <si>
    <t>MRNTX044331</t>
  </si>
  <si>
    <t>MRNTX044361</t>
  </si>
  <si>
    <t>MRNTX044432</t>
  </si>
  <si>
    <t>MRNTX044444</t>
  </si>
  <si>
    <t>MRNTX044455</t>
  </si>
  <si>
    <t>MRNTX044468</t>
  </si>
  <si>
    <t>MRNTX044474</t>
  </si>
  <si>
    <t>MRNTX044481</t>
  </si>
  <si>
    <t>MRNTX044566</t>
  </si>
  <si>
    <t>MRNTX044567</t>
  </si>
  <si>
    <t>MRSTX022024</t>
  </si>
  <si>
    <t>MRNTX040438</t>
  </si>
  <si>
    <t>MRNTX040439</t>
  </si>
  <si>
    <t>MRNTX040507</t>
  </si>
  <si>
    <t>MRNTX040516</t>
  </si>
  <si>
    <t>MRNTX040518</t>
  </si>
  <si>
    <t>MRNTX040543</t>
  </si>
  <si>
    <t>MRNTX040557</t>
  </si>
  <si>
    <t>MRNTX040577</t>
  </si>
  <si>
    <t>MRNTX040582</t>
  </si>
  <si>
    <t>MRNTX040665</t>
  </si>
  <si>
    <t>MRNTX040692</t>
  </si>
  <si>
    <t>MRNTX040699</t>
  </si>
  <si>
    <t>MRNTX040707</t>
  </si>
  <si>
    <t>MRNTX040713</t>
  </si>
  <si>
    <t>MRNTX033869</t>
  </si>
  <si>
    <t>MRNTX033883</t>
  </si>
  <si>
    <t>MRNTX033936</t>
  </si>
  <si>
    <t>MRNTX040880</t>
  </si>
  <si>
    <t>MRNTX040890</t>
  </si>
  <si>
    <t>MRNTX040891</t>
  </si>
  <si>
    <t>MRNTX040917</t>
  </si>
  <si>
    <t>MRNTX040963</t>
  </si>
  <si>
    <t>MRNTX040984</t>
  </si>
  <si>
    <t>MRNTX040992</t>
  </si>
  <si>
    <t>MRNTX041003</t>
  </si>
  <si>
    <t>MRNTX041110</t>
  </si>
  <si>
    <t>MRNTX041113</t>
  </si>
  <si>
    <t>MRNTX041114</t>
  </si>
  <si>
    <t>MRNTX041346</t>
  </si>
  <si>
    <t>MRNTX033960</t>
  </si>
  <si>
    <t>MRNTX033983</t>
  </si>
  <si>
    <t>MRNTX035969</t>
  </si>
  <si>
    <t>MRNTX036090</t>
  </si>
  <si>
    <t>MRNTX036100</t>
  </si>
  <si>
    <t>MRANM023001</t>
  </si>
  <si>
    <t>MRANM023006</t>
  </si>
  <si>
    <t>MRANM023011</t>
  </si>
  <si>
    <t>MRANM023019</t>
  </si>
  <si>
    <t>MRANM023025</t>
  </si>
  <si>
    <t>MRANM023139</t>
  </si>
  <si>
    <t>MRANM023152</t>
  </si>
  <si>
    <t>MRANM023154</t>
  </si>
  <si>
    <t>MRANM023155</t>
  </si>
  <si>
    <t>MRANM023170</t>
  </si>
  <si>
    <t>MRANM023173</t>
  </si>
  <si>
    <t>MRANM023217</t>
  </si>
  <si>
    <t>MRANM023237</t>
  </si>
  <si>
    <t>MRANM023254</t>
  </si>
  <si>
    <t>MRANM023262</t>
  </si>
  <si>
    <t>MRANM023273</t>
  </si>
  <si>
    <t>MRANM023305</t>
  </si>
  <si>
    <t>MRANM023313</t>
  </si>
  <si>
    <t>MRANM023326</t>
  </si>
  <si>
    <t>MRANM023337</t>
  </si>
  <si>
    <t>MRANM023339</t>
  </si>
  <si>
    <t>MRANM023341</t>
  </si>
  <si>
    <t>MRANM023372</t>
  </si>
  <si>
    <t>MRANM023442</t>
  </si>
  <si>
    <t>MRANM023463</t>
  </si>
  <si>
    <t>MRANM023484</t>
  </si>
  <si>
    <t>MRANM023488</t>
  </si>
  <si>
    <t>MRANM023582</t>
  </si>
  <si>
    <t>MRANM023678</t>
  </si>
  <si>
    <t>MRANM023684</t>
  </si>
  <si>
    <t>MRANM023735</t>
  </si>
  <si>
    <t>MRANM023738</t>
  </si>
  <si>
    <t>MRANM024166</t>
  </si>
  <si>
    <t>MRNTX043471</t>
  </si>
  <si>
    <t>MRNTX043500</t>
  </si>
  <si>
    <t>MRNTX043522</t>
  </si>
  <si>
    <t>MRNTX043532</t>
  </si>
  <si>
    <t>MRNTX043534</t>
  </si>
  <si>
    <t>MRNTX043544</t>
  </si>
  <si>
    <t>MRNTX043553</t>
  </si>
  <si>
    <t>MRNTX043701</t>
  </si>
  <si>
    <t>MRNTX043706</t>
  </si>
  <si>
    <t>MRNTX043718</t>
  </si>
  <si>
    <t>MRNTX043770</t>
  </si>
  <si>
    <t>MRNTX043810</t>
  </si>
  <si>
    <t>MRNTX043816</t>
  </si>
  <si>
    <t>MRNTX043819</t>
  </si>
  <si>
    <t>MRNTX043863</t>
  </si>
  <si>
    <t>MRNTX043883</t>
  </si>
  <si>
    <t>MRNTX043937</t>
  </si>
  <si>
    <t>MRANM011151</t>
  </si>
  <si>
    <t>MRNTX040031</t>
  </si>
  <si>
    <t>MRNTX040032</t>
  </si>
  <si>
    <t>MRNTX040039</t>
  </si>
  <si>
    <t>MRNTX040042</t>
  </si>
  <si>
    <t>MRNTX044122</t>
  </si>
  <si>
    <t>MRNTX044125</t>
  </si>
  <si>
    <t>MRNTX044146</t>
  </si>
  <si>
    <t>MRNTX044150</t>
  </si>
  <si>
    <t>MRNTX044151</t>
  </si>
  <si>
    <t>MRNTX044170</t>
  </si>
  <si>
    <t>MRNTX044173</t>
  </si>
  <si>
    <t>MRNTX044196</t>
  </si>
  <si>
    <t>MRNTX044211</t>
  </si>
  <si>
    <t>MRNTX044220</t>
  </si>
  <si>
    <t>MRNTX044224</t>
  </si>
  <si>
    <t>MRNTX044228</t>
  </si>
  <si>
    <t>MRNTX044234</t>
  </si>
  <si>
    <t>MRNTX044243</t>
  </si>
  <si>
    <t>MRNTX044259</t>
  </si>
  <si>
    <t>MRNTX044280</t>
  </si>
  <si>
    <t>MRNTX044294</t>
  </si>
  <si>
    <t>MRNTX044301</t>
  </si>
  <si>
    <t>MRSTX035603</t>
  </si>
  <si>
    <t>MRSTX043984</t>
  </si>
  <si>
    <t>MRSTX044010</t>
  </si>
  <si>
    <t>MRSTX044018</t>
  </si>
  <si>
    <t>MRSTX044067</t>
  </si>
  <si>
    <t>MRSTX044111</t>
  </si>
  <si>
    <t>MRSTX044157</t>
  </si>
  <si>
    <t>MRSTX044190</t>
  </si>
  <si>
    <t>MRNTX036840</t>
  </si>
  <si>
    <t>MRSTX031736</t>
  </si>
  <si>
    <t>MRSTX031890</t>
  </si>
  <si>
    <t>MRSTX040052</t>
  </si>
  <si>
    <t>MRSTX040053</t>
  </si>
  <si>
    <t>MRSTX040055</t>
  </si>
  <si>
    <t>MRSTX040058</t>
  </si>
  <si>
    <t>MRSTX040061</t>
  </si>
  <si>
    <t>MRSTX040072</t>
  </si>
  <si>
    <t>MRSTX040080</t>
  </si>
  <si>
    <t>MRSTX040092</t>
  </si>
  <si>
    <t>MRSTX040149</t>
  </si>
  <si>
    <t>MRSTX040153</t>
  </si>
  <si>
    <t>MRSTX040155</t>
  </si>
  <si>
    <t>MRSTX040159</t>
  </si>
  <si>
    <t>MRSTX040161</t>
  </si>
  <si>
    <t>MRSTX040169</t>
  </si>
  <si>
    <t>MRSTX040172</t>
  </si>
  <si>
    <t>MRSTX040175</t>
  </si>
  <si>
    <t>MRSTX040177</t>
  </si>
  <si>
    <t>MRSTX040188</t>
  </si>
  <si>
    <t>MRSTX040196</t>
  </si>
  <si>
    <t>MRSTX040199</t>
  </si>
  <si>
    <t>MRSTX040205</t>
  </si>
  <si>
    <t>MRSTX040207</t>
  </si>
  <si>
    <t>MRSTX040217</t>
  </si>
  <si>
    <t>MRSTX040227</t>
  </si>
  <si>
    <t>MRSTX040230</t>
  </si>
  <si>
    <t>MRSTX040236</t>
  </si>
  <si>
    <t>MRSTX040238</t>
  </si>
  <si>
    <t>MRSTX040243</t>
  </si>
  <si>
    <t>MRSTX040244</t>
  </si>
  <si>
    <t>MRSTX040246</t>
  </si>
  <si>
    <t>MRSTX040250</t>
  </si>
  <si>
    <t>MRSTX040251</t>
  </si>
  <si>
    <t>MRNTX040110</t>
  </si>
  <si>
    <t>MRNTX040118</t>
  </si>
  <si>
    <t>MRNTX040130</t>
  </si>
  <si>
    <t>MRNTX040149</t>
  </si>
  <si>
    <t>MRNTX040150</t>
  </si>
  <si>
    <t>MRNTX040165</t>
  </si>
  <si>
    <t>MRNTX040182</t>
  </si>
  <si>
    <t>MRNTX040190</t>
  </si>
  <si>
    <t>MRNTX040200</t>
  </si>
  <si>
    <t>MRNTX040202</t>
  </si>
  <si>
    <t>MRNTX040213</t>
  </si>
  <si>
    <t>MRNTX040220</t>
  </si>
  <si>
    <t>MRNTX040221</t>
  </si>
  <si>
    <t>MRNTX040222</t>
  </si>
  <si>
    <t>MRNTX040234</t>
  </si>
  <si>
    <t>MRNTX040237</t>
  </si>
  <si>
    <t>MRNTX040238</t>
  </si>
  <si>
    <t>MRNTX040264</t>
  </si>
  <si>
    <t>MRNTX040270</t>
  </si>
  <si>
    <t>MRNTX040278</t>
  </si>
  <si>
    <t>MRNTX040286</t>
  </si>
  <si>
    <t>MRNTX040291</t>
  </si>
  <si>
    <t>MRNTX040306</t>
  </si>
  <si>
    <t>MRNTX040326</t>
  </si>
  <si>
    <t>MRNTX040328</t>
  </si>
  <si>
    <t>MRNTX040339</t>
  </si>
  <si>
    <t>MRNTX040343</t>
  </si>
  <si>
    <t>MRNTX040351</t>
  </si>
  <si>
    <t>MRNTX040368</t>
  </si>
  <si>
    <t>MRNTX040382</t>
  </si>
  <si>
    <t>MRNTX040395</t>
  </si>
  <si>
    <t>MRWSH020600</t>
  </si>
  <si>
    <t>MRWSH020900</t>
  </si>
  <si>
    <t>MRSTX040328</t>
  </si>
  <si>
    <t>MRSTX040334</t>
  </si>
  <si>
    <t>MRSTX040368</t>
  </si>
  <si>
    <t>MRSTX040379</t>
  </si>
  <si>
    <t>MRSTX040389</t>
  </si>
  <si>
    <t>MRSTX040390</t>
  </si>
  <si>
    <t>MRSTX040394</t>
  </si>
  <si>
    <t>MRSTX040418</t>
  </si>
  <si>
    <t>MRSTX040436</t>
  </si>
  <si>
    <t>MRSTX040437</t>
  </si>
  <si>
    <t>MRSTX040438</t>
  </si>
  <si>
    <t>MRSTX040446</t>
  </si>
  <si>
    <t>MRSTX040459</t>
  </si>
  <si>
    <t>MRSTX040473</t>
  </si>
  <si>
    <t>MRSTX040476</t>
  </si>
  <si>
    <t>MRSTX040488</t>
  </si>
  <si>
    <t>MRSTX040559</t>
  </si>
  <si>
    <t>MRSTX040976</t>
  </si>
  <si>
    <t>MRSTX040978</t>
  </si>
  <si>
    <t>MRSTX040979</t>
  </si>
  <si>
    <t>MRSTX041007</t>
  </si>
  <si>
    <t>MRSTX041027</t>
  </si>
  <si>
    <t>MRSTX041028</t>
  </si>
  <si>
    <t>MRSTX041031</t>
  </si>
  <si>
    <t>MRSTX041034</t>
  </si>
  <si>
    <t>MRSTX041035</t>
  </si>
  <si>
    <t>MRSTX041040</t>
  </si>
  <si>
    <t>MRSTX041042</t>
  </si>
  <si>
    <t>MRSTX041299</t>
  </si>
  <si>
    <t>MRSTX041301</t>
  </si>
  <si>
    <t>MRNTX040399</t>
  </si>
  <si>
    <t>MRSTX033397</t>
  </si>
  <si>
    <t>MRSTX033489</t>
  </si>
  <si>
    <t>MRSTX042694</t>
  </si>
  <si>
    <t>MRSTX042759</t>
  </si>
  <si>
    <t>MRSTX042779</t>
  </si>
  <si>
    <t>MRSTX042781</t>
  </si>
  <si>
    <t>MRSTX042788</t>
  </si>
  <si>
    <t>MRSTX042813</t>
  </si>
  <si>
    <t>MRSTX042850</t>
  </si>
  <si>
    <t>MRSTX042852</t>
  </si>
  <si>
    <t>MRSTX042867</t>
  </si>
  <si>
    <t>MRSTX042879</t>
  </si>
  <si>
    <t>MRSTX042897</t>
  </si>
  <si>
    <t>MRSTX042932</t>
  </si>
  <si>
    <t>MRNTX033099</t>
  </si>
  <si>
    <t>MRSTX043020</t>
  </si>
  <si>
    <t>MRSTX043038</t>
  </si>
  <si>
    <t>MRSTX035688</t>
  </si>
  <si>
    <t>MRSTX035690</t>
  </si>
  <si>
    <t>MRSTX035730</t>
  </si>
  <si>
    <t>MRSTX035738</t>
  </si>
  <si>
    <t>MRSTX035860</t>
  </si>
  <si>
    <t>MRSTX044234</t>
  </si>
  <si>
    <t>MRSTX044258</t>
  </si>
  <si>
    <t>MRSTX044285</t>
  </si>
  <si>
    <t>MRSTX044290</t>
  </si>
  <si>
    <t>MRSTX044370</t>
  </si>
  <si>
    <t>MRSTX044424</t>
  </si>
  <si>
    <t>MRWSH021962</t>
  </si>
  <si>
    <t>MRNTX040408</t>
  </si>
  <si>
    <t>MRNTX040427</t>
  </si>
  <si>
    <t>MRNTX040440</t>
  </si>
  <si>
    <t>MRNTX040470</t>
  </si>
  <si>
    <t>MRNTX040497</t>
  </si>
  <si>
    <t>MRNTX040505</t>
  </si>
  <si>
    <t>MRNTX040515</t>
  </si>
  <si>
    <t>MRNTX040517</t>
  </si>
  <si>
    <t>MRNTX040519</t>
  </si>
  <si>
    <t>MRNTX040533</t>
  </si>
  <si>
    <t>MRNTX040572</t>
  </si>
  <si>
    <t>MRNTX040576</t>
  </si>
  <si>
    <t>MRNTX040579</t>
  </si>
  <si>
    <t>MRNTX040608</t>
  </si>
  <si>
    <t>MRNTX040611</t>
  </si>
  <si>
    <t>MRNTX040616</t>
  </si>
  <si>
    <t>MRNTX040620</t>
  </si>
  <si>
    <t>MRNTX040687</t>
  </si>
  <si>
    <t>MRNTX040703</t>
  </si>
  <si>
    <t>MRNTX040710</t>
  </si>
  <si>
    <t>MRNTX040711</t>
  </si>
  <si>
    <t>MRNTX040719</t>
  </si>
  <si>
    <t>MRNTX040725</t>
  </si>
  <si>
    <t>MRNTX040762</t>
  </si>
  <si>
    <t>MRWSH022005</t>
  </si>
  <si>
    <t>MRWSH022036</t>
  </si>
  <si>
    <t>MRWSH022038</t>
  </si>
  <si>
    <t>MRWSH022094</t>
  </si>
  <si>
    <t>MRWSH022106</t>
  </si>
  <si>
    <t>MRWSH022143</t>
  </si>
  <si>
    <t>MRWSH022158</t>
  </si>
  <si>
    <t>MRWSH022166</t>
  </si>
  <si>
    <t>MRWSH022278</t>
  </si>
  <si>
    <t>MRWSH022298</t>
  </si>
  <si>
    <t>MRWSH022314</t>
  </si>
  <si>
    <t>MRSTX043062</t>
  </si>
  <si>
    <t>MRSTX043063</t>
  </si>
  <si>
    <t>MRSTX043065</t>
  </si>
  <si>
    <t>MRSTX043078</t>
  </si>
  <si>
    <t>MRSTX043083</t>
  </si>
  <si>
    <t>MRSTX043086</t>
  </si>
  <si>
    <t>MRSTX043110</t>
  </si>
  <si>
    <t>MRSTX043121</t>
  </si>
  <si>
    <t>MRSTX043145</t>
  </si>
  <si>
    <t>MRSTX043169</t>
  </si>
  <si>
    <t>MRSTX043213</t>
  </si>
  <si>
    <t>MRSTX043227</t>
  </si>
  <si>
    <t>MRSTX043235</t>
  </si>
  <si>
    <t>MRSTX043250</t>
  </si>
  <si>
    <t>MRSTX043255</t>
  </si>
  <si>
    <t>MRSTX043259</t>
  </si>
  <si>
    <t>MRSTX043322</t>
  </si>
  <si>
    <t>MRSTX043326</t>
  </si>
  <si>
    <t>MRSTX043328</t>
  </si>
  <si>
    <t>MRSTX043334</t>
  </si>
  <si>
    <t>MRSTX036282</t>
  </si>
  <si>
    <t>MRSTX036284</t>
  </si>
  <si>
    <t>MRANM020388</t>
  </si>
  <si>
    <t>MRWSH022937</t>
  </si>
  <si>
    <t>MRWSH023010</t>
  </si>
  <si>
    <t>MRWSH023019</t>
  </si>
  <si>
    <t>MRWSH023032</t>
  </si>
  <si>
    <t>MRNTX040787</t>
  </si>
  <si>
    <t>MRNTX040788</t>
  </si>
  <si>
    <t>MRNTX040799</t>
  </si>
  <si>
    <t>MRNTX040805</t>
  </si>
  <si>
    <t>MRNTX040806</t>
  </si>
  <si>
    <t>MRNTX040853</t>
  </si>
  <si>
    <t>MRNTX040862</t>
  </si>
  <si>
    <t>MRNTX040881</t>
  </si>
  <si>
    <t>MRNTX040897</t>
  </si>
  <si>
    <t>MRNTX040900</t>
  </si>
  <si>
    <t>MRNTX040902</t>
  </si>
  <si>
    <t>MRNTX040929</t>
  </si>
  <si>
    <t>MRNTX040931</t>
  </si>
  <si>
    <t>MRNTX040932</t>
  </si>
  <si>
    <t>MRNTX040937</t>
  </si>
  <si>
    <t>MRNTX040947</t>
  </si>
  <si>
    <t>MRNTX040955</t>
  </si>
  <si>
    <t>MRNTX040973</t>
  </si>
  <si>
    <t>MRNTX040979</t>
  </si>
  <si>
    <t>MRNTX040983</t>
  </si>
  <si>
    <t>MRNTX041014</t>
  </si>
  <si>
    <t>MRNTX041054</t>
  </si>
  <si>
    <t>MRNTX041149</t>
  </si>
  <si>
    <t>MRNTX041286</t>
  </si>
  <si>
    <t>MRNTX041287</t>
  </si>
  <si>
    <t>MRSTX034155</t>
  </si>
  <si>
    <t>MRSTX043401</t>
  </si>
  <si>
    <t>MRSTX043406</t>
  </si>
  <si>
    <t>MRSTX043449</t>
  </si>
  <si>
    <t>MRSTX043450</t>
  </si>
  <si>
    <t>MRSTX043459</t>
  </si>
  <si>
    <t>MRSTX043498</t>
  </si>
  <si>
    <t>MRSTX043507</t>
  </si>
  <si>
    <t>MRSTX043512</t>
  </si>
  <si>
    <t>MRSTX043521</t>
  </si>
  <si>
    <t>MRSTX043554</t>
  </si>
  <si>
    <t>MRSTX043595</t>
  </si>
  <si>
    <t>MRSTX043652</t>
  </si>
  <si>
    <t>MRSTX043672</t>
  </si>
  <si>
    <t>MRSTX043679</t>
  </si>
  <si>
    <t>MRSTX043684</t>
  </si>
  <si>
    <t>MRNTX030837</t>
  </si>
  <si>
    <t>MRNTX030848</t>
  </si>
  <si>
    <t>MRNTX036006</t>
  </si>
  <si>
    <t>MRNTX036009</t>
  </si>
  <si>
    <t>MRNTX029450</t>
  </si>
  <si>
    <t>MRNTX029596</t>
  </si>
  <si>
    <t>MRNTX033489</t>
  </si>
  <si>
    <t>MRWSH016008</t>
  </si>
  <si>
    <t>MRWSH016018</t>
  </si>
  <si>
    <t>MRANM022071</t>
  </si>
  <si>
    <t>MRANM022106</t>
  </si>
  <si>
    <t>MRANM022151</t>
  </si>
  <si>
    <t>MRANM022159</t>
  </si>
  <si>
    <t>MRANM022162</t>
  </si>
  <si>
    <t>MRSTX039630</t>
  </si>
  <si>
    <t>MRSTX036003</t>
  </si>
  <si>
    <t>MRWSH024647</t>
  </si>
  <si>
    <t>MRWSH022317</t>
  </si>
  <si>
    <t>MRWSH022341</t>
  </si>
  <si>
    <t>MRNTX042205</t>
  </si>
  <si>
    <t>MRNTX042548</t>
  </si>
  <si>
    <t>MRWSH022569</t>
  </si>
  <si>
    <t>MRWSH022613</t>
  </si>
  <si>
    <t>MRWSH022684</t>
  </si>
  <si>
    <t>MRSTX034415</t>
  </si>
  <si>
    <t>MRSTX043711</t>
  </si>
  <si>
    <t>MRSTX043717</t>
  </si>
  <si>
    <t>MRSTX043723</t>
  </si>
  <si>
    <t>MRSTX043725</t>
  </si>
  <si>
    <t>MRSTX043727</t>
  </si>
  <si>
    <t>MRSTX043734</t>
  </si>
  <si>
    <t>MRSTX043775</t>
  </si>
  <si>
    <t>MRSTX043798</t>
  </si>
  <si>
    <t>MRSTX043848</t>
  </si>
  <si>
    <t>MRSTX043915</t>
  </si>
  <si>
    <t>MRNTX036540</t>
  </si>
  <si>
    <t>MRNTX031373</t>
  </si>
  <si>
    <t>MRNTX031464</t>
  </si>
  <si>
    <t>MRNTX031465</t>
  </si>
  <si>
    <t>MRWSH020036</t>
  </si>
  <si>
    <t>MRWSH020053</t>
  </si>
  <si>
    <t>MRWSH020162</t>
  </si>
  <si>
    <t>MRWSH020180</t>
  </si>
  <si>
    <t>MRWSH020347</t>
  </si>
  <si>
    <t>MRSTX039702</t>
  </si>
  <si>
    <t>MRSTX039721</t>
  </si>
  <si>
    <t>MRSTX039728</t>
  </si>
  <si>
    <t>MRSTX039732</t>
  </si>
  <si>
    <t>MRSTX039757</t>
  </si>
  <si>
    <t>MRSTX039758</t>
  </si>
  <si>
    <t>MRSTX039798</t>
  </si>
  <si>
    <t>MRSTX039800</t>
  </si>
  <si>
    <t>MRSTX039832</t>
  </si>
  <si>
    <t>MRSTX039834</t>
  </si>
  <si>
    <t>MRSTX039835</t>
  </si>
  <si>
    <t>MRSTX039837</t>
  </si>
  <si>
    <t>MRSTX039850</t>
  </si>
  <si>
    <t>MRSTX039852</t>
  </si>
  <si>
    <t>MRSTX039857</t>
  </si>
  <si>
    <t>MRSTX039863</t>
  </si>
  <si>
    <t>MRSTX039869</t>
  </si>
  <si>
    <t>MRSTX039874</t>
  </si>
  <si>
    <t>MRSTX039876</t>
  </si>
  <si>
    <t>MRSTX039884</t>
  </si>
  <si>
    <t>MRSTX039891</t>
  </si>
  <si>
    <t>MRSTX039904</t>
  </si>
  <si>
    <t>MRSTX039909</t>
  </si>
  <si>
    <t>MRSTX039919</t>
  </si>
  <si>
    <t>MRSTX039924</t>
  </si>
  <si>
    <t>MRSTX039930</t>
  </si>
  <si>
    <t>MRSTX039932</t>
  </si>
  <si>
    <t>MRSTX039936</t>
  </si>
  <si>
    <t>MRSTX039945</t>
  </si>
  <si>
    <t>MRSTX039946</t>
  </si>
  <si>
    <t>MRSTX039957</t>
  </si>
  <si>
    <t>MRSTX039963</t>
  </si>
  <si>
    <t>MRSTX039969</t>
  </si>
  <si>
    <t>MRSTX039970</t>
  </si>
  <si>
    <t>MRSTX039992</t>
  </si>
  <si>
    <t>MRSTX039993</t>
  </si>
  <si>
    <t>MRSTX040003</t>
  </si>
  <si>
    <t>MRSTX040009</t>
  </si>
  <si>
    <t>MRSTX040013</t>
  </si>
  <si>
    <t>MRSTX040018</t>
  </si>
  <si>
    <t>MRSTX040020</t>
  </si>
  <si>
    <t>MRSTX040021</t>
  </si>
  <si>
    <t>MRSTX040030</t>
  </si>
  <si>
    <t>MRSTX040033</t>
  </si>
  <si>
    <t>MRSTX040042</t>
  </si>
  <si>
    <t>MRSTX040046</t>
  </si>
  <si>
    <t>MRNTX037173</t>
  </si>
  <si>
    <t>MRNTX039921</t>
  </si>
  <si>
    <t>MRNTX039950</t>
  </si>
  <si>
    <t>MRNTX039965</t>
  </si>
  <si>
    <t>MRNTX039985</t>
  </si>
  <si>
    <t>MRNTX039986</t>
  </si>
  <si>
    <t>MRNTX040015</t>
  </si>
  <si>
    <t>MRNTX040025</t>
  </si>
  <si>
    <t>MRNTX040029</t>
  </si>
  <si>
    <t>MRNTX040036</t>
  </si>
  <si>
    <t>MRNTX040043</t>
  </si>
  <si>
    <t>MRNTX040044</t>
  </si>
  <si>
    <t>MRNTX040067</t>
  </si>
  <si>
    <t>MRNTX040070</t>
  </si>
  <si>
    <t>MRNTX040072</t>
  </si>
  <si>
    <t>MRNTX040079</t>
  </si>
  <si>
    <t>MRNTX040100</t>
  </si>
  <si>
    <t>MRSTX032870</t>
  </si>
  <si>
    <t>MRNTX025145</t>
  </si>
  <si>
    <t>MRWSH025041</t>
  </si>
  <si>
    <t>MRWSH025264</t>
  </si>
  <si>
    <t>MRWSH025269</t>
  </si>
  <si>
    <t>MRWSH025273</t>
  </si>
  <si>
    <t>MRWSH025285</t>
  </si>
  <si>
    <t>MRWSH025352</t>
  </si>
  <si>
    <t>MRWSH025370</t>
  </si>
  <si>
    <t>MRWSH025383</t>
  </si>
  <si>
    <t>MRSTX042308</t>
  </si>
  <si>
    <t>MRSTX042318</t>
  </si>
  <si>
    <t>MRSTX042365</t>
  </si>
  <si>
    <t>MRSTX042370</t>
  </si>
  <si>
    <t>MRSTX042450</t>
  </si>
  <si>
    <t>MRSTX042463</t>
  </si>
  <si>
    <t>MRSTX042467</t>
  </si>
  <si>
    <t>MRSTX042472</t>
  </si>
  <si>
    <t>MRSTX042507</t>
  </si>
  <si>
    <t>MRSTX042597</t>
  </si>
  <si>
    <t>MRSTX042600</t>
  </si>
  <si>
    <t>MRSTX042638</t>
  </si>
  <si>
    <t>MRSTX042646</t>
  </si>
  <si>
    <t>MRSTX042656</t>
  </si>
  <si>
    <t>MRWSH026598</t>
  </si>
  <si>
    <t>MRWSH026599</t>
  </si>
  <si>
    <t>MRNTX036607</t>
  </si>
  <si>
    <t>MRNTX036616</t>
  </si>
  <si>
    <t>MRNTX036640</t>
  </si>
  <si>
    <t>MRNTX036662</t>
  </si>
  <si>
    <t>MRNTX036732</t>
  </si>
  <si>
    <t>MRNTX036796</t>
  </si>
  <si>
    <t>MRWSH020477</t>
  </si>
  <si>
    <t>MRSTX040184</t>
  </si>
  <si>
    <t>MRWSH020481</t>
  </si>
  <si>
    <t>MRWSH020511</t>
  </si>
  <si>
    <t>MRWSH020590</t>
  </si>
  <si>
    <t>MRWSH020606</t>
  </si>
  <si>
    <t>MRWSH020917</t>
  </si>
  <si>
    <t>MRWSH020937</t>
  </si>
  <si>
    <t>MRSTX042990</t>
  </si>
  <si>
    <t>MRNTX033248</t>
  </si>
  <si>
    <t>MRANM017198</t>
  </si>
  <si>
    <t>MRANM017340</t>
  </si>
  <si>
    <t>MRANM019406</t>
  </si>
  <si>
    <t>MRANM019425</t>
  </si>
  <si>
    <t>MRANM019470</t>
  </si>
  <si>
    <t>MRWSH021936</t>
  </si>
  <si>
    <t>MRWSH021957</t>
  </si>
  <si>
    <t>MRWSH021971</t>
  </si>
  <si>
    <t>MRWSH022046</t>
  </si>
  <si>
    <t>MRWSH022072</t>
  </si>
  <si>
    <t>MRWSH022091</t>
  </si>
  <si>
    <t>MRWSH022118</t>
  </si>
  <si>
    <t>MRWSH022179</t>
  </si>
  <si>
    <t>MRWSH022224</t>
  </si>
  <si>
    <t>MRWSH022281</t>
  </si>
  <si>
    <t>MRWSH022296</t>
  </si>
  <si>
    <t>MRSTX043344</t>
  </si>
  <si>
    <t>MRNTX033655</t>
  </si>
  <si>
    <t>MRANM019602</t>
  </si>
  <si>
    <t>MRANM019704</t>
  </si>
  <si>
    <t>MRANM019731</t>
  </si>
  <si>
    <t>MRANM020161</t>
  </si>
  <si>
    <t>MRANM020170</t>
  </si>
  <si>
    <t>MRWSH022861</t>
  </si>
  <si>
    <t>MRWSH022864</t>
  </si>
  <si>
    <t>MRWSH022866</t>
  </si>
  <si>
    <t>MRWSH022874</t>
  </si>
  <si>
    <t>MRWSH022972</t>
  </si>
  <si>
    <t>MRWSH022984</t>
  </si>
  <si>
    <t>MRWSH023045</t>
  </si>
  <si>
    <t>MRWSH023048</t>
  </si>
  <si>
    <t>MRWSH023070</t>
  </si>
  <si>
    <t>MRWSH023099</t>
  </si>
  <si>
    <t>MRWSH023112</t>
  </si>
  <si>
    <t>MRWSH023113</t>
  </si>
  <si>
    <t>MRWSH023150</t>
  </si>
  <si>
    <t>MRWSH023162</t>
  </si>
  <si>
    <t>MRWSH023163</t>
  </si>
  <si>
    <t>MRWSH024476</t>
  </si>
  <si>
    <t>MRWSH024483</t>
  </si>
  <si>
    <t>MRWSH024485</t>
  </si>
  <si>
    <t>MRWSH024525</t>
  </si>
  <si>
    <t>MRNTX033345</t>
  </si>
  <si>
    <t>MRNTX033451</t>
  </si>
  <si>
    <t>MRWSH017721</t>
  </si>
  <si>
    <t>MRWSH019743</t>
  </si>
  <si>
    <t>MRWSH019917</t>
  </si>
  <si>
    <t>MRWSH019936</t>
  </si>
  <si>
    <t>MRANM022031</t>
  </si>
  <si>
    <t>MRANM022073</t>
  </si>
  <si>
    <t>MRANM022124</t>
  </si>
  <si>
    <t>MRANM022158</t>
  </si>
  <si>
    <t>MRNTX011201</t>
  </si>
  <si>
    <t>MRWSH024587</t>
  </si>
  <si>
    <t>MRWSH024592</t>
  </si>
  <si>
    <t>MRWSH024621</t>
  </si>
  <si>
    <t>MRWSH024634</t>
  </si>
  <si>
    <t>MRWSH024661</t>
  </si>
  <si>
    <t>MRWSH024694</t>
  </si>
  <si>
    <t>MRWSH024706</t>
  </si>
  <si>
    <t>MRWSH024709</t>
  </si>
  <si>
    <t>MRWSH024727</t>
  </si>
  <si>
    <t>MRWSH024745</t>
  </si>
  <si>
    <t>MRWSH024750</t>
  </si>
  <si>
    <t>MRWSH024771</t>
  </si>
  <si>
    <t>MRSTX044748</t>
  </si>
  <si>
    <t>MRWSH022529</t>
  </si>
  <si>
    <t>MRWSH024925</t>
  </si>
  <si>
    <t>MRWSH024937</t>
  </si>
  <si>
    <t>MRWSH024980</t>
  </si>
  <si>
    <t>MRWSH022573</t>
  </si>
  <si>
    <t>MRWSH022585</t>
  </si>
  <si>
    <t>MRWSH022605</t>
  </si>
  <si>
    <t>MRWSH022606</t>
  </si>
  <si>
    <t>MRWSH022702</t>
  </si>
  <si>
    <t>MRWSH022759</t>
  </si>
  <si>
    <t>MRWSH022763</t>
  </si>
  <si>
    <t>MRWSH022779</t>
  </si>
  <si>
    <t>MRWSH022817</t>
  </si>
  <si>
    <t>MRWSH019972</t>
  </si>
  <si>
    <t>MRWSH019997</t>
  </si>
  <si>
    <t>MRWSH020045</t>
  </si>
  <si>
    <t>MRWSH020065</t>
  </si>
  <si>
    <t>MRWSH020066</t>
  </si>
  <si>
    <t>MRWSH020076</t>
  </si>
  <si>
    <t>MRWSH020081</t>
  </si>
  <si>
    <t>MRWSH020085</t>
  </si>
  <si>
    <t>MRWSH020086</t>
  </si>
  <si>
    <t>MRWSH020094</t>
  </si>
  <si>
    <t>MRWSH020186</t>
  </si>
  <si>
    <t>MRWSH020202</t>
  </si>
  <si>
    <t>MRWSH020209</t>
  </si>
  <si>
    <t>MRWSH020218</t>
  </si>
  <si>
    <t>MRWSH020231</t>
  </si>
  <si>
    <t>MRWSH020274</t>
  </si>
  <si>
    <t>MRNTX015187</t>
  </si>
  <si>
    <t>MRSTX039789</t>
  </si>
  <si>
    <t>MRSTX039825</t>
  </si>
  <si>
    <t>MRSTX040002</t>
  </si>
  <si>
    <t>MRSTX040045</t>
  </si>
  <si>
    <t>MRSTX040049</t>
  </si>
  <si>
    <t>MRWSH025066</t>
  </si>
  <si>
    <t>MRWSH025070</t>
  </si>
  <si>
    <t>MRWSH025119</t>
  </si>
  <si>
    <t>MRWSH025144</t>
  </si>
  <si>
    <t>MRWSH025160</t>
  </si>
  <si>
    <t>MRWSH025179</t>
  </si>
  <si>
    <t>MRWSH025185</t>
  </si>
  <si>
    <t>MRWSH025199</t>
  </si>
  <si>
    <t>MRWSH025246</t>
  </si>
  <si>
    <t>MRWSH025274</t>
  </si>
  <si>
    <t>MRWSH025298</t>
  </si>
  <si>
    <t>MRWSH025336</t>
  </si>
  <si>
    <t>MRWSH025386</t>
  </si>
  <si>
    <t>MRWSH025393</t>
  </si>
  <si>
    <t>MRWSH025791</t>
  </si>
  <si>
    <t>MRNTX036812</t>
  </si>
  <si>
    <t>MRNTX036818</t>
  </si>
  <si>
    <t>MRNTX036960</t>
  </si>
  <si>
    <t>MRNTX037066</t>
  </si>
  <si>
    <t>MRNTX037068</t>
  </si>
  <si>
    <t>MRSTX031484</t>
  </si>
  <si>
    <t>MRWSH020607</t>
  </si>
  <si>
    <t>MRWSH020655</t>
  </si>
  <si>
    <t>MRWSH021030</t>
  </si>
  <si>
    <t>MRWSH021039</t>
  </si>
  <si>
    <t>MRSTX033375</t>
  </si>
  <si>
    <t>MRSTX033510</t>
  </si>
  <si>
    <t>MRSTX033596</t>
  </si>
  <si>
    <t>MRSTX033604</t>
  </si>
  <si>
    <t>MRNTX025674</t>
  </si>
  <si>
    <t>MRNTX029265</t>
  </si>
  <si>
    <t>MRNTX029299</t>
  </si>
  <si>
    <t>MRNTX033034</t>
  </si>
  <si>
    <t>MRNTX033158</t>
  </si>
  <si>
    <t>MRNTX033266</t>
  </si>
  <si>
    <t>MRNTX033294</t>
  </si>
  <si>
    <t>MRNTX031782</t>
  </si>
  <si>
    <t>MRNTX031885</t>
  </si>
  <si>
    <t>MRNTX031906</t>
  </si>
  <si>
    <t>MRSTX033625</t>
  </si>
  <si>
    <t>MRWSH022150</t>
  </si>
  <si>
    <t>MRWSH022269</t>
  </si>
  <si>
    <t>MRNTX018005</t>
  </si>
  <si>
    <t>MRNTX018205</t>
  </si>
  <si>
    <t>MRSTX033681</t>
  </si>
  <si>
    <t>MRNTX030244</t>
  </si>
  <si>
    <t>MRNTX030474</t>
  </si>
  <si>
    <t>MRNTX030483</t>
  </si>
  <si>
    <t>MRNTX030488</t>
  </si>
  <si>
    <t>MRNTX033863</t>
  </si>
  <si>
    <t>MRNTX033897</t>
  </si>
  <si>
    <t>MRSTX036201</t>
  </si>
  <si>
    <t>MRSTX036230</t>
  </si>
  <si>
    <t>MRSTX036250</t>
  </si>
  <si>
    <t>MRNTX031967</t>
  </si>
  <si>
    <t>MRNTX032093</t>
  </si>
  <si>
    <t>MRNTX032109</t>
  </si>
  <si>
    <t>MRSTX036359</t>
  </si>
  <si>
    <t>MRSTX036372</t>
  </si>
  <si>
    <t>MRNTX032234</t>
  </si>
  <si>
    <t>MRSTX034166</t>
  </si>
  <si>
    <t>MRNTX030799</t>
  </si>
  <si>
    <t>MRNTX030808</t>
  </si>
  <si>
    <t>MRNTX030811</t>
  </si>
  <si>
    <t>MRNTX033971</t>
  </si>
  <si>
    <t>MRNTX033984</t>
  </si>
  <si>
    <t>MRNTX035968</t>
  </si>
  <si>
    <t>MRNTX035979</t>
  </si>
  <si>
    <t>MRNTX035988</t>
  </si>
  <si>
    <t>MRNTX035997</t>
  </si>
  <si>
    <t>MRNTX036011</t>
  </si>
  <si>
    <t>MRNTX036031</t>
  </si>
  <si>
    <t>MRNTX036056</t>
  </si>
  <si>
    <t>MRNTX036066</t>
  </si>
  <si>
    <t>MRNTX036071</t>
  </si>
  <si>
    <t>MRNTX036094</t>
  </si>
  <si>
    <t>MRNTX036097</t>
  </si>
  <si>
    <t>MRNTX036102</t>
  </si>
  <si>
    <t>MRNTX036108</t>
  </si>
  <si>
    <t>MRNTX036109</t>
  </si>
  <si>
    <t>MRNTX036140</t>
  </si>
  <si>
    <t>MRNTX036170</t>
  </si>
  <si>
    <t>MRNTX036200</t>
  </si>
  <si>
    <t>MRNTX029337</t>
  </si>
  <si>
    <t>MRNTX029363</t>
  </si>
  <si>
    <t>MRNTX029389</t>
  </si>
  <si>
    <t>MRNTX029447</t>
  </si>
  <si>
    <t>MRNTX029468</t>
  </si>
  <si>
    <t>MRNTX029497</t>
  </si>
  <si>
    <t>MRNTX029513</t>
  </si>
  <si>
    <t>MRNTX029531</t>
  </si>
  <si>
    <t>MRNTX029541</t>
  </si>
  <si>
    <t>MRNTX029604</t>
  </si>
  <si>
    <t>MRNTX029683</t>
  </si>
  <si>
    <t>MRNTX029690</t>
  </si>
  <si>
    <t>MRNTX029723</t>
  </si>
  <si>
    <t>MRNTX033360</t>
  </si>
  <si>
    <t>MRNTX033500</t>
  </si>
  <si>
    <t>MRWSH019933</t>
  </si>
  <si>
    <t>MRSTX036637</t>
  </si>
  <si>
    <t>MRSTX036075</t>
  </si>
  <si>
    <t>MRSTX036095</t>
  </si>
  <si>
    <t>MRNTX032413</t>
  </si>
  <si>
    <t>MRNTX032429</t>
  </si>
  <si>
    <t>MRSTX036165</t>
  </si>
  <si>
    <t>MRWSH022360</t>
  </si>
  <si>
    <t>MRNTX032478</t>
  </si>
  <si>
    <t>MRNTX032590</t>
  </si>
  <si>
    <t>MRSTX034255</t>
  </si>
  <si>
    <t>MRNTX031067</t>
  </si>
  <si>
    <t>MRWSH022664</t>
  </si>
  <si>
    <t>MRWSH022700</t>
  </si>
  <si>
    <t>MRWSH022718</t>
  </si>
  <si>
    <t>MRSTX034426</t>
  </si>
  <si>
    <t>MRSTX034441</t>
  </si>
  <si>
    <t>MRNTX031150</t>
  </si>
  <si>
    <t>MRNTX036203</t>
  </si>
  <si>
    <t>MRNTX036241</t>
  </si>
  <si>
    <t>MRNTX036255</t>
  </si>
  <si>
    <t>MRNTX036266</t>
  </si>
  <si>
    <t>MRNTX036267</t>
  </si>
  <si>
    <t>MRNTX036275</t>
  </si>
  <si>
    <t>MRNTX036285</t>
  </si>
  <si>
    <t>MRNTX036286</t>
  </si>
  <si>
    <t>MRNTX036291</t>
  </si>
  <si>
    <t>MRNTX036495</t>
  </si>
  <si>
    <t>MRNTX036560</t>
  </si>
  <si>
    <t>MRNTX036566</t>
  </si>
  <si>
    <t>MRNTX036569</t>
  </si>
  <si>
    <t>MRNTX037110</t>
  </si>
  <si>
    <t>MRNTX037136</t>
  </si>
  <si>
    <t>MRWSH019960</t>
  </si>
  <si>
    <t>MRWSH019976</t>
  </si>
  <si>
    <t>MRWSH020213</t>
  </si>
  <si>
    <t>MRSTX030947</t>
  </si>
  <si>
    <t>MRSTX030958</t>
  </si>
  <si>
    <t>MRSTX030962</t>
  </si>
  <si>
    <t>MRSTX030974</t>
  </si>
  <si>
    <t>MRSTX031093</t>
  </si>
  <si>
    <t>MRSTX039811</t>
  </si>
  <si>
    <t>MRSTX039888</t>
  </si>
  <si>
    <t>MRSTX040008</t>
  </si>
  <si>
    <t>MRSTX040047</t>
  </si>
  <si>
    <t>MRNTX037269</t>
  </si>
  <si>
    <t>MRNTX037290</t>
  </si>
  <si>
    <t>MRNTX037294</t>
  </si>
  <si>
    <t>MRNTX037295</t>
  </si>
  <si>
    <t>MRSTX032352</t>
  </si>
  <si>
    <t>MRSTX032363</t>
  </si>
  <si>
    <t>MRSTX032473</t>
  </si>
  <si>
    <t>MRSTX032593</t>
  </si>
  <si>
    <t>MRSTX032836</t>
  </si>
  <si>
    <t>MRNTX032747</t>
  </si>
  <si>
    <t>MRWSH025213</t>
  </si>
  <si>
    <t>MRSTX032992</t>
  </si>
  <si>
    <t>MRSTX033094</t>
  </si>
  <si>
    <t>MRNTX036646</t>
  </si>
  <si>
    <t>MRNTX036816</t>
  </si>
  <si>
    <t>MRSTX032076</t>
  </si>
  <si>
    <t>MRSTX033329</t>
  </si>
  <si>
    <t>MRANM017213</t>
  </si>
  <si>
    <t>MRWSH021074</t>
  </si>
  <si>
    <t>MRWSH021932</t>
  </si>
  <si>
    <t>MRNTX031796</t>
  </si>
  <si>
    <t>MRNTX031813</t>
  </si>
  <si>
    <t>MRWSH022240</t>
  </si>
  <si>
    <t>MRNTX030376</t>
  </si>
  <si>
    <t>MRNTX030445</t>
  </si>
  <si>
    <t>MRNTX030468</t>
  </si>
  <si>
    <t>MRNTX030595</t>
  </si>
  <si>
    <t>MRNTX033848</t>
  </si>
  <si>
    <t>MRNTX033904</t>
  </si>
  <si>
    <t>MRANM019718</t>
  </si>
  <si>
    <t>MRANM020123</t>
  </si>
  <si>
    <t>MRANM020333</t>
  </si>
  <si>
    <t>MRNTX033923</t>
  </si>
  <si>
    <t>MRANM020556</t>
  </si>
  <si>
    <t>MRANM020557</t>
  </si>
  <si>
    <t>MRNTX032003</t>
  </si>
  <si>
    <t>MRWSH024478</t>
  </si>
  <si>
    <t>MRWSH024511</t>
  </si>
  <si>
    <t>MRNTX030876</t>
  </si>
  <si>
    <t>MRNTX030938</t>
  </si>
  <si>
    <t>MRNTX033954</t>
  </si>
  <si>
    <t>MRNTX035995</t>
  </si>
  <si>
    <t>MRNTX036028</t>
  </si>
  <si>
    <t>MRNTX036041</t>
  </si>
  <si>
    <t>MRNTX036080</t>
  </si>
  <si>
    <t>MRNTX036089</t>
  </si>
  <si>
    <t>MRNTX036155</t>
  </si>
  <si>
    <t>MRNTX029488</t>
  </si>
  <si>
    <t>MRNTX029490</t>
  </si>
  <si>
    <t>MRNTX029687</t>
  </si>
  <si>
    <t>MRNTX033559</t>
  </si>
  <si>
    <t>MRNTX032329</t>
  </si>
  <si>
    <t>MRNTX032384</t>
  </si>
  <si>
    <t>MRWSH024585</t>
  </si>
  <si>
    <t>MRWSH024619</t>
  </si>
  <si>
    <t>MRWSH024650</t>
  </si>
  <si>
    <t>MRWSH024685</t>
  </si>
  <si>
    <t>MRWSH024693</t>
  </si>
  <si>
    <t>MRWSH024705</t>
  </si>
  <si>
    <t>MRNTX031025</t>
  </si>
  <si>
    <t>MRWSH022715</t>
  </si>
  <si>
    <t>MRNTX036523</t>
  </si>
  <si>
    <t>MRNTX036583</t>
  </si>
  <si>
    <t>MRNTX036602</t>
  </si>
  <si>
    <t>MRNTX031546</t>
  </si>
  <si>
    <t>MRWSH020002</t>
  </si>
  <si>
    <t>MRWSH020139</t>
  </si>
  <si>
    <t>MRWSH020232</t>
  </si>
  <si>
    <t>MRNTX037309</t>
  </si>
  <si>
    <t>MRNTX037327</t>
  </si>
  <si>
    <t>MRSTX032510</t>
  </si>
  <si>
    <t>MRSTX032535</t>
  </si>
  <si>
    <t>MRNTX032835</t>
  </si>
  <si>
    <t>MRWSH025118</t>
  </si>
  <si>
    <t>MRWSH025163</t>
  </si>
  <si>
    <t>MRWSH025337</t>
  </si>
  <si>
    <t>MRWSH025356</t>
  </si>
  <si>
    <t>MRNTX036735</t>
  </si>
  <si>
    <t>MRSTX031665</t>
  </si>
  <si>
    <t>MRSTX033473</t>
  </si>
  <si>
    <t>MRANM014679</t>
  </si>
  <si>
    <t>MRWSH021088</t>
  </si>
  <si>
    <t>MRNTX031920</t>
  </si>
  <si>
    <t>MRSTX033656</t>
  </si>
  <si>
    <t>MRSTX033676</t>
  </si>
  <si>
    <t>MRSTX033762</t>
  </si>
  <si>
    <t>MRANM019655</t>
  </si>
  <si>
    <t>MRANM020127</t>
  </si>
  <si>
    <t>MRANM020348</t>
  </si>
  <si>
    <t>MRANM020413</t>
  </si>
  <si>
    <t>MRANM020416</t>
  </si>
  <si>
    <t>MRSTX036369</t>
  </si>
  <si>
    <t>MRSTX036379</t>
  </si>
  <si>
    <t>MRNTX032152</t>
  </si>
  <si>
    <t>MRSTX033996</t>
  </si>
  <si>
    <t>MRSTX033999</t>
  </si>
  <si>
    <t>MRSTX034178</t>
  </si>
  <si>
    <t>MRSTX036143</t>
  </si>
  <si>
    <t>MRNTX018703</t>
  </si>
  <si>
    <t>MRSTX034320</t>
  </si>
  <si>
    <t>MRSTX034490</t>
  </si>
  <si>
    <t>MRNTX031502</t>
  </si>
  <si>
    <t>MRWSH025229</t>
  </si>
  <si>
    <t>MRWSH025344</t>
  </si>
  <si>
    <t>MRSTX035671</t>
  </si>
  <si>
    <t>MRSTX031127</t>
  </si>
  <si>
    <t>MRSTX033206</t>
  </si>
  <si>
    <t>MRSTX033348</t>
  </si>
  <si>
    <t>MRSTX033360</t>
  </si>
  <si>
    <t>MRANM019395</t>
  </si>
  <si>
    <t>MRANM019466</t>
  </si>
  <si>
    <t>MRSTX035856</t>
  </si>
  <si>
    <t>MRSTX035872</t>
  </si>
  <si>
    <t>MRSTX033854</t>
  </si>
  <si>
    <t>MRSTX033877</t>
  </si>
  <si>
    <t>MRSTX033903</t>
  </si>
  <si>
    <t>MRNTX030509</t>
  </si>
  <si>
    <t>MRSTX036190</t>
  </si>
  <si>
    <t>MRSTX036209</t>
  </si>
  <si>
    <t>MRSTX036253</t>
  </si>
  <si>
    <t>MRSTX036275</t>
  </si>
  <si>
    <t>MRSTX036299</t>
  </si>
  <si>
    <t>MRSTX036308</t>
  </si>
  <si>
    <t>MRSTX036310</t>
  </si>
  <si>
    <t>MRANM020479</t>
  </si>
  <si>
    <t>MRNTX032005</t>
  </si>
  <si>
    <t>MRSTX033964</t>
  </si>
  <si>
    <t>MRSTX033981</t>
  </si>
  <si>
    <t>MRSTX033982</t>
  </si>
  <si>
    <t>MRSTX034219</t>
  </si>
  <si>
    <t>MRSTX036970</t>
  </si>
  <si>
    <t>MRSTX036971</t>
  </si>
  <si>
    <t>MRSTX036014</t>
  </si>
  <si>
    <t>MRSTX036064</t>
  </si>
  <si>
    <t>MRSTX036105</t>
  </si>
  <si>
    <t>MRSTX036111</t>
  </si>
  <si>
    <t>MRSTX034228</t>
  </si>
  <si>
    <t>MRSTX034418</t>
  </si>
  <si>
    <t>MRSTX034510</t>
  </si>
  <si>
    <t>MRWSH020233</t>
  </si>
  <si>
    <t>MRSTX030845</t>
  </si>
  <si>
    <t>MRSTX030848</t>
  </si>
  <si>
    <t>MRSTX030860</t>
  </si>
  <si>
    <t>MRSTX030866</t>
  </si>
  <si>
    <t>MRSTX032797</t>
  </si>
  <si>
    <t>MRSTX032865</t>
  </si>
  <si>
    <t>MRWSH025167</t>
  </si>
  <si>
    <t>MRSTX034581</t>
  </si>
  <si>
    <t>MRSTX034612</t>
  </si>
  <si>
    <t>MRSTX034717</t>
  </si>
  <si>
    <t>MRSTX035676</t>
  </si>
  <si>
    <t>MRSTX031592</t>
  </si>
  <si>
    <t>MRWSH020978</t>
  </si>
  <si>
    <t>MRSTX033469</t>
  </si>
  <si>
    <t>MRSTX035818</t>
  </si>
  <si>
    <t>MRSTX035831</t>
  </si>
  <si>
    <t>MRSTX035930</t>
  </si>
  <si>
    <t>MRSTX033857</t>
  </si>
  <si>
    <t>MRANM019686</t>
  </si>
  <si>
    <t>MRSTX036211</t>
  </si>
  <si>
    <t>MRSTX036219</t>
  </si>
  <si>
    <t>MRSTX036307</t>
  </si>
  <si>
    <t>MRANM020492</t>
  </si>
  <si>
    <t>MRSTX036345</t>
  </si>
  <si>
    <t>MRSTX033919</t>
  </si>
  <si>
    <t>MRSTX034126</t>
  </si>
  <si>
    <t>MRNTX036021</t>
  </si>
  <si>
    <t>MRSTX036160</t>
  </si>
  <si>
    <t>MRSTX036166</t>
  </si>
  <si>
    <t>MRSTX036175</t>
  </si>
  <si>
    <t>MRWSH022732</t>
  </si>
  <si>
    <t>MRNTX036504</t>
  </si>
  <si>
    <t>MRNTX037074</t>
  </si>
  <si>
    <t>MRSTX030840</t>
  </si>
  <si>
    <t>MRSTX031095</t>
  </si>
  <si>
    <t>MRNTX037270</t>
  </si>
  <si>
    <t>MRNTX037278</t>
  </si>
  <si>
    <t>MRWSH025165</t>
  </si>
  <si>
    <t>MRWSH025228</t>
  </si>
  <si>
    <t>MRWSH025286</t>
  </si>
  <si>
    <t>MRSTX034558</t>
  </si>
  <si>
    <t>MRSTX035551</t>
  </si>
  <si>
    <t>MRSTX035555</t>
  </si>
  <si>
    <t>MRNTX036934</t>
  </si>
  <si>
    <t>MRSTX035715</t>
  </si>
  <si>
    <t>MRANM019583</t>
  </si>
  <si>
    <t>MRSTX035873</t>
  </si>
  <si>
    <t>MRANM019604</t>
  </si>
  <si>
    <t>MRANM019690</t>
  </si>
  <si>
    <t>MRANM019693</t>
  </si>
  <si>
    <t>MRWSH022920</t>
  </si>
  <si>
    <t>MRNTX029532</t>
  </si>
  <si>
    <t>MRANM022189</t>
  </si>
  <si>
    <t>MRWSH024740</t>
  </si>
  <si>
    <t>MRNTX036231</t>
  </si>
  <si>
    <t>MRWSH025173</t>
  </si>
  <si>
    <t>Can't Pull In</t>
  </si>
  <si>
    <t>N/A</t>
  </si>
  <si>
    <t>No Longer In PACE</t>
  </si>
  <si>
    <t>Snapshot: 11/30/2018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</si>
</sst>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 style="medium">
        <color theme="2" tint="-0.499984740745262"/>
      </left>
      <right/>
      <top/>
      <bottom/>
      <diagonal/>
    </border>
    <border>
      <left style="medium">
        <color theme="2" tint="-0.499984740745262"/>
      </left>
      <right/>
      <top style="medium">
        <color theme="2" tint="-0.499984740745262"/>
      </top>
      <bottom style="medium">
        <color theme="2" tint="-0.499984740745262"/>
      </bottom>
      <diagonal/>
    </border>
    <border>
      <left/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0" fillId="0" borderId="0" xfId="0" pivotButton="1" applyAlignment="1">
      <alignment vertical="center" wrapText="1"/>
    </xf>
    <xf numFmtId="0" fontId="0" fillId="0" borderId="0" xfId="0" applyAlignment="1">
      <alignment vertical="center" wrapText="1"/>
    </xf>
    <xf numFmtId="164" fontId="1" fillId="0" borderId="0" xfId="0" applyNumberFormat="1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1" xfId="0" pivotButton="1" applyBorder="1" applyAlignment="1">
      <alignment vertical="center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4" xfId="0" applyBorder="1" applyAlignment="1">
      <alignment vertical="center" wrapText="1"/>
    </xf>
    <xf numFmtId="0" fontId="0" fillId="0" borderId="0" xfId="0" pivotButton="1" applyAlignment="1">
      <alignment horizontal="center" vertical="center" wrapText="1"/>
    </xf>
    <xf numFmtId="0" fontId="0" fillId="0" borderId="3" xfId="0" pivotButton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6" xfId="0" pivotButton="1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pivotButton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horizontal="center" vertical="center" wrapText="1"/>
    </xf>
    <xf numFmtId="0" fontId="0" fillId="0" borderId="6" xfId="0" applyNumberFormat="1" applyBorder="1" applyAlignment="1">
      <alignment horizontal="center" vertical="center" wrapText="1"/>
    </xf>
    <xf numFmtId="0" fontId="0" fillId="0" borderId="7" xfId="0" applyNumberFormat="1" applyBorder="1" applyAlignment="1">
      <alignment horizontal="center" vertical="center" wrapText="1"/>
    </xf>
    <xf numFmtId="0" fontId="0" fillId="0" borderId="8" xfId="0" applyNumberForma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0" fillId="0" borderId="9" xfId="0" applyNumberFormat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0" fillId="0" borderId="10" xfId="0" applyNumberFormat="1" applyBorder="1" applyAlignment="1">
      <alignment horizontal="center" vertical="center" wrapText="1"/>
    </xf>
    <xf numFmtId="0" fontId="0" fillId="0" borderId="11" xfId="0" applyNumberFormat="1" applyBorder="1" applyAlignment="1">
      <alignment horizontal="center" vertical="center" wrapText="1"/>
    </xf>
    <xf numFmtId="0" fontId="0" fillId="0" borderId="12" xfId="0" applyNumberForma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284"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bottom/>
        <vertical/>
      </border>
    </dxf>
    <dxf>
      <border>
        <bottom/>
        <vertical/>
      </border>
    </dxf>
    <dxf>
      <border>
        <bottom/>
        <vertical/>
      </border>
    </dxf>
    <dxf>
      <border>
        <bottom/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bottom/>
      </border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bottom/>
      </border>
    </dxf>
    <dxf>
      <border>
        <bottom/>
      </border>
    </dxf>
    <dxf>
      <border>
        <bottom/>
      </border>
    </dxf>
    <dxf>
      <border>
        <right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right/>
      </border>
    </dxf>
    <dxf>
      <border>
        <right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993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993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numFmt numFmtId="19" formatCode="m/d/yyyy"/>
    </dxf>
    <dxf>
      <numFmt numFmtId="0" formatCode="General"/>
    </dxf>
    <dxf>
      <border>
        <right/>
      </border>
    </dxf>
    <dxf>
      <border>
        <right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right/>
      </border>
    </dxf>
    <dxf>
      <border>
        <bottom/>
      </border>
    </dxf>
    <dxf>
      <border>
        <bottom/>
      </border>
    </dxf>
    <dxf>
      <border>
        <bottom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theme="2" tint="-0.499984740745262"/>
        </left>
        <right style="thick">
          <color theme="2" tint="-0.499984740745262"/>
        </right>
        <top style="thick">
          <color theme="2" tint="-0.499984740745262"/>
        </top>
        <bottom style="thick">
          <color theme="2" tint="-0.499984740745262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border>
        <bottom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bottom/>
        <vertical/>
      </border>
    </dxf>
    <dxf>
      <border>
        <bottom/>
        <vertical/>
      </border>
    </dxf>
    <dxf>
      <border>
        <bottom/>
        <vertical/>
      </border>
    </dxf>
    <dxf>
      <border>
        <bottom/>
        <vertical/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border>
        <left style="medium">
          <color theme="2" tint="-0.499984740745262"/>
        </left>
        <right style="medium">
          <color theme="2" tint="-0.499984740745262"/>
        </right>
        <top style="medium">
          <color theme="2" tint="-0.499984740745262"/>
        </top>
        <bottom style="medium">
          <color theme="2" tint="-0.499984740745262"/>
        </bottom>
      </border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yler Dunlap" refreshedDate="43434.61065185185" createdVersion="6" refreshedVersion="6" minRefreshableVersion="3" recordCount="4842" xr:uid="{00000000-000A-0000-FFFF-FFFF00000000}">
  <cacheSource type="worksheet">
    <worksheetSource name="tbl_forecast"/>
  </cacheSource>
  <cacheFields count="9">
    <cacheField name="PACE Job Number" numFmtId="0">
      <sharedItems/>
    </cacheField>
    <cacheField name="Market" numFmtId="0">
      <sharedItems count="4">
        <s v="STX"/>
        <s v="NTX"/>
        <s v="WSH"/>
        <s v="ANM"/>
      </sharedItems>
    </cacheField>
    <cacheField name="Task" numFmtId="0">
      <sharedItems count="8">
        <s v="RE020"/>
        <s v="CI025"/>
        <s v="CI128"/>
        <s v="CI020"/>
        <s v="CI032"/>
        <s v="CI050"/>
        <s v="CL001"/>
        <s v="CL100"/>
      </sharedItems>
    </cacheField>
    <cacheField name="Initial FCST" numFmtId="14">
      <sharedItems containsSemiMixedTypes="0" containsNonDate="0" containsDate="1" containsString="0" minDate="2018-11-01T00:00:00" maxDate="2018-12-01T00:00:00"/>
    </cacheField>
    <cacheField name="Cur FCST" numFmtId="14">
      <sharedItems containsDate="1" containsMixedTypes="1" minDate="1950-01-01T00:00:00" maxDate="2021-01-01T00:00:00"/>
    </cacheField>
    <cacheField name="App FCST" numFmtId="14">
      <sharedItems containsDate="1" containsMixedTypes="1" minDate="1950-01-01T00:00:00" maxDate="2021-01-01T00:00:00"/>
    </cacheField>
    <cacheField name="Actual" numFmtId="0">
      <sharedItems containsDate="1" containsBlank="1" containsMixedTypes="1" minDate="1950-01-01T00:00:00" maxDate="2018-12-01T00:00:00"/>
    </cacheField>
    <cacheField name="Push Status" numFmtId="0">
      <sharedItems count="3">
        <s v="Within 14"/>
        <s v="Pushed 14+"/>
        <s v="No Longer In PACE"/>
      </sharedItems>
    </cacheField>
    <cacheField name="Action Required" numFmtId="0">
      <sharedItems count="7">
        <s v="None"/>
        <s v="Actualized"/>
        <s v="Need to Pull In"/>
        <s v="Pending Push, Pull back in"/>
        <s v="Can't Pull In"/>
        <s v="Pull In Not Approved"/>
        <s v="Pending Pull In Approv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42">
  <r>
    <s v="MRSTX035603"/>
    <x v="0"/>
    <x v="0"/>
    <d v="2018-11-30T00:00:00"/>
    <d v="2018-11-30T00:00:00"/>
    <d v="2018-11-30T00:00:00"/>
    <m/>
    <x v="0"/>
    <x v="0"/>
  </r>
  <r>
    <s v="MRSTX043984"/>
    <x v="0"/>
    <x v="0"/>
    <d v="2018-11-26T00:00:00"/>
    <d v="1999-12-30T00:00:00"/>
    <d v="2018-11-26T00:00:00"/>
    <m/>
    <x v="0"/>
    <x v="0"/>
  </r>
  <r>
    <s v="MRSTX044010"/>
    <x v="0"/>
    <x v="0"/>
    <d v="2018-11-16T00:00:00"/>
    <d v="2018-11-16T00:00:00"/>
    <d v="2018-11-16T00:00:00"/>
    <d v="2018-11-16T00:00:00"/>
    <x v="0"/>
    <x v="1"/>
  </r>
  <r>
    <s v="MRSTX044018"/>
    <x v="0"/>
    <x v="0"/>
    <d v="2018-11-01T00:00:00"/>
    <d v="1999-12-30T00:00:00"/>
    <d v="2018-11-01T00:00:00"/>
    <d v="2018-11-01T00:00:00"/>
    <x v="0"/>
    <x v="1"/>
  </r>
  <r>
    <s v="MRSTX044067"/>
    <x v="0"/>
    <x v="0"/>
    <d v="2018-11-17T00:00:00"/>
    <d v="2018-11-17T00:00:00"/>
    <d v="2018-11-17T00:00:00"/>
    <d v="2018-11-17T00:00:00"/>
    <x v="0"/>
    <x v="1"/>
  </r>
  <r>
    <s v="MRSTX044111"/>
    <x v="0"/>
    <x v="0"/>
    <d v="2018-11-17T00:00:00"/>
    <d v="2018-11-30T00:00:00"/>
    <d v="2018-11-30T00:00:00"/>
    <d v="2018-11-30T00:00:00"/>
    <x v="0"/>
    <x v="1"/>
  </r>
  <r>
    <s v="MRSTX044142"/>
    <x v="0"/>
    <x v="0"/>
    <d v="2018-11-17T00:00:00"/>
    <d v="2018-11-17T00:00:00"/>
    <d v="2018-11-15T00:00:00"/>
    <d v="2018-11-15T00:00:00"/>
    <x v="0"/>
    <x v="1"/>
  </r>
  <r>
    <s v="MRSTX044157"/>
    <x v="0"/>
    <x v="0"/>
    <d v="2018-11-30T00:00:00"/>
    <d v="1999-12-30T00:00:00"/>
    <d v="2018-11-30T00:00:00"/>
    <m/>
    <x v="0"/>
    <x v="0"/>
  </r>
  <r>
    <s v="MRSTX044190"/>
    <x v="0"/>
    <x v="0"/>
    <d v="2018-11-17T00:00:00"/>
    <d v="2018-12-20T00:00:00"/>
    <d v="2018-12-20T00:00:00"/>
    <m/>
    <x v="1"/>
    <x v="2"/>
  </r>
  <r>
    <s v="MRNTX036830"/>
    <x v="1"/>
    <x v="0"/>
    <d v="2018-11-30T00:00:00"/>
    <d v="2018-11-30T00:00:00"/>
    <d v="2018-11-20T00:00:00"/>
    <d v="2018-11-20T00:00:00"/>
    <x v="0"/>
    <x v="1"/>
  </r>
  <r>
    <s v="MRNTX036840"/>
    <x v="1"/>
    <x v="0"/>
    <d v="2018-11-26T00:00:00"/>
    <d v="2018-11-30T00:00:00"/>
    <d v="2018-11-26T00:00:00"/>
    <m/>
    <x v="0"/>
    <x v="0"/>
  </r>
  <r>
    <s v="MRSTX031736"/>
    <x v="0"/>
    <x v="0"/>
    <d v="2018-11-16T00:00:00"/>
    <d v="2018-05-04T00:00:00"/>
    <d v="2018-11-20T00:00:00"/>
    <d v="2018-11-20T00:00:00"/>
    <x v="0"/>
    <x v="1"/>
  </r>
  <r>
    <s v="MRSTX031890"/>
    <x v="0"/>
    <x v="0"/>
    <d v="2018-11-28T00:00:00"/>
    <d v="2018-11-28T00:00:00"/>
    <d v="2018-11-19T00:00:00"/>
    <d v="2018-11-19T00:00:00"/>
    <x v="0"/>
    <x v="1"/>
  </r>
  <r>
    <s v="MRSTX040052"/>
    <x v="0"/>
    <x v="0"/>
    <d v="2018-11-16T00:00:00"/>
    <d v="2018-12-07T00:00:00"/>
    <d v="2018-11-30T00:00:00"/>
    <m/>
    <x v="0"/>
    <x v="3"/>
  </r>
  <r>
    <s v="MRSTX040053"/>
    <x v="0"/>
    <x v="0"/>
    <d v="2018-11-30T00:00:00"/>
    <d v="2018-11-30T00:00:00"/>
    <d v="2018-11-30T00:00:00"/>
    <m/>
    <x v="0"/>
    <x v="0"/>
  </r>
  <r>
    <s v="MRSTX040055"/>
    <x v="0"/>
    <x v="0"/>
    <d v="2018-11-16T00:00:00"/>
    <d v="2018-11-16T00:00:00"/>
    <d v="2018-11-07T00:00:00"/>
    <d v="2018-11-07T00:00:00"/>
    <x v="0"/>
    <x v="1"/>
  </r>
  <r>
    <s v="MRSTX040058"/>
    <x v="0"/>
    <x v="0"/>
    <d v="2018-11-16T00:00:00"/>
    <d v="2018-11-16T00:00:00"/>
    <d v="2018-11-22T00:00:00"/>
    <d v="2018-11-22T00:00:00"/>
    <x v="0"/>
    <x v="1"/>
  </r>
  <r>
    <s v="MRSTX040061"/>
    <x v="0"/>
    <x v="0"/>
    <d v="2018-11-23T00:00:00"/>
    <d v="2018-11-30T00:00:00"/>
    <d v="2018-11-27T00:00:00"/>
    <d v="2018-11-27T00:00:00"/>
    <x v="0"/>
    <x v="1"/>
  </r>
  <r>
    <s v="MRSTX040068"/>
    <x v="0"/>
    <x v="0"/>
    <d v="2018-11-16T00:00:00"/>
    <d v="2018-12-30T00:00:00"/>
    <d v="2018-12-30T00:00:00"/>
    <m/>
    <x v="1"/>
    <x v="4"/>
  </r>
  <r>
    <s v="MRSTX040072"/>
    <x v="0"/>
    <x v="0"/>
    <d v="2018-11-15T00:00:00"/>
    <d v="2018-11-30T00:00:00"/>
    <d v="2018-11-30T00:00:00"/>
    <m/>
    <x v="1"/>
    <x v="4"/>
  </r>
  <r>
    <s v="MRSTX040080"/>
    <x v="0"/>
    <x v="0"/>
    <d v="2018-11-30T00:00:00"/>
    <d v="1999-12-30T00:00:00"/>
    <d v="2018-11-30T00:00:00"/>
    <m/>
    <x v="0"/>
    <x v="0"/>
  </r>
  <r>
    <s v="MRSTX040082"/>
    <x v="0"/>
    <x v="0"/>
    <d v="2018-11-09T00:00:00"/>
    <d v="2018-12-07T00:00:00"/>
    <d v="2018-11-30T00:00:00"/>
    <m/>
    <x v="1"/>
    <x v="4"/>
  </r>
  <r>
    <s v="MRSTX040092"/>
    <x v="0"/>
    <x v="0"/>
    <d v="2018-11-02T00:00:00"/>
    <d v="2018-11-09T00:00:00"/>
    <d v="2018-11-02T00:00:00"/>
    <d v="2018-11-02T00:00:00"/>
    <x v="0"/>
    <x v="1"/>
  </r>
  <r>
    <s v="MRSTX040149"/>
    <x v="0"/>
    <x v="0"/>
    <d v="2018-11-30T00:00:00"/>
    <d v="2018-11-30T00:00:00"/>
    <d v="2019-01-01T00:00:00"/>
    <m/>
    <x v="1"/>
    <x v="5"/>
  </r>
  <r>
    <s v="MRSTX040153"/>
    <x v="0"/>
    <x v="0"/>
    <d v="2018-11-09T00:00:00"/>
    <d v="2018-11-16T00:00:00"/>
    <d v="2018-11-16T00:00:00"/>
    <d v="2018-11-16T00:00:00"/>
    <x v="0"/>
    <x v="1"/>
  </r>
  <r>
    <s v="MRSTX040155"/>
    <x v="0"/>
    <x v="0"/>
    <d v="2018-11-09T00:00:00"/>
    <d v="2018-11-16T00:00:00"/>
    <d v="2018-11-16T00:00:00"/>
    <d v="2018-11-16T00:00:00"/>
    <x v="0"/>
    <x v="1"/>
  </r>
  <r>
    <s v="MRSTX040159"/>
    <x v="0"/>
    <x v="0"/>
    <d v="2018-11-16T00:00:00"/>
    <d v="2018-11-30T00:00:00"/>
    <d v="2018-11-30T00:00:00"/>
    <m/>
    <x v="0"/>
    <x v="0"/>
  </r>
  <r>
    <s v="MRSTX040161"/>
    <x v="0"/>
    <x v="0"/>
    <d v="2018-11-15T00:00:00"/>
    <d v="2018-11-30T00:00:00"/>
    <d v="2018-11-30T00:00:00"/>
    <m/>
    <x v="1"/>
    <x v="4"/>
  </r>
  <r>
    <s v="MRSTX040162"/>
    <x v="0"/>
    <x v="0"/>
    <d v="2018-11-09T00:00:00"/>
    <d v="2018-12-07T00:00:00"/>
    <d v="2018-11-30T00:00:00"/>
    <m/>
    <x v="1"/>
    <x v="4"/>
  </r>
  <r>
    <s v="MRSTX040169"/>
    <x v="0"/>
    <x v="0"/>
    <d v="2018-11-15T00:00:00"/>
    <d v="2018-11-30T00:00:00"/>
    <d v="2018-11-30T00:00:00"/>
    <m/>
    <x v="1"/>
    <x v="4"/>
  </r>
  <r>
    <s v="MRSTX040172"/>
    <x v="0"/>
    <x v="0"/>
    <d v="2018-11-16T00:00:00"/>
    <d v="2018-11-16T00:00:00"/>
    <d v="2018-11-14T00:00:00"/>
    <d v="2018-11-14T00:00:00"/>
    <x v="0"/>
    <x v="1"/>
  </r>
  <r>
    <s v="MRSTX040175"/>
    <x v="0"/>
    <x v="0"/>
    <d v="2018-11-16T00:00:00"/>
    <d v="2018-11-23T00:00:00"/>
    <d v="2018-11-26T00:00:00"/>
    <d v="2018-11-26T00:00:00"/>
    <x v="0"/>
    <x v="1"/>
  </r>
  <r>
    <s v="MRSTX040177"/>
    <x v="0"/>
    <x v="0"/>
    <d v="2018-11-16T00:00:00"/>
    <d v="2018-11-16T00:00:00"/>
    <d v="2018-11-22T00:00:00"/>
    <d v="2018-11-22T00:00:00"/>
    <x v="0"/>
    <x v="1"/>
  </r>
  <r>
    <s v="MRSTX040188"/>
    <x v="0"/>
    <x v="0"/>
    <d v="2018-11-02T00:00:00"/>
    <d v="2018-11-09T00:00:00"/>
    <d v="2018-11-02T00:00:00"/>
    <d v="2018-11-02T00:00:00"/>
    <x v="0"/>
    <x v="1"/>
  </r>
  <r>
    <s v="MRSTX040196"/>
    <x v="0"/>
    <x v="0"/>
    <d v="2018-11-30T00:00:00"/>
    <d v="2018-12-07T00:00:00"/>
    <d v="2018-11-30T00:00:00"/>
    <m/>
    <x v="0"/>
    <x v="0"/>
  </r>
  <r>
    <s v="MRSTX040199"/>
    <x v="0"/>
    <x v="0"/>
    <d v="2018-11-16T00:00:00"/>
    <d v="2018-11-16T00:00:00"/>
    <d v="2018-11-14T00:00:00"/>
    <d v="2018-11-14T00:00:00"/>
    <x v="0"/>
    <x v="1"/>
  </r>
  <r>
    <s v="MRSTX040205"/>
    <x v="0"/>
    <x v="0"/>
    <d v="2018-11-14T00:00:00"/>
    <d v="2018-11-30T00:00:00"/>
    <d v="2018-11-30T00:00:00"/>
    <m/>
    <x v="1"/>
    <x v="4"/>
  </r>
  <r>
    <s v="MRSTX040207"/>
    <x v="0"/>
    <x v="0"/>
    <d v="2018-11-15T00:00:00"/>
    <d v="2018-11-22T00:00:00"/>
    <d v="2018-11-15T00:00:00"/>
    <d v="2018-11-15T00:00:00"/>
    <x v="0"/>
    <x v="1"/>
  </r>
  <r>
    <s v="MRSTX040217"/>
    <x v="0"/>
    <x v="0"/>
    <d v="2018-11-15T00:00:00"/>
    <d v="2018-11-22T00:00:00"/>
    <d v="2018-11-15T00:00:00"/>
    <d v="2018-11-15T00:00:00"/>
    <x v="0"/>
    <x v="1"/>
  </r>
  <r>
    <s v="MRSTX040218"/>
    <x v="0"/>
    <x v="0"/>
    <d v="2018-11-16T00:00:00"/>
    <d v="2018-12-30T00:00:00"/>
    <d v="2018-12-30T00:00:00"/>
    <m/>
    <x v="1"/>
    <x v="4"/>
  </r>
  <r>
    <s v="MRSTX040227"/>
    <x v="0"/>
    <x v="0"/>
    <d v="2018-11-02T00:00:00"/>
    <d v="2018-11-16T00:00:00"/>
    <d v="2018-11-02T00:00:00"/>
    <d v="2018-11-02T00:00:00"/>
    <x v="0"/>
    <x v="1"/>
  </r>
  <r>
    <s v="MRSTX040230"/>
    <x v="0"/>
    <x v="0"/>
    <d v="2018-11-30T00:00:00"/>
    <d v="2018-12-14T00:00:00"/>
    <d v="2018-11-30T00:00:00"/>
    <m/>
    <x v="0"/>
    <x v="0"/>
  </r>
  <r>
    <s v="MRSTX040236"/>
    <x v="0"/>
    <x v="0"/>
    <d v="2018-11-15T00:00:00"/>
    <d v="2018-11-30T00:00:00"/>
    <d v="2018-11-30T00:00:00"/>
    <m/>
    <x v="1"/>
    <x v="4"/>
  </r>
  <r>
    <s v="MRSTX040238"/>
    <x v="0"/>
    <x v="0"/>
    <d v="2018-11-09T00:00:00"/>
    <d v="2018-11-16T00:00:00"/>
    <d v="2018-11-16T00:00:00"/>
    <d v="2018-11-16T00:00:00"/>
    <x v="0"/>
    <x v="1"/>
  </r>
  <r>
    <s v="MRSTX040242"/>
    <x v="0"/>
    <x v="0"/>
    <d v="2018-11-09T00:00:00"/>
    <d v="2018-11-09T00:00:00"/>
    <d v="2018-11-12T00:00:00"/>
    <d v="2018-11-12T00:00:00"/>
    <x v="0"/>
    <x v="1"/>
  </r>
  <r>
    <s v="MRSTX040243"/>
    <x v="0"/>
    <x v="0"/>
    <d v="2018-11-30T00:00:00"/>
    <d v="2018-12-14T00:00:00"/>
    <d v="2018-11-30T00:00:00"/>
    <m/>
    <x v="0"/>
    <x v="0"/>
  </r>
  <r>
    <s v="MRSTX040244"/>
    <x v="0"/>
    <x v="0"/>
    <d v="2018-11-30T00:00:00"/>
    <d v="2018-11-30T00:00:00"/>
    <d v="2018-11-30T00:00:00"/>
    <m/>
    <x v="0"/>
    <x v="0"/>
  </r>
  <r>
    <s v="MRSTX040246"/>
    <x v="0"/>
    <x v="0"/>
    <d v="2018-11-15T00:00:00"/>
    <d v="2018-11-30T00:00:00"/>
    <d v="2018-11-30T00:00:00"/>
    <m/>
    <x v="1"/>
    <x v="4"/>
  </r>
  <r>
    <s v="MRSTX040250"/>
    <x v="0"/>
    <x v="0"/>
    <d v="2018-11-30T00:00:00"/>
    <d v="2018-11-30T00:00:00"/>
    <d v="2018-11-28T00:00:00"/>
    <d v="2018-11-28T00:00:00"/>
    <x v="0"/>
    <x v="1"/>
  </r>
  <r>
    <s v="MRSTX040251"/>
    <x v="0"/>
    <x v="0"/>
    <d v="2018-11-02T00:00:00"/>
    <d v="2018-11-16T00:00:00"/>
    <d v="2018-11-02T00:00:00"/>
    <d v="2018-11-02T00:00:00"/>
    <x v="0"/>
    <x v="1"/>
  </r>
  <r>
    <s v="MRSTX040255"/>
    <x v="0"/>
    <x v="0"/>
    <d v="2018-11-09T00:00:00"/>
    <d v="2018-11-09T00:00:00"/>
    <d v="2018-11-07T00:00:00"/>
    <d v="2018-11-07T00:00:00"/>
    <x v="0"/>
    <x v="1"/>
  </r>
  <r>
    <s v="MRNTX040110"/>
    <x v="1"/>
    <x v="0"/>
    <d v="2018-11-16T00:00:00"/>
    <d v="2018-11-20T00:00:00"/>
    <d v="2018-11-27T00:00:00"/>
    <d v="2018-11-27T00:00:00"/>
    <x v="0"/>
    <x v="1"/>
  </r>
  <r>
    <s v="MRNTX040118"/>
    <x v="1"/>
    <x v="0"/>
    <d v="2018-11-16T00:00:00"/>
    <d v="2018-11-20T00:00:00"/>
    <d v="2018-11-27T00:00:00"/>
    <d v="2018-11-27T00:00:00"/>
    <x v="0"/>
    <x v="1"/>
  </r>
  <r>
    <s v="MRNTX040130"/>
    <x v="1"/>
    <x v="0"/>
    <d v="2018-11-11T00:00:00"/>
    <d v="2018-11-30T00:00:00"/>
    <d v="2018-11-28T00:00:00"/>
    <m/>
    <x v="1"/>
    <x v="4"/>
  </r>
  <r>
    <s v="MRNTX040149"/>
    <x v="1"/>
    <x v="0"/>
    <d v="2018-11-01T00:00:00"/>
    <d v="2018-11-02T00:00:00"/>
    <d v="2018-11-01T00:00:00"/>
    <d v="2018-11-01T00:00:00"/>
    <x v="0"/>
    <x v="1"/>
  </r>
  <r>
    <s v="MRNTX040150"/>
    <x v="1"/>
    <x v="0"/>
    <d v="2018-11-01T00:00:00"/>
    <d v="2018-11-30T00:00:00"/>
    <d v="2018-11-01T00:00:00"/>
    <d v="2018-11-01T00:00:00"/>
    <x v="0"/>
    <x v="1"/>
  </r>
  <r>
    <s v="MRNTX040165"/>
    <x v="1"/>
    <x v="0"/>
    <d v="2018-11-30T00:00:00"/>
    <d v="2018-11-30T00:00:00"/>
    <d v="2018-11-30T00:00:00"/>
    <d v="2018-11-29T00:00:00"/>
    <x v="0"/>
    <x v="1"/>
  </r>
  <r>
    <s v="MRNTX040182"/>
    <x v="1"/>
    <x v="0"/>
    <d v="2018-11-30T00:00:00"/>
    <d v="2018-12-28T00:00:00"/>
    <d v="2018-12-28T00:00:00"/>
    <m/>
    <x v="1"/>
    <x v="2"/>
  </r>
  <r>
    <s v="MRNTX040190"/>
    <x v="1"/>
    <x v="0"/>
    <d v="2018-11-02T00:00:00"/>
    <d v="2018-11-30T00:00:00"/>
    <d v="2018-11-14T00:00:00"/>
    <d v="2018-11-14T00:00:00"/>
    <x v="0"/>
    <x v="1"/>
  </r>
  <r>
    <s v="MRNTX040200"/>
    <x v="1"/>
    <x v="0"/>
    <d v="2018-11-01T00:00:00"/>
    <d v="2018-11-30T00:00:00"/>
    <d v="2018-11-01T00:00:00"/>
    <d v="2018-11-01T00:00:00"/>
    <x v="0"/>
    <x v="1"/>
  </r>
  <r>
    <s v="MRNTX040202"/>
    <x v="1"/>
    <x v="0"/>
    <d v="2018-11-20T00:00:00"/>
    <d v="2018-11-28T00:00:00"/>
    <d v="2018-11-28T00:00:00"/>
    <d v="2018-11-29T00:00:00"/>
    <x v="0"/>
    <x v="1"/>
  </r>
  <r>
    <s v="MRNTX040213"/>
    <x v="1"/>
    <x v="0"/>
    <d v="2018-11-01T00:00:00"/>
    <d v="2018-11-02T00:00:00"/>
    <d v="2018-11-01T00:00:00"/>
    <d v="2018-11-01T00:00:00"/>
    <x v="0"/>
    <x v="1"/>
  </r>
  <r>
    <s v="MRNTX040220"/>
    <x v="1"/>
    <x v="0"/>
    <d v="2018-11-01T00:00:00"/>
    <d v="2018-11-30T00:00:00"/>
    <d v="2018-11-01T00:00:00"/>
    <d v="2018-11-01T00:00:00"/>
    <x v="0"/>
    <x v="1"/>
  </r>
  <r>
    <s v="MRNTX040221"/>
    <x v="1"/>
    <x v="0"/>
    <d v="2018-11-30T00:00:00"/>
    <d v="2018-11-30T00:00:00"/>
    <d v="2018-11-26T00:00:00"/>
    <d v="2018-11-26T00:00:00"/>
    <x v="0"/>
    <x v="1"/>
  </r>
  <r>
    <s v="MRNTX040222"/>
    <x v="1"/>
    <x v="0"/>
    <d v="2018-11-30T00:00:00"/>
    <d v="2018-12-14T00:00:00"/>
    <d v="2018-11-26T00:00:00"/>
    <d v="2018-11-26T00:00:00"/>
    <x v="0"/>
    <x v="1"/>
  </r>
  <r>
    <s v="MRNTX040234"/>
    <x v="1"/>
    <x v="0"/>
    <d v="2018-11-16T00:00:00"/>
    <d v="2018-11-16T00:00:00"/>
    <d v="2018-11-19T00:00:00"/>
    <d v="2018-11-19T00:00:00"/>
    <x v="0"/>
    <x v="1"/>
  </r>
  <r>
    <s v="MRNTX040237"/>
    <x v="1"/>
    <x v="0"/>
    <d v="2018-11-28T00:00:00"/>
    <d v="2018-11-28T00:00:00"/>
    <d v="2018-11-26T00:00:00"/>
    <d v="2018-11-26T00:00:00"/>
    <x v="0"/>
    <x v="1"/>
  </r>
  <r>
    <s v="MRNTX040238"/>
    <x v="1"/>
    <x v="0"/>
    <d v="2018-11-01T00:00:00"/>
    <d v="2018-11-02T00:00:00"/>
    <d v="2018-11-01T00:00:00"/>
    <d v="2018-11-01T00:00:00"/>
    <x v="0"/>
    <x v="1"/>
  </r>
  <r>
    <s v="MRNTX040264"/>
    <x v="1"/>
    <x v="0"/>
    <d v="2018-11-30T00:00:00"/>
    <d v="2018-11-30T00:00:00"/>
    <d v="2018-11-27T00:00:00"/>
    <d v="2018-11-27T00:00:00"/>
    <x v="0"/>
    <x v="1"/>
  </r>
  <r>
    <s v="MRNTX040270"/>
    <x v="1"/>
    <x v="0"/>
    <d v="2018-11-16T00:00:00"/>
    <d v="2018-12-28T00:00:00"/>
    <d v="2018-12-28T00:00:00"/>
    <m/>
    <x v="1"/>
    <x v="4"/>
  </r>
  <r>
    <s v="MRNTX040278"/>
    <x v="1"/>
    <x v="0"/>
    <d v="2018-11-30T00:00:00"/>
    <d v="2018-11-30T00:00:00"/>
    <d v="2018-11-26T00:00:00"/>
    <d v="2018-11-26T00:00:00"/>
    <x v="0"/>
    <x v="1"/>
  </r>
  <r>
    <s v="MRNTX040286"/>
    <x v="1"/>
    <x v="0"/>
    <d v="2018-11-11T00:00:00"/>
    <d v="2018-11-30T00:00:00"/>
    <d v="2018-11-28T00:00:00"/>
    <m/>
    <x v="1"/>
    <x v="4"/>
  </r>
  <r>
    <s v="MRNTX040291"/>
    <x v="1"/>
    <x v="0"/>
    <d v="2018-11-30T00:00:00"/>
    <d v="2018-11-30T00:00:00"/>
    <d v="2018-11-30T00:00:00"/>
    <m/>
    <x v="0"/>
    <x v="0"/>
  </r>
  <r>
    <s v="MRNTX040306"/>
    <x v="1"/>
    <x v="0"/>
    <d v="2018-11-16T00:00:00"/>
    <d v="2018-11-20T00:00:00"/>
    <d v="2018-11-27T00:00:00"/>
    <d v="2018-11-27T00:00:00"/>
    <x v="0"/>
    <x v="1"/>
  </r>
  <r>
    <s v="MRNTX040326"/>
    <x v="1"/>
    <x v="0"/>
    <d v="2018-11-30T00:00:00"/>
    <d v="2018-11-30T00:00:00"/>
    <d v="2018-11-26T00:00:00"/>
    <d v="2018-11-26T00:00:00"/>
    <x v="0"/>
    <x v="1"/>
  </r>
  <r>
    <s v="MRNTX040328"/>
    <x v="1"/>
    <x v="0"/>
    <d v="2018-11-30T00:00:00"/>
    <d v="2018-12-14T00:00:00"/>
    <d v="2018-11-26T00:00:00"/>
    <d v="2018-11-26T00:00:00"/>
    <x v="0"/>
    <x v="1"/>
  </r>
  <r>
    <s v="MRNTX040339"/>
    <x v="1"/>
    <x v="0"/>
    <d v="2018-11-16T00:00:00"/>
    <d v="2018-11-20T00:00:00"/>
    <d v="2018-11-27T00:00:00"/>
    <d v="2018-11-27T00:00:00"/>
    <x v="0"/>
    <x v="1"/>
  </r>
  <r>
    <s v="MRNTX040343"/>
    <x v="1"/>
    <x v="0"/>
    <d v="2018-11-20T00:00:00"/>
    <d v="2018-11-28T00:00:00"/>
    <d v="2018-11-28T00:00:00"/>
    <m/>
    <x v="0"/>
    <x v="0"/>
  </r>
  <r>
    <s v="MRNTX040351"/>
    <x v="1"/>
    <x v="0"/>
    <d v="2018-11-30T00:00:00"/>
    <d v="2018-11-30T00:00:00"/>
    <d v="2018-11-27T00:00:00"/>
    <d v="2018-11-27T00:00:00"/>
    <x v="0"/>
    <x v="1"/>
  </r>
  <r>
    <s v="MRNTX040368"/>
    <x v="1"/>
    <x v="0"/>
    <d v="2018-11-30T00:00:00"/>
    <d v="2018-11-30T00:00:00"/>
    <d v="2018-11-30T00:00:00"/>
    <m/>
    <x v="0"/>
    <x v="0"/>
  </r>
  <r>
    <s v="MRNTX040382"/>
    <x v="1"/>
    <x v="0"/>
    <d v="2018-11-02T00:00:00"/>
    <d v="2018-11-30T00:00:00"/>
    <d v="2018-11-14T00:00:00"/>
    <d v="2018-11-14T00:00:00"/>
    <x v="0"/>
    <x v="1"/>
  </r>
  <r>
    <s v="MRNTX040395"/>
    <x v="1"/>
    <x v="0"/>
    <d v="2018-11-09T00:00:00"/>
    <d v="2018-11-09T00:00:00"/>
    <d v="2018-11-09T00:00:00"/>
    <m/>
    <x v="0"/>
    <x v="0"/>
  </r>
  <r>
    <s v="MRWSH020600"/>
    <x v="2"/>
    <x v="0"/>
    <d v="2018-11-16T00:00:00"/>
    <d v="1999-12-30T00:00:00"/>
    <d v="2018-11-15T00:00:00"/>
    <d v="2018-11-15T00:00:00"/>
    <x v="0"/>
    <x v="1"/>
  </r>
  <r>
    <s v="MRWSH020900"/>
    <x v="2"/>
    <x v="0"/>
    <d v="2018-11-30T00:00:00"/>
    <d v="1999-12-30T00:00:00"/>
    <d v="2018-11-26T00:00:00"/>
    <d v="2018-11-26T00:00:00"/>
    <x v="0"/>
    <x v="1"/>
  </r>
  <r>
    <s v="MRWSH020934"/>
    <x v="2"/>
    <x v="0"/>
    <d v="2018-11-01T00:00:00"/>
    <d v="1999-12-30T00:00:00"/>
    <d v="2018-12-03T00:00:00"/>
    <m/>
    <x v="1"/>
    <x v="5"/>
  </r>
  <r>
    <s v="MRWSH020945"/>
    <x v="2"/>
    <x v="0"/>
    <d v="2018-11-01T00:00:00"/>
    <d v="1999-12-30T00:00:00"/>
    <d v="2018-12-03T00:00:00"/>
    <m/>
    <x v="1"/>
    <x v="5"/>
  </r>
  <r>
    <s v="MRSTX040328"/>
    <x v="0"/>
    <x v="0"/>
    <d v="2018-11-23T00:00:00"/>
    <d v="2018-11-30T00:00:00"/>
    <d v="2018-11-30T00:00:00"/>
    <m/>
    <x v="0"/>
    <x v="0"/>
  </r>
  <r>
    <s v="MRSTX040334"/>
    <x v="0"/>
    <x v="0"/>
    <d v="2018-11-16T00:00:00"/>
    <d v="1999-12-30T00:00:00"/>
    <d v="2018-11-12T00:00:00"/>
    <d v="2018-11-12T00:00:00"/>
    <x v="0"/>
    <x v="1"/>
  </r>
  <r>
    <s v="MRSTX040368"/>
    <x v="0"/>
    <x v="0"/>
    <d v="2018-11-16T00:00:00"/>
    <d v="2018-11-23T00:00:00"/>
    <d v="2018-11-19T00:00:00"/>
    <d v="2018-11-19T00:00:00"/>
    <x v="0"/>
    <x v="1"/>
  </r>
  <r>
    <s v="MRSTX040379"/>
    <x v="0"/>
    <x v="0"/>
    <d v="2018-11-30T00:00:00"/>
    <d v="1999-12-30T00:00:00"/>
    <d v="2018-11-06T00:00:00"/>
    <d v="2018-11-06T00:00:00"/>
    <x v="0"/>
    <x v="1"/>
  </r>
  <r>
    <s v="MRSTX040389"/>
    <x v="0"/>
    <x v="0"/>
    <d v="2018-11-16T00:00:00"/>
    <d v="2018-11-23T00:00:00"/>
    <d v="2018-11-19T00:00:00"/>
    <d v="2018-11-19T00:00:00"/>
    <x v="0"/>
    <x v="1"/>
  </r>
  <r>
    <s v="MRSTX040390"/>
    <x v="0"/>
    <x v="0"/>
    <d v="2018-11-23T00:00:00"/>
    <d v="2018-11-30T00:00:00"/>
    <d v="2018-11-30T00:00:00"/>
    <m/>
    <x v="0"/>
    <x v="0"/>
  </r>
  <r>
    <s v="MRSTX040394"/>
    <x v="0"/>
    <x v="0"/>
    <d v="2018-11-23T00:00:00"/>
    <d v="2018-11-30T00:00:00"/>
    <d v="2018-11-30T00:00:00"/>
    <m/>
    <x v="0"/>
    <x v="0"/>
  </r>
  <r>
    <s v="MRSTX040418"/>
    <x v="0"/>
    <x v="0"/>
    <d v="2018-11-30T00:00:00"/>
    <d v="1999-12-30T00:00:00"/>
    <d v="2018-11-30T00:00:00"/>
    <m/>
    <x v="0"/>
    <x v="0"/>
  </r>
  <r>
    <s v="MRSTX040436"/>
    <x v="0"/>
    <x v="0"/>
    <d v="2018-11-30T00:00:00"/>
    <d v="1999-12-30T00:00:00"/>
    <d v="2018-11-30T00:00:00"/>
    <m/>
    <x v="0"/>
    <x v="0"/>
  </r>
  <r>
    <s v="MRSTX040437"/>
    <x v="0"/>
    <x v="0"/>
    <d v="2018-11-30T00:00:00"/>
    <d v="1999-12-30T00:00:00"/>
    <d v="2018-11-30T00:00:00"/>
    <m/>
    <x v="0"/>
    <x v="0"/>
  </r>
  <r>
    <s v="MRSTX040438"/>
    <x v="0"/>
    <x v="0"/>
    <d v="2018-11-30T00:00:00"/>
    <d v="1999-12-30T00:00:00"/>
    <d v="2018-11-30T00:00:00"/>
    <m/>
    <x v="0"/>
    <x v="0"/>
  </r>
  <r>
    <s v="MRSTX040446"/>
    <x v="0"/>
    <x v="0"/>
    <d v="2018-11-30T00:00:00"/>
    <d v="1999-12-30T00:00:00"/>
    <d v="2018-11-30T00:00:00"/>
    <m/>
    <x v="0"/>
    <x v="0"/>
  </r>
  <r>
    <s v="MRSTX040459"/>
    <x v="0"/>
    <x v="0"/>
    <d v="2018-11-30T00:00:00"/>
    <d v="1999-12-30T00:00:00"/>
    <d v="2018-11-30T00:00:00"/>
    <m/>
    <x v="0"/>
    <x v="0"/>
  </r>
  <r>
    <s v="MRSTX040473"/>
    <x v="0"/>
    <x v="0"/>
    <d v="2018-11-17T00:00:00"/>
    <d v="2018-11-23T00:00:00"/>
    <d v="2018-11-23T00:00:00"/>
    <d v="2018-11-23T00:00:00"/>
    <x v="0"/>
    <x v="1"/>
  </r>
  <r>
    <s v="MRSTX040476"/>
    <x v="0"/>
    <x v="0"/>
    <d v="2018-11-17T00:00:00"/>
    <d v="2018-11-17T00:00:00"/>
    <d v="2018-11-09T00:00:00"/>
    <d v="2018-11-09T00:00:00"/>
    <x v="0"/>
    <x v="1"/>
  </r>
  <r>
    <s v="MRSTX040488"/>
    <x v="0"/>
    <x v="0"/>
    <d v="2018-11-30T00:00:00"/>
    <d v="1999-12-30T00:00:00"/>
    <d v="2018-11-30T00:00:00"/>
    <m/>
    <x v="0"/>
    <x v="0"/>
  </r>
  <r>
    <s v="MRSTX040559"/>
    <x v="0"/>
    <x v="0"/>
    <d v="2018-11-23T00:00:00"/>
    <d v="2018-11-23T00:00:00"/>
    <d v="2018-11-12T00:00:00"/>
    <d v="2018-11-12T00:00:00"/>
    <x v="0"/>
    <x v="1"/>
  </r>
  <r>
    <s v="MRSTX040976"/>
    <x v="0"/>
    <x v="0"/>
    <d v="2018-11-23T00:00:00"/>
    <d v="2018-11-23T00:00:00"/>
    <d v="2018-11-14T00:00:00"/>
    <d v="2018-11-14T00:00:00"/>
    <x v="0"/>
    <x v="1"/>
  </r>
  <r>
    <s v="MRSTX040978"/>
    <x v="0"/>
    <x v="0"/>
    <d v="2018-11-30T00:00:00"/>
    <d v="1999-12-30T00:00:00"/>
    <d v="2018-11-06T00:00:00"/>
    <d v="2018-11-06T00:00:00"/>
    <x v="0"/>
    <x v="1"/>
  </r>
  <r>
    <s v="MRSTX040979"/>
    <x v="0"/>
    <x v="0"/>
    <d v="2018-11-30T00:00:00"/>
    <d v="1999-12-30T00:00:00"/>
    <d v="2018-11-06T00:00:00"/>
    <d v="2018-11-06T00:00:00"/>
    <x v="0"/>
    <x v="1"/>
  </r>
  <r>
    <s v="MRSTX041007"/>
    <x v="0"/>
    <x v="0"/>
    <d v="2018-11-30T00:00:00"/>
    <d v="1999-12-30T00:00:00"/>
    <d v="2018-11-06T00:00:00"/>
    <d v="2018-11-06T00:00:00"/>
    <x v="0"/>
    <x v="1"/>
  </r>
  <r>
    <s v="MRSTX041027"/>
    <x v="0"/>
    <x v="0"/>
    <d v="2018-11-09T00:00:00"/>
    <d v="2018-11-09T00:00:00"/>
    <d v="2018-11-07T00:00:00"/>
    <d v="2018-11-07T00:00:00"/>
    <x v="0"/>
    <x v="1"/>
  </r>
  <r>
    <s v="MRSTX041028"/>
    <x v="0"/>
    <x v="0"/>
    <d v="2018-11-09T00:00:00"/>
    <d v="2018-11-09T00:00:00"/>
    <d v="2018-11-07T00:00:00"/>
    <d v="2018-11-07T00:00:00"/>
    <x v="0"/>
    <x v="1"/>
  </r>
  <r>
    <s v="MRSTX041031"/>
    <x v="0"/>
    <x v="0"/>
    <d v="2018-11-30T00:00:00"/>
    <d v="1999-12-30T00:00:00"/>
    <d v="2018-11-06T00:00:00"/>
    <d v="2018-11-06T00:00:00"/>
    <x v="0"/>
    <x v="1"/>
  </r>
  <r>
    <s v="MRSTX041034"/>
    <x v="0"/>
    <x v="0"/>
    <d v="2018-11-30T00:00:00"/>
    <d v="1999-12-30T00:00:00"/>
    <d v="2018-11-06T00:00:00"/>
    <d v="2018-11-06T00:00:00"/>
    <x v="0"/>
    <x v="1"/>
  </r>
  <r>
    <s v="MRSTX041035"/>
    <x v="0"/>
    <x v="0"/>
    <d v="2018-11-30T00:00:00"/>
    <d v="1999-12-30T00:00:00"/>
    <d v="2018-11-06T00:00:00"/>
    <d v="2018-11-06T00:00:00"/>
    <x v="0"/>
    <x v="1"/>
  </r>
  <r>
    <s v="MRSTX041040"/>
    <x v="0"/>
    <x v="0"/>
    <d v="2018-11-30T00:00:00"/>
    <d v="1999-12-30T00:00:00"/>
    <d v="2018-11-06T00:00:00"/>
    <d v="2018-11-06T00:00:00"/>
    <x v="0"/>
    <x v="1"/>
  </r>
  <r>
    <s v="MRSTX041042"/>
    <x v="0"/>
    <x v="0"/>
    <d v="2018-11-09T00:00:00"/>
    <d v="2018-11-09T00:00:00"/>
    <d v="2018-11-07T00:00:00"/>
    <d v="2018-11-07T00:00:00"/>
    <x v="0"/>
    <x v="1"/>
  </r>
  <r>
    <s v="MRSTX041299"/>
    <x v="0"/>
    <x v="0"/>
    <d v="2018-11-16T00:00:00"/>
    <d v="1999-12-30T00:00:00"/>
    <d v="2018-11-12T00:00:00"/>
    <d v="2018-11-12T00:00:00"/>
    <x v="0"/>
    <x v="1"/>
  </r>
  <r>
    <s v="MRSTX041301"/>
    <x v="0"/>
    <x v="0"/>
    <d v="2018-11-17T00:00:00"/>
    <d v="2018-11-23T00:00:00"/>
    <d v="2018-11-23T00:00:00"/>
    <d v="2018-11-23T00:00:00"/>
    <x v="0"/>
    <x v="1"/>
  </r>
  <r>
    <s v="MRNTX040399"/>
    <x v="1"/>
    <x v="0"/>
    <d v="2018-11-16T00:00:00"/>
    <d v="2018-12-28T00:00:00"/>
    <d v="2018-12-28T00:00:00"/>
    <m/>
    <x v="1"/>
    <x v="4"/>
  </r>
  <r>
    <s v="MRSTX033397"/>
    <x v="0"/>
    <x v="0"/>
    <d v="2018-11-28T00:00:00"/>
    <d v="2018-11-28T00:00:00"/>
    <d v="2018-11-19T00:00:00"/>
    <d v="2018-11-19T00:00:00"/>
    <x v="0"/>
    <x v="1"/>
  </r>
  <r>
    <s v="MRSTX033458"/>
    <x v="0"/>
    <x v="0"/>
    <d v="2018-11-30T00:00:00"/>
    <d v="2018-11-30T00:00:00"/>
    <d v="2018-11-06T00:00:00"/>
    <d v="2018-11-06T00:00:00"/>
    <x v="0"/>
    <x v="1"/>
  </r>
  <r>
    <s v="MRSTX033460"/>
    <x v="0"/>
    <x v="0"/>
    <d v="2018-11-09T00:00:00"/>
    <d v="2018-11-23T00:00:00"/>
    <d v="2018-11-19T00:00:00"/>
    <d v="2018-11-19T00:00:00"/>
    <x v="0"/>
    <x v="1"/>
  </r>
  <r>
    <s v="MRSTX033489"/>
    <x v="0"/>
    <x v="0"/>
    <d v="2018-11-30T00:00:00"/>
    <d v="2018-11-30T00:00:00"/>
    <d v="2018-11-30T00:00:00"/>
    <m/>
    <x v="0"/>
    <x v="0"/>
  </r>
  <r>
    <s v="MRSTX033493"/>
    <x v="0"/>
    <x v="0"/>
    <d v="2018-11-23T00:00:00"/>
    <d v="2018-11-23T00:00:00"/>
    <d v="2018-11-14T00:00:00"/>
    <d v="2018-11-14T00:00:00"/>
    <x v="0"/>
    <x v="1"/>
  </r>
  <r>
    <s v="MRSTX033551"/>
    <x v="0"/>
    <x v="0"/>
    <d v="2018-11-30T00:00:00"/>
    <d v="2018-11-30T00:00:00"/>
    <d v="2018-11-30T00:00:00"/>
    <m/>
    <x v="0"/>
    <x v="0"/>
  </r>
  <r>
    <s v="MRSTX042694"/>
    <x v="0"/>
    <x v="0"/>
    <d v="2018-11-16T00:00:00"/>
    <d v="1999-12-30T00:00:00"/>
    <d v="2018-11-16T00:00:00"/>
    <m/>
    <x v="0"/>
    <x v="0"/>
  </r>
  <r>
    <s v="MRSTX042718"/>
    <x v="0"/>
    <x v="0"/>
    <d v="2018-11-30T00:00:00"/>
    <d v="1999-12-30T00:00:00"/>
    <d v="2018-11-30T00:00:00"/>
    <m/>
    <x v="0"/>
    <x v="0"/>
  </r>
  <r>
    <s v="MRSTX042759"/>
    <x v="0"/>
    <x v="0"/>
    <d v="2018-11-30T00:00:00"/>
    <d v="1999-12-30T00:00:00"/>
    <d v="2018-11-09T00:00:00"/>
    <d v="2018-11-09T00:00:00"/>
    <x v="0"/>
    <x v="1"/>
  </r>
  <r>
    <s v="MRSTX042765"/>
    <x v="0"/>
    <x v="0"/>
    <d v="2018-11-30T00:00:00"/>
    <d v="1999-12-30T00:00:00"/>
    <d v="2018-11-30T00:00:00"/>
    <m/>
    <x v="0"/>
    <x v="0"/>
  </r>
  <r>
    <s v="MRSTX042779"/>
    <x v="0"/>
    <x v="0"/>
    <d v="2018-11-30T00:00:00"/>
    <d v="1999-12-30T00:00:00"/>
    <d v="2018-11-30T00:00:00"/>
    <m/>
    <x v="0"/>
    <x v="0"/>
  </r>
  <r>
    <s v="MRSTX042781"/>
    <x v="0"/>
    <x v="0"/>
    <d v="2018-11-17T00:00:00"/>
    <d v="2018-11-17T00:00:00"/>
    <d v="2018-11-16T00:00:00"/>
    <d v="2018-11-16T00:00:00"/>
    <x v="0"/>
    <x v="1"/>
  </r>
  <r>
    <s v="MRSTX042788"/>
    <x v="0"/>
    <x v="0"/>
    <d v="2018-11-17T00:00:00"/>
    <d v="2018-11-30T00:00:00"/>
    <d v="2018-11-30T00:00:00"/>
    <m/>
    <x v="0"/>
    <x v="0"/>
  </r>
  <r>
    <s v="MRSTX042810"/>
    <x v="0"/>
    <x v="0"/>
    <d v="2018-11-16T00:00:00"/>
    <d v="1999-12-30T00:00:00"/>
    <d v="2018-11-14T00:00:00"/>
    <d v="2018-11-14T00:00:00"/>
    <x v="0"/>
    <x v="1"/>
  </r>
  <r>
    <s v="MRSTX042813"/>
    <x v="0"/>
    <x v="0"/>
    <d v="2018-11-30T00:00:00"/>
    <d v="1999-12-30T00:00:00"/>
    <d v="2018-11-14T00:00:00"/>
    <d v="2018-11-14T00:00:00"/>
    <x v="0"/>
    <x v="1"/>
  </r>
  <r>
    <s v="MRSTX042850"/>
    <x v="0"/>
    <x v="0"/>
    <d v="2018-11-17T00:00:00"/>
    <d v="2018-11-30T00:00:00"/>
    <d v="2018-11-30T00:00:00"/>
    <m/>
    <x v="0"/>
    <x v="0"/>
  </r>
  <r>
    <s v="MRSTX042852"/>
    <x v="0"/>
    <x v="0"/>
    <d v="2018-11-17T00:00:00"/>
    <d v="2018-11-30T00:00:00"/>
    <d v="2018-11-30T00:00:00"/>
    <m/>
    <x v="0"/>
    <x v="0"/>
  </r>
  <r>
    <s v="MRSTX042867"/>
    <x v="0"/>
    <x v="0"/>
    <d v="2018-11-16T00:00:00"/>
    <d v="1999-12-30T00:00:00"/>
    <d v="2018-11-16T00:00:00"/>
    <m/>
    <x v="0"/>
    <x v="0"/>
  </r>
  <r>
    <s v="MRSTX042879"/>
    <x v="0"/>
    <x v="0"/>
    <d v="2018-11-17T00:00:00"/>
    <d v="2018-12-10T00:00:00"/>
    <d v="2018-12-10T00:00:00"/>
    <m/>
    <x v="1"/>
    <x v="2"/>
  </r>
  <r>
    <s v="MRSTX042897"/>
    <x v="0"/>
    <x v="0"/>
    <d v="2018-11-30T00:00:00"/>
    <d v="1999-12-30T00:00:00"/>
    <d v="2018-11-30T00:00:00"/>
    <m/>
    <x v="0"/>
    <x v="0"/>
  </r>
  <r>
    <s v="MRSTX042929"/>
    <x v="0"/>
    <x v="0"/>
    <d v="2018-11-16T00:00:00"/>
    <d v="2018-11-16T00:00:00"/>
    <d v="2018-11-14T00:00:00"/>
    <d v="2018-11-14T00:00:00"/>
    <x v="0"/>
    <x v="1"/>
  </r>
  <r>
    <s v="MRSTX042932"/>
    <x v="0"/>
    <x v="0"/>
    <d v="2018-11-17T00:00:00"/>
    <d v="2018-11-17T00:00:00"/>
    <d v="2018-11-09T00:00:00"/>
    <d v="2018-11-09T00:00:00"/>
    <x v="0"/>
    <x v="1"/>
  </r>
  <r>
    <s v="MRSTX042965"/>
    <x v="0"/>
    <x v="0"/>
    <d v="2018-11-16T00:00:00"/>
    <d v="2018-11-30T00:00:00"/>
    <d v="2018-11-27T00:00:00"/>
    <d v="2018-11-27T00:00:00"/>
    <x v="0"/>
    <x v="1"/>
  </r>
  <r>
    <s v="MRNTX028230"/>
    <x v="1"/>
    <x v="0"/>
    <d v="2018-11-16T00:00:00"/>
    <d v="2018-12-16T00:00:00"/>
    <d v="2018-12-16T00:00:00"/>
    <m/>
    <x v="1"/>
    <x v="4"/>
  </r>
  <r>
    <s v="MRNTX033099"/>
    <x v="1"/>
    <x v="0"/>
    <d v="2018-11-22T00:00:00"/>
    <d v="2018-11-26T00:00:00"/>
    <d v="2018-11-20T00:00:00"/>
    <d v="2018-11-20T00:00:00"/>
    <x v="0"/>
    <x v="1"/>
  </r>
  <r>
    <s v="MRSTX042985"/>
    <x v="0"/>
    <x v="0"/>
    <d v="2018-11-17T00:00:00"/>
    <d v="2018-12-14T00:00:00"/>
    <d v="2018-12-14T00:00:00"/>
    <m/>
    <x v="1"/>
    <x v="2"/>
  </r>
  <r>
    <s v="MRSTX043020"/>
    <x v="0"/>
    <x v="0"/>
    <d v="2018-11-17T00:00:00"/>
    <d v="2018-11-27T00:00:00"/>
    <d v="2018-11-27T00:00:00"/>
    <d v="2018-11-27T00:00:00"/>
    <x v="0"/>
    <x v="1"/>
  </r>
  <r>
    <s v="MRSTX043038"/>
    <x v="0"/>
    <x v="0"/>
    <d v="2018-11-16T00:00:00"/>
    <d v="1999-12-30T00:00:00"/>
    <d v="2018-11-16T00:00:00"/>
    <m/>
    <x v="0"/>
    <x v="0"/>
  </r>
  <r>
    <s v="MRNTX033275"/>
    <x v="1"/>
    <x v="0"/>
    <d v="2018-11-15T00:00:00"/>
    <d v="2018-11-30T00:00:00"/>
    <d v="2018-11-30T00:00:00"/>
    <m/>
    <x v="1"/>
    <x v="4"/>
  </r>
  <r>
    <s v="MRSTX014658"/>
    <x v="0"/>
    <x v="0"/>
    <d v="2018-11-15T00:00:00"/>
    <d v="2018-11-30T00:00:00"/>
    <d v="2018-11-30T00:00:00"/>
    <m/>
    <x v="1"/>
    <x v="4"/>
  </r>
  <r>
    <s v="MRSTX014724"/>
    <x v="0"/>
    <x v="0"/>
    <d v="2018-11-30T00:00:00"/>
    <d v="2018-12-30T00:00:00"/>
    <d v="2018-11-30T00:00:00"/>
    <m/>
    <x v="0"/>
    <x v="3"/>
  </r>
  <r>
    <s v="MRSTX015752"/>
    <x v="0"/>
    <x v="0"/>
    <d v="2018-11-15T00:00:00"/>
    <d v="2018-11-30T00:00:00"/>
    <d v="2018-11-30T00:00:00"/>
    <m/>
    <x v="1"/>
    <x v="4"/>
  </r>
  <r>
    <s v="MRSTX035688"/>
    <x v="0"/>
    <x v="0"/>
    <d v="2018-11-02T00:00:00"/>
    <d v="2018-11-30T00:00:00"/>
    <d v="2018-11-02T00:00:00"/>
    <d v="2018-11-02T00:00:00"/>
    <x v="0"/>
    <x v="1"/>
  </r>
  <r>
    <s v="MRSTX035690"/>
    <x v="0"/>
    <x v="0"/>
    <d v="2018-11-02T00:00:00"/>
    <d v="2018-11-30T00:00:00"/>
    <d v="2018-11-02T00:00:00"/>
    <d v="2018-11-02T00:00:00"/>
    <x v="0"/>
    <x v="1"/>
  </r>
  <r>
    <s v="MRSTX035730"/>
    <x v="0"/>
    <x v="0"/>
    <d v="2018-11-02T00:00:00"/>
    <d v="2018-11-30T00:00:00"/>
    <d v="2018-11-02T00:00:00"/>
    <d v="2018-11-02T00:00:00"/>
    <x v="0"/>
    <x v="1"/>
  </r>
  <r>
    <s v="MRSTX035738"/>
    <x v="0"/>
    <x v="0"/>
    <d v="2018-11-02T00:00:00"/>
    <d v="2018-11-30T00:00:00"/>
    <d v="2018-11-02T00:00:00"/>
    <d v="2018-11-02T00:00:00"/>
    <x v="0"/>
    <x v="1"/>
  </r>
  <r>
    <s v="MRNTX031655"/>
    <x v="1"/>
    <x v="0"/>
    <d v="2018-11-15T00:00:00"/>
    <d v="1999-12-30T00:00:00"/>
    <d v="2018-12-15T00:00:00"/>
    <m/>
    <x v="1"/>
    <x v="5"/>
  </r>
  <r>
    <s v="MRSTX035860"/>
    <x v="0"/>
    <x v="0"/>
    <d v="2018-11-30T00:00:00"/>
    <d v="2018-11-30T00:00:00"/>
    <d v="2018-11-30T00:00:00"/>
    <m/>
    <x v="0"/>
    <x v="0"/>
  </r>
  <r>
    <s v="MRSTX044234"/>
    <x v="0"/>
    <x v="0"/>
    <d v="2018-11-16T00:00:00"/>
    <d v="2018-11-23T00:00:00"/>
    <d v="2018-11-26T00:00:00"/>
    <d v="2018-11-26T00:00:00"/>
    <x v="0"/>
    <x v="1"/>
  </r>
  <r>
    <s v="MRSTX044258"/>
    <x v="0"/>
    <x v="0"/>
    <d v="2018-11-01T00:00:00"/>
    <d v="2018-11-15T00:00:00"/>
    <d v="2018-11-01T00:00:00"/>
    <d v="2018-11-01T00:00:00"/>
    <x v="0"/>
    <x v="1"/>
  </r>
  <r>
    <s v="MRSTX044285"/>
    <x v="0"/>
    <x v="0"/>
    <d v="2018-11-30T00:00:00"/>
    <d v="1999-12-30T00:00:00"/>
    <d v="2018-11-30T00:00:00"/>
    <m/>
    <x v="0"/>
    <x v="0"/>
  </r>
  <r>
    <s v="MRSTX044290"/>
    <x v="0"/>
    <x v="0"/>
    <d v="2018-11-16T00:00:00"/>
    <d v="1999-12-30T00:00:00"/>
    <d v="2018-11-16T00:00:00"/>
    <m/>
    <x v="0"/>
    <x v="0"/>
  </r>
  <r>
    <s v="MRSTX044370"/>
    <x v="0"/>
    <x v="0"/>
    <d v="2018-11-30T00:00:00"/>
    <d v="2018-11-30T00:00:00"/>
    <d v="2018-11-30T00:00:00"/>
    <m/>
    <x v="0"/>
    <x v="0"/>
  </r>
  <r>
    <s v="MRSTX044424"/>
    <x v="0"/>
    <x v="0"/>
    <d v="2018-11-30T00:00:00"/>
    <d v="1999-12-30T00:00:00"/>
    <d v="2018-11-30T00:00:00"/>
    <m/>
    <x v="0"/>
    <x v="0"/>
  </r>
  <r>
    <s v="MRWSH021962"/>
    <x v="2"/>
    <x v="0"/>
    <d v="2018-11-30T00:00:00"/>
    <d v="1999-12-30T00:00:00"/>
    <d v="2018-11-26T00:00:00"/>
    <d v="2018-11-26T00:00:00"/>
    <x v="0"/>
    <x v="1"/>
  </r>
  <r>
    <s v="MRWSH021977"/>
    <x v="2"/>
    <x v="0"/>
    <d v="2018-11-30T00:00:00"/>
    <d v="1999-12-30T00:00:00"/>
    <d v="2018-11-30T00:00:00"/>
    <m/>
    <x v="0"/>
    <x v="0"/>
  </r>
  <r>
    <s v="MRNTX031912"/>
    <x v="1"/>
    <x v="0"/>
    <d v="2018-11-09T00:00:00"/>
    <d v="2018-12-31T00:00:00"/>
    <d v="2018-12-31T00:00:00"/>
    <m/>
    <x v="1"/>
    <x v="4"/>
  </r>
  <r>
    <s v="MRNTX040408"/>
    <x v="1"/>
    <x v="0"/>
    <d v="2018-11-30T00:00:00"/>
    <d v="2018-11-30T00:00:00"/>
    <d v="2018-11-30T00:00:00"/>
    <m/>
    <x v="0"/>
    <x v="0"/>
  </r>
  <r>
    <s v="MRNTX040427"/>
    <x v="1"/>
    <x v="0"/>
    <d v="2018-11-01T00:00:00"/>
    <d v="2018-11-02T00:00:00"/>
    <d v="2018-11-01T00:00:00"/>
    <d v="2018-11-01T00:00:00"/>
    <x v="0"/>
    <x v="1"/>
  </r>
  <r>
    <s v="MRNTX040438"/>
    <x v="1"/>
    <x v="0"/>
    <d v="2018-11-01T00:00:00"/>
    <d v="2018-11-30T00:00:00"/>
    <d v="2018-11-01T00:00:00"/>
    <d v="2018-11-01T00:00:00"/>
    <x v="0"/>
    <x v="1"/>
  </r>
  <r>
    <s v="MRNTX040440"/>
    <x v="1"/>
    <x v="0"/>
    <d v="2018-11-01T00:00:00"/>
    <d v="2018-11-30T00:00:00"/>
    <d v="2018-11-01T00:00:00"/>
    <d v="2018-11-01T00:00:00"/>
    <x v="0"/>
    <x v="1"/>
  </r>
  <r>
    <s v="MRNTX040470"/>
    <x v="1"/>
    <x v="0"/>
    <d v="2018-11-30T00:00:00"/>
    <d v="2018-11-30T00:00:00"/>
    <d v="2018-11-30T00:00:00"/>
    <m/>
    <x v="0"/>
    <x v="0"/>
  </r>
  <r>
    <s v="MRNTX040497"/>
    <x v="1"/>
    <x v="0"/>
    <d v="2018-11-30T00:00:00"/>
    <d v="2018-12-14T00:00:00"/>
    <d v="2018-11-26T00:00:00"/>
    <d v="2018-11-26T00:00:00"/>
    <x v="0"/>
    <x v="1"/>
  </r>
  <r>
    <s v="MRNTX040505"/>
    <x v="1"/>
    <x v="0"/>
    <d v="2018-11-16T00:00:00"/>
    <d v="2018-11-16T00:00:00"/>
    <d v="2018-11-19T00:00:00"/>
    <d v="2018-11-19T00:00:00"/>
    <x v="0"/>
    <x v="1"/>
  </r>
  <r>
    <s v="MRNTX040515"/>
    <x v="1"/>
    <x v="0"/>
    <d v="2018-11-30T00:00:00"/>
    <d v="2018-11-30T00:00:00"/>
    <d v="2018-11-30T00:00:00"/>
    <m/>
    <x v="0"/>
    <x v="0"/>
  </r>
  <r>
    <s v="MRNTX040517"/>
    <x v="1"/>
    <x v="0"/>
    <d v="2018-11-30T00:00:00"/>
    <d v="2018-12-28T00:00:00"/>
    <d v="2018-12-28T00:00:00"/>
    <m/>
    <x v="1"/>
    <x v="2"/>
  </r>
  <r>
    <s v="MRNTX040519"/>
    <x v="1"/>
    <x v="0"/>
    <d v="2018-11-30T00:00:00"/>
    <d v="2018-12-28T00:00:00"/>
    <d v="2018-12-28T00:00:00"/>
    <m/>
    <x v="1"/>
    <x v="2"/>
  </r>
  <r>
    <s v="MRNTX040533"/>
    <x v="1"/>
    <x v="0"/>
    <d v="2018-11-30T00:00:00"/>
    <d v="2018-11-30T00:00:00"/>
    <d v="2018-11-30T00:00:00"/>
    <m/>
    <x v="0"/>
    <x v="0"/>
  </r>
  <r>
    <s v="MRNTX040572"/>
    <x v="1"/>
    <x v="0"/>
    <d v="2018-11-24T00:00:00"/>
    <d v="2019-01-25T00:00:00"/>
    <d v="2018-11-24T00:00:00"/>
    <m/>
    <x v="0"/>
    <x v="3"/>
  </r>
  <r>
    <s v="MRNTX040576"/>
    <x v="1"/>
    <x v="0"/>
    <d v="2018-11-30T00:00:00"/>
    <d v="2018-12-05T00:00:00"/>
    <d v="2018-12-27T00:00:00"/>
    <m/>
    <x v="1"/>
    <x v="6"/>
  </r>
  <r>
    <s v="MRNTX040579"/>
    <x v="1"/>
    <x v="0"/>
    <d v="2018-11-30T00:00:00"/>
    <d v="2018-11-30T00:00:00"/>
    <d v="2018-11-20T00:00:00"/>
    <d v="2018-11-20T00:00:00"/>
    <x v="0"/>
    <x v="1"/>
  </r>
  <r>
    <s v="MRNTX040608"/>
    <x v="1"/>
    <x v="0"/>
    <d v="2018-11-30T00:00:00"/>
    <d v="2018-12-05T00:00:00"/>
    <d v="2018-12-27T00:00:00"/>
    <m/>
    <x v="1"/>
    <x v="6"/>
  </r>
  <r>
    <s v="MRNTX040611"/>
    <x v="1"/>
    <x v="0"/>
    <d v="2018-11-30T00:00:00"/>
    <d v="2018-12-21T00:00:00"/>
    <d v="2018-12-13T00:00:00"/>
    <m/>
    <x v="0"/>
    <x v="3"/>
  </r>
  <r>
    <s v="MRNTX040616"/>
    <x v="1"/>
    <x v="0"/>
    <d v="2018-11-30T00:00:00"/>
    <d v="2018-12-21T00:00:00"/>
    <d v="2018-12-13T00:00:00"/>
    <m/>
    <x v="0"/>
    <x v="3"/>
  </r>
  <r>
    <s v="MRNTX040620"/>
    <x v="1"/>
    <x v="0"/>
    <d v="2018-11-30T00:00:00"/>
    <d v="2018-12-05T00:00:00"/>
    <d v="2018-12-27T00:00:00"/>
    <m/>
    <x v="1"/>
    <x v="6"/>
  </r>
  <r>
    <s v="MRNTX040687"/>
    <x v="1"/>
    <x v="0"/>
    <d v="2018-11-24T00:00:00"/>
    <d v="2019-01-25T00:00:00"/>
    <d v="2018-11-24T00:00:00"/>
    <m/>
    <x v="0"/>
    <x v="3"/>
  </r>
  <r>
    <s v="MRNTX040703"/>
    <x v="1"/>
    <x v="0"/>
    <d v="2018-11-30T00:00:00"/>
    <d v="2018-11-30T00:00:00"/>
    <d v="2018-11-30T00:00:00"/>
    <m/>
    <x v="0"/>
    <x v="0"/>
  </r>
  <r>
    <s v="MRNTX040710"/>
    <x v="1"/>
    <x v="0"/>
    <d v="2018-11-30T00:00:00"/>
    <d v="2018-11-30T00:00:00"/>
    <d v="2018-11-20T00:00:00"/>
    <d v="2018-11-20T00:00:00"/>
    <x v="0"/>
    <x v="1"/>
  </r>
  <r>
    <s v="MRNTX040711"/>
    <x v="1"/>
    <x v="0"/>
    <d v="2018-11-30T00:00:00"/>
    <d v="2018-12-21T00:00:00"/>
    <d v="2018-12-13T00:00:00"/>
    <m/>
    <x v="0"/>
    <x v="3"/>
  </r>
  <r>
    <s v="MRNTX040719"/>
    <x v="1"/>
    <x v="0"/>
    <d v="2018-11-24T00:00:00"/>
    <d v="2019-01-25T00:00:00"/>
    <d v="2018-11-24T00:00:00"/>
    <m/>
    <x v="0"/>
    <x v="3"/>
  </r>
  <r>
    <s v="MRNTX040725"/>
    <x v="1"/>
    <x v="0"/>
    <d v="2018-11-01T00:00:00"/>
    <d v="2018-11-02T00:00:00"/>
    <d v="2018-11-01T00:00:00"/>
    <d v="2018-11-01T00:00:00"/>
    <x v="0"/>
    <x v="1"/>
  </r>
  <r>
    <s v="MRNTX040762"/>
    <x v="1"/>
    <x v="0"/>
    <d v="2018-11-02T00:00:00"/>
    <d v="2018-11-30T00:00:00"/>
    <d v="2018-11-13T00:00:00"/>
    <d v="2018-11-13T00:00:00"/>
    <x v="0"/>
    <x v="1"/>
  </r>
  <r>
    <s v="MRWSH022002"/>
    <x v="2"/>
    <x v="0"/>
    <d v="2018-11-01T00:00:00"/>
    <d v="1999-12-30T00:00:00"/>
    <d v="2018-12-03T00:00:00"/>
    <m/>
    <x v="1"/>
    <x v="5"/>
  </r>
  <r>
    <s v="MRWSH022005"/>
    <x v="2"/>
    <x v="0"/>
    <d v="2018-11-30T00:00:00"/>
    <d v="1999-12-30T00:00:00"/>
    <d v="2018-11-26T00:00:00"/>
    <d v="2018-11-26T00:00:00"/>
    <x v="0"/>
    <x v="1"/>
  </r>
  <r>
    <s v="MRWSH022036"/>
    <x v="2"/>
    <x v="0"/>
    <d v="2018-11-30T00:00:00"/>
    <d v="1999-12-30T00:00:00"/>
    <d v="2018-11-27T00:00:00"/>
    <d v="2018-11-27T00:00:00"/>
    <x v="0"/>
    <x v="1"/>
  </r>
  <r>
    <s v="MRWSH022038"/>
    <x v="2"/>
    <x v="0"/>
    <d v="2018-11-26T00:00:00"/>
    <d v="1999-12-30T00:00:00"/>
    <d v="2018-11-15T00:00:00"/>
    <d v="2018-11-15T00:00:00"/>
    <x v="0"/>
    <x v="1"/>
  </r>
  <r>
    <s v="MRWSH022081"/>
    <x v="2"/>
    <x v="0"/>
    <d v="2018-11-01T00:00:00"/>
    <d v="1999-12-30T00:00:00"/>
    <d v="2018-11-21T00:00:00"/>
    <d v="2018-11-21T00:00:00"/>
    <x v="1"/>
    <x v="1"/>
  </r>
  <r>
    <s v="MRWSH022094"/>
    <x v="2"/>
    <x v="0"/>
    <d v="2018-11-28T00:00:00"/>
    <d v="1999-12-30T00:00:00"/>
    <d v="2018-11-28T00:00:00"/>
    <m/>
    <x v="0"/>
    <x v="0"/>
  </r>
  <r>
    <s v="MRWSH022106"/>
    <x v="2"/>
    <x v="0"/>
    <d v="2018-11-30T00:00:00"/>
    <d v="1999-12-30T00:00:00"/>
    <d v="2018-11-15T00:00:00"/>
    <d v="2018-11-15T00:00:00"/>
    <x v="0"/>
    <x v="1"/>
  </r>
  <r>
    <s v="MRWSH022110"/>
    <x v="2"/>
    <x v="0"/>
    <d v="2018-11-01T00:00:00"/>
    <d v="1999-12-30T00:00:00"/>
    <d v="2018-12-03T00:00:00"/>
    <m/>
    <x v="1"/>
    <x v="5"/>
  </r>
  <r>
    <s v="MRWSH022143"/>
    <x v="2"/>
    <x v="0"/>
    <d v="2018-11-26T00:00:00"/>
    <d v="1999-12-30T00:00:00"/>
    <d v="2018-11-15T00:00:00"/>
    <d v="2018-11-15T00:00:00"/>
    <x v="0"/>
    <x v="1"/>
  </r>
  <r>
    <s v="MRWSH022158"/>
    <x v="2"/>
    <x v="0"/>
    <d v="2018-11-12T00:00:00"/>
    <d v="1999-12-30T00:00:00"/>
    <d v="2018-11-09T00:00:00"/>
    <d v="2018-11-09T00:00:00"/>
    <x v="0"/>
    <x v="1"/>
  </r>
  <r>
    <s v="MRWSH022166"/>
    <x v="2"/>
    <x v="0"/>
    <d v="2018-11-30T00:00:00"/>
    <d v="1999-12-30T00:00:00"/>
    <d v="2018-11-26T00:00:00"/>
    <d v="2018-11-26T00:00:00"/>
    <x v="0"/>
    <x v="1"/>
  </r>
  <r>
    <s v="MRWSH022244"/>
    <x v="2"/>
    <x v="0"/>
    <d v="2018-11-01T00:00:00"/>
    <d v="1999-12-30T00:00:00"/>
    <d v="2018-12-03T00:00:00"/>
    <m/>
    <x v="1"/>
    <x v="5"/>
  </r>
  <r>
    <s v="MRWSH022278"/>
    <x v="2"/>
    <x v="0"/>
    <d v="2018-11-28T00:00:00"/>
    <d v="1999-12-30T00:00:00"/>
    <d v="2018-11-28T00:00:00"/>
    <m/>
    <x v="0"/>
    <x v="0"/>
  </r>
  <r>
    <s v="MRWSH022285"/>
    <x v="2"/>
    <x v="0"/>
    <d v="2018-11-01T00:00:00"/>
    <d v="1999-12-30T00:00:00"/>
    <d v="2018-12-03T00:00:00"/>
    <m/>
    <x v="1"/>
    <x v="5"/>
  </r>
  <r>
    <s v="MRWSH022295"/>
    <x v="2"/>
    <x v="0"/>
    <d v="2018-11-01T00:00:00"/>
    <d v="1999-12-30T00:00:00"/>
    <d v="2018-11-21T00:00:00"/>
    <d v="2018-11-21T00:00:00"/>
    <x v="1"/>
    <x v="1"/>
  </r>
  <r>
    <s v="MRWSH022298"/>
    <x v="2"/>
    <x v="0"/>
    <d v="2018-11-30T00:00:00"/>
    <d v="1999-12-30T00:00:00"/>
    <d v="2018-11-26T00:00:00"/>
    <d v="2018-11-26T00:00:00"/>
    <x v="0"/>
    <x v="1"/>
  </r>
  <r>
    <s v="MRWSH022314"/>
    <x v="2"/>
    <x v="0"/>
    <d v="2018-11-26T00:00:00"/>
    <d v="1999-12-30T00:00:00"/>
    <d v="2018-11-08T00:00:00"/>
    <d v="2018-11-08T00:00:00"/>
    <x v="0"/>
    <x v="1"/>
  </r>
  <r>
    <s v="MRSTX033730"/>
    <x v="0"/>
    <x v="0"/>
    <d v="2018-11-09T00:00:00"/>
    <d v="2018-11-23T00:00:00"/>
    <d v="2018-11-19T00:00:00"/>
    <d v="2018-11-19T00:00:00"/>
    <x v="0"/>
    <x v="1"/>
  </r>
  <r>
    <s v="MRSTX033843"/>
    <x v="0"/>
    <x v="0"/>
    <d v="2018-11-30T00:00:00"/>
    <d v="2018-11-30T00:00:00"/>
    <d v="2018-11-06T00:00:00"/>
    <d v="2018-11-06T00:00:00"/>
    <x v="0"/>
    <x v="1"/>
  </r>
  <r>
    <s v="MRSTX043062"/>
    <x v="0"/>
    <x v="0"/>
    <d v="2018-11-30T00:00:00"/>
    <d v="1999-12-30T00:00:00"/>
    <d v="2018-11-30T00:00:00"/>
    <m/>
    <x v="0"/>
    <x v="0"/>
  </r>
  <r>
    <s v="MRSTX043063"/>
    <x v="0"/>
    <x v="0"/>
    <d v="2018-11-17T00:00:00"/>
    <d v="2018-11-30T00:00:00"/>
    <d v="2018-11-30T00:00:00"/>
    <m/>
    <x v="0"/>
    <x v="0"/>
  </r>
  <r>
    <s v="MRSTX043065"/>
    <x v="0"/>
    <x v="0"/>
    <d v="2018-11-17T00:00:00"/>
    <d v="2018-11-17T00:00:00"/>
    <d v="2018-11-12T00:00:00"/>
    <d v="2018-11-12T00:00:00"/>
    <x v="0"/>
    <x v="1"/>
  </r>
  <r>
    <s v="MRSTX043078"/>
    <x v="0"/>
    <x v="0"/>
    <d v="2018-11-17T00:00:00"/>
    <d v="2018-11-30T00:00:00"/>
    <d v="2018-11-19T00:00:00"/>
    <d v="2018-11-19T00:00:00"/>
    <x v="0"/>
    <x v="1"/>
  </r>
  <r>
    <s v="MRSTX043083"/>
    <x v="0"/>
    <x v="0"/>
    <d v="2018-11-17T00:00:00"/>
    <d v="2018-11-27T00:00:00"/>
    <d v="2018-11-27T00:00:00"/>
    <d v="2018-11-27T00:00:00"/>
    <x v="0"/>
    <x v="1"/>
  </r>
  <r>
    <s v="MRSTX043086"/>
    <x v="0"/>
    <x v="0"/>
    <d v="2018-11-30T00:00:00"/>
    <d v="1999-12-30T00:00:00"/>
    <d v="2018-11-30T00:00:00"/>
    <m/>
    <x v="0"/>
    <x v="0"/>
  </r>
  <r>
    <s v="MRSTX043110"/>
    <x v="0"/>
    <x v="0"/>
    <d v="2018-11-30T00:00:00"/>
    <d v="1999-12-30T00:00:00"/>
    <d v="2018-11-09T00:00:00"/>
    <d v="2018-11-09T00:00:00"/>
    <x v="0"/>
    <x v="1"/>
  </r>
  <r>
    <s v="MRSTX043121"/>
    <x v="0"/>
    <x v="0"/>
    <d v="2018-11-30T00:00:00"/>
    <d v="2018-11-30T00:00:00"/>
    <d v="2019-01-01T00:00:00"/>
    <m/>
    <x v="1"/>
    <x v="5"/>
  </r>
  <r>
    <s v="MRSTX043145"/>
    <x v="0"/>
    <x v="0"/>
    <d v="2018-11-30T00:00:00"/>
    <d v="1999-12-30T00:00:00"/>
    <d v="2018-11-30T00:00:00"/>
    <m/>
    <x v="0"/>
    <x v="0"/>
  </r>
  <r>
    <s v="MRSTX043169"/>
    <x v="0"/>
    <x v="0"/>
    <d v="2018-11-30T00:00:00"/>
    <d v="1999-12-30T00:00:00"/>
    <d v="2018-11-30T00:00:00"/>
    <m/>
    <x v="0"/>
    <x v="0"/>
  </r>
  <r>
    <s v="MRSTX043213"/>
    <x v="0"/>
    <x v="0"/>
    <d v="2018-11-30T00:00:00"/>
    <d v="1999-12-30T00:00:00"/>
    <d v="2018-11-30T00:00:00"/>
    <m/>
    <x v="0"/>
    <x v="0"/>
  </r>
  <r>
    <s v="MRSTX043227"/>
    <x v="0"/>
    <x v="0"/>
    <d v="2018-11-30T00:00:00"/>
    <d v="2018-12-14T00:00:00"/>
    <d v="2018-11-30T00:00:00"/>
    <m/>
    <x v="0"/>
    <x v="0"/>
  </r>
  <r>
    <s v="MRSTX043235"/>
    <x v="0"/>
    <x v="0"/>
    <d v="2018-11-16T00:00:00"/>
    <d v="2018-11-16T00:00:00"/>
    <d v="2018-11-09T00:00:00"/>
    <d v="2018-11-09T00:00:00"/>
    <x v="0"/>
    <x v="1"/>
  </r>
  <r>
    <s v="MRSTX043250"/>
    <x v="0"/>
    <x v="0"/>
    <d v="2018-11-17T00:00:00"/>
    <d v="2018-11-17T00:00:00"/>
    <d v="2018-11-12T00:00:00"/>
    <d v="2018-11-12T00:00:00"/>
    <x v="0"/>
    <x v="1"/>
  </r>
  <r>
    <s v="MRSTX043255"/>
    <x v="0"/>
    <x v="0"/>
    <d v="2018-11-16T00:00:00"/>
    <d v="1999-12-30T00:00:00"/>
    <d v="2018-11-16T00:00:00"/>
    <m/>
    <x v="0"/>
    <x v="0"/>
  </r>
  <r>
    <s v="MRSTX043259"/>
    <x v="0"/>
    <x v="0"/>
    <d v="2018-11-30T00:00:00"/>
    <d v="1999-12-30T00:00:00"/>
    <d v="2018-11-09T00:00:00"/>
    <d v="2018-11-09T00:00:00"/>
    <x v="0"/>
    <x v="1"/>
  </r>
  <r>
    <s v="MRSTX043292"/>
    <x v="0"/>
    <x v="0"/>
    <d v="2018-11-16T00:00:00"/>
    <d v="1999-12-30T00:00:00"/>
    <d v="2018-11-30T00:00:00"/>
    <m/>
    <x v="0"/>
    <x v="0"/>
  </r>
  <r>
    <s v="MRSTX043322"/>
    <x v="0"/>
    <x v="0"/>
    <d v="2018-11-16T00:00:00"/>
    <d v="1999-12-30T00:00:00"/>
    <d v="2018-11-16T00:00:00"/>
    <m/>
    <x v="0"/>
    <x v="0"/>
  </r>
  <r>
    <s v="MRSTX043326"/>
    <x v="0"/>
    <x v="0"/>
    <d v="2018-11-30T00:00:00"/>
    <d v="1999-12-30T00:00:00"/>
    <d v="2018-11-09T00:00:00"/>
    <d v="2018-11-09T00:00:00"/>
    <x v="0"/>
    <x v="1"/>
  </r>
  <r>
    <s v="MRSTX043328"/>
    <x v="0"/>
    <x v="0"/>
    <d v="2018-11-17T00:00:00"/>
    <d v="2018-12-10T00:00:00"/>
    <d v="2018-12-10T00:00:00"/>
    <m/>
    <x v="1"/>
    <x v="2"/>
  </r>
  <r>
    <s v="MRSTX043334"/>
    <x v="0"/>
    <x v="0"/>
    <d v="2018-11-30T00:00:00"/>
    <d v="1999-12-30T00:00:00"/>
    <d v="2018-11-09T00:00:00"/>
    <d v="2018-11-09T00:00:00"/>
    <x v="0"/>
    <x v="1"/>
  </r>
  <r>
    <s v="MRNTX030437"/>
    <x v="1"/>
    <x v="0"/>
    <d v="2018-11-01T00:00:00"/>
    <d v="2019-01-11T00:00:00"/>
    <d v="2018-11-01T00:00:00"/>
    <d v="2018-11-01T00:00:00"/>
    <x v="0"/>
    <x v="1"/>
  </r>
  <r>
    <s v="MRNTX030616"/>
    <x v="1"/>
    <x v="0"/>
    <d v="2018-11-01T00:00:00"/>
    <d v="2018-11-06T00:00:00"/>
    <d v="2018-11-01T00:00:00"/>
    <d v="2018-11-01T00:00:00"/>
    <x v="0"/>
    <x v="1"/>
  </r>
  <r>
    <s v="MRNTX033835"/>
    <x v="1"/>
    <x v="0"/>
    <d v="2018-11-15T00:00:00"/>
    <d v="2018-11-30T00:00:00"/>
    <d v="2018-11-30T00:00:00"/>
    <m/>
    <x v="1"/>
    <x v="4"/>
  </r>
  <r>
    <s v="MRSTX036282"/>
    <x v="0"/>
    <x v="0"/>
    <d v="2018-11-23T00:00:00"/>
    <d v="2018-04-20T00:00:00"/>
    <d v="2018-11-30T00:00:00"/>
    <m/>
    <x v="0"/>
    <x v="0"/>
  </r>
  <r>
    <s v="MRSTX036284"/>
    <x v="0"/>
    <x v="0"/>
    <d v="2018-11-16T00:00:00"/>
    <d v="2018-05-04T00:00:00"/>
    <d v="2018-11-20T00:00:00"/>
    <d v="2018-11-20T00:00:00"/>
    <x v="0"/>
    <x v="1"/>
  </r>
  <r>
    <s v="MRSTX036326"/>
    <x v="0"/>
    <x v="0"/>
    <d v="2018-11-16T00:00:00"/>
    <d v="2018-11-16T00:00:00"/>
    <d v="2018-11-14T00:00:00"/>
    <d v="2018-11-14T00:00:00"/>
    <x v="0"/>
    <x v="1"/>
  </r>
  <r>
    <s v="MRANM020388"/>
    <x v="3"/>
    <x v="0"/>
    <d v="2018-11-16T00:00:00"/>
    <d v="1999-12-30T00:00:00"/>
    <d v="2018-12-21T00:00:00"/>
    <m/>
    <x v="1"/>
    <x v="5"/>
  </r>
  <r>
    <s v="MRNTX032004"/>
    <x v="1"/>
    <x v="0"/>
    <d v="2018-11-15T00:00:00"/>
    <d v="1999-12-30T00:00:00"/>
    <d v="2018-12-15T00:00:00"/>
    <m/>
    <x v="1"/>
    <x v="5"/>
  </r>
  <r>
    <s v="MRNTX032063"/>
    <x v="1"/>
    <x v="0"/>
    <d v="2018-11-01T00:00:00"/>
    <d v="2018-11-06T00:00:00"/>
    <d v="2018-11-01T00:00:00"/>
    <d v="2018-11-01T00:00:00"/>
    <x v="0"/>
    <x v="1"/>
  </r>
  <r>
    <s v="MRNTX032089"/>
    <x v="1"/>
    <x v="0"/>
    <d v="2018-11-15T00:00:00"/>
    <d v="1999-12-30T00:00:00"/>
    <d v="2018-12-15T00:00:00"/>
    <m/>
    <x v="1"/>
    <x v="5"/>
  </r>
  <r>
    <s v="MRSTX036335"/>
    <x v="0"/>
    <x v="0"/>
    <d v="2018-11-09T00:00:00"/>
    <d v="2018-11-09T00:00:00"/>
    <d v="2018-11-14T00:00:00"/>
    <d v="2018-11-14T00:00:00"/>
    <x v="0"/>
    <x v="1"/>
  </r>
  <r>
    <s v="MRSTX036337"/>
    <x v="0"/>
    <x v="0"/>
    <d v="2018-11-16T00:00:00"/>
    <d v="2018-11-16T00:00:00"/>
    <d v="2018-11-14T00:00:00"/>
    <d v="2018-11-14T00:00:00"/>
    <x v="0"/>
    <x v="1"/>
  </r>
  <r>
    <s v="MRWSH022937"/>
    <x v="2"/>
    <x v="0"/>
    <d v="2018-11-30T00:00:00"/>
    <d v="1999-12-30T00:00:00"/>
    <d v="2018-11-28T00:00:00"/>
    <d v="2018-11-28T00:00:00"/>
    <x v="0"/>
    <x v="1"/>
  </r>
  <r>
    <s v="MRWSH023010"/>
    <x v="2"/>
    <x v="0"/>
    <d v="2018-11-26T00:00:00"/>
    <d v="1999-12-30T00:00:00"/>
    <d v="2018-11-08T00:00:00"/>
    <d v="2018-11-08T00:00:00"/>
    <x v="0"/>
    <x v="1"/>
  </r>
  <r>
    <s v="MRWSH023019"/>
    <x v="2"/>
    <x v="0"/>
    <d v="2018-11-23T00:00:00"/>
    <d v="1999-12-30T00:00:00"/>
    <d v="2018-11-15T00:00:00"/>
    <d v="2018-11-15T00:00:00"/>
    <x v="0"/>
    <x v="1"/>
  </r>
  <r>
    <s v="MRWSH023032"/>
    <x v="2"/>
    <x v="0"/>
    <d v="2018-11-26T00:00:00"/>
    <d v="1999-12-30T00:00:00"/>
    <d v="2018-11-15T00:00:00"/>
    <d v="2018-11-15T00:00:00"/>
    <x v="0"/>
    <x v="1"/>
  </r>
  <r>
    <s v="MRNTX040787"/>
    <x v="1"/>
    <x v="0"/>
    <d v="2018-11-28T00:00:00"/>
    <d v="2018-11-28T00:00:00"/>
    <d v="2018-11-28T00:00:00"/>
    <d v="2018-11-29T00:00:00"/>
    <x v="0"/>
    <x v="1"/>
  </r>
  <r>
    <s v="MRNTX040788"/>
    <x v="1"/>
    <x v="0"/>
    <d v="2018-11-30T00:00:00"/>
    <d v="2019-01-23T00:00:00"/>
    <d v="2018-11-30T00:00:00"/>
    <m/>
    <x v="0"/>
    <x v="3"/>
  </r>
  <r>
    <s v="MRNTX040799"/>
    <x v="1"/>
    <x v="0"/>
    <d v="2018-11-30T00:00:00"/>
    <d v="2019-01-23T00:00:00"/>
    <d v="2018-11-30T00:00:00"/>
    <m/>
    <x v="0"/>
    <x v="3"/>
  </r>
  <r>
    <s v="MRNTX040805"/>
    <x v="1"/>
    <x v="0"/>
    <d v="2018-11-30T00:00:00"/>
    <d v="2018-11-30T00:00:00"/>
    <d v="2018-11-30T00:00:00"/>
    <m/>
    <x v="0"/>
    <x v="0"/>
  </r>
  <r>
    <s v="MRNTX040806"/>
    <x v="1"/>
    <x v="0"/>
    <d v="2018-11-30T00:00:00"/>
    <d v="2018-11-30T00:00:00"/>
    <d v="2018-11-30T00:00:00"/>
    <m/>
    <x v="0"/>
    <x v="0"/>
  </r>
  <r>
    <s v="MRNTX040853"/>
    <x v="1"/>
    <x v="0"/>
    <d v="2018-11-01T00:00:00"/>
    <d v="2018-11-30T00:00:00"/>
    <d v="2018-11-01T00:00:00"/>
    <d v="2018-11-01T00:00:00"/>
    <x v="0"/>
    <x v="1"/>
  </r>
  <r>
    <s v="MRNTX040862"/>
    <x v="1"/>
    <x v="0"/>
    <d v="2018-11-30T00:00:00"/>
    <d v="2019-01-23T00:00:00"/>
    <d v="2018-11-30T00:00:00"/>
    <m/>
    <x v="0"/>
    <x v="3"/>
  </r>
  <r>
    <s v="MRNTX040881"/>
    <x v="1"/>
    <x v="0"/>
    <d v="2018-11-30T00:00:00"/>
    <d v="2018-11-30T00:00:00"/>
    <d v="2018-11-30T00:00:00"/>
    <m/>
    <x v="0"/>
    <x v="0"/>
  </r>
  <r>
    <s v="MRNTX040897"/>
    <x v="1"/>
    <x v="0"/>
    <d v="2018-11-30T00:00:00"/>
    <d v="2018-11-30T00:00:00"/>
    <d v="2018-11-30T00:00:00"/>
    <m/>
    <x v="0"/>
    <x v="0"/>
  </r>
  <r>
    <s v="MRNTX040900"/>
    <x v="1"/>
    <x v="0"/>
    <d v="2018-11-30T00:00:00"/>
    <d v="2018-11-30T00:00:00"/>
    <d v="2018-11-30T00:00:00"/>
    <m/>
    <x v="0"/>
    <x v="0"/>
  </r>
  <r>
    <s v="MRNTX040902"/>
    <x v="1"/>
    <x v="0"/>
    <d v="2018-11-30T00:00:00"/>
    <d v="2018-11-30T00:00:00"/>
    <d v="2018-11-28T00:00:00"/>
    <d v="2018-11-28T00:00:00"/>
    <x v="0"/>
    <x v="1"/>
  </r>
  <r>
    <s v="MRNTX040929"/>
    <x v="1"/>
    <x v="0"/>
    <d v="2018-11-15T00:00:00"/>
    <d v="2018-11-15T00:00:00"/>
    <d v="2018-11-19T00:00:00"/>
    <d v="2018-11-19T00:00:00"/>
    <x v="0"/>
    <x v="1"/>
  </r>
  <r>
    <s v="MRNTX040931"/>
    <x v="1"/>
    <x v="0"/>
    <d v="2018-11-15T00:00:00"/>
    <d v="2018-11-15T00:00:00"/>
    <d v="2018-11-19T00:00:00"/>
    <d v="2018-11-19T00:00:00"/>
    <x v="0"/>
    <x v="1"/>
  </r>
  <r>
    <s v="MRNTX040932"/>
    <x v="1"/>
    <x v="0"/>
    <d v="2018-11-30T00:00:00"/>
    <d v="2018-11-30T00:00:00"/>
    <d v="2018-11-30T00:00:00"/>
    <m/>
    <x v="0"/>
    <x v="0"/>
  </r>
  <r>
    <s v="MRNTX040937"/>
    <x v="1"/>
    <x v="0"/>
    <d v="2018-11-30T00:00:00"/>
    <d v="2018-11-30T00:00:00"/>
    <d v="2018-11-30T00:00:00"/>
    <m/>
    <x v="0"/>
    <x v="0"/>
  </r>
  <r>
    <s v="MRNTX040947"/>
    <x v="1"/>
    <x v="0"/>
    <d v="2018-11-30T00:00:00"/>
    <d v="2018-11-30T00:00:00"/>
    <d v="2018-11-30T00:00:00"/>
    <m/>
    <x v="0"/>
    <x v="0"/>
  </r>
  <r>
    <s v="MRNTX040955"/>
    <x v="1"/>
    <x v="0"/>
    <d v="2018-11-30T00:00:00"/>
    <d v="2018-11-30T00:00:00"/>
    <d v="2018-11-30T00:00:00"/>
    <m/>
    <x v="0"/>
    <x v="0"/>
  </r>
  <r>
    <s v="MRNTX040973"/>
    <x v="1"/>
    <x v="0"/>
    <d v="2018-11-01T00:00:00"/>
    <d v="2018-11-30T00:00:00"/>
    <d v="2018-11-01T00:00:00"/>
    <d v="2018-11-01T00:00:00"/>
    <x v="0"/>
    <x v="1"/>
  </r>
  <r>
    <s v="MRNTX040979"/>
    <x v="1"/>
    <x v="0"/>
    <d v="2018-11-30T00:00:00"/>
    <d v="2018-11-30T00:00:00"/>
    <d v="2018-11-30T00:00:00"/>
    <m/>
    <x v="0"/>
    <x v="0"/>
  </r>
  <r>
    <s v="MRNTX040983"/>
    <x v="1"/>
    <x v="0"/>
    <d v="2018-11-30T00:00:00"/>
    <d v="2018-11-30T00:00:00"/>
    <d v="2018-11-30T00:00:00"/>
    <m/>
    <x v="0"/>
    <x v="0"/>
  </r>
  <r>
    <s v="MRNTX041014"/>
    <x v="1"/>
    <x v="0"/>
    <d v="2018-11-30T00:00:00"/>
    <d v="2018-11-30T00:00:00"/>
    <d v="2018-11-30T00:00:00"/>
    <m/>
    <x v="0"/>
    <x v="0"/>
  </r>
  <r>
    <s v="MRNTX041054"/>
    <x v="1"/>
    <x v="0"/>
    <d v="2018-11-30T00:00:00"/>
    <d v="2019-03-15T00:00:00"/>
    <d v="2019-01-22T00:00:00"/>
    <m/>
    <x v="1"/>
    <x v="2"/>
  </r>
  <r>
    <s v="MRNTX041149"/>
    <x v="1"/>
    <x v="0"/>
    <d v="2018-11-30T00:00:00"/>
    <d v="2018-11-30T00:00:00"/>
    <d v="2018-11-30T00:00:00"/>
    <m/>
    <x v="0"/>
    <x v="0"/>
  </r>
  <r>
    <s v="MRNTX041286"/>
    <x v="1"/>
    <x v="0"/>
    <d v="2018-11-30T00:00:00"/>
    <d v="2018-11-30T00:00:00"/>
    <d v="2018-11-30T00:00:00"/>
    <m/>
    <x v="0"/>
    <x v="0"/>
  </r>
  <r>
    <s v="MRNTX041287"/>
    <x v="1"/>
    <x v="0"/>
    <d v="2018-11-30T00:00:00"/>
    <d v="2018-11-30T00:00:00"/>
    <d v="2018-11-30T00:00:00"/>
    <m/>
    <x v="0"/>
    <x v="0"/>
  </r>
  <r>
    <s v="MRSTX033986"/>
    <x v="0"/>
    <x v="0"/>
    <d v="2018-11-30T00:00:00"/>
    <d v="2018-11-30T00:00:00"/>
    <d v="2018-11-06T00:00:00"/>
    <d v="2018-11-06T00:00:00"/>
    <x v="0"/>
    <x v="1"/>
  </r>
  <r>
    <s v="MRANM006454"/>
    <x v="3"/>
    <x v="0"/>
    <d v="2018-11-30T00:00:00"/>
    <d v="2018-03-30T00:00:00"/>
    <d v="2018-11-30T00:00:00"/>
    <m/>
    <x v="0"/>
    <x v="0"/>
  </r>
  <r>
    <s v="MRANM006631"/>
    <x v="3"/>
    <x v="0"/>
    <d v="2018-11-16T00:00:00"/>
    <d v="2016-10-03T00:00:00"/>
    <d v="2018-11-27T00:00:00"/>
    <d v="2018-11-27T00:00:00"/>
    <x v="0"/>
    <x v="1"/>
  </r>
  <r>
    <s v="MRSTX034032"/>
    <x v="0"/>
    <x v="0"/>
    <d v="2018-11-09T00:00:00"/>
    <d v="2018-11-23T00:00:00"/>
    <d v="2018-11-19T00:00:00"/>
    <d v="2018-11-19T00:00:00"/>
    <x v="0"/>
    <x v="1"/>
  </r>
  <r>
    <s v="MRSTX034058"/>
    <x v="0"/>
    <x v="0"/>
    <d v="2018-11-30T00:00:00"/>
    <d v="2018-11-30T00:00:00"/>
    <d v="2018-11-30T00:00:00"/>
    <m/>
    <x v="0"/>
    <x v="0"/>
  </r>
  <r>
    <s v="MRSTX034155"/>
    <x v="0"/>
    <x v="0"/>
    <d v="2018-11-30T00:00:00"/>
    <d v="2018-11-30T00:00:00"/>
    <d v="2018-11-30T00:00:00"/>
    <m/>
    <x v="0"/>
    <x v="0"/>
  </r>
  <r>
    <s v="MRSTX034163"/>
    <x v="0"/>
    <x v="0"/>
    <d v="2018-11-30T00:00:00"/>
    <d v="2018-11-30T00:00:00"/>
    <d v="2018-11-06T00:00:00"/>
    <d v="2018-11-06T00:00:00"/>
    <x v="0"/>
    <x v="1"/>
  </r>
  <r>
    <s v="MRSTX034168"/>
    <x v="0"/>
    <x v="0"/>
    <d v="2018-11-30T00:00:00"/>
    <d v="2018-11-30T00:00:00"/>
    <d v="2018-11-06T00:00:00"/>
    <d v="2018-11-06T00:00:00"/>
    <x v="0"/>
    <x v="1"/>
  </r>
  <r>
    <s v="MRSTX043401"/>
    <x v="0"/>
    <x v="0"/>
    <d v="2018-11-17T00:00:00"/>
    <d v="2018-11-30T00:00:00"/>
    <d v="2018-11-30T00:00:00"/>
    <m/>
    <x v="0"/>
    <x v="0"/>
  </r>
  <r>
    <s v="MRSTX043406"/>
    <x v="0"/>
    <x v="0"/>
    <d v="2018-11-17T00:00:00"/>
    <d v="2018-11-17T00:00:00"/>
    <d v="2018-11-16T00:00:00"/>
    <d v="2018-11-16T00:00:00"/>
    <x v="0"/>
    <x v="1"/>
  </r>
  <r>
    <s v="MRSTX043447"/>
    <x v="0"/>
    <x v="0"/>
    <d v="2018-11-16T00:00:00"/>
    <d v="2018-11-30T00:00:00"/>
    <d v="2018-11-27T00:00:00"/>
    <d v="2018-11-27T00:00:00"/>
    <x v="0"/>
    <x v="1"/>
  </r>
  <r>
    <s v="MRSTX043449"/>
    <x v="0"/>
    <x v="0"/>
    <d v="2018-11-30T00:00:00"/>
    <d v="1999-12-30T00:00:00"/>
    <d v="2018-11-09T00:00:00"/>
    <d v="2018-11-09T00:00:00"/>
    <x v="0"/>
    <x v="1"/>
  </r>
  <r>
    <s v="MRSTX043450"/>
    <x v="0"/>
    <x v="0"/>
    <d v="2018-11-30T00:00:00"/>
    <d v="1999-12-30T00:00:00"/>
    <d v="2018-11-30T00:00:00"/>
    <m/>
    <x v="0"/>
    <x v="0"/>
  </r>
  <r>
    <s v="MRSTX043459"/>
    <x v="0"/>
    <x v="0"/>
    <d v="2018-11-16T00:00:00"/>
    <d v="1999-12-30T00:00:00"/>
    <d v="2018-11-16T00:00:00"/>
    <m/>
    <x v="0"/>
    <x v="0"/>
  </r>
  <r>
    <s v="MRSTX043487"/>
    <x v="0"/>
    <x v="0"/>
    <d v="2018-11-16T00:00:00"/>
    <d v="1999-12-30T00:00:00"/>
    <d v="2018-11-30T00:00:00"/>
    <m/>
    <x v="0"/>
    <x v="0"/>
  </r>
  <r>
    <s v="MRSTX043498"/>
    <x v="0"/>
    <x v="0"/>
    <d v="2018-11-02T00:00:00"/>
    <d v="2018-11-02T00:00:00"/>
    <d v="2018-10-31T00:00:00"/>
    <d v="2018-10-31T00:00:00"/>
    <x v="0"/>
    <x v="1"/>
  </r>
  <r>
    <s v="MRSTX043507"/>
    <x v="0"/>
    <x v="0"/>
    <d v="2018-11-17T00:00:00"/>
    <d v="2018-11-30T00:00:00"/>
    <d v="2018-11-30T00:00:00"/>
    <d v="2018-11-30T00:00:00"/>
    <x v="0"/>
    <x v="1"/>
  </r>
  <r>
    <s v="MRSTX043512"/>
    <x v="0"/>
    <x v="0"/>
    <d v="2018-11-17T00:00:00"/>
    <d v="2018-11-17T00:00:00"/>
    <d v="2018-11-17T00:00:00"/>
    <d v="2018-11-17T00:00:00"/>
    <x v="0"/>
    <x v="1"/>
  </r>
  <r>
    <s v="MRSTX043521"/>
    <x v="0"/>
    <x v="0"/>
    <d v="2018-11-16T00:00:00"/>
    <d v="1999-12-30T00:00:00"/>
    <d v="2018-11-09T00:00:00"/>
    <d v="2018-11-09T00:00:00"/>
    <x v="0"/>
    <x v="1"/>
  </r>
  <r>
    <s v="MRSTX043554"/>
    <x v="0"/>
    <x v="0"/>
    <d v="2018-11-30T00:00:00"/>
    <d v="1999-12-30T00:00:00"/>
    <d v="2018-11-30T00:00:00"/>
    <m/>
    <x v="0"/>
    <x v="0"/>
  </r>
  <r>
    <s v="MRSTX043595"/>
    <x v="0"/>
    <x v="0"/>
    <d v="2018-11-30T00:00:00"/>
    <d v="1999-12-30T00:00:00"/>
    <d v="2018-11-30T00:00:00"/>
    <m/>
    <x v="0"/>
    <x v="0"/>
  </r>
  <r>
    <s v="MRSTX043651"/>
    <x v="0"/>
    <x v="0"/>
    <d v="2018-11-23T00:00:00"/>
    <d v="1999-12-30T00:00:00"/>
    <d v="2018-11-09T00:00:00"/>
    <d v="2018-11-09T00:00:00"/>
    <x v="0"/>
    <x v="1"/>
  </r>
  <r>
    <s v="MRSTX043652"/>
    <x v="0"/>
    <x v="0"/>
    <d v="2018-11-01T00:00:00"/>
    <d v="1999-12-30T00:00:00"/>
    <d v="2018-11-01T00:00:00"/>
    <d v="2018-11-01T00:00:00"/>
    <x v="0"/>
    <x v="1"/>
  </r>
  <r>
    <s v="MRSTX043661"/>
    <x v="0"/>
    <x v="0"/>
    <d v="2018-11-30T00:00:00"/>
    <d v="1999-12-30T00:00:00"/>
    <d v="2018-11-30T00:00:00"/>
    <m/>
    <x v="0"/>
    <x v="0"/>
  </r>
  <r>
    <s v="MRSTX043672"/>
    <x v="0"/>
    <x v="0"/>
    <d v="2018-11-30T00:00:00"/>
    <d v="2018-11-30T00:00:00"/>
    <d v="2018-11-19T00:00:00"/>
    <d v="2018-11-19T00:00:00"/>
    <x v="0"/>
    <x v="1"/>
  </r>
  <r>
    <s v="MRSTX043679"/>
    <x v="0"/>
    <x v="0"/>
    <d v="2018-11-16T00:00:00"/>
    <d v="2018-11-16T00:00:00"/>
    <d v="2018-11-09T00:00:00"/>
    <d v="2018-11-09T00:00:00"/>
    <x v="0"/>
    <x v="1"/>
  </r>
  <r>
    <s v="MRSTX043684"/>
    <x v="0"/>
    <x v="0"/>
    <d v="2018-11-30T00:00:00"/>
    <d v="2018-12-14T00:00:00"/>
    <d v="2018-11-30T00:00:00"/>
    <m/>
    <x v="0"/>
    <x v="0"/>
  </r>
  <r>
    <s v="MRNTX030837"/>
    <x v="1"/>
    <x v="0"/>
    <d v="2018-11-26T00:00:00"/>
    <d v="2018-11-28T00:00:00"/>
    <d v="2018-11-28T00:00:00"/>
    <m/>
    <x v="0"/>
    <x v="0"/>
  </r>
  <r>
    <s v="MRNTX030848"/>
    <x v="1"/>
    <x v="0"/>
    <d v="2018-11-05T00:00:00"/>
    <d v="1999-12-30T00:00:00"/>
    <d v="2018-12-15T00:00:00"/>
    <m/>
    <x v="1"/>
    <x v="5"/>
  </r>
  <r>
    <s v="MRNTX033959"/>
    <x v="1"/>
    <x v="0"/>
    <d v="2018-11-09T00:00:00"/>
    <d v="2018-12-31T00:00:00"/>
    <d v="2018-12-31T00:00:00"/>
    <m/>
    <x v="1"/>
    <x v="4"/>
  </r>
  <r>
    <s v="MRNTX036006"/>
    <x v="1"/>
    <x v="0"/>
    <d v="2018-11-30T00:00:00"/>
    <d v="2018-11-30T00:00:00"/>
    <d v="2018-11-20T00:00:00"/>
    <d v="2018-11-20T00:00:00"/>
    <x v="0"/>
    <x v="1"/>
  </r>
  <r>
    <s v="MRNTX036009"/>
    <x v="1"/>
    <x v="0"/>
    <d v="2018-11-30T00:00:00"/>
    <d v="2018-11-30T00:00:00"/>
    <d v="2018-11-22T00:00:00"/>
    <d v="2018-11-22T00:00:00"/>
    <x v="0"/>
    <x v="1"/>
  </r>
  <r>
    <s v="MRNTX029321"/>
    <x v="1"/>
    <x v="0"/>
    <d v="2018-11-16T00:00:00"/>
    <d v="2018-12-16T00:00:00"/>
    <d v="2018-12-16T00:00:00"/>
    <m/>
    <x v="1"/>
    <x v="4"/>
  </r>
  <r>
    <s v="MRNTX029450"/>
    <x v="1"/>
    <x v="0"/>
    <d v="2018-11-23T00:00:00"/>
    <d v="2018-12-21T00:00:00"/>
    <d v="2018-12-21T00:00:00"/>
    <m/>
    <x v="1"/>
    <x v="2"/>
  </r>
  <r>
    <s v="MRNTX029540"/>
    <x v="1"/>
    <x v="0"/>
    <d v="2018-11-16T00:00:00"/>
    <d v="2018-12-16T00:00:00"/>
    <d v="2018-12-16T00:00:00"/>
    <m/>
    <x v="1"/>
    <x v="4"/>
  </r>
  <r>
    <s v="MRNTX029596"/>
    <x v="1"/>
    <x v="0"/>
    <d v="2018-11-23T00:00:00"/>
    <d v="2018-12-21T00:00:00"/>
    <d v="2018-12-21T00:00:00"/>
    <m/>
    <x v="1"/>
    <x v="2"/>
  </r>
  <r>
    <s v="MRNTX029624"/>
    <x v="1"/>
    <x v="0"/>
    <d v="2018-11-16T00:00:00"/>
    <d v="2018-12-16T00:00:00"/>
    <d v="2018-12-16T00:00:00"/>
    <m/>
    <x v="1"/>
    <x v="4"/>
  </r>
  <r>
    <s v="MRNTX033364"/>
    <x v="1"/>
    <x v="0"/>
    <d v="2018-11-15T00:00:00"/>
    <d v="2018-11-30T00:00:00"/>
    <d v="2018-11-30T00:00:00"/>
    <m/>
    <x v="1"/>
    <x v="4"/>
  </r>
  <r>
    <s v="MRNTX033489"/>
    <x v="1"/>
    <x v="0"/>
    <d v="2018-11-22T00:00:00"/>
    <d v="2018-11-26T00:00:00"/>
    <d v="2018-11-20T00:00:00"/>
    <d v="2018-11-20T00:00:00"/>
    <x v="0"/>
    <x v="1"/>
  </r>
  <r>
    <s v="MRNTX033490"/>
    <x v="1"/>
    <x v="0"/>
    <d v="2018-11-15T00:00:00"/>
    <d v="2018-11-30T00:00:00"/>
    <d v="2018-11-30T00:00:00"/>
    <m/>
    <x v="1"/>
    <x v="4"/>
  </r>
  <r>
    <s v="MRWSH016008"/>
    <x v="2"/>
    <x v="0"/>
    <d v="2018-11-30T00:00:00"/>
    <d v="1999-12-30T00:00:00"/>
    <d v="2018-11-26T00:00:00"/>
    <d v="2018-11-26T00:00:00"/>
    <x v="0"/>
    <x v="1"/>
  </r>
  <r>
    <s v="MRWSH016018"/>
    <x v="2"/>
    <x v="0"/>
    <d v="2018-11-30T00:00:00"/>
    <d v="1999-12-30T00:00:00"/>
    <d v="2018-11-26T00:00:00"/>
    <d v="2018-11-26T00:00:00"/>
    <x v="0"/>
    <x v="1"/>
  </r>
  <r>
    <s v="MRANM022040"/>
    <x v="3"/>
    <x v="0"/>
    <d v="2018-11-16T00:00:00"/>
    <d v="1999-12-30T00:00:00"/>
    <d v="2018-11-30T00:00:00"/>
    <m/>
    <x v="0"/>
    <x v="0"/>
  </r>
  <r>
    <s v="MRANM022071"/>
    <x v="3"/>
    <x v="0"/>
    <d v="2018-11-16T00:00:00"/>
    <d v="1999-12-30T00:00:00"/>
    <d v="2018-12-07T00:00:00"/>
    <m/>
    <x v="1"/>
    <x v="5"/>
  </r>
  <r>
    <s v="MRANM022092"/>
    <x v="3"/>
    <x v="0"/>
    <d v="2018-11-30T00:00:00"/>
    <d v="1999-12-30T00:00:00"/>
    <d v="2018-12-14T00:00:00"/>
    <m/>
    <x v="0"/>
    <x v="0"/>
  </r>
  <r>
    <s v="MRANM022105"/>
    <x v="3"/>
    <x v="0"/>
    <d v="2018-11-16T00:00:00"/>
    <d v="1999-12-30T00:00:00"/>
    <d v="2018-11-30T00:00:00"/>
    <m/>
    <x v="0"/>
    <x v="0"/>
  </r>
  <r>
    <s v="MRANM022106"/>
    <x v="3"/>
    <x v="0"/>
    <d v="2018-11-28T00:00:00"/>
    <d v="1999-12-30T00:00:00"/>
    <d v="2018-12-14T00:00:00"/>
    <m/>
    <x v="1"/>
    <x v="5"/>
  </r>
  <r>
    <s v="MRANM022119"/>
    <x v="3"/>
    <x v="0"/>
    <d v="2018-11-30T00:00:00"/>
    <d v="1999-12-30T00:00:00"/>
    <d v="2018-12-14T00:00:00"/>
    <m/>
    <x v="0"/>
    <x v="0"/>
  </r>
  <r>
    <s v="MRANM022145"/>
    <x v="3"/>
    <x v="0"/>
    <d v="2018-11-16T00:00:00"/>
    <d v="1999-12-30T00:00:00"/>
    <d v="2018-11-30T00:00:00"/>
    <m/>
    <x v="0"/>
    <x v="0"/>
  </r>
  <r>
    <s v="MRANM022151"/>
    <x v="3"/>
    <x v="0"/>
    <d v="2018-11-16T00:00:00"/>
    <d v="1999-12-30T00:00:00"/>
    <d v="2018-12-07T00:00:00"/>
    <m/>
    <x v="1"/>
    <x v="5"/>
  </r>
  <r>
    <s v="MRANM022159"/>
    <x v="3"/>
    <x v="0"/>
    <d v="2018-11-16T00:00:00"/>
    <d v="1999-12-30T00:00:00"/>
    <d v="2018-12-07T00:00:00"/>
    <m/>
    <x v="1"/>
    <x v="5"/>
  </r>
  <r>
    <s v="MRANM022162"/>
    <x v="3"/>
    <x v="0"/>
    <d v="2018-11-28T00:00:00"/>
    <d v="1999-12-30T00:00:00"/>
    <d v="2018-12-14T00:00:00"/>
    <m/>
    <x v="1"/>
    <x v="5"/>
  </r>
  <r>
    <s v="MRSTX036432"/>
    <x v="0"/>
    <x v="0"/>
    <d v="2018-11-16T00:00:00"/>
    <d v="2018-11-16T00:00:00"/>
    <d v="2018-11-14T00:00:00"/>
    <d v="2018-11-14T00:00:00"/>
    <x v="0"/>
    <x v="1"/>
  </r>
  <r>
    <s v="MRSTX036463"/>
    <x v="0"/>
    <x v="0"/>
    <d v="2018-11-09T00:00:00"/>
    <d v="2018-11-09T00:00:00"/>
    <d v="2018-11-14T00:00:00"/>
    <d v="2018-11-14T00:00:00"/>
    <x v="0"/>
    <x v="1"/>
  </r>
  <r>
    <s v="MRSTX039630"/>
    <x v="0"/>
    <x v="0"/>
    <d v="2018-11-15T00:00:00"/>
    <d v="2018-11-30T00:00:00"/>
    <d v="2018-11-30T00:00:00"/>
    <d v="2018-11-30T00:00:00"/>
    <x v="1"/>
    <x v="1"/>
  </r>
  <r>
    <s v="MRSTX036003"/>
    <x v="0"/>
    <x v="0"/>
    <d v="2018-11-30T00:00:00"/>
    <d v="2018-11-30T00:00:00"/>
    <d v="2018-11-30T00:00:00"/>
    <d v="2018-11-29T00:00:00"/>
    <x v="0"/>
    <x v="1"/>
  </r>
  <r>
    <s v="MRWSH024647"/>
    <x v="2"/>
    <x v="0"/>
    <d v="2018-11-30T00:00:00"/>
    <d v="1999-12-30T00:00:00"/>
    <d v="2018-11-28T00:00:00"/>
    <d v="2018-11-28T00:00:00"/>
    <x v="0"/>
    <x v="1"/>
  </r>
  <r>
    <s v="MRWSH022317"/>
    <x v="2"/>
    <x v="0"/>
    <d v="2018-11-30T00:00:00"/>
    <d v="1999-12-30T00:00:00"/>
    <d v="2018-11-26T00:00:00"/>
    <d v="2018-11-26T00:00:00"/>
    <x v="0"/>
    <x v="1"/>
  </r>
  <r>
    <s v="MRWSH022321"/>
    <x v="2"/>
    <x v="0"/>
    <d v="2018-11-01T00:00:00"/>
    <d v="1999-12-30T00:00:00"/>
    <d v="2018-12-03T00:00:00"/>
    <m/>
    <x v="1"/>
    <x v="5"/>
  </r>
  <r>
    <s v="MRWSH022341"/>
    <x v="2"/>
    <x v="0"/>
    <d v="2018-11-16T00:00:00"/>
    <d v="1999-12-30T00:00:00"/>
    <d v="2018-11-15T00:00:00"/>
    <d v="2018-11-15T00:00:00"/>
    <x v="0"/>
    <x v="1"/>
  </r>
  <r>
    <s v="MRNTX032475"/>
    <x v="1"/>
    <x v="0"/>
    <d v="2018-11-01T00:00:00"/>
    <d v="2018-11-06T00:00:00"/>
    <d v="2018-11-01T00:00:00"/>
    <d v="2018-11-01T00:00:00"/>
    <x v="0"/>
    <x v="1"/>
  </r>
  <r>
    <s v="MRNTX032547"/>
    <x v="1"/>
    <x v="0"/>
    <d v="2018-11-23T00:00:00"/>
    <d v="2018-11-26T00:00:00"/>
    <d v="2018-11-04T00:00:00"/>
    <d v="2018-11-04T00:00:00"/>
    <x v="0"/>
    <x v="1"/>
  </r>
  <r>
    <s v="MRNTX042205"/>
    <x v="1"/>
    <x v="0"/>
    <d v="2018-11-01T00:00:00"/>
    <d v="2018-11-30T00:00:00"/>
    <d v="2018-11-01T00:00:00"/>
    <d v="2018-11-01T00:00:00"/>
    <x v="0"/>
    <x v="1"/>
  </r>
  <r>
    <s v="MRNTX042548"/>
    <x v="1"/>
    <x v="0"/>
    <d v="2018-11-02T00:00:00"/>
    <d v="2018-11-30T00:00:00"/>
    <d v="2018-11-13T00:00:00"/>
    <d v="2018-11-13T00:00:00"/>
    <x v="0"/>
    <x v="1"/>
  </r>
  <r>
    <s v="MRWSH022569"/>
    <x v="2"/>
    <x v="0"/>
    <d v="2018-11-16T00:00:00"/>
    <d v="1999-12-30T00:00:00"/>
    <d v="2018-11-20T00:00:00"/>
    <d v="2018-11-20T00:00:00"/>
    <x v="0"/>
    <x v="1"/>
  </r>
  <r>
    <s v="MRWSH022613"/>
    <x v="2"/>
    <x v="0"/>
    <d v="2018-11-26T00:00:00"/>
    <d v="1999-12-30T00:00:00"/>
    <d v="2018-11-09T00:00:00"/>
    <d v="2018-11-09T00:00:00"/>
    <x v="0"/>
    <x v="1"/>
  </r>
  <r>
    <s v="MRWSH022684"/>
    <x v="2"/>
    <x v="0"/>
    <d v="2018-11-16T00:00:00"/>
    <d v="1999-12-30T00:00:00"/>
    <d v="2018-11-23T00:00:00"/>
    <m/>
    <x v="0"/>
    <x v="0"/>
  </r>
  <r>
    <s v="MRWSH022736"/>
    <x v="2"/>
    <x v="0"/>
    <d v="2018-11-02T00:00:00"/>
    <d v="1999-12-30T00:00:00"/>
    <d v="2018-11-02T00:00:00"/>
    <d v="2018-11-02T00:00:00"/>
    <x v="0"/>
    <x v="1"/>
  </r>
  <r>
    <s v="MRWSH022761"/>
    <x v="2"/>
    <x v="0"/>
    <d v="2018-11-30T00:00:00"/>
    <d v="1999-12-30T00:00:00"/>
    <d v="2018-11-13T00:00:00"/>
    <d v="2018-11-13T00:00:00"/>
    <x v="0"/>
    <x v="1"/>
  </r>
  <r>
    <s v="MRSTX034415"/>
    <x v="0"/>
    <x v="0"/>
    <d v="2018-11-30T00:00:00"/>
    <d v="2018-11-30T00:00:00"/>
    <d v="2018-11-30T00:00:00"/>
    <m/>
    <x v="0"/>
    <x v="0"/>
  </r>
  <r>
    <s v="MRSTX034430"/>
    <x v="0"/>
    <x v="0"/>
    <d v="2018-11-23T00:00:00"/>
    <d v="2018-11-23T00:00:00"/>
    <d v="2018-11-14T00:00:00"/>
    <d v="2018-11-14T00:00:00"/>
    <x v="0"/>
    <x v="1"/>
  </r>
  <r>
    <s v="MRSTX043711"/>
    <x v="0"/>
    <x v="0"/>
    <d v="2018-11-30T00:00:00"/>
    <d v="1999-12-30T00:00:00"/>
    <d v="2018-11-09T00:00:00"/>
    <d v="2018-11-09T00:00:00"/>
    <x v="0"/>
    <x v="1"/>
  </r>
  <r>
    <s v="MRSTX043717"/>
    <x v="0"/>
    <x v="0"/>
    <d v="2018-11-30T00:00:00"/>
    <d v="2018-11-30T00:00:00"/>
    <d v="2018-11-19T00:00:00"/>
    <d v="2018-11-19T00:00:00"/>
    <x v="0"/>
    <x v="1"/>
  </r>
  <r>
    <s v="MRSTX043718"/>
    <x v="0"/>
    <x v="0"/>
    <d v="2018-11-17T00:00:00"/>
    <d v="2018-11-17T00:00:00"/>
    <d v="2018-11-15T00:00:00"/>
    <d v="2018-11-15T00:00:00"/>
    <x v="0"/>
    <x v="1"/>
  </r>
  <r>
    <s v="MRSTX043723"/>
    <x v="0"/>
    <x v="0"/>
    <d v="2018-11-17T00:00:00"/>
    <d v="2018-11-27T00:00:00"/>
    <d v="2018-11-27T00:00:00"/>
    <d v="2018-11-27T00:00:00"/>
    <x v="0"/>
    <x v="1"/>
  </r>
  <r>
    <s v="MRSTX043725"/>
    <x v="0"/>
    <x v="0"/>
    <d v="2018-11-17T00:00:00"/>
    <d v="2018-11-17T00:00:00"/>
    <d v="2018-11-14T00:00:00"/>
    <d v="2018-11-14T00:00:00"/>
    <x v="0"/>
    <x v="1"/>
  </r>
  <r>
    <s v="MRSTX043727"/>
    <x v="0"/>
    <x v="0"/>
    <d v="2018-11-16T00:00:00"/>
    <d v="2018-11-16T00:00:00"/>
    <d v="2018-11-09T00:00:00"/>
    <d v="2018-11-09T00:00:00"/>
    <x v="0"/>
    <x v="1"/>
  </r>
  <r>
    <s v="MRSTX043734"/>
    <x v="0"/>
    <x v="0"/>
    <d v="2018-11-30T00:00:00"/>
    <d v="1999-12-30T00:00:00"/>
    <d v="2018-11-30T00:00:00"/>
    <m/>
    <x v="0"/>
    <x v="0"/>
  </r>
  <r>
    <s v="MRSTX043775"/>
    <x v="0"/>
    <x v="0"/>
    <d v="2018-11-17T00:00:00"/>
    <d v="2018-11-30T00:00:00"/>
    <d v="2018-11-30T00:00:00"/>
    <m/>
    <x v="0"/>
    <x v="0"/>
  </r>
  <r>
    <s v="MRSTX043776"/>
    <x v="0"/>
    <x v="0"/>
    <d v="2018-11-16T00:00:00"/>
    <d v="2018-11-16T00:00:00"/>
    <d v="2018-11-16T00:00:00"/>
    <d v="2018-11-16T00:00:00"/>
    <x v="0"/>
    <x v="1"/>
  </r>
  <r>
    <s v="MRSTX043798"/>
    <x v="0"/>
    <x v="0"/>
    <d v="2018-11-16T00:00:00"/>
    <d v="2018-11-16T00:00:00"/>
    <d v="2018-11-09T00:00:00"/>
    <d v="2018-11-09T00:00:00"/>
    <x v="0"/>
    <x v="1"/>
  </r>
  <r>
    <s v="MRSTX043848"/>
    <x v="0"/>
    <x v="0"/>
    <d v="2018-11-16T00:00:00"/>
    <d v="1999-12-30T00:00:00"/>
    <d v="2018-11-09T00:00:00"/>
    <d v="2018-11-09T00:00:00"/>
    <x v="0"/>
    <x v="1"/>
  </r>
  <r>
    <s v="MRSTX043915"/>
    <x v="0"/>
    <x v="0"/>
    <d v="2018-11-16T00:00:00"/>
    <d v="1999-12-30T00:00:00"/>
    <d v="2018-11-16T00:00:00"/>
    <m/>
    <x v="0"/>
    <x v="0"/>
  </r>
  <r>
    <s v="MRNTX031252"/>
    <x v="1"/>
    <x v="0"/>
    <d v="2018-11-16T00:00:00"/>
    <d v="2019-01-11T00:00:00"/>
    <d v="2018-11-16T00:00:00"/>
    <m/>
    <x v="0"/>
    <x v="3"/>
  </r>
  <r>
    <s v="MRNTX036211"/>
    <x v="1"/>
    <x v="0"/>
    <d v="2018-11-16T00:00:00"/>
    <d v="2019-01-11T00:00:00"/>
    <d v="2018-11-16T00:00:00"/>
    <m/>
    <x v="0"/>
    <x v="3"/>
  </r>
  <r>
    <s v="MRNTX036540"/>
    <x v="1"/>
    <x v="0"/>
    <d v="2018-11-23T00:00:00"/>
    <d v="2018-12-21T00:00:00"/>
    <d v="2018-12-21T00:00:00"/>
    <m/>
    <x v="1"/>
    <x v="2"/>
  </r>
  <r>
    <s v="MRNTX036567"/>
    <x v="1"/>
    <x v="0"/>
    <d v="2018-11-16T00:00:00"/>
    <d v="2018-12-16T00:00:00"/>
    <d v="2018-12-16T00:00:00"/>
    <m/>
    <x v="1"/>
    <x v="4"/>
  </r>
  <r>
    <s v="MRNTX036586"/>
    <x v="1"/>
    <x v="0"/>
    <d v="2018-11-22T00:00:00"/>
    <d v="2018-11-30T00:00:00"/>
    <d v="2018-11-30T00:00:00"/>
    <m/>
    <x v="0"/>
    <x v="0"/>
  </r>
  <r>
    <s v="MRNTX031373"/>
    <x v="1"/>
    <x v="0"/>
    <d v="2018-11-05T00:00:00"/>
    <d v="1999-12-30T00:00:00"/>
    <d v="2018-12-15T00:00:00"/>
    <m/>
    <x v="1"/>
    <x v="5"/>
  </r>
  <r>
    <s v="MRNTX031464"/>
    <x v="1"/>
    <x v="0"/>
    <d v="2018-11-26T00:00:00"/>
    <d v="2018-11-28T00:00:00"/>
    <d v="2018-11-28T00:00:00"/>
    <m/>
    <x v="0"/>
    <x v="0"/>
  </r>
  <r>
    <s v="MRNTX031465"/>
    <x v="1"/>
    <x v="0"/>
    <d v="2018-11-05T00:00:00"/>
    <d v="1999-12-30T00:00:00"/>
    <d v="2018-12-15T00:00:00"/>
    <m/>
    <x v="1"/>
    <x v="5"/>
  </r>
  <r>
    <s v="MRWSH020036"/>
    <x v="2"/>
    <x v="0"/>
    <d v="2018-11-16T00:00:00"/>
    <d v="1999-12-30T00:00:00"/>
    <d v="2018-11-15T00:00:00"/>
    <d v="2018-11-15T00:00:00"/>
    <x v="0"/>
    <x v="1"/>
  </r>
  <r>
    <s v="MRWSH020053"/>
    <x v="2"/>
    <x v="0"/>
    <d v="2018-11-16T00:00:00"/>
    <d v="1999-12-30T00:00:00"/>
    <d v="2018-11-20T00:00:00"/>
    <d v="2018-11-20T00:00:00"/>
    <x v="0"/>
    <x v="1"/>
  </r>
  <r>
    <s v="MRWSH020121"/>
    <x v="2"/>
    <x v="0"/>
    <d v="2018-11-30T00:00:00"/>
    <d v="1999-12-30T00:00:00"/>
    <d v="2018-11-30T00:00:00"/>
    <m/>
    <x v="0"/>
    <x v="0"/>
  </r>
  <r>
    <s v="MRWSH020162"/>
    <x v="2"/>
    <x v="0"/>
    <d v="2018-11-16T00:00:00"/>
    <d v="1999-12-30T00:00:00"/>
    <d v="2018-11-15T00:00:00"/>
    <d v="2018-11-15T00:00:00"/>
    <x v="0"/>
    <x v="1"/>
  </r>
  <r>
    <s v="MRWSH020180"/>
    <x v="2"/>
    <x v="0"/>
    <d v="2018-11-30T00:00:00"/>
    <d v="1999-12-30T00:00:00"/>
    <d v="2018-11-27T00:00:00"/>
    <d v="2018-11-27T00:00:00"/>
    <x v="0"/>
    <x v="1"/>
  </r>
  <r>
    <s v="MRWSH020347"/>
    <x v="2"/>
    <x v="0"/>
    <d v="2018-11-26T00:00:00"/>
    <d v="1999-12-30T00:00:00"/>
    <d v="2018-11-15T00:00:00"/>
    <d v="2018-11-15T00:00:00"/>
    <x v="0"/>
    <x v="1"/>
  </r>
  <r>
    <s v="MRSTX039702"/>
    <x v="0"/>
    <x v="0"/>
    <d v="2018-11-15T00:00:00"/>
    <d v="2018-11-30T00:00:00"/>
    <d v="2018-11-30T00:00:00"/>
    <m/>
    <x v="1"/>
    <x v="4"/>
  </r>
  <r>
    <s v="MRSTX039713"/>
    <x v="0"/>
    <x v="0"/>
    <d v="2018-11-16T00:00:00"/>
    <d v="2018-11-16T00:00:00"/>
    <d v="2018-11-13T00:00:00"/>
    <d v="2018-11-13T00:00:00"/>
    <x v="0"/>
    <x v="1"/>
  </r>
  <r>
    <s v="MRSTX039721"/>
    <x v="0"/>
    <x v="0"/>
    <d v="2018-11-09T00:00:00"/>
    <d v="2018-11-09T00:00:00"/>
    <d v="2018-11-08T00:00:00"/>
    <d v="2018-11-08T00:00:00"/>
    <x v="0"/>
    <x v="1"/>
  </r>
  <r>
    <s v="MRSTX039722"/>
    <x v="0"/>
    <x v="0"/>
    <d v="2018-11-16T00:00:00"/>
    <d v="2018-11-16T00:00:00"/>
    <d v="2018-11-13T00:00:00"/>
    <d v="2018-11-13T00:00:00"/>
    <x v="0"/>
    <x v="1"/>
  </r>
  <r>
    <s v="MRSTX039724"/>
    <x v="0"/>
    <x v="0"/>
    <d v="2018-11-16T00:00:00"/>
    <d v="2018-11-16T00:00:00"/>
    <d v="2018-11-13T00:00:00"/>
    <d v="2018-11-13T00:00:00"/>
    <x v="0"/>
    <x v="1"/>
  </r>
  <r>
    <s v="MRSTX039728"/>
    <x v="0"/>
    <x v="0"/>
    <d v="2018-11-09T00:00:00"/>
    <d v="2018-11-09T00:00:00"/>
    <d v="2018-11-08T00:00:00"/>
    <d v="2018-11-08T00:00:00"/>
    <x v="0"/>
    <x v="1"/>
  </r>
  <r>
    <s v="MRSTX039732"/>
    <x v="0"/>
    <x v="0"/>
    <d v="2018-11-09T00:00:00"/>
    <d v="2018-11-09T00:00:00"/>
    <d v="2018-11-08T00:00:00"/>
    <d v="2018-11-08T00:00:00"/>
    <x v="0"/>
    <x v="1"/>
  </r>
  <r>
    <s v="MRSTX039735"/>
    <x v="0"/>
    <x v="0"/>
    <d v="2018-11-16T00:00:00"/>
    <d v="2018-11-16T00:00:00"/>
    <d v="2018-11-13T00:00:00"/>
    <d v="2018-11-13T00:00:00"/>
    <x v="0"/>
    <x v="1"/>
  </r>
  <r>
    <s v="MRSTX039757"/>
    <x v="0"/>
    <x v="0"/>
    <d v="2018-11-09T00:00:00"/>
    <d v="2018-11-09T00:00:00"/>
    <d v="2018-11-05T00:00:00"/>
    <d v="2018-11-05T00:00:00"/>
    <x v="0"/>
    <x v="1"/>
  </r>
  <r>
    <s v="MRSTX039758"/>
    <x v="0"/>
    <x v="0"/>
    <d v="2018-11-15T00:00:00"/>
    <d v="2018-11-30T00:00:00"/>
    <d v="2018-11-30T00:00:00"/>
    <m/>
    <x v="1"/>
    <x v="4"/>
  </r>
  <r>
    <s v="MRSTX039798"/>
    <x v="0"/>
    <x v="0"/>
    <d v="2018-11-16T00:00:00"/>
    <d v="2018-11-30T00:00:00"/>
    <d v="2018-11-30T00:00:00"/>
    <d v="2018-11-30T00:00:00"/>
    <x v="0"/>
    <x v="1"/>
  </r>
  <r>
    <s v="MRSTX039800"/>
    <x v="0"/>
    <x v="0"/>
    <d v="2018-11-30T00:00:00"/>
    <d v="2018-11-30T00:00:00"/>
    <d v="2018-11-30T00:00:00"/>
    <m/>
    <x v="0"/>
    <x v="0"/>
  </r>
  <r>
    <s v="MRSTX039828"/>
    <x v="0"/>
    <x v="0"/>
    <d v="2018-11-09T00:00:00"/>
    <d v="2018-12-07T00:00:00"/>
    <d v="2018-11-30T00:00:00"/>
    <m/>
    <x v="1"/>
    <x v="4"/>
  </r>
  <r>
    <s v="MRSTX039832"/>
    <x v="0"/>
    <x v="0"/>
    <d v="2018-11-30T00:00:00"/>
    <d v="2018-12-14T00:00:00"/>
    <d v="2018-11-30T00:00:00"/>
    <m/>
    <x v="0"/>
    <x v="0"/>
  </r>
  <r>
    <s v="MRSTX039834"/>
    <x v="0"/>
    <x v="0"/>
    <d v="2018-11-02T00:00:00"/>
    <d v="2018-11-16T00:00:00"/>
    <d v="2018-11-02T00:00:00"/>
    <d v="2018-11-02T00:00:00"/>
    <x v="0"/>
    <x v="1"/>
  </r>
  <r>
    <s v="MRSTX039835"/>
    <x v="0"/>
    <x v="0"/>
    <d v="2018-11-30T00:00:00"/>
    <d v="2018-11-30T00:00:00"/>
    <d v="2018-11-28T00:00:00"/>
    <d v="2018-11-28T00:00:00"/>
    <x v="0"/>
    <x v="1"/>
  </r>
  <r>
    <s v="MRSTX039837"/>
    <x v="0"/>
    <x v="0"/>
    <d v="2018-11-16T00:00:00"/>
    <d v="2018-11-16T00:00:00"/>
    <d v="2018-11-14T00:00:00"/>
    <d v="2018-11-14T00:00:00"/>
    <x v="0"/>
    <x v="1"/>
  </r>
  <r>
    <s v="MRSTX039846"/>
    <x v="0"/>
    <x v="0"/>
    <d v="2018-11-30T00:00:00"/>
    <d v="2018-11-30T00:00:00"/>
    <d v="2018-11-19T00:00:00"/>
    <d v="2018-11-19T00:00:00"/>
    <x v="0"/>
    <x v="1"/>
  </r>
  <r>
    <s v="MRSTX039849"/>
    <x v="0"/>
    <x v="0"/>
    <d v="2018-11-30T00:00:00"/>
    <d v="2018-11-30T00:00:00"/>
    <d v="2018-11-19T00:00:00"/>
    <d v="2018-11-19T00:00:00"/>
    <x v="0"/>
    <x v="1"/>
  </r>
  <r>
    <s v="MRSTX039850"/>
    <x v="0"/>
    <x v="0"/>
    <d v="2018-11-14T00:00:00"/>
    <d v="2018-11-30T00:00:00"/>
    <d v="2018-11-30T00:00:00"/>
    <m/>
    <x v="1"/>
    <x v="4"/>
  </r>
  <r>
    <s v="MRSTX039852"/>
    <x v="0"/>
    <x v="0"/>
    <d v="2018-11-02T00:00:00"/>
    <d v="2018-11-09T00:00:00"/>
    <d v="2018-11-02T00:00:00"/>
    <d v="2018-11-02T00:00:00"/>
    <x v="0"/>
    <x v="1"/>
  </r>
  <r>
    <s v="MRSTX039857"/>
    <x v="0"/>
    <x v="0"/>
    <d v="2018-11-30T00:00:00"/>
    <d v="2018-12-07T00:00:00"/>
    <d v="2018-11-30T00:00:00"/>
    <m/>
    <x v="0"/>
    <x v="0"/>
  </r>
  <r>
    <s v="MRSTX039861"/>
    <x v="0"/>
    <x v="0"/>
    <d v="2018-11-09T00:00:00"/>
    <d v="2018-11-09T00:00:00"/>
    <d v="2018-11-12T00:00:00"/>
    <d v="2018-11-12T00:00:00"/>
    <x v="0"/>
    <x v="1"/>
  </r>
  <r>
    <s v="MRSTX039863"/>
    <x v="0"/>
    <x v="0"/>
    <d v="2018-11-16T00:00:00"/>
    <d v="2018-12-21T00:00:00"/>
    <d v="2018-11-30T00:00:00"/>
    <m/>
    <x v="0"/>
    <x v="3"/>
  </r>
  <r>
    <s v="MRSTX039869"/>
    <x v="0"/>
    <x v="0"/>
    <d v="2018-11-09T00:00:00"/>
    <d v="2018-11-16T00:00:00"/>
    <d v="2018-11-16T00:00:00"/>
    <d v="2018-11-16T00:00:00"/>
    <x v="0"/>
    <x v="1"/>
  </r>
  <r>
    <s v="MRSTX039874"/>
    <x v="0"/>
    <x v="0"/>
    <d v="2018-11-16T00:00:00"/>
    <d v="2018-11-16T00:00:00"/>
    <d v="2018-11-07T00:00:00"/>
    <d v="2018-11-07T00:00:00"/>
    <x v="0"/>
    <x v="1"/>
  </r>
  <r>
    <s v="MRSTX039876"/>
    <x v="0"/>
    <x v="0"/>
    <d v="2018-11-16T00:00:00"/>
    <d v="2018-11-23T00:00:00"/>
    <d v="2018-11-26T00:00:00"/>
    <d v="2018-11-26T00:00:00"/>
    <x v="0"/>
    <x v="1"/>
  </r>
  <r>
    <s v="MRSTX039877"/>
    <x v="0"/>
    <x v="0"/>
    <d v="2018-11-16T00:00:00"/>
    <d v="2018-12-30T00:00:00"/>
    <d v="2018-12-30T00:00:00"/>
    <m/>
    <x v="1"/>
    <x v="4"/>
  </r>
  <r>
    <s v="MRSTX039884"/>
    <x v="0"/>
    <x v="0"/>
    <d v="2018-11-30T00:00:00"/>
    <d v="2018-11-30T00:00:00"/>
    <d v="2018-11-30T00:00:00"/>
    <m/>
    <x v="0"/>
    <x v="0"/>
  </r>
  <r>
    <s v="MRSTX039891"/>
    <x v="0"/>
    <x v="0"/>
    <d v="2018-11-16T00:00:00"/>
    <d v="2018-11-16T00:00:00"/>
    <d v="2018-11-14T00:00:00"/>
    <d v="2018-11-14T00:00:00"/>
    <x v="0"/>
    <x v="1"/>
  </r>
  <r>
    <s v="MRSTX039895"/>
    <x v="0"/>
    <x v="0"/>
    <d v="2018-11-09T00:00:00"/>
    <d v="2018-11-09T00:00:00"/>
    <d v="2018-11-12T00:00:00"/>
    <d v="2018-11-12T00:00:00"/>
    <x v="0"/>
    <x v="1"/>
  </r>
  <r>
    <s v="MRSTX039904"/>
    <x v="0"/>
    <x v="0"/>
    <d v="2018-11-30T00:00:00"/>
    <d v="2018-12-07T00:00:00"/>
    <d v="2018-11-30T00:00:00"/>
    <m/>
    <x v="0"/>
    <x v="0"/>
  </r>
  <r>
    <s v="MRSTX039909"/>
    <x v="0"/>
    <x v="0"/>
    <d v="2018-11-14T00:00:00"/>
    <d v="2018-11-30T00:00:00"/>
    <d v="2018-11-30T00:00:00"/>
    <m/>
    <x v="1"/>
    <x v="4"/>
  </r>
  <r>
    <s v="MRSTX039914"/>
    <x v="0"/>
    <x v="0"/>
    <d v="2018-11-09T00:00:00"/>
    <d v="2018-11-09T00:00:00"/>
    <d v="2018-11-07T00:00:00"/>
    <d v="2018-11-07T00:00:00"/>
    <x v="0"/>
    <x v="1"/>
  </r>
  <r>
    <s v="MRSTX039919"/>
    <x v="0"/>
    <x v="0"/>
    <d v="2018-11-16T00:00:00"/>
    <d v="2018-12-07T00:00:00"/>
    <d v="2018-11-30T00:00:00"/>
    <m/>
    <x v="0"/>
    <x v="3"/>
  </r>
  <r>
    <s v="MRSTX039924"/>
    <x v="0"/>
    <x v="0"/>
    <d v="2018-11-30T00:00:00"/>
    <d v="2018-11-30T00:00:00"/>
    <d v="2018-11-30T00:00:00"/>
    <m/>
    <x v="0"/>
    <x v="0"/>
  </r>
  <r>
    <s v="MRSTX039930"/>
    <x v="0"/>
    <x v="0"/>
    <d v="2018-11-15T00:00:00"/>
    <d v="2018-11-30T00:00:00"/>
    <d v="2018-11-30T00:00:00"/>
    <m/>
    <x v="1"/>
    <x v="4"/>
  </r>
  <r>
    <s v="MRSTX039932"/>
    <x v="0"/>
    <x v="0"/>
    <d v="2018-11-23T00:00:00"/>
    <d v="2018-11-30T00:00:00"/>
    <d v="2018-11-30T00:00:00"/>
    <m/>
    <x v="0"/>
    <x v="0"/>
  </r>
  <r>
    <s v="MRSTX039936"/>
    <x v="0"/>
    <x v="0"/>
    <d v="2018-11-26T00:00:00"/>
    <d v="2018-11-26T00:00:00"/>
    <d v="2018-11-19T00:00:00"/>
    <d v="2018-11-19T00:00:00"/>
    <x v="0"/>
    <x v="1"/>
  </r>
  <r>
    <s v="MRSTX039945"/>
    <x v="0"/>
    <x v="0"/>
    <d v="2018-11-16T00:00:00"/>
    <d v="2018-11-16T00:00:00"/>
    <d v="2018-11-14T00:00:00"/>
    <d v="2018-11-14T00:00:00"/>
    <x v="0"/>
    <x v="1"/>
  </r>
  <r>
    <s v="MRSTX039946"/>
    <x v="0"/>
    <x v="0"/>
    <d v="2018-11-23T00:00:00"/>
    <d v="2018-11-23T00:00:00"/>
    <d v="2018-11-19T00:00:00"/>
    <d v="2018-11-19T00:00:00"/>
    <x v="0"/>
    <x v="1"/>
  </r>
  <r>
    <s v="MRSTX039949"/>
    <x v="0"/>
    <x v="0"/>
    <d v="2018-11-09T00:00:00"/>
    <d v="2018-12-07T00:00:00"/>
    <d v="2018-11-30T00:00:00"/>
    <m/>
    <x v="1"/>
    <x v="4"/>
  </r>
  <r>
    <s v="MRSTX039957"/>
    <x v="0"/>
    <x v="0"/>
    <d v="2018-11-16T00:00:00"/>
    <d v="2018-11-16T00:00:00"/>
    <d v="2018-11-14T00:00:00"/>
    <d v="2018-11-14T00:00:00"/>
    <x v="0"/>
    <x v="1"/>
  </r>
  <r>
    <s v="MRSTX039963"/>
    <x v="0"/>
    <x v="0"/>
    <d v="2018-11-30T00:00:00"/>
    <d v="2018-11-30T00:00:00"/>
    <d v="2018-11-30T00:00:00"/>
    <m/>
    <x v="0"/>
    <x v="0"/>
  </r>
  <r>
    <s v="MRSTX039969"/>
    <x v="0"/>
    <x v="0"/>
    <d v="2018-11-23T00:00:00"/>
    <d v="2018-11-30T00:00:00"/>
    <d v="2018-11-27T00:00:00"/>
    <d v="2018-11-27T00:00:00"/>
    <x v="0"/>
    <x v="1"/>
  </r>
  <r>
    <s v="MRSTX039970"/>
    <x v="0"/>
    <x v="0"/>
    <d v="2018-11-30T00:00:00"/>
    <d v="2018-12-07T00:00:00"/>
    <d v="2018-11-30T00:00:00"/>
    <m/>
    <x v="0"/>
    <x v="0"/>
  </r>
  <r>
    <s v="MRSTX039984"/>
    <x v="0"/>
    <x v="0"/>
    <d v="2018-11-09T00:00:00"/>
    <d v="2018-11-09T00:00:00"/>
    <d v="2018-11-12T00:00:00"/>
    <d v="2018-11-12T00:00:00"/>
    <x v="0"/>
    <x v="1"/>
  </r>
  <r>
    <s v="MRSTX039992"/>
    <x v="0"/>
    <x v="0"/>
    <d v="2018-11-30T00:00:00"/>
    <d v="2018-11-30T00:00:00"/>
    <d v="2018-11-28T00:00:00"/>
    <d v="2018-11-28T00:00:00"/>
    <x v="0"/>
    <x v="1"/>
  </r>
  <r>
    <s v="MRSTX039993"/>
    <x v="0"/>
    <x v="0"/>
    <d v="2018-11-02T00:00:00"/>
    <d v="2018-11-16T00:00:00"/>
    <d v="2018-11-02T00:00:00"/>
    <d v="2018-11-02T00:00:00"/>
    <x v="0"/>
    <x v="1"/>
  </r>
  <r>
    <s v="MRSTX040003"/>
    <x v="0"/>
    <x v="0"/>
    <d v="2018-11-16T00:00:00"/>
    <d v="2018-12-07T00:00:00"/>
    <d v="2018-11-30T00:00:00"/>
    <m/>
    <x v="0"/>
    <x v="3"/>
  </r>
  <r>
    <s v="MRSTX040009"/>
    <x v="0"/>
    <x v="0"/>
    <d v="2018-11-16T00:00:00"/>
    <d v="2018-12-21T00:00:00"/>
    <d v="2018-11-30T00:00:00"/>
    <m/>
    <x v="0"/>
    <x v="3"/>
  </r>
  <r>
    <s v="MRSTX040013"/>
    <x v="0"/>
    <x v="0"/>
    <d v="2018-11-02T00:00:00"/>
    <d v="2018-11-09T00:00:00"/>
    <d v="2018-11-02T00:00:00"/>
    <d v="2018-11-02T00:00:00"/>
    <x v="0"/>
    <x v="1"/>
  </r>
  <r>
    <s v="MRSTX040015"/>
    <x v="0"/>
    <x v="0"/>
    <d v="2018-11-16T00:00:00"/>
    <d v="2018-12-30T00:00:00"/>
    <d v="2018-12-30T00:00:00"/>
    <m/>
    <x v="1"/>
    <x v="4"/>
  </r>
  <r>
    <s v="MRSTX040018"/>
    <x v="0"/>
    <x v="0"/>
    <d v="2018-11-23T00:00:00"/>
    <d v="2018-11-30T00:00:00"/>
    <d v="2018-11-27T00:00:00"/>
    <d v="2018-11-27T00:00:00"/>
    <x v="0"/>
    <x v="1"/>
  </r>
  <r>
    <s v="MRSTX040020"/>
    <x v="0"/>
    <x v="0"/>
    <d v="2018-11-23T00:00:00"/>
    <d v="2018-11-23T00:00:00"/>
    <d v="2018-11-19T00:00:00"/>
    <d v="2018-11-19T00:00:00"/>
    <x v="0"/>
    <x v="1"/>
  </r>
  <r>
    <s v="MRSTX040021"/>
    <x v="0"/>
    <x v="0"/>
    <d v="2018-11-16T00:00:00"/>
    <d v="2018-11-23T00:00:00"/>
    <d v="2018-11-26T00:00:00"/>
    <d v="2018-11-26T00:00:00"/>
    <x v="0"/>
    <x v="1"/>
  </r>
  <r>
    <s v="MRSTX040030"/>
    <x v="0"/>
    <x v="0"/>
    <d v="2018-11-30T00:00:00"/>
    <d v="2018-12-14T00:00:00"/>
    <d v="2018-11-30T00:00:00"/>
    <m/>
    <x v="0"/>
    <x v="0"/>
  </r>
  <r>
    <s v="MRSTX040033"/>
    <x v="0"/>
    <x v="0"/>
    <d v="2018-11-14T00:00:00"/>
    <d v="2018-11-30T00:00:00"/>
    <d v="2018-11-30T00:00:00"/>
    <m/>
    <x v="1"/>
    <x v="4"/>
  </r>
  <r>
    <s v="MRSTX040042"/>
    <x v="0"/>
    <x v="0"/>
    <d v="2018-11-26T00:00:00"/>
    <d v="2018-11-26T00:00:00"/>
    <d v="2018-11-19T00:00:00"/>
    <d v="2018-11-19T00:00:00"/>
    <x v="0"/>
    <x v="1"/>
  </r>
  <r>
    <s v="MRSTX040046"/>
    <x v="0"/>
    <x v="0"/>
    <d v="2018-11-02T00:00:00"/>
    <d v="2018-11-09T00:00:00"/>
    <d v="2018-11-02T00:00:00"/>
    <d v="2018-11-02T00:00:00"/>
    <x v="0"/>
    <x v="1"/>
  </r>
  <r>
    <s v="MRNTX037173"/>
    <x v="1"/>
    <x v="0"/>
    <d v="2018-11-16T00:00:00"/>
    <d v="2019-02-11T00:00:00"/>
    <d v="2019-02-11T00:00:00"/>
    <m/>
    <x v="1"/>
    <x v="4"/>
  </r>
  <r>
    <s v="MRNTX038469"/>
    <x v="1"/>
    <x v="0"/>
    <d v="2018-11-12T00:00:00"/>
    <d v="2019-05-26T00:00:00"/>
    <d v="2019-05-26T00:00:00"/>
    <m/>
    <x v="1"/>
    <x v="4"/>
  </r>
  <r>
    <s v="MRNTX039921"/>
    <x v="1"/>
    <x v="0"/>
    <d v="2018-11-29T00:00:00"/>
    <d v="2018-11-29T00:00:00"/>
    <d v="2018-11-29T00:00:00"/>
    <m/>
    <x v="0"/>
    <x v="0"/>
  </r>
  <r>
    <s v="MRNTX039950"/>
    <x v="1"/>
    <x v="0"/>
    <d v="2018-11-29T00:00:00"/>
    <d v="2018-11-29T00:00:00"/>
    <d v="2018-11-29T00:00:00"/>
    <m/>
    <x v="0"/>
    <x v="0"/>
  </r>
  <r>
    <s v="MRNTX039965"/>
    <x v="1"/>
    <x v="0"/>
    <d v="2018-11-29T00:00:00"/>
    <d v="1950-01-01T00:00:00"/>
    <d v="1950-01-01T00:00:00"/>
    <d v="1950-01-01T00:00:00"/>
    <x v="0"/>
    <x v="1"/>
  </r>
  <r>
    <s v="MRNTX039985"/>
    <x v="1"/>
    <x v="0"/>
    <d v="2018-11-30T00:00:00"/>
    <d v="2018-11-30T00:00:00"/>
    <d v="2018-11-30T00:00:00"/>
    <m/>
    <x v="0"/>
    <x v="0"/>
  </r>
  <r>
    <s v="MRNTX039986"/>
    <x v="1"/>
    <x v="0"/>
    <d v="2018-11-28T00:00:00"/>
    <d v="2018-11-28T00:00:00"/>
    <d v="2018-11-26T00:00:00"/>
    <d v="2018-11-26T00:00:00"/>
    <x v="0"/>
    <x v="1"/>
  </r>
  <r>
    <s v="MRNTX040015"/>
    <x v="1"/>
    <x v="0"/>
    <d v="2018-11-16T00:00:00"/>
    <d v="2018-11-16T00:00:00"/>
    <d v="2018-11-19T00:00:00"/>
    <d v="2018-11-19T00:00:00"/>
    <x v="0"/>
    <x v="1"/>
  </r>
  <r>
    <s v="MRNTX040025"/>
    <x v="1"/>
    <x v="0"/>
    <d v="2018-11-01T00:00:00"/>
    <d v="2018-11-02T00:00:00"/>
    <d v="2018-11-01T00:00:00"/>
    <d v="2018-11-01T00:00:00"/>
    <x v="0"/>
    <x v="1"/>
  </r>
  <r>
    <s v="MRNTX040029"/>
    <x v="1"/>
    <x v="0"/>
    <d v="2018-11-28T00:00:00"/>
    <d v="2018-11-28T00:00:00"/>
    <d v="2018-11-26T00:00:00"/>
    <d v="2018-11-26T00:00:00"/>
    <x v="0"/>
    <x v="1"/>
  </r>
  <r>
    <s v="MRNTX040036"/>
    <x v="1"/>
    <x v="0"/>
    <d v="2018-11-11T00:00:00"/>
    <d v="2018-11-30T00:00:00"/>
    <d v="2018-11-28T00:00:00"/>
    <m/>
    <x v="1"/>
    <x v="4"/>
  </r>
  <r>
    <s v="MRNTX040043"/>
    <x v="1"/>
    <x v="0"/>
    <d v="2018-11-01T00:00:00"/>
    <d v="2018-11-02T00:00:00"/>
    <d v="2018-11-01T00:00:00"/>
    <d v="2018-11-01T00:00:00"/>
    <x v="0"/>
    <x v="1"/>
  </r>
  <r>
    <s v="MRNTX040044"/>
    <x v="1"/>
    <x v="0"/>
    <d v="2018-11-16T00:00:00"/>
    <d v="2018-11-20T00:00:00"/>
    <d v="2018-11-27T00:00:00"/>
    <d v="2018-11-27T00:00:00"/>
    <x v="0"/>
    <x v="1"/>
  </r>
  <r>
    <s v="MRNTX040067"/>
    <x v="1"/>
    <x v="0"/>
    <d v="2018-11-09T00:00:00"/>
    <d v="2018-11-09T00:00:00"/>
    <d v="2018-11-09T00:00:00"/>
    <m/>
    <x v="0"/>
    <x v="0"/>
  </r>
  <r>
    <s v="MRNTX040070"/>
    <x v="1"/>
    <x v="0"/>
    <d v="2018-11-20T00:00:00"/>
    <d v="2018-11-28T00:00:00"/>
    <d v="2018-11-28T00:00:00"/>
    <m/>
    <x v="0"/>
    <x v="0"/>
  </r>
  <r>
    <s v="MRNTX040072"/>
    <x v="1"/>
    <x v="0"/>
    <d v="2018-11-30T00:00:00"/>
    <d v="2018-11-30T00:00:00"/>
    <d v="2018-11-27T00:00:00"/>
    <d v="2018-11-27T00:00:00"/>
    <x v="0"/>
    <x v="1"/>
  </r>
  <r>
    <s v="MRNTX040079"/>
    <x v="1"/>
    <x v="0"/>
    <d v="2018-11-30T00:00:00"/>
    <d v="2018-11-30T00:00:00"/>
    <d v="2018-11-30T00:00:00"/>
    <m/>
    <x v="0"/>
    <x v="0"/>
  </r>
  <r>
    <s v="MRNTX040100"/>
    <x v="1"/>
    <x v="0"/>
    <d v="2018-11-30T00:00:00"/>
    <d v="2018-11-30T00:00:00"/>
    <d v="2018-11-30T00:00:00"/>
    <m/>
    <x v="0"/>
    <x v="0"/>
  </r>
  <r>
    <s v="MRSTX032870"/>
    <x v="0"/>
    <x v="0"/>
    <d v="2018-11-23T00:00:00"/>
    <d v="2018-04-20T00:00:00"/>
    <d v="2018-11-30T00:00:00"/>
    <m/>
    <x v="0"/>
    <x v="0"/>
  </r>
  <r>
    <s v="MRNTX025145"/>
    <x v="1"/>
    <x v="0"/>
    <d v="2018-11-26T00:00:00"/>
    <d v="2018-11-28T00:00:00"/>
    <d v="2018-11-28T00:00:00"/>
    <m/>
    <x v="0"/>
    <x v="0"/>
  </r>
  <r>
    <s v="MRWSH025041"/>
    <x v="2"/>
    <x v="0"/>
    <d v="2018-11-19T00:00:00"/>
    <d v="1999-12-30T00:00:00"/>
    <d v="2018-11-14T00:00:00"/>
    <d v="2018-11-14T00:00:00"/>
    <x v="0"/>
    <x v="1"/>
  </r>
  <r>
    <s v="MRWSH025130"/>
    <x v="2"/>
    <x v="0"/>
    <d v="2018-11-30T00:00:00"/>
    <d v="1999-12-30T00:00:00"/>
    <d v="2018-11-13T00:00:00"/>
    <d v="2018-11-13T00:00:00"/>
    <x v="0"/>
    <x v="1"/>
  </r>
  <r>
    <s v="MRWSH025168"/>
    <x v="2"/>
    <x v="0"/>
    <d v="2018-11-02T00:00:00"/>
    <d v="1999-12-30T00:00:00"/>
    <d v="2018-11-02T00:00:00"/>
    <d v="2018-11-02T00:00:00"/>
    <x v="0"/>
    <x v="1"/>
  </r>
  <r>
    <s v="MRWSH025264"/>
    <x v="2"/>
    <x v="0"/>
    <d v="2018-11-23T00:00:00"/>
    <d v="1999-12-30T00:00:00"/>
    <d v="2018-11-15T00:00:00"/>
    <d v="2018-11-15T00:00:00"/>
    <x v="0"/>
    <x v="1"/>
  </r>
  <r>
    <s v="MRWSH025269"/>
    <x v="2"/>
    <x v="0"/>
    <d v="2018-11-16T00:00:00"/>
    <d v="1999-12-30T00:00:00"/>
    <d v="2018-11-23T00:00:00"/>
    <m/>
    <x v="0"/>
    <x v="0"/>
  </r>
  <r>
    <s v="MRWSH025273"/>
    <x v="2"/>
    <x v="0"/>
    <d v="2018-11-12T00:00:00"/>
    <d v="1999-12-30T00:00:00"/>
    <d v="2018-11-09T00:00:00"/>
    <d v="2018-11-09T00:00:00"/>
    <x v="0"/>
    <x v="1"/>
  </r>
  <r>
    <s v="MRWSH025285"/>
    <x v="2"/>
    <x v="0"/>
    <d v="2018-11-26T00:00:00"/>
    <d v="1999-12-30T00:00:00"/>
    <d v="2018-11-08T00:00:00"/>
    <d v="2018-11-08T00:00:00"/>
    <x v="0"/>
    <x v="1"/>
  </r>
  <r>
    <s v="MRWSH025352"/>
    <x v="2"/>
    <x v="0"/>
    <d v="2018-11-26T00:00:00"/>
    <d v="1999-12-30T00:00:00"/>
    <d v="2018-11-08T00:00:00"/>
    <d v="2018-11-08T00:00:00"/>
    <x v="0"/>
    <x v="1"/>
  </r>
  <r>
    <s v="MRWSH025370"/>
    <x v="2"/>
    <x v="0"/>
    <d v="2018-11-26T00:00:00"/>
    <d v="1999-12-30T00:00:00"/>
    <d v="2018-11-09T00:00:00"/>
    <d v="2018-11-09T00:00:00"/>
    <x v="0"/>
    <x v="1"/>
  </r>
  <r>
    <s v="MRWSH025383"/>
    <x v="2"/>
    <x v="0"/>
    <d v="2018-11-30T00:00:00"/>
    <d v="1999-12-30T00:00:00"/>
    <d v="2018-11-15T00:00:00"/>
    <d v="2018-11-15T00:00:00"/>
    <x v="0"/>
    <x v="1"/>
  </r>
  <r>
    <s v="MRSTX042308"/>
    <x v="0"/>
    <x v="0"/>
    <d v="2018-11-17T00:00:00"/>
    <d v="2018-11-17T00:00:00"/>
    <d v="2018-11-16T00:00:00"/>
    <d v="2018-11-16T00:00:00"/>
    <x v="0"/>
    <x v="1"/>
  </r>
  <r>
    <s v="MRSTX042318"/>
    <x v="0"/>
    <x v="0"/>
    <d v="2018-11-16T00:00:00"/>
    <d v="2018-12-21T00:00:00"/>
    <d v="2018-11-30T00:00:00"/>
    <m/>
    <x v="0"/>
    <x v="3"/>
  </r>
  <r>
    <s v="MRSTX042365"/>
    <x v="0"/>
    <x v="0"/>
    <d v="2018-11-30T00:00:00"/>
    <d v="1999-12-30T00:00:00"/>
    <d v="2018-11-09T00:00:00"/>
    <d v="2018-11-09T00:00:00"/>
    <x v="0"/>
    <x v="1"/>
  </r>
  <r>
    <s v="MRSTX042370"/>
    <x v="0"/>
    <x v="0"/>
    <d v="2018-11-30T00:00:00"/>
    <d v="1999-12-30T00:00:00"/>
    <d v="2018-11-09T00:00:00"/>
    <d v="2018-11-09T00:00:00"/>
    <x v="0"/>
    <x v="1"/>
  </r>
  <r>
    <s v="MRSTX042450"/>
    <x v="0"/>
    <x v="0"/>
    <d v="2018-11-17T00:00:00"/>
    <d v="2018-12-20T00:00:00"/>
    <d v="2018-12-20T00:00:00"/>
    <m/>
    <x v="1"/>
    <x v="2"/>
  </r>
  <r>
    <s v="MRSTX042463"/>
    <x v="0"/>
    <x v="0"/>
    <d v="2018-11-30T00:00:00"/>
    <d v="1999-12-30T00:00:00"/>
    <d v="2018-11-30T00:00:00"/>
    <m/>
    <x v="0"/>
    <x v="0"/>
  </r>
  <r>
    <s v="MRSTX042467"/>
    <x v="0"/>
    <x v="0"/>
    <d v="2018-11-01T00:00:00"/>
    <d v="2018-11-15T00:00:00"/>
    <d v="2018-11-01T00:00:00"/>
    <d v="2018-11-01T00:00:00"/>
    <x v="0"/>
    <x v="1"/>
  </r>
  <r>
    <s v="MRSTX042472"/>
    <x v="0"/>
    <x v="0"/>
    <d v="2018-11-17T00:00:00"/>
    <d v="2018-12-20T00:00:00"/>
    <d v="2018-12-20T00:00:00"/>
    <m/>
    <x v="1"/>
    <x v="2"/>
  </r>
  <r>
    <s v="MRSTX042507"/>
    <x v="0"/>
    <x v="0"/>
    <d v="2018-11-17T00:00:00"/>
    <d v="2018-11-30T00:00:00"/>
    <d v="2018-11-30T00:00:00"/>
    <m/>
    <x v="0"/>
    <x v="0"/>
  </r>
  <r>
    <s v="MRSTX042597"/>
    <x v="0"/>
    <x v="0"/>
    <d v="2018-11-17T00:00:00"/>
    <d v="2018-12-14T00:00:00"/>
    <d v="2018-12-14T00:00:00"/>
    <m/>
    <x v="1"/>
    <x v="2"/>
  </r>
  <r>
    <s v="MRSTX042600"/>
    <x v="0"/>
    <x v="0"/>
    <d v="2018-11-17T00:00:00"/>
    <d v="2018-11-30T00:00:00"/>
    <d v="2018-11-30T00:00:00"/>
    <d v="2018-11-29T00:00:00"/>
    <x v="0"/>
    <x v="1"/>
  </r>
  <r>
    <s v="MRSTX042624"/>
    <x v="0"/>
    <x v="0"/>
    <d v="2018-11-23T00:00:00"/>
    <d v="1999-12-30T00:00:00"/>
    <d v="2018-11-09T00:00:00"/>
    <d v="2018-11-09T00:00:00"/>
    <x v="0"/>
    <x v="1"/>
  </r>
  <r>
    <s v="MRSTX042625"/>
    <x v="0"/>
    <x v="0"/>
    <d v="2018-11-16T00:00:00"/>
    <d v="1999-12-30T00:00:00"/>
    <d v="2018-11-14T00:00:00"/>
    <d v="2018-11-14T00:00:00"/>
    <x v="0"/>
    <x v="1"/>
  </r>
  <r>
    <s v="MRSTX042638"/>
    <x v="0"/>
    <x v="0"/>
    <d v="2018-11-30T00:00:00"/>
    <d v="1999-12-30T00:00:00"/>
    <d v="2018-11-14T00:00:00"/>
    <d v="2018-11-14T00:00:00"/>
    <x v="0"/>
    <x v="1"/>
  </r>
  <r>
    <s v="MRSTX042646"/>
    <x v="0"/>
    <x v="0"/>
    <d v="2018-11-30T00:00:00"/>
    <d v="1999-12-30T00:00:00"/>
    <d v="2018-11-09T00:00:00"/>
    <d v="2018-11-09T00:00:00"/>
    <x v="0"/>
    <x v="1"/>
  </r>
  <r>
    <s v="MRSTX042656"/>
    <x v="0"/>
    <x v="0"/>
    <d v="2018-11-01T00:00:00"/>
    <d v="1999-12-30T00:00:00"/>
    <d v="2018-11-01T00:00:00"/>
    <d v="2018-11-01T00:00:00"/>
    <x v="0"/>
    <x v="1"/>
  </r>
  <r>
    <s v="MRWSH026598"/>
    <x v="2"/>
    <x v="0"/>
    <d v="2018-11-02T00:00:00"/>
    <d v="1999-12-30T00:00:00"/>
    <d v="2019-03-30T00:00:00"/>
    <m/>
    <x v="1"/>
    <x v="5"/>
  </r>
  <r>
    <s v="MRWSH026599"/>
    <x v="2"/>
    <x v="0"/>
    <d v="2018-11-02T00:00:00"/>
    <d v="1999-12-30T00:00:00"/>
    <d v="2019-03-30T00:00:00"/>
    <m/>
    <x v="1"/>
    <x v="5"/>
  </r>
  <r>
    <s v="MRNTX036607"/>
    <x v="1"/>
    <x v="0"/>
    <d v="2018-11-26T00:00:00"/>
    <d v="2018-11-30T00:00:00"/>
    <d v="2018-11-21T00:00:00"/>
    <m/>
    <x v="0"/>
    <x v="0"/>
  </r>
  <r>
    <s v="MRNTX036616"/>
    <x v="1"/>
    <x v="0"/>
    <d v="2018-11-26T00:00:00"/>
    <d v="2018-11-30T00:00:00"/>
    <d v="2018-11-26T00:00:00"/>
    <m/>
    <x v="0"/>
    <x v="0"/>
  </r>
  <r>
    <s v="MRNTX036628"/>
    <x v="1"/>
    <x v="0"/>
    <d v="2018-11-22T00:00:00"/>
    <d v="2018-11-30T00:00:00"/>
    <d v="2018-11-30T00:00:00"/>
    <m/>
    <x v="0"/>
    <x v="0"/>
  </r>
  <r>
    <s v="MRNTX036640"/>
    <x v="1"/>
    <x v="0"/>
    <d v="2018-11-23T00:00:00"/>
    <d v="2019-01-17T00:00:00"/>
    <d v="2019-01-17T00:00:00"/>
    <m/>
    <x v="1"/>
    <x v="2"/>
  </r>
  <r>
    <s v="MRNTX036662"/>
    <x v="1"/>
    <x v="0"/>
    <d v="2018-11-26T00:00:00"/>
    <d v="2018-11-30T00:00:00"/>
    <d v="2018-11-26T00:00:00"/>
    <m/>
    <x v="0"/>
    <x v="0"/>
  </r>
  <r>
    <s v="MRNTX036691"/>
    <x v="1"/>
    <x v="0"/>
    <d v="2018-11-30T00:00:00"/>
    <d v="2018-11-30T00:00:00"/>
    <d v="2018-11-20T00:00:00"/>
    <d v="2018-11-20T00:00:00"/>
    <x v="0"/>
    <x v="1"/>
  </r>
  <r>
    <s v="MRNTX036732"/>
    <x v="1"/>
    <x v="0"/>
    <d v="2018-11-23T00:00:00"/>
    <d v="2019-01-17T00:00:00"/>
    <d v="2019-01-17T00:00:00"/>
    <m/>
    <x v="1"/>
    <x v="2"/>
  </r>
  <r>
    <s v="MRNTX036781"/>
    <x v="1"/>
    <x v="0"/>
    <d v="2018-11-22T00:00:00"/>
    <d v="2018-11-30T00:00:00"/>
    <d v="2018-11-30T00:00:00"/>
    <m/>
    <x v="0"/>
    <x v="0"/>
  </r>
  <r>
    <s v="MRNTX036796"/>
    <x v="1"/>
    <x v="0"/>
    <d v="2018-11-26T00:00:00"/>
    <d v="2018-11-30T00:00:00"/>
    <d v="2018-11-26T00:00:00"/>
    <m/>
    <x v="0"/>
    <x v="0"/>
  </r>
  <r>
    <s v="MRANM013412"/>
    <x v="3"/>
    <x v="1"/>
    <d v="2018-11-06T00:00:00"/>
    <d v="2018-12-12T00:00:00"/>
    <d v="2018-12-04T00:00:00"/>
    <m/>
    <x v="1"/>
    <x v="4"/>
  </r>
  <r>
    <s v="MRSTX043938"/>
    <x v="0"/>
    <x v="1"/>
    <d v="2018-11-07T00:00:00"/>
    <d v="2019-01-07T00:00:00"/>
    <d v="2019-01-07T00:00:00"/>
    <m/>
    <x v="1"/>
    <x v="4"/>
  </r>
  <r>
    <s v="MRSTX044018"/>
    <x v="0"/>
    <x v="1"/>
    <d v="2018-11-26T00:00:00"/>
    <d v="2018-12-23T00:00:00"/>
    <d v="2018-11-06T00:00:00"/>
    <m/>
    <x v="0"/>
    <x v="3"/>
  </r>
  <r>
    <s v="MRWSH020440"/>
    <x v="2"/>
    <x v="1"/>
    <d v="2018-11-08T00:00:00"/>
    <d v="2018-11-06T00:00:00"/>
    <d v="2018-11-06T00:00:00"/>
    <d v="2018-11-06T00:00:00"/>
    <x v="0"/>
    <x v="1"/>
  </r>
  <r>
    <s v="MRWSH020471"/>
    <x v="2"/>
    <x v="1"/>
    <d v="2018-11-07T00:00:00"/>
    <d v="2018-11-19T00:00:00"/>
    <d v="2018-11-19T00:00:00"/>
    <d v="2018-11-19T00:00:00"/>
    <x v="0"/>
    <x v="1"/>
  </r>
  <r>
    <s v="MRWSH020477"/>
    <x v="2"/>
    <x v="1"/>
    <d v="2018-11-06T00:00:00"/>
    <d v="2018-11-12T00:00:00"/>
    <d v="2018-11-12T00:00:00"/>
    <d v="2018-11-12T00:00:00"/>
    <x v="0"/>
    <x v="1"/>
  </r>
  <r>
    <s v="MRSTX040052"/>
    <x v="0"/>
    <x v="1"/>
    <d v="2018-11-23T00:00:00"/>
    <d v="2018-12-07T00:00:00"/>
    <d v="2018-12-07T00:00:00"/>
    <m/>
    <x v="0"/>
    <x v="0"/>
  </r>
  <r>
    <s v="MRSTX040055"/>
    <x v="0"/>
    <x v="1"/>
    <d v="2018-11-23T00:00:00"/>
    <d v="2018-11-23T00:00:00"/>
    <d v="2018-11-23T00:00:00"/>
    <m/>
    <x v="0"/>
    <x v="0"/>
  </r>
  <r>
    <s v="MRSTX040058"/>
    <x v="0"/>
    <x v="1"/>
    <d v="2018-11-23T00:00:00"/>
    <d v="2018-11-23T00:00:00"/>
    <d v="2018-11-23T00:00:00"/>
    <m/>
    <x v="0"/>
    <x v="0"/>
  </r>
  <r>
    <s v="MRSTX040082"/>
    <x v="0"/>
    <x v="1"/>
    <d v="2018-11-11T00:00:00"/>
    <d v="2018-12-07T00:00:00"/>
    <d v="2018-12-07T00:00:00"/>
    <m/>
    <x v="1"/>
    <x v="4"/>
  </r>
  <r>
    <s v="MRSTX040159"/>
    <x v="0"/>
    <x v="1"/>
    <d v="2018-11-23T00:00:00"/>
    <d v="2018-12-07T00:00:00"/>
    <d v="2018-12-07T00:00:00"/>
    <m/>
    <x v="0"/>
    <x v="0"/>
  </r>
  <r>
    <s v="MRSTX040162"/>
    <x v="0"/>
    <x v="1"/>
    <d v="2018-11-11T00:00:00"/>
    <d v="2018-12-07T00:00:00"/>
    <d v="2018-12-07T00:00:00"/>
    <m/>
    <x v="1"/>
    <x v="4"/>
  </r>
  <r>
    <s v="MRSTX040172"/>
    <x v="0"/>
    <x v="1"/>
    <d v="2018-11-22T00:00:00"/>
    <d v="2018-11-23T00:00:00"/>
    <d v="2018-11-22T00:00:00"/>
    <m/>
    <x v="0"/>
    <x v="0"/>
  </r>
  <r>
    <s v="MRSTX040175"/>
    <x v="0"/>
    <x v="1"/>
    <d v="2018-11-23T00:00:00"/>
    <d v="2018-11-30T00:00:00"/>
    <d v="2018-11-30T00:00:00"/>
    <m/>
    <x v="0"/>
    <x v="0"/>
  </r>
  <r>
    <s v="MRSTX040177"/>
    <x v="0"/>
    <x v="1"/>
    <d v="2018-11-23T00:00:00"/>
    <d v="2018-11-23T00:00:00"/>
    <d v="2018-11-23T00:00:00"/>
    <m/>
    <x v="0"/>
    <x v="0"/>
  </r>
  <r>
    <s v="MRSTX040184"/>
    <x v="0"/>
    <x v="1"/>
    <d v="2018-11-30T00:00:00"/>
    <d v="2018-12-21T00:00:00"/>
    <d v="2018-12-21T00:00:00"/>
    <m/>
    <x v="1"/>
    <x v="2"/>
  </r>
  <r>
    <s v="MRSTX040242"/>
    <x v="0"/>
    <x v="1"/>
    <d v="2018-11-07T00:00:00"/>
    <d v="2018-11-17T00:00:00"/>
    <d v="2018-11-17T00:00:00"/>
    <m/>
    <x v="0"/>
    <x v="0"/>
  </r>
  <r>
    <s v="MRWSH020481"/>
    <x v="2"/>
    <x v="1"/>
    <d v="2018-11-05T00:00:00"/>
    <d v="2018-11-16T00:00:00"/>
    <d v="2018-11-16T00:00:00"/>
    <d v="2018-11-16T00:00:00"/>
    <x v="0"/>
    <x v="1"/>
  </r>
  <r>
    <s v="MRWSH020511"/>
    <x v="2"/>
    <x v="1"/>
    <d v="2018-11-26T00:00:00"/>
    <d v="2018-11-19T00:00:00"/>
    <d v="2018-11-19T00:00:00"/>
    <d v="2018-11-19T00:00:00"/>
    <x v="0"/>
    <x v="1"/>
  </r>
  <r>
    <s v="MRWSH020566"/>
    <x v="2"/>
    <x v="1"/>
    <d v="2018-11-07T00:00:00"/>
    <d v="2018-11-06T00:00:00"/>
    <d v="2018-11-06T00:00:00"/>
    <d v="2018-11-06T00:00:00"/>
    <x v="0"/>
    <x v="1"/>
  </r>
  <r>
    <s v="MRWSH020589"/>
    <x v="2"/>
    <x v="1"/>
    <d v="2018-11-12T00:00:00"/>
    <d v="2018-11-13T00:00:00"/>
    <d v="2018-11-13T00:00:00"/>
    <d v="2018-11-13T00:00:00"/>
    <x v="0"/>
    <x v="1"/>
  </r>
  <r>
    <s v="MRWSH020590"/>
    <x v="2"/>
    <x v="1"/>
    <d v="2018-11-05T00:00:00"/>
    <d v="2018-11-05T00:00:00"/>
    <d v="2018-11-05T00:00:00"/>
    <d v="2018-11-05T00:00:00"/>
    <x v="0"/>
    <x v="1"/>
  </r>
  <r>
    <s v="MRWSH020606"/>
    <x v="2"/>
    <x v="1"/>
    <d v="2018-11-07T00:00:00"/>
    <d v="2018-11-09T00:00:00"/>
    <d v="2018-11-09T00:00:00"/>
    <d v="2018-11-09T00:00:00"/>
    <x v="0"/>
    <x v="1"/>
  </r>
  <r>
    <s v="MRWSH020618"/>
    <x v="2"/>
    <x v="1"/>
    <d v="2018-11-05T00:00:00"/>
    <d v="2018-11-07T00:00:00"/>
    <d v="2018-11-07T00:00:00"/>
    <d v="2018-11-07T00:00:00"/>
    <x v="0"/>
    <x v="1"/>
  </r>
  <r>
    <s v="MRWSH020917"/>
    <x v="2"/>
    <x v="1"/>
    <d v="2018-11-09T00:00:00"/>
    <d v="2018-11-14T00:00:00"/>
    <d v="2018-11-14T00:00:00"/>
    <d v="2018-11-14T00:00:00"/>
    <x v="0"/>
    <x v="1"/>
  </r>
  <r>
    <s v="MRWSH020937"/>
    <x v="2"/>
    <x v="1"/>
    <d v="2018-11-08T00:00:00"/>
    <d v="2018-11-16T00:00:00"/>
    <d v="2018-11-16T00:00:00"/>
    <d v="2018-11-16T00:00:00"/>
    <x v="0"/>
    <x v="1"/>
  </r>
  <r>
    <s v="MRWSH020983"/>
    <x v="2"/>
    <x v="1"/>
    <d v="2018-11-12T00:00:00"/>
    <d v="2018-11-13T00:00:00"/>
    <d v="2018-11-13T00:00:00"/>
    <d v="2018-11-13T00:00:00"/>
    <x v="0"/>
    <x v="1"/>
  </r>
  <r>
    <s v="MRSTX040328"/>
    <x v="0"/>
    <x v="1"/>
    <d v="2018-11-30T00:00:00"/>
    <d v="2018-12-07T00:00:00"/>
    <d v="2018-12-07T00:00:00"/>
    <m/>
    <x v="0"/>
    <x v="0"/>
  </r>
  <r>
    <s v="MRSTX040368"/>
    <x v="0"/>
    <x v="1"/>
    <d v="2018-11-23T00:00:00"/>
    <d v="2018-11-30T00:00:00"/>
    <d v="2018-11-30T00:00:00"/>
    <m/>
    <x v="0"/>
    <x v="0"/>
  </r>
  <r>
    <s v="MRSTX040389"/>
    <x v="0"/>
    <x v="1"/>
    <d v="2018-11-23T00:00:00"/>
    <d v="2018-11-30T00:00:00"/>
    <d v="2018-11-30T00:00:00"/>
    <m/>
    <x v="0"/>
    <x v="0"/>
  </r>
  <r>
    <s v="MRSTX040390"/>
    <x v="0"/>
    <x v="1"/>
    <d v="2018-11-30T00:00:00"/>
    <d v="2018-12-07T00:00:00"/>
    <d v="2018-12-07T00:00:00"/>
    <m/>
    <x v="0"/>
    <x v="0"/>
  </r>
  <r>
    <s v="MRSTX040394"/>
    <x v="0"/>
    <x v="1"/>
    <d v="2018-11-30T00:00:00"/>
    <d v="2018-12-07T00:00:00"/>
    <d v="2018-12-07T00:00:00"/>
    <m/>
    <x v="0"/>
    <x v="0"/>
  </r>
  <r>
    <s v="MRSTX040559"/>
    <x v="0"/>
    <x v="1"/>
    <d v="2018-11-30T00:00:00"/>
    <d v="2018-11-30T00:00:00"/>
    <d v="2018-11-30T00:00:00"/>
    <m/>
    <x v="0"/>
    <x v="0"/>
  </r>
  <r>
    <s v="MRSTX041027"/>
    <x v="0"/>
    <x v="1"/>
    <d v="2018-11-16T00:00:00"/>
    <d v="2018-11-16T00:00:00"/>
    <d v="2018-11-16T00:00:00"/>
    <m/>
    <x v="0"/>
    <x v="0"/>
  </r>
  <r>
    <s v="MRSTX041028"/>
    <x v="0"/>
    <x v="1"/>
    <d v="2018-11-16T00:00:00"/>
    <d v="2018-11-16T00:00:00"/>
    <d v="2018-11-16T00:00:00"/>
    <m/>
    <x v="0"/>
    <x v="0"/>
  </r>
  <r>
    <s v="MRSTX041042"/>
    <x v="0"/>
    <x v="1"/>
    <d v="2018-11-16T00:00:00"/>
    <d v="2018-11-16T00:00:00"/>
    <d v="2018-11-16T00:00:00"/>
    <m/>
    <x v="0"/>
    <x v="0"/>
  </r>
  <r>
    <s v="MRSTX033550"/>
    <x v="0"/>
    <x v="1"/>
    <d v="2018-11-02T00:00:00"/>
    <d v="2018-12-16T00:00:00"/>
    <d v="2018-12-16T00:00:00"/>
    <m/>
    <x v="1"/>
    <x v="4"/>
  </r>
  <r>
    <s v="MRSTX042694"/>
    <x v="0"/>
    <x v="1"/>
    <d v="2018-11-23T00:00:00"/>
    <d v="2018-11-23T00:00:00"/>
    <d v="2018-11-23T00:00:00"/>
    <m/>
    <x v="0"/>
    <x v="0"/>
  </r>
  <r>
    <s v="MRSTX042867"/>
    <x v="0"/>
    <x v="1"/>
    <d v="2018-11-23T00:00:00"/>
    <d v="2018-11-23T00:00:00"/>
    <d v="2018-11-23T00:00:00"/>
    <m/>
    <x v="0"/>
    <x v="0"/>
  </r>
  <r>
    <s v="MRSTX042897"/>
    <x v="0"/>
    <x v="1"/>
    <d v="2018-11-23T00:00:00"/>
    <d v="2018-12-07T00:00:00"/>
    <d v="2018-12-07T00:00:00"/>
    <m/>
    <x v="0"/>
    <x v="0"/>
  </r>
  <r>
    <s v="MRSTX042982"/>
    <x v="0"/>
    <x v="1"/>
    <d v="2018-11-07T00:00:00"/>
    <d v="2019-01-07T00:00:00"/>
    <d v="2019-01-07T00:00:00"/>
    <m/>
    <x v="1"/>
    <x v="4"/>
  </r>
  <r>
    <s v="MRSTX042990"/>
    <x v="0"/>
    <x v="1"/>
    <d v="2018-11-23T00:00:00"/>
    <d v="2018-12-07T00:00:00"/>
    <d v="2018-12-07T00:00:00"/>
    <m/>
    <x v="0"/>
    <x v="0"/>
  </r>
  <r>
    <s v="MRSTX043038"/>
    <x v="0"/>
    <x v="1"/>
    <d v="2018-11-23T00:00:00"/>
    <d v="2018-11-23T00:00:00"/>
    <d v="2018-11-23T00:00:00"/>
    <m/>
    <x v="0"/>
    <x v="0"/>
  </r>
  <r>
    <s v="MRANM014697"/>
    <x v="3"/>
    <x v="1"/>
    <d v="2018-11-05T00:00:00"/>
    <d v="2018-12-05T00:00:00"/>
    <d v="2018-12-05T00:00:00"/>
    <m/>
    <x v="1"/>
    <x v="4"/>
  </r>
  <r>
    <s v="MRNTX033248"/>
    <x v="1"/>
    <x v="1"/>
    <d v="2018-11-09T00:00:00"/>
    <d v="2019-03-01T00:00:00"/>
    <d v="2019-03-01T00:00:00"/>
    <m/>
    <x v="1"/>
    <x v="4"/>
  </r>
  <r>
    <s v="MRANM017198"/>
    <x v="3"/>
    <x v="1"/>
    <d v="2018-11-19T00:00:00"/>
    <d v="2018-12-03T00:00:00"/>
    <d v="2018-12-03T00:00:00"/>
    <m/>
    <x v="0"/>
    <x v="0"/>
  </r>
  <r>
    <s v="MRANM017314"/>
    <x v="3"/>
    <x v="1"/>
    <d v="2018-11-05T00:00:00"/>
    <d v="2018-11-05T00:00:00"/>
    <d v="2018-11-05T00:00:00"/>
    <d v="2018-11-05T00:00:00"/>
    <x v="0"/>
    <x v="1"/>
  </r>
  <r>
    <s v="MRANM017336"/>
    <x v="3"/>
    <x v="1"/>
    <d v="2018-11-08T00:00:00"/>
    <d v="2018-12-10T00:00:00"/>
    <d v="2018-12-10T00:00:00"/>
    <m/>
    <x v="1"/>
    <x v="4"/>
  </r>
  <r>
    <s v="MRANM017340"/>
    <x v="3"/>
    <x v="1"/>
    <d v="2018-11-11T00:00:00"/>
    <d v="2018-12-12T00:00:00"/>
    <d v="2018-12-12T00:00:00"/>
    <m/>
    <x v="1"/>
    <x v="4"/>
  </r>
  <r>
    <s v="MRANM019406"/>
    <x v="3"/>
    <x v="1"/>
    <d v="2018-11-05T00:00:00"/>
    <d v="2018-11-12T00:00:00"/>
    <d v="2018-11-13T00:00:00"/>
    <m/>
    <x v="0"/>
    <x v="0"/>
  </r>
  <r>
    <s v="MRANM019425"/>
    <x v="3"/>
    <x v="1"/>
    <d v="2018-11-05T00:00:00"/>
    <d v="2018-11-12T00:00:00"/>
    <d v="2018-11-13T00:00:00"/>
    <m/>
    <x v="0"/>
    <x v="0"/>
  </r>
  <r>
    <s v="MRANM019470"/>
    <x v="3"/>
    <x v="1"/>
    <d v="2018-11-05T00:00:00"/>
    <d v="2018-11-12T00:00:00"/>
    <d v="2018-11-13T00:00:00"/>
    <m/>
    <x v="0"/>
    <x v="0"/>
  </r>
  <r>
    <s v="MRNTX031595"/>
    <x v="1"/>
    <x v="1"/>
    <d v="2018-11-26T00:00:00"/>
    <d v="2018-11-26T00:00:00"/>
    <d v="2018-11-05T00:00:00"/>
    <d v="2018-11-05T00:00:00"/>
    <x v="0"/>
    <x v="1"/>
  </r>
  <r>
    <s v="MRNTX031637"/>
    <x v="1"/>
    <x v="1"/>
    <d v="2018-11-26T00:00:00"/>
    <d v="2018-11-26T00:00:00"/>
    <d v="2018-11-05T00:00:00"/>
    <d v="2018-11-05T00:00:00"/>
    <x v="0"/>
    <x v="1"/>
  </r>
  <r>
    <s v="MRSTX044234"/>
    <x v="0"/>
    <x v="1"/>
    <d v="2018-11-23T00:00:00"/>
    <d v="2018-11-30T00:00:00"/>
    <d v="2018-11-30T00:00:00"/>
    <m/>
    <x v="0"/>
    <x v="0"/>
  </r>
  <r>
    <s v="MRSTX044290"/>
    <x v="0"/>
    <x v="1"/>
    <d v="2018-11-23T00:00:00"/>
    <d v="2018-11-23T00:00:00"/>
    <d v="2018-11-23T00:00:00"/>
    <m/>
    <x v="0"/>
    <x v="0"/>
  </r>
  <r>
    <s v="MRSTX044424"/>
    <x v="0"/>
    <x v="1"/>
    <d v="2018-11-23T00:00:00"/>
    <d v="2018-12-07T00:00:00"/>
    <d v="2018-12-07T00:00:00"/>
    <m/>
    <x v="0"/>
    <x v="0"/>
  </r>
  <r>
    <s v="MRWSH021155"/>
    <x v="2"/>
    <x v="1"/>
    <d v="2018-11-12T00:00:00"/>
    <d v="2018-11-26T00:00:00"/>
    <d v="2018-11-26T00:00:00"/>
    <d v="2018-11-26T00:00:00"/>
    <x v="0"/>
    <x v="1"/>
  </r>
  <r>
    <s v="MRWSH021899"/>
    <x v="2"/>
    <x v="1"/>
    <d v="2018-11-19T00:00:00"/>
    <d v="2019-01-07T00:00:00"/>
    <d v="2018-12-03T00:00:00"/>
    <m/>
    <x v="0"/>
    <x v="3"/>
  </r>
  <r>
    <s v="MRWSH021936"/>
    <x v="2"/>
    <x v="1"/>
    <d v="2018-11-07T00:00:00"/>
    <d v="2018-11-09T00:00:00"/>
    <d v="2018-11-09T00:00:00"/>
    <d v="2018-11-09T00:00:00"/>
    <x v="0"/>
    <x v="1"/>
  </r>
  <r>
    <s v="MRWSH021957"/>
    <x v="2"/>
    <x v="1"/>
    <d v="2018-11-19T00:00:00"/>
    <d v="2018-11-06T00:00:00"/>
    <d v="2018-11-06T00:00:00"/>
    <d v="2018-11-06T00:00:00"/>
    <x v="0"/>
    <x v="1"/>
  </r>
  <r>
    <s v="MRWSH021971"/>
    <x v="2"/>
    <x v="1"/>
    <d v="2018-11-10T00:00:00"/>
    <d v="2018-11-13T00:00:00"/>
    <d v="2018-11-13T00:00:00"/>
    <d v="2018-11-13T00:00:00"/>
    <x v="0"/>
    <x v="1"/>
  </r>
  <r>
    <s v="MRWSH021973"/>
    <x v="2"/>
    <x v="1"/>
    <d v="2018-11-12T00:00:00"/>
    <d v="2018-11-13T00:00:00"/>
    <d v="2018-11-13T00:00:00"/>
    <d v="2018-11-13T00:00:00"/>
    <x v="0"/>
    <x v="1"/>
  </r>
  <r>
    <s v="MRWSH022032"/>
    <x v="2"/>
    <x v="1"/>
    <d v="2018-11-05T00:00:00"/>
    <d v="2018-11-07T00:00:00"/>
    <d v="2018-11-07T00:00:00"/>
    <d v="2018-11-07T00:00:00"/>
    <x v="0"/>
    <x v="1"/>
  </r>
  <r>
    <s v="MRWSH022046"/>
    <x v="2"/>
    <x v="1"/>
    <d v="2018-11-05T00:00:00"/>
    <d v="2018-12-10T00:00:00"/>
    <d v="2018-12-03T00:00:00"/>
    <m/>
    <x v="1"/>
    <x v="4"/>
  </r>
  <r>
    <s v="MRWSH022072"/>
    <x v="2"/>
    <x v="1"/>
    <d v="2018-11-12T00:00:00"/>
    <d v="2018-11-16T00:00:00"/>
    <d v="2018-11-16T00:00:00"/>
    <d v="2018-11-16T00:00:00"/>
    <x v="0"/>
    <x v="1"/>
  </r>
  <r>
    <s v="MRWSH022091"/>
    <x v="2"/>
    <x v="1"/>
    <d v="2018-11-06T00:00:00"/>
    <d v="2018-11-08T00:00:00"/>
    <d v="2018-11-08T00:00:00"/>
    <d v="2018-11-08T00:00:00"/>
    <x v="0"/>
    <x v="1"/>
  </r>
  <r>
    <s v="MRWSH022118"/>
    <x v="2"/>
    <x v="1"/>
    <d v="2018-11-07T00:00:00"/>
    <d v="2018-11-09T00:00:00"/>
    <d v="2018-11-09T00:00:00"/>
    <d v="2018-11-09T00:00:00"/>
    <x v="0"/>
    <x v="1"/>
  </r>
  <r>
    <s v="MRWSH022128"/>
    <x v="2"/>
    <x v="1"/>
    <d v="2018-11-07T00:00:00"/>
    <d v="2018-11-06T00:00:00"/>
    <d v="2018-11-06T00:00:00"/>
    <d v="2018-11-06T00:00:00"/>
    <x v="0"/>
    <x v="1"/>
  </r>
  <r>
    <s v="MRWSH022179"/>
    <x v="2"/>
    <x v="1"/>
    <d v="2018-11-06T00:00:00"/>
    <d v="2018-11-08T00:00:00"/>
    <d v="2018-11-08T00:00:00"/>
    <d v="2018-11-08T00:00:00"/>
    <x v="0"/>
    <x v="1"/>
  </r>
  <r>
    <s v="MRWSH022224"/>
    <x v="2"/>
    <x v="1"/>
    <d v="2018-11-26T00:00:00"/>
    <d v="2018-11-26T00:00:00"/>
    <d v="2018-11-26T00:00:00"/>
    <d v="2018-11-26T00:00:00"/>
    <x v="0"/>
    <x v="1"/>
  </r>
  <r>
    <s v="MRWSH022242"/>
    <x v="2"/>
    <x v="1"/>
    <d v="2018-11-07T00:00:00"/>
    <d v="2018-11-06T00:00:00"/>
    <d v="2018-11-06T00:00:00"/>
    <d v="2018-11-06T00:00:00"/>
    <x v="0"/>
    <x v="1"/>
  </r>
  <r>
    <s v="MRWSH022276"/>
    <x v="2"/>
    <x v="1"/>
    <d v="2018-11-12T00:00:00"/>
    <d v="2018-11-13T00:00:00"/>
    <d v="2018-11-13T00:00:00"/>
    <d v="2018-11-13T00:00:00"/>
    <x v="0"/>
    <x v="1"/>
  </r>
  <r>
    <s v="MRWSH022281"/>
    <x v="2"/>
    <x v="1"/>
    <d v="2018-11-07T00:00:00"/>
    <d v="2018-11-09T00:00:00"/>
    <d v="2018-11-09T00:00:00"/>
    <d v="2018-11-09T00:00:00"/>
    <x v="0"/>
    <x v="1"/>
  </r>
  <r>
    <s v="MRWSH022296"/>
    <x v="2"/>
    <x v="1"/>
    <d v="2018-11-09T00:00:00"/>
    <d v="2018-11-14T00:00:00"/>
    <d v="2018-11-14T00:00:00"/>
    <d v="2018-11-14T00:00:00"/>
    <x v="0"/>
    <x v="1"/>
  </r>
  <r>
    <s v="MRSTX043255"/>
    <x v="0"/>
    <x v="1"/>
    <d v="2018-11-23T00:00:00"/>
    <d v="2018-11-23T00:00:00"/>
    <d v="2018-11-23T00:00:00"/>
    <m/>
    <x v="0"/>
    <x v="0"/>
  </r>
  <r>
    <s v="MRSTX043322"/>
    <x v="0"/>
    <x v="1"/>
    <d v="2018-11-23T00:00:00"/>
    <d v="2018-11-23T00:00:00"/>
    <d v="2018-11-23T00:00:00"/>
    <m/>
    <x v="0"/>
    <x v="0"/>
  </r>
  <r>
    <s v="MRSTX043344"/>
    <x v="0"/>
    <x v="1"/>
    <d v="2018-11-23T00:00:00"/>
    <d v="2018-12-07T00:00:00"/>
    <d v="2018-12-07T00:00:00"/>
    <m/>
    <x v="0"/>
    <x v="0"/>
  </r>
  <r>
    <s v="MRNTX030587"/>
    <x v="1"/>
    <x v="1"/>
    <d v="2018-11-30T00:00:00"/>
    <d v="2019-02-15T00:00:00"/>
    <d v="2019-02-15T00:00:00"/>
    <m/>
    <x v="1"/>
    <x v="2"/>
  </r>
  <r>
    <s v="MRNTX033655"/>
    <x v="1"/>
    <x v="1"/>
    <d v="2018-11-09T00:00:00"/>
    <d v="2019-03-01T00:00:00"/>
    <d v="2019-03-01T00:00:00"/>
    <m/>
    <x v="1"/>
    <x v="4"/>
  </r>
  <r>
    <s v="MRANM019602"/>
    <x v="3"/>
    <x v="1"/>
    <d v="2018-11-05T00:00:00"/>
    <d v="2018-11-26T00:00:00"/>
    <d v="2018-11-28T00:00:00"/>
    <d v="2018-11-28T00:00:00"/>
    <x v="1"/>
    <x v="1"/>
  </r>
  <r>
    <s v="MRANM019704"/>
    <x v="3"/>
    <x v="1"/>
    <d v="2018-11-05T00:00:00"/>
    <d v="2018-11-26T00:00:00"/>
    <d v="2018-11-28T00:00:00"/>
    <d v="2018-11-28T00:00:00"/>
    <x v="1"/>
    <x v="1"/>
  </r>
  <r>
    <s v="MRANM019731"/>
    <x v="3"/>
    <x v="1"/>
    <d v="2018-11-05T00:00:00"/>
    <d v="2018-11-26T00:00:00"/>
    <d v="2018-11-28T00:00:00"/>
    <d v="2018-11-28T00:00:00"/>
    <x v="1"/>
    <x v="1"/>
  </r>
  <r>
    <s v="MRANM019748"/>
    <x v="3"/>
    <x v="1"/>
    <d v="2018-11-05T00:00:00"/>
    <d v="2018-11-12T00:00:00"/>
    <d v="2018-11-13T00:00:00"/>
    <d v="2018-11-13T00:00:00"/>
    <x v="0"/>
    <x v="1"/>
  </r>
  <r>
    <s v="MRANM019759"/>
    <x v="3"/>
    <x v="1"/>
    <d v="2018-11-05T00:00:00"/>
    <d v="2018-11-12T00:00:00"/>
    <d v="2018-11-13T00:00:00"/>
    <d v="2018-11-13T00:00:00"/>
    <x v="0"/>
    <x v="1"/>
  </r>
  <r>
    <s v="MRANM019761"/>
    <x v="3"/>
    <x v="1"/>
    <d v="2018-11-05T00:00:00"/>
    <d v="2018-11-12T00:00:00"/>
    <d v="2018-11-13T00:00:00"/>
    <d v="2018-11-13T00:00:00"/>
    <x v="0"/>
    <x v="1"/>
  </r>
  <r>
    <s v="MRANM020131"/>
    <x v="3"/>
    <x v="1"/>
    <d v="2018-11-09T00:00:00"/>
    <d v="2018-11-12T00:00:00"/>
    <d v="2018-11-13T00:00:00"/>
    <d v="2018-11-13T00:00:00"/>
    <x v="0"/>
    <x v="1"/>
  </r>
  <r>
    <s v="MRANM020161"/>
    <x v="3"/>
    <x v="1"/>
    <d v="2018-11-02T00:00:00"/>
    <d v="2018-11-05T00:00:00"/>
    <d v="2018-11-02T00:00:00"/>
    <d v="2018-11-02T00:00:00"/>
    <x v="0"/>
    <x v="1"/>
  </r>
  <r>
    <s v="MRANM020162"/>
    <x v="3"/>
    <x v="1"/>
    <d v="2018-11-19T00:00:00"/>
    <d v="2018-12-07T00:00:00"/>
    <d v="2018-12-07T00:00:00"/>
    <m/>
    <x v="1"/>
    <x v="2"/>
  </r>
  <r>
    <s v="MRANM020170"/>
    <x v="3"/>
    <x v="1"/>
    <d v="2018-11-05T00:00:00"/>
    <d v="2018-11-26T00:00:00"/>
    <d v="2018-11-28T00:00:00"/>
    <d v="2018-11-28T00:00:00"/>
    <x v="1"/>
    <x v="1"/>
  </r>
  <r>
    <s v="MRANM020388"/>
    <x v="3"/>
    <x v="1"/>
    <d v="2018-11-12T00:00:00"/>
    <d v="2018-12-31T00:00:00"/>
    <d v="2018-12-31T00:00:00"/>
    <m/>
    <x v="1"/>
    <x v="4"/>
  </r>
  <r>
    <s v="MRANM020407"/>
    <x v="3"/>
    <x v="1"/>
    <d v="2018-11-19T00:00:00"/>
    <d v="2018-12-03T00:00:00"/>
    <d v="2018-12-03T00:00:00"/>
    <m/>
    <x v="0"/>
    <x v="0"/>
  </r>
  <r>
    <s v="MRANM020435"/>
    <x v="3"/>
    <x v="1"/>
    <d v="2018-11-05T00:00:00"/>
    <d v="2018-11-28T00:00:00"/>
    <d v="2018-11-28T00:00:00"/>
    <m/>
    <x v="1"/>
    <x v="4"/>
  </r>
  <r>
    <s v="MRANM020441"/>
    <x v="3"/>
    <x v="1"/>
    <d v="2018-11-09T00:00:00"/>
    <d v="2018-11-12T00:00:00"/>
    <d v="2018-11-13T00:00:00"/>
    <d v="2018-11-13T00:00:00"/>
    <x v="0"/>
    <x v="1"/>
  </r>
  <r>
    <s v="MRANM020465"/>
    <x v="3"/>
    <x v="1"/>
    <d v="2018-11-09T00:00:00"/>
    <d v="2018-11-26T00:00:00"/>
    <d v="2018-11-28T00:00:00"/>
    <d v="2018-11-28T00:00:00"/>
    <x v="1"/>
    <x v="1"/>
  </r>
  <r>
    <s v="MRANM020471"/>
    <x v="3"/>
    <x v="1"/>
    <d v="2018-11-12T00:00:00"/>
    <d v="2018-12-31T00:00:00"/>
    <d v="2018-12-31T00:00:00"/>
    <m/>
    <x v="1"/>
    <x v="4"/>
  </r>
  <r>
    <s v="MRANM020548"/>
    <x v="3"/>
    <x v="1"/>
    <d v="2018-11-19T00:00:00"/>
    <d v="2018-12-07T00:00:00"/>
    <d v="2018-12-07T00:00:00"/>
    <m/>
    <x v="1"/>
    <x v="2"/>
  </r>
  <r>
    <s v="MRANM021941"/>
    <x v="3"/>
    <x v="1"/>
    <d v="2018-11-12T00:00:00"/>
    <d v="2018-11-12T00:00:00"/>
    <d v="2018-11-12T00:00:00"/>
    <m/>
    <x v="0"/>
    <x v="0"/>
  </r>
  <r>
    <s v="MRNTX024483"/>
    <x v="1"/>
    <x v="1"/>
    <d v="2018-11-30T00:00:00"/>
    <d v="2019-01-16T00:00:00"/>
    <d v="2019-01-16T00:00:00"/>
    <m/>
    <x v="1"/>
    <x v="2"/>
  </r>
  <r>
    <s v="MRSTX036335"/>
    <x v="0"/>
    <x v="1"/>
    <d v="2018-11-09T00:00:00"/>
    <d v="2018-11-14T00:00:00"/>
    <d v="2018-11-10T00:00:00"/>
    <d v="2018-11-10T00:00:00"/>
    <x v="0"/>
    <x v="1"/>
  </r>
  <r>
    <s v="MRWSH022861"/>
    <x v="2"/>
    <x v="1"/>
    <d v="2018-11-12T00:00:00"/>
    <d v="2018-11-05T00:00:00"/>
    <d v="2018-11-05T00:00:00"/>
    <d v="2018-11-05T00:00:00"/>
    <x v="0"/>
    <x v="1"/>
  </r>
  <r>
    <s v="MRWSH022864"/>
    <x v="2"/>
    <x v="1"/>
    <d v="2018-11-19T00:00:00"/>
    <d v="2018-11-20T00:00:00"/>
    <d v="2018-11-20T00:00:00"/>
    <d v="2018-11-20T00:00:00"/>
    <x v="0"/>
    <x v="1"/>
  </r>
  <r>
    <s v="MRWSH022866"/>
    <x v="2"/>
    <x v="1"/>
    <d v="2018-11-26T00:00:00"/>
    <d v="2018-11-16T00:00:00"/>
    <d v="2018-11-16T00:00:00"/>
    <d v="2018-11-16T00:00:00"/>
    <x v="0"/>
    <x v="1"/>
  </r>
  <r>
    <s v="MRWSH022874"/>
    <x v="2"/>
    <x v="1"/>
    <d v="2018-11-06T00:00:00"/>
    <d v="2018-11-06T00:00:00"/>
    <d v="2018-11-06T00:00:00"/>
    <d v="2018-11-06T00:00:00"/>
    <x v="0"/>
    <x v="1"/>
  </r>
  <r>
    <s v="MRWSH022972"/>
    <x v="2"/>
    <x v="1"/>
    <d v="2018-11-01T00:00:00"/>
    <d v="2018-11-01T00:00:00"/>
    <d v="2018-11-01T00:00:00"/>
    <d v="2018-11-01T00:00:00"/>
    <x v="0"/>
    <x v="1"/>
  </r>
  <r>
    <s v="MRWSH022984"/>
    <x v="2"/>
    <x v="1"/>
    <d v="2018-11-05T00:00:00"/>
    <d v="2018-11-05T00:00:00"/>
    <d v="2018-11-05T00:00:00"/>
    <d v="2018-11-05T00:00:00"/>
    <x v="0"/>
    <x v="1"/>
  </r>
  <r>
    <s v="MRSTX033952"/>
    <x v="0"/>
    <x v="1"/>
    <d v="2018-11-02T00:00:00"/>
    <d v="2018-11-02T00:00:00"/>
    <d v="2018-12-01T00:00:00"/>
    <m/>
    <x v="1"/>
    <x v="5"/>
  </r>
  <r>
    <s v="MRWSH023045"/>
    <x v="2"/>
    <x v="1"/>
    <d v="2018-11-01T00:00:00"/>
    <d v="2018-11-01T00:00:00"/>
    <d v="2018-11-01T00:00:00"/>
    <d v="2018-11-01T00:00:00"/>
    <x v="0"/>
    <x v="1"/>
  </r>
  <r>
    <s v="MRWSH023048"/>
    <x v="2"/>
    <x v="1"/>
    <d v="2018-11-01T00:00:00"/>
    <d v="2018-11-01T00:00:00"/>
    <d v="2018-11-01T00:00:00"/>
    <d v="2018-11-01T00:00:00"/>
    <x v="0"/>
    <x v="1"/>
  </r>
  <r>
    <s v="MRWSH023070"/>
    <x v="2"/>
    <x v="1"/>
    <d v="2018-11-26T00:00:00"/>
    <d v="2019-01-14T00:00:00"/>
    <d v="2018-12-10T00:00:00"/>
    <m/>
    <x v="0"/>
    <x v="3"/>
  </r>
  <r>
    <s v="MRWSH023099"/>
    <x v="2"/>
    <x v="1"/>
    <d v="2018-11-12T00:00:00"/>
    <d v="2018-12-15T00:00:00"/>
    <d v="2018-12-15T00:00:00"/>
    <m/>
    <x v="1"/>
    <x v="4"/>
  </r>
  <r>
    <s v="MRWSH023112"/>
    <x v="2"/>
    <x v="1"/>
    <d v="2018-11-26T00:00:00"/>
    <d v="2019-01-14T00:00:00"/>
    <d v="2018-12-10T00:00:00"/>
    <m/>
    <x v="0"/>
    <x v="3"/>
  </r>
  <r>
    <s v="MRWSH023113"/>
    <x v="2"/>
    <x v="1"/>
    <d v="2018-11-26T00:00:00"/>
    <d v="2018-12-05T00:00:00"/>
    <d v="2018-12-03T00:00:00"/>
    <m/>
    <x v="0"/>
    <x v="0"/>
  </r>
  <r>
    <s v="MRWSH023150"/>
    <x v="2"/>
    <x v="1"/>
    <d v="2018-11-26T00:00:00"/>
    <d v="2019-01-14T00:00:00"/>
    <d v="2018-12-10T00:00:00"/>
    <m/>
    <x v="0"/>
    <x v="3"/>
  </r>
  <r>
    <s v="MRWSH023162"/>
    <x v="2"/>
    <x v="1"/>
    <d v="2018-11-26T00:00:00"/>
    <d v="2018-12-01T00:00:00"/>
    <d v="2018-11-29T00:00:00"/>
    <m/>
    <x v="0"/>
    <x v="0"/>
  </r>
  <r>
    <s v="MRWSH023163"/>
    <x v="2"/>
    <x v="1"/>
    <d v="2018-11-26T00:00:00"/>
    <d v="2018-12-01T00:00:00"/>
    <d v="2018-11-29T00:00:00"/>
    <m/>
    <x v="0"/>
    <x v="0"/>
  </r>
  <r>
    <s v="MRWSH024470"/>
    <x v="2"/>
    <x v="1"/>
    <d v="2018-11-15T00:00:00"/>
    <d v="2018-08-01T00:00:00"/>
    <d v="2018-12-03T00:00:00"/>
    <m/>
    <x v="1"/>
    <x v="5"/>
  </r>
  <r>
    <s v="MRWSH024472"/>
    <x v="2"/>
    <x v="1"/>
    <d v="2018-11-07T00:00:00"/>
    <d v="2018-11-05T00:00:00"/>
    <d v="2018-11-05T00:00:00"/>
    <d v="2018-11-05T00:00:00"/>
    <x v="0"/>
    <x v="1"/>
  </r>
  <r>
    <s v="MRWSH024476"/>
    <x v="2"/>
    <x v="1"/>
    <d v="2018-11-06T00:00:00"/>
    <d v="2018-11-12T00:00:00"/>
    <d v="2018-11-12T00:00:00"/>
    <d v="2018-11-12T00:00:00"/>
    <x v="0"/>
    <x v="1"/>
  </r>
  <r>
    <s v="MRWSH024483"/>
    <x v="2"/>
    <x v="1"/>
    <d v="2018-11-19T00:00:00"/>
    <d v="2018-11-19T00:00:00"/>
    <d v="2018-11-19T00:00:00"/>
    <d v="2018-11-19T00:00:00"/>
    <x v="0"/>
    <x v="1"/>
  </r>
  <r>
    <s v="MRWSH024485"/>
    <x v="2"/>
    <x v="1"/>
    <d v="2018-11-12T00:00:00"/>
    <d v="2018-11-13T00:00:00"/>
    <d v="2018-11-12T00:00:00"/>
    <d v="2018-11-12T00:00:00"/>
    <x v="0"/>
    <x v="1"/>
  </r>
  <r>
    <s v="MRWSH024505"/>
    <x v="2"/>
    <x v="1"/>
    <d v="2018-11-07T00:00:00"/>
    <d v="2018-11-12T00:00:00"/>
    <d v="2018-11-12T00:00:00"/>
    <d v="2018-11-12T00:00:00"/>
    <x v="0"/>
    <x v="1"/>
  </r>
  <r>
    <s v="MRWSH024516"/>
    <x v="2"/>
    <x v="1"/>
    <d v="2018-11-07T00:00:00"/>
    <d v="2018-11-19T00:00:00"/>
    <d v="2018-11-19T00:00:00"/>
    <d v="2018-11-19T00:00:00"/>
    <x v="0"/>
    <x v="1"/>
  </r>
  <r>
    <s v="MRWSH024525"/>
    <x v="2"/>
    <x v="1"/>
    <d v="2018-11-05T00:00:00"/>
    <d v="2018-11-16T00:00:00"/>
    <d v="2018-11-16T00:00:00"/>
    <d v="2018-11-16T00:00:00"/>
    <x v="0"/>
    <x v="1"/>
  </r>
  <r>
    <s v="MRWSH024533"/>
    <x v="2"/>
    <x v="1"/>
    <d v="2018-11-12T00:00:00"/>
    <d v="2018-11-26T00:00:00"/>
    <d v="2018-11-26T00:00:00"/>
    <d v="2018-11-26T00:00:00"/>
    <x v="0"/>
    <x v="1"/>
  </r>
  <r>
    <s v="MRWSH024551"/>
    <x v="2"/>
    <x v="1"/>
    <d v="2018-11-12T00:00:00"/>
    <d v="2018-11-26T00:00:00"/>
    <d v="2018-11-26T00:00:00"/>
    <d v="2018-11-26T00:00:00"/>
    <x v="0"/>
    <x v="1"/>
  </r>
  <r>
    <s v="MRANM006454"/>
    <x v="3"/>
    <x v="1"/>
    <d v="2018-11-06T00:00:00"/>
    <d v="2018-12-12T00:00:00"/>
    <d v="2018-12-04T00:00:00"/>
    <m/>
    <x v="1"/>
    <x v="4"/>
  </r>
  <r>
    <s v="MRSTX043450"/>
    <x v="0"/>
    <x v="1"/>
    <d v="2018-11-23T00:00:00"/>
    <d v="2018-12-07T00:00:00"/>
    <d v="2018-12-07T00:00:00"/>
    <m/>
    <x v="0"/>
    <x v="0"/>
  </r>
  <r>
    <s v="MRSTX043459"/>
    <x v="0"/>
    <x v="1"/>
    <d v="2018-11-23T00:00:00"/>
    <d v="2018-11-23T00:00:00"/>
    <d v="2018-11-23T00:00:00"/>
    <m/>
    <x v="0"/>
    <x v="0"/>
  </r>
  <r>
    <s v="MRSTX043498"/>
    <x v="0"/>
    <x v="1"/>
    <d v="2018-11-09T00:00:00"/>
    <d v="2018-11-09T00:00:00"/>
    <d v="2018-11-09T00:00:00"/>
    <m/>
    <x v="0"/>
    <x v="0"/>
  </r>
  <r>
    <s v="MRSTX043521"/>
    <x v="0"/>
    <x v="1"/>
    <d v="2018-11-23T00:00:00"/>
    <d v="2018-11-23T00:00:00"/>
    <d v="2018-11-23T00:00:00"/>
    <m/>
    <x v="0"/>
    <x v="0"/>
  </r>
  <r>
    <s v="MRSTX043652"/>
    <x v="0"/>
    <x v="1"/>
    <d v="2018-11-26T00:00:00"/>
    <d v="2018-12-23T00:00:00"/>
    <d v="2018-11-06T00:00:00"/>
    <m/>
    <x v="0"/>
    <x v="3"/>
  </r>
  <r>
    <s v="MRNTX036062"/>
    <x v="1"/>
    <x v="1"/>
    <d v="2018-11-27T00:00:00"/>
    <d v="2019-02-15T00:00:00"/>
    <d v="2019-02-15T00:00:00"/>
    <m/>
    <x v="1"/>
    <x v="2"/>
  </r>
  <r>
    <s v="MRNTX036096"/>
    <x v="1"/>
    <x v="1"/>
    <d v="2018-11-27T00:00:00"/>
    <d v="2019-02-15T00:00:00"/>
    <d v="2019-02-15T00:00:00"/>
    <m/>
    <x v="1"/>
    <x v="2"/>
  </r>
  <r>
    <s v="MRNTX029330"/>
    <x v="1"/>
    <x v="1"/>
    <d v="2018-11-12T00:00:00"/>
    <d v="2019-01-16T00:00:00"/>
    <d v="2019-01-16T00:00:00"/>
    <m/>
    <x v="1"/>
    <x v="4"/>
  </r>
  <r>
    <s v="MRNTX029640"/>
    <x v="1"/>
    <x v="1"/>
    <d v="2018-11-12T00:00:00"/>
    <d v="2019-01-16T00:00:00"/>
    <d v="2019-01-16T00:00:00"/>
    <m/>
    <x v="1"/>
    <x v="4"/>
  </r>
  <r>
    <s v="MRNTX029731"/>
    <x v="1"/>
    <x v="1"/>
    <d v="2018-11-12T00:00:00"/>
    <d v="2019-01-16T00:00:00"/>
    <d v="2019-01-16T00:00:00"/>
    <m/>
    <x v="1"/>
    <x v="4"/>
  </r>
  <r>
    <s v="MRNTX033345"/>
    <x v="1"/>
    <x v="1"/>
    <d v="2018-11-09T00:00:00"/>
    <d v="2019-03-01T00:00:00"/>
    <d v="2019-03-01T00:00:00"/>
    <m/>
    <x v="1"/>
    <x v="4"/>
  </r>
  <r>
    <s v="MRNTX033451"/>
    <x v="1"/>
    <x v="1"/>
    <d v="2018-11-09T00:00:00"/>
    <d v="2019-03-01T00:00:00"/>
    <d v="2019-03-01T00:00:00"/>
    <m/>
    <x v="1"/>
    <x v="4"/>
  </r>
  <r>
    <s v="MRWSH016029"/>
    <x v="2"/>
    <x v="1"/>
    <d v="2018-11-26T00:00:00"/>
    <d v="2018-12-10T00:00:00"/>
    <d v="2018-12-10T00:00:00"/>
    <m/>
    <x v="0"/>
    <x v="0"/>
  </r>
  <r>
    <s v="MRWSH016104"/>
    <x v="2"/>
    <x v="1"/>
    <d v="2018-11-02T00:00:00"/>
    <d v="2018-09-20T00:00:00"/>
    <d v="2018-11-02T00:00:00"/>
    <d v="2018-11-02T00:00:00"/>
    <x v="0"/>
    <x v="1"/>
  </r>
  <r>
    <s v="MRWSH017721"/>
    <x v="2"/>
    <x v="1"/>
    <d v="2018-11-12T00:00:00"/>
    <d v="2018-12-10T00:00:00"/>
    <d v="2018-12-10T00:00:00"/>
    <m/>
    <x v="1"/>
    <x v="4"/>
  </r>
  <r>
    <s v="MRWSH017751"/>
    <x v="2"/>
    <x v="1"/>
    <d v="2018-11-26T00:00:00"/>
    <d v="2018-12-10T00:00:00"/>
    <d v="2018-12-10T00:00:00"/>
    <m/>
    <x v="0"/>
    <x v="0"/>
  </r>
  <r>
    <s v="MRWSH019743"/>
    <x v="2"/>
    <x v="1"/>
    <d v="2018-11-19T00:00:00"/>
    <d v="2018-11-19T00:00:00"/>
    <d v="2018-11-19T00:00:00"/>
    <d v="2018-11-19T00:00:00"/>
    <x v="0"/>
    <x v="1"/>
  </r>
  <r>
    <s v="MRWSH019917"/>
    <x v="2"/>
    <x v="1"/>
    <d v="2018-11-26T00:00:00"/>
    <d v="2018-11-23T00:00:00"/>
    <d v="2018-11-23T00:00:00"/>
    <d v="2018-11-23T00:00:00"/>
    <x v="0"/>
    <x v="1"/>
  </r>
  <r>
    <s v="MRWSH019936"/>
    <x v="2"/>
    <x v="1"/>
    <d v="2018-11-06T00:00:00"/>
    <d v="2018-11-12T00:00:00"/>
    <d v="2018-11-12T00:00:00"/>
    <d v="2018-11-12T00:00:00"/>
    <x v="0"/>
    <x v="1"/>
  </r>
  <r>
    <s v="MRWSH019940"/>
    <x v="2"/>
    <x v="1"/>
    <d v="2018-11-05T00:00:00"/>
    <d v="2018-11-07T00:00:00"/>
    <d v="2018-11-07T00:00:00"/>
    <d v="2018-11-07T00:00:00"/>
    <x v="0"/>
    <x v="1"/>
  </r>
  <r>
    <s v="MRANM021975"/>
    <x v="3"/>
    <x v="1"/>
    <d v="2018-11-19T00:00:00"/>
    <d v="2018-12-10T00:00:00"/>
    <d v="2018-12-10T00:00:00"/>
    <m/>
    <x v="1"/>
    <x v="2"/>
  </r>
  <r>
    <s v="MRANM022031"/>
    <x v="3"/>
    <x v="1"/>
    <d v="2018-11-12T00:00:00"/>
    <d v="2018-12-17T00:00:00"/>
    <d v="2018-11-12T00:00:00"/>
    <m/>
    <x v="0"/>
    <x v="3"/>
  </r>
  <r>
    <s v="MRANM022036"/>
    <x v="3"/>
    <x v="1"/>
    <d v="2018-11-19T00:00:00"/>
    <d v="2018-11-19T00:00:00"/>
    <d v="2018-11-19T00:00:00"/>
    <m/>
    <x v="0"/>
    <x v="0"/>
  </r>
  <r>
    <s v="MRANM022040"/>
    <x v="3"/>
    <x v="1"/>
    <d v="2018-11-30T00:00:00"/>
    <d v="2018-12-10T00:00:00"/>
    <d v="2018-12-10T00:00:00"/>
    <m/>
    <x v="0"/>
    <x v="0"/>
  </r>
  <r>
    <s v="MRANM022044"/>
    <x v="3"/>
    <x v="1"/>
    <d v="2018-11-19T00:00:00"/>
    <d v="2019-01-07T00:00:00"/>
    <d v="2019-01-07T00:00:00"/>
    <m/>
    <x v="1"/>
    <x v="2"/>
  </r>
  <r>
    <s v="MRANM022066"/>
    <x v="3"/>
    <x v="1"/>
    <d v="2018-11-19T00:00:00"/>
    <d v="2018-12-31T00:00:00"/>
    <d v="2020-01-01T00:00:00"/>
    <m/>
    <x v="1"/>
    <x v="2"/>
  </r>
  <r>
    <s v="MRANM022071"/>
    <x v="3"/>
    <x v="1"/>
    <d v="2018-11-12T00:00:00"/>
    <d v="2018-12-17T00:00:00"/>
    <d v="2018-12-17T00:00:00"/>
    <m/>
    <x v="1"/>
    <x v="4"/>
  </r>
  <r>
    <s v="MRANM022073"/>
    <x v="3"/>
    <x v="1"/>
    <d v="2018-11-01T00:00:00"/>
    <d v="2018-12-10T00:00:00"/>
    <d v="2018-12-10T00:00:00"/>
    <m/>
    <x v="1"/>
    <x v="4"/>
  </r>
  <r>
    <s v="MRANM022074"/>
    <x v="3"/>
    <x v="1"/>
    <d v="2018-11-19T00:00:00"/>
    <d v="2018-12-17T00:00:00"/>
    <d v="2018-12-17T00:00:00"/>
    <m/>
    <x v="1"/>
    <x v="2"/>
  </r>
  <r>
    <s v="MRANM022082"/>
    <x v="3"/>
    <x v="1"/>
    <d v="2018-11-19T00:00:00"/>
    <d v="2018-12-31T00:00:00"/>
    <d v="2020-01-01T00:00:00"/>
    <m/>
    <x v="1"/>
    <x v="2"/>
  </r>
  <r>
    <s v="MRANM022092"/>
    <x v="3"/>
    <x v="1"/>
    <d v="2018-11-12T00:00:00"/>
    <d v="2018-12-17T00:00:00"/>
    <d v="2018-12-17T00:00:00"/>
    <m/>
    <x v="1"/>
    <x v="4"/>
  </r>
  <r>
    <s v="MRANM022103"/>
    <x v="3"/>
    <x v="1"/>
    <d v="2018-11-19T00:00:00"/>
    <d v="2018-12-17T00:00:00"/>
    <d v="2018-12-17T00:00:00"/>
    <m/>
    <x v="1"/>
    <x v="2"/>
  </r>
  <r>
    <s v="MRANM022105"/>
    <x v="3"/>
    <x v="1"/>
    <d v="2018-11-30T00:00:00"/>
    <d v="2018-12-10T00:00:00"/>
    <d v="2018-12-10T00:00:00"/>
    <m/>
    <x v="0"/>
    <x v="0"/>
  </r>
  <r>
    <s v="MRANM022106"/>
    <x v="3"/>
    <x v="1"/>
    <d v="2018-11-23T00:00:00"/>
    <d v="2018-12-17T00:00:00"/>
    <d v="2018-12-17T00:00:00"/>
    <m/>
    <x v="1"/>
    <x v="2"/>
  </r>
  <r>
    <s v="MRANM022107"/>
    <x v="3"/>
    <x v="1"/>
    <d v="2018-11-19T00:00:00"/>
    <d v="2018-12-31T00:00:00"/>
    <d v="2020-01-01T00:00:00"/>
    <m/>
    <x v="1"/>
    <x v="2"/>
  </r>
  <r>
    <s v="MRANM022108"/>
    <x v="3"/>
    <x v="1"/>
    <d v="2018-11-19T00:00:00"/>
    <d v="2019-01-07T00:00:00"/>
    <d v="2019-01-07T00:00:00"/>
    <m/>
    <x v="1"/>
    <x v="2"/>
  </r>
  <r>
    <s v="MRANM022118"/>
    <x v="3"/>
    <x v="1"/>
    <d v="2018-11-19T00:00:00"/>
    <d v="2018-12-17T00:00:00"/>
    <d v="2018-12-17T00:00:00"/>
    <m/>
    <x v="1"/>
    <x v="2"/>
  </r>
  <r>
    <s v="MRANM022119"/>
    <x v="3"/>
    <x v="1"/>
    <d v="2018-11-12T00:00:00"/>
    <d v="2018-12-17T00:00:00"/>
    <d v="2018-12-17T00:00:00"/>
    <m/>
    <x v="1"/>
    <x v="4"/>
  </r>
  <r>
    <s v="MRANM022120"/>
    <x v="3"/>
    <x v="1"/>
    <d v="2018-11-19T00:00:00"/>
    <d v="2018-12-31T00:00:00"/>
    <d v="2018-12-31T00:00:00"/>
    <m/>
    <x v="1"/>
    <x v="2"/>
  </r>
  <r>
    <s v="MRANM022124"/>
    <x v="3"/>
    <x v="1"/>
    <d v="2018-11-26T00:00:00"/>
    <d v="2018-12-10T00:00:00"/>
    <d v="2018-12-10T00:00:00"/>
    <m/>
    <x v="0"/>
    <x v="0"/>
  </r>
  <r>
    <s v="MRANM022127"/>
    <x v="3"/>
    <x v="1"/>
    <d v="2018-11-19T00:00:00"/>
    <d v="2018-12-31T00:00:00"/>
    <d v="2018-12-31T00:00:00"/>
    <m/>
    <x v="1"/>
    <x v="2"/>
  </r>
  <r>
    <s v="MRANM022130"/>
    <x v="3"/>
    <x v="1"/>
    <d v="2018-11-19T00:00:00"/>
    <d v="2018-12-31T00:00:00"/>
    <d v="2020-01-01T00:00:00"/>
    <m/>
    <x v="1"/>
    <x v="2"/>
  </r>
  <r>
    <s v="MRANM022145"/>
    <x v="3"/>
    <x v="1"/>
    <d v="2018-11-30T00:00:00"/>
    <d v="2018-12-10T00:00:00"/>
    <d v="2018-12-10T00:00:00"/>
    <m/>
    <x v="0"/>
    <x v="0"/>
  </r>
  <r>
    <s v="MRANM022151"/>
    <x v="3"/>
    <x v="1"/>
    <d v="2018-11-12T00:00:00"/>
    <d v="2018-12-17T00:00:00"/>
    <d v="2018-12-17T00:00:00"/>
    <m/>
    <x v="1"/>
    <x v="4"/>
  </r>
  <r>
    <s v="MRANM022153"/>
    <x v="3"/>
    <x v="1"/>
    <d v="2018-11-19T00:00:00"/>
    <d v="2018-12-17T00:00:00"/>
    <d v="2018-12-17T00:00:00"/>
    <m/>
    <x v="1"/>
    <x v="2"/>
  </r>
  <r>
    <s v="MRANM022154"/>
    <x v="3"/>
    <x v="1"/>
    <d v="2018-11-19T00:00:00"/>
    <d v="2019-01-07T00:00:00"/>
    <d v="2019-01-07T00:00:00"/>
    <m/>
    <x v="1"/>
    <x v="2"/>
  </r>
  <r>
    <s v="MRANM022158"/>
    <x v="3"/>
    <x v="1"/>
    <d v="2018-11-26T00:00:00"/>
    <d v="2018-12-10T00:00:00"/>
    <d v="2018-12-10T00:00:00"/>
    <m/>
    <x v="0"/>
    <x v="0"/>
  </r>
  <r>
    <s v="MRANM022159"/>
    <x v="3"/>
    <x v="1"/>
    <d v="2018-11-12T00:00:00"/>
    <d v="2018-12-17T00:00:00"/>
    <d v="2018-12-17T00:00:00"/>
    <m/>
    <x v="1"/>
    <x v="4"/>
  </r>
  <r>
    <s v="MRANM022160"/>
    <x v="3"/>
    <x v="1"/>
    <d v="2018-11-19T00:00:00"/>
    <d v="2019-01-07T00:00:00"/>
    <d v="2019-01-07T00:00:00"/>
    <m/>
    <x v="1"/>
    <x v="2"/>
  </r>
  <r>
    <s v="MRANM022162"/>
    <x v="3"/>
    <x v="1"/>
    <d v="2018-11-23T00:00:00"/>
    <d v="2018-12-17T00:00:00"/>
    <d v="2018-12-17T00:00:00"/>
    <m/>
    <x v="1"/>
    <x v="2"/>
  </r>
  <r>
    <s v="MRANM022163"/>
    <x v="3"/>
    <x v="1"/>
    <d v="2018-11-19T00:00:00"/>
    <d v="2019-01-07T00:00:00"/>
    <d v="2019-01-07T00:00:00"/>
    <m/>
    <x v="1"/>
    <x v="2"/>
  </r>
  <r>
    <s v="MRANM022167"/>
    <x v="3"/>
    <x v="1"/>
    <d v="2018-11-19T00:00:00"/>
    <d v="2019-01-07T00:00:00"/>
    <d v="2019-01-07T00:00:00"/>
    <m/>
    <x v="1"/>
    <x v="2"/>
  </r>
  <r>
    <s v="MRANM022169"/>
    <x v="3"/>
    <x v="1"/>
    <d v="2018-11-19T00:00:00"/>
    <d v="2019-01-07T00:00:00"/>
    <d v="2019-01-07T00:00:00"/>
    <m/>
    <x v="1"/>
    <x v="2"/>
  </r>
  <r>
    <s v="MRANM022170"/>
    <x v="3"/>
    <x v="1"/>
    <d v="2018-11-19T00:00:00"/>
    <d v="2018-12-10T00:00:00"/>
    <d v="2018-12-10T00:00:00"/>
    <m/>
    <x v="1"/>
    <x v="2"/>
  </r>
  <r>
    <s v="MRANM022171"/>
    <x v="3"/>
    <x v="1"/>
    <d v="2018-11-26T00:00:00"/>
    <d v="2018-11-28T00:00:00"/>
    <d v="2018-11-28T00:00:00"/>
    <m/>
    <x v="0"/>
    <x v="0"/>
  </r>
  <r>
    <s v="MRANM022173"/>
    <x v="3"/>
    <x v="1"/>
    <d v="2018-11-19T00:00:00"/>
    <d v="2019-01-07T00:00:00"/>
    <d v="2019-01-07T00:00:00"/>
    <m/>
    <x v="1"/>
    <x v="2"/>
  </r>
  <r>
    <s v="MRANM022179"/>
    <x v="3"/>
    <x v="1"/>
    <d v="2018-11-26T00:00:00"/>
    <d v="2018-11-28T00:00:00"/>
    <d v="2018-11-28T00:00:00"/>
    <m/>
    <x v="0"/>
    <x v="0"/>
  </r>
  <r>
    <s v="MRANM022180"/>
    <x v="3"/>
    <x v="1"/>
    <d v="2018-11-26T00:00:00"/>
    <d v="2018-11-28T00:00:00"/>
    <d v="2018-11-28T00:00:00"/>
    <m/>
    <x v="0"/>
    <x v="0"/>
  </r>
  <r>
    <s v="MRSTX036636"/>
    <x v="0"/>
    <x v="1"/>
    <d v="2018-11-07T00:00:00"/>
    <d v="2018-07-24T00:00:00"/>
    <d v="2018-12-01T00:00:00"/>
    <m/>
    <x v="1"/>
    <x v="5"/>
  </r>
  <r>
    <s v="MRSTX039622"/>
    <x v="0"/>
    <x v="1"/>
    <d v="2018-11-07T00:00:00"/>
    <d v="2018-11-07T00:00:00"/>
    <d v="2018-11-07T00:00:00"/>
    <m/>
    <x v="0"/>
    <x v="0"/>
  </r>
  <r>
    <s v="MRNTX011201"/>
    <x v="1"/>
    <x v="1"/>
    <d v="2018-11-28T00:00:00"/>
    <d v="2019-02-15T00:00:00"/>
    <d v="2019-02-15T00:00:00"/>
    <m/>
    <x v="1"/>
    <x v="2"/>
  </r>
  <r>
    <s v="MRWSH024587"/>
    <x v="2"/>
    <x v="1"/>
    <d v="2018-11-09T00:00:00"/>
    <d v="2019-01-21T00:00:00"/>
    <d v="2019-01-21T00:00:00"/>
    <m/>
    <x v="1"/>
    <x v="4"/>
  </r>
  <r>
    <s v="MRWSH024589"/>
    <x v="2"/>
    <x v="1"/>
    <d v="2018-11-07T00:00:00"/>
    <d v="2018-11-05T00:00:00"/>
    <d v="2018-11-05T00:00:00"/>
    <d v="2018-11-05T00:00:00"/>
    <x v="0"/>
    <x v="1"/>
  </r>
  <r>
    <s v="MRWSH024592"/>
    <x v="2"/>
    <x v="1"/>
    <d v="2018-11-12T00:00:00"/>
    <d v="2018-11-12T00:00:00"/>
    <d v="2018-11-12T00:00:00"/>
    <d v="2018-11-12T00:00:00"/>
    <x v="0"/>
    <x v="1"/>
  </r>
  <r>
    <s v="MRWSH024609"/>
    <x v="2"/>
    <x v="1"/>
    <d v="2018-11-05T00:00:00"/>
    <d v="2019-01-14T00:00:00"/>
    <d v="2019-01-14T00:00:00"/>
    <m/>
    <x v="1"/>
    <x v="4"/>
  </r>
  <r>
    <s v="MRWSH024621"/>
    <x v="2"/>
    <x v="1"/>
    <d v="2018-11-26T00:00:00"/>
    <d v="2018-11-19T00:00:00"/>
    <d v="2018-11-19T00:00:00"/>
    <d v="2018-11-19T00:00:00"/>
    <x v="0"/>
    <x v="1"/>
  </r>
  <r>
    <s v="MRWSH024634"/>
    <x v="2"/>
    <x v="1"/>
    <d v="2018-11-12T00:00:00"/>
    <d v="2018-12-15T00:00:00"/>
    <d v="2018-12-15T00:00:00"/>
    <m/>
    <x v="1"/>
    <x v="4"/>
  </r>
  <r>
    <s v="MRWSH024661"/>
    <x v="2"/>
    <x v="1"/>
    <d v="2018-11-09T00:00:00"/>
    <d v="2019-01-21T00:00:00"/>
    <d v="2019-01-21T00:00:00"/>
    <m/>
    <x v="1"/>
    <x v="4"/>
  </r>
  <r>
    <s v="MRWSH024684"/>
    <x v="2"/>
    <x v="1"/>
    <d v="2018-11-05T00:00:00"/>
    <d v="2019-01-14T00:00:00"/>
    <d v="2019-01-14T00:00:00"/>
    <m/>
    <x v="1"/>
    <x v="4"/>
  </r>
  <r>
    <s v="MRWSH024694"/>
    <x v="2"/>
    <x v="1"/>
    <d v="2018-11-09T00:00:00"/>
    <d v="2019-01-21T00:00:00"/>
    <d v="2019-01-21T00:00:00"/>
    <m/>
    <x v="1"/>
    <x v="4"/>
  </r>
  <r>
    <s v="MRWSH024706"/>
    <x v="2"/>
    <x v="1"/>
    <d v="2018-11-05T00:00:00"/>
    <d v="2018-11-08T00:00:00"/>
    <d v="2018-11-08T00:00:00"/>
    <d v="2018-11-08T00:00:00"/>
    <x v="0"/>
    <x v="1"/>
  </r>
  <r>
    <s v="MRWSH024709"/>
    <x v="2"/>
    <x v="1"/>
    <d v="2018-11-05T00:00:00"/>
    <d v="2018-11-08T00:00:00"/>
    <d v="2018-11-08T00:00:00"/>
    <d v="2018-11-08T00:00:00"/>
    <x v="0"/>
    <x v="1"/>
  </r>
  <r>
    <s v="MRWSH024727"/>
    <x v="2"/>
    <x v="1"/>
    <d v="2018-11-26T00:00:00"/>
    <d v="2018-11-23T00:00:00"/>
    <d v="2018-11-23T00:00:00"/>
    <d v="2018-11-23T00:00:00"/>
    <x v="0"/>
    <x v="1"/>
  </r>
  <r>
    <s v="MRWSH024745"/>
    <x v="2"/>
    <x v="1"/>
    <d v="2018-11-26T00:00:00"/>
    <d v="2018-12-05T00:00:00"/>
    <d v="2018-11-28T00:00:00"/>
    <m/>
    <x v="0"/>
    <x v="0"/>
  </r>
  <r>
    <s v="MRWSH024750"/>
    <x v="2"/>
    <x v="1"/>
    <d v="2018-11-09T00:00:00"/>
    <d v="2019-01-21T00:00:00"/>
    <d v="2019-01-21T00:00:00"/>
    <m/>
    <x v="1"/>
    <x v="4"/>
  </r>
  <r>
    <s v="MRWSH024771"/>
    <x v="2"/>
    <x v="1"/>
    <d v="2018-11-12T00:00:00"/>
    <d v="2018-11-12T00:00:00"/>
    <d v="2018-11-12T00:00:00"/>
    <d v="2018-11-12T00:00:00"/>
    <x v="0"/>
    <x v="1"/>
  </r>
  <r>
    <s v="MRSTX044748"/>
    <x v="0"/>
    <x v="1"/>
    <d v="2018-11-09T00:00:00"/>
    <d v="2018-11-09T00:00:00"/>
    <d v="2018-11-09T00:00:00"/>
    <m/>
    <x v="0"/>
    <x v="0"/>
  </r>
  <r>
    <s v="MRWSH022319"/>
    <x v="2"/>
    <x v="1"/>
    <d v="2018-11-12T00:00:00"/>
    <d v="2018-11-13T00:00:00"/>
    <d v="2018-11-13T00:00:00"/>
    <d v="2018-11-13T00:00:00"/>
    <x v="0"/>
    <x v="1"/>
  </r>
  <r>
    <s v="MRWSH022383"/>
    <x v="2"/>
    <x v="1"/>
    <d v="2018-11-07T00:00:00"/>
    <d v="2018-11-06T00:00:00"/>
    <d v="2018-11-06T00:00:00"/>
    <d v="2018-11-06T00:00:00"/>
    <x v="0"/>
    <x v="1"/>
  </r>
  <r>
    <s v="MRWSH022507"/>
    <x v="2"/>
    <x v="1"/>
    <d v="2018-11-19T00:00:00"/>
    <d v="2018-11-10T00:00:00"/>
    <d v="2018-11-10T00:00:00"/>
    <d v="2018-11-10T00:00:00"/>
    <x v="0"/>
    <x v="1"/>
  </r>
  <r>
    <s v="MRWSH022523"/>
    <x v="2"/>
    <x v="1"/>
    <d v="2018-11-12T00:00:00"/>
    <d v="2018-11-13T00:00:00"/>
    <d v="2018-11-13T00:00:00"/>
    <d v="2018-11-13T00:00:00"/>
    <x v="0"/>
    <x v="1"/>
  </r>
  <r>
    <s v="MRWSH022529"/>
    <x v="2"/>
    <x v="1"/>
    <d v="2018-11-19T00:00:00"/>
    <d v="2018-11-16T00:00:00"/>
    <d v="2018-11-16T00:00:00"/>
    <d v="2018-11-16T00:00:00"/>
    <x v="0"/>
    <x v="1"/>
  </r>
  <r>
    <s v="MRWSH024925"/>
    <x v="2"/>
    <x v="1"/>
    <d v="2018-11-19T00:00:00"/>
    <d v="2018-11-14T00:00:00"/>
    <d v="2018-11-14T00:00:00"/>
    <d v="2018-11-14T00:00:00"/>
    <x v="0"/>
    <x v="1"/>
  </r>
  <r>
    <s v="MRWSH024937"/>
    <x v="2"/>
    <x v="1"/>
    <d v="2018-11-19T00:00:00"/>
    <d v="2018-11-14T00:00:00"/>
    <d v="2018-11-14T00:00:00"/>
    <d v="2018-11-14T00:00:00"/>
    <x v="0"/>
    <x v="1"/>
  </r>
  <r>
    <s v="MRWSH024946"/>
    <x v="2"/>
    <x v="1"/>
    <d v="2018-11-01T00:00:00"/>
    <d v="2018-11-01T00:00:00"/>
    <d v="2018-11-01T00:00:00"/>
    <d v="2018-11-01T00:00:00"/>
    <x v="0"/>
    <x v="1"/>
  </r>
  <r>
    <s v="MRWSH024980"/>
    <x v="2"/>
    <x v="1"/>
    <d v="2018-11-26T00:00:00"/>
    <d v="2018-11-23T00:00:00"/>
    <d v="2018-11-23T00:00:00"/>
    <d v="2018-11-23T00:00:00"/>
    <x v="0"/>
    <x v="1"/>
  </r>
  <r>
    <s v="MRWSH024983"/>
    <x v="2"/>
    <x v="1"/>
    <d v="2018-11-01T00:00:00"/>
    <d v="2018-11-01T00:00:00"/>
    <d v="2018-11-01T00:00:00"/>
    <d v="2018-11-01T00:00:00"/>
    <x v="0"/>
    <x v="1"/>
  </r>
  <r>
    <s v="MRWSH024984"/>
    <x v="2"/>
    <x v="1"/>
    <d v="2018-11-12T00:00:00"/>
    <d v="2018-11-09T00:00:00"/>
    <d v="2018-11-09T00:00:00"/>
    <d v="2018-11-09T00:00:00"/>
    <x v="0"/>
    <x v="1"/>
  </r>
  <r>
    <s v="MRNTX031064"/>
    <x v="1"/>
    <x v="1"/>
    <d v="2018-11-26T00:00:00"/>
    <d v="2018-11-26T00:00:00"/>
    <d v="2018-11-05T00:00:00"/>
    <d v="2018-11-05T00:00:00"/>
    <x v="0"/>
    <x v="1"/>
  </r>
  <r>
    <s v="MRWSH022573"/>
    <x v="2"/>
    <x v="1"/>
    <d v="2018-11-05T00:00:00"/>
    <d v="2018-11-06T00:00:00"/>
    <d v="2018-11-06T00:00:00"/>
    <d v="2018-11-06T00:00:00"/>
    <x v="0"/>
    <x v="1"/>
  </r>
  <r>
    <s v="MRWSH022585"/>
    <x v="2"/>
    <x v="1"/>
    <d v="2018-11-08T00:00:00"/>
    <d v="2018-11-16T00:00:00"/>
    <d v="2018-11-16T00:00:00"/>
    <d v="2018-11-16T00:00:00"/>
    <x v="0"/>
    <x v="1"/>
  </r>
  <r>
    <s v="MRWSH022605"/>
    <x v="2"/>
    <x v="1"/>
    <d v="2018-11-05T00:00:00"/>
    <d v="2018-11-06T00:00:00"/>
    <d v="2018-11-06T00:00:00"/>
    <d v="2018-11-06T00:00:00"/>
    <x v="0"/>
    <x v="1"/>
  </r>
  <r>
    <s v="MRWSH022606"/>
    <x v="2"/>
    <x v="1"/>
    <d v="2018-11-26T00:00:00"/>
    <d v="2018-12-03T00:00:00"/>
    <d v="2018-11-26T00:00:00"/>
    <m/>
    <x v="0"/>
    <x v="0"/>
  </r>
  <r>
    <s v="MRWSH022702"/>
    <x v="2"/>
    <x v="1"/>
    <d v="2018-11-26T00:00:00"/>
    <d v="2019-01-02T00:00:00"/>
    <d v="2018-12-17T00:00:00"/>
    <m/>
    <x v="1"/>
    <x v="2"/>
  </r>
  <r>
    <s v="MRWSH022704"/>
    <x v="2"/>
    <x v="1"/>
    <d v="2018-11-08T00:00:00"/>
    <d v="2018-11-06T00:00:00"/>
    <d v="2018-11-06T00:00:00"/>
    <d v="2018-11-06T00:00:00"/>
    <x v="0"/>
    <x v="1"/>
  </r>
  <r>
    <s v="MRWSH022759"/>
    <x v="2"/>
    <x v="1"/>
    <d v="2018-11-12T00:00:00"/>
    <d v="2019-01-07T00:00:00"/>
    <d v="2018-12-10T00:00:00"/>
    <m/>
    <x v="1"/>
    <x v="4"/>
  </r>
  <r>
    <s v="MRWSH022763"/>
    <x v="2"/>
    <x v="1"/>
    <d v="2018-11-19T00:00:00"/>
    <d v="2018-12-26T00:00:00"/>
    <d v="2018-12-03T00:00:00"/>
    <m/>
    <x v="0"/>
    <x v="3"/>
  </r>
  <r>
    <s v="MRWSH022779"/>
    <x v="2"/>
    <x v="1"/>
    <d v="2018-11-12T00:00:00"/>
    <d v="2018-11-05T00:00:00"/>
    <d v="2018-11-05T00:00:00"/>
    <d v="2018-11-05T00:00:00"/>
    <x v="0"/>
    <x v="1"/>
  </r>
  <r>
    <s v="MRWSH022788"/>
    <x v="2"/>
    <x v="1"/>
    <d v="2018-11-19T00:00:00"/>
    <d v="2018-11-28T00:00:00"/>
    <d v="2018-11-28T00:00:00"/>
    <d v="2018-11-28T00:00:00"/>
    <x v="0"/>
    <x v="1"/>
  </r>
  <r>
    <s v="MRWSH022817"/>
    <x v="2"/>
    <x v="1"/>
    <d v="2018-11-06T00:00:00"/>
    <d v="2018-11-06T00:00:00"/>
    <d v="2018-11-06T00:00:00"/>
    <d v="2018-11-06T00:00:00"/>
    <x v="0"/>
    <x v="1"/>
  </r>
  <r>
    <s v="MRSTX043848"/>
    <x v="0"/>
    <x v="1"/>
    <d v="2018-11-23T00:00:00"/>
    <d v="2018-11-23T00:00:00"/>
    <d v="2018-11-23T00:00:00"/>
    <m/>
    <x v="0"/>
    <x v="0"/>
  </r>
  <r>
    <s v="MRSTX043915"/>
    <x v="0"/>
    <x v="1"/>
    <d v="2018-11-23T00:00:00"/>
    <d v="2018-11-23T00:00:00"/>
    <d v="2018-11-23T00:00:00"/>
    <m/>
    <x v="0"/>
    <x v="0"/>
  </r>
  <r>
    <s v="MRSTX043922"/>
    <x v="0"/>
    <x v="1"/>
    <d v="2018-11-07T00:00:00"/>
    <d v="2019-01-07T00:00:00"/>
    <d v="2019-01-07T00:00:00"/>
    <m/>
    <x v="1"/>
    <x v="4"/>
  </r>
  <r>
    <s v="MRNTX031174"/>
    <x v="1"/>
    <x v="1"/>
    <d v="2018-11-30T00:00:00"/>
    <d v="2019-02-15T00:00:00"/>
    <d v="2019-02-15T00:00:00"/>
    <m/>
    <x v="1"/>
    <x v="2"/>
  </r>
  <r>
    <s v="MRNTX036360"/>
    <x v="1"/>
    <x v="1"/>
    <d v="2018-11-12T00:00:00"/>
    <d v="2019-01-16T00:00:00"/>
    <d v="2019-01-16T00:00:00"/>
    <m/>
    <x v="1"/>
    <x v="4"/>
  </r>
  <r>
    <s v="MRNTX036514"/>
    <x v="1"/>
    <x v="1"/>
    <d v="2018-11-12T00:00:00"/>
    <d v="2019-01-16T00:00:00"/>
    <d v="2019-01-16T00:00:00"/>
    <m/>
    <x v="1"/>
    <x v="4"/>
  </r>
  <r>
    <s v="MRNTX036586"/>
    <x v="1"/>
    <x v="1"/>
    <d v="2018-11-29T00:00:00"/>
    <d v="2019-01-15T00:00:00"/>
    <d v="2019-01-15T00:00:00"/>
    <m/>
    <x v="1"/>
    <x v="2"/>
  </r>
  <r>
    <s v="MRNTX031348"/>
    <x v="1"/>
    <x v="1"/>
    <d v="2018-11-30T00:00:00"/>
    <d v="2019-02-15T00:00:00"/>
    <d v="2019-02-15T00:00:00"/>
    <m/>
    <x v="1"/>
    <x v="2"/>
  </r>
  <r>
    <s v="MRNTX031586"/>
    <x v="1"/>
    <x v="1"/>
    <d v="2018-11-20T00:00:00"/>
    <d v="2019-02-15T00:00:00"/>
    <d v="2019-02-15T00:00:00"/>
    <m/>
    <x v="1"/>
    <x v="2"/>
  </r>
  <r>
    <s v="MRWSH019972"/>
    <x v="2"/>
    <x v="1"/>
    <d v="2018-11-05T00:00:00"/>
    <d v="2018-12-10T00:00:00"/>
    <d v="2018-12-03T00:00:00"/>
    <m/>
    <x v="1"/>
    <x v="4"/>
  </r>
  <r>
    <s v="MRWSH019997"/>
    <x v="2"/>
    <x v="1"/>
    <d v="2018-11-06T00:00:00"/>
    <d v="2018-11-12T00:00:00"/>
    <d v="2018-11-12T00:00:00"/>
    <d v="2018-11-12T00:00:00"/>
    <x v="0"/>
    <x v="1"/>
  </r>
  <r>
    <s v="MRWSH020023"/>
    <x v="2"/>
    <x v="1"/>
    <d v="2018-11-07T00:00:00"/>
    <d v="2018-11-19T00:00:00"/>
    <d v="2018-11-19T00:00:00"/>
    <d v="2018-11-19T00:00:00"/>
    <x v="0"/>
    <x v="1"/>
  </r>
  <r>
    <s v="MRWSH020045"/>
    <x v="2"/>
    <x v="1"/>
    <d v="2018-11-09T00:00:00"/>
    <d v="2019-01-21T00:00:00"/>
    <d v="2018-11-08T00:00:00"/>
    <m/>
    <x v="0"/>
    <x v="3"/>
  </r>
  <r>
    <s v="MRWSH020065"/>
    <x v="2"/>
    <x v="1"/>
    <d v="2018-11-26T00:00:00"/>
    <d v="2018-12-03T00:00:00"/>
    <d v="2018-11-26T00:00:00"/>
    <m/>
    <x v="0"/>
    <x v="0"/>
  </r>
  <r>
    <s v="MRWSH020066"/>
    <x v="2"/>
    <x v="1"/>
    <d v="2018-11-10T00:00:00"/>
    <d v="2018-11-13T00:00:00"/>
    <d v="2018-11-13T00:00:00"/>
    <d v="2018-11-13T00:00:00"/>
    <x v="0"/>
    <x v="1"/>
  </r>
  <r>
    <s v="MRWSH020073"/>
    <x v="2"/>
    <x v="1"/>
    <d v="2018-11-05T00:00:00"/>
    <d v="2018-11-07T00:00:00"/>
    <d v="2018-11-07T00:00:00"/>
    <d v="2018-11-07T00:00:00"/>
    <x v="0"/>
    <x v="1"/>
  </r>
  <r>
    <s v="MRWSH020076"/>
    <x v="2"/>
    <x v="1"/>
    <d v="2018-11-05T00:00:00"/>
    <d v="2018-11-16T00:00:00"/>
    <d v="2018-11-16T00:00:00"/>
    <d v="2018-11-16T00:00:00"/>
    <x v="0"/>
    <x v="1"/>
  </r>
  <r>
    <s v="MRWSH020081"/>
    <x v="2"/>
    <x v="1"/>
    <d v="2018-11-26T00:00:00"/>
    <d v="2018-11-19T00:00:00"/>
    <d v="2018-11-19T00:00:00"/>
    <d v="2018-11-19T00:00:00"/>
    <x v="0"/>
    <x v="1"/>
  </r>
  <r>
    <s v="MRWSH020085"/>
    <x v="2"/>
    <x v="1"/>
    <d v="2018-11-05T00:00:00"/>
    <d v="2018-11-05T00:00:00"/>
    <d v="2018-11-05T00:00:00"/>
    <d v="2018-11-05T00:00:00"/>
    <x v="0"/>
    <x v="1"/>
  </r>
  <r>
    <s v="MRWSH020086"/>
    <x v="2"/>
    <x v="1"/>
    <d v="2018-11-10T00:00:00"/>
    <d v="2018-11-13T00:00:00"/>
    <d v="2018-11-13T00:00:00"/>
    <d v="2018-11-13T00:00:00"/>
    <x v="0"/>
    <x v="1"/>
  </r>
  <r>
    <s v="MRWSH020094"/>
    <x v="2"/>
    <x v="1"/>
    <d v="2018-11-09T00:00:00"/>
    <d v="2019-01-21T00:00:00"/>
    <d v="2018-11-08T00:00:00"/>
    <m/>
    <x v="0"/>
    <x v="3"/>
  </r>
  <r>
    <s v="MRWSH020127"/>
    <x v="2"/>
    <x v="1"/>
    <d v="2018-11-07T00:00:00"/>
    <d v="2018-11-19T00:00:00"/>
    <d v="2018-11-19T00:00:00"/>
    <d v="2018-11-19T00:00:00"/>
    <x v="0"/>
    <x v="1"/>
  </r>
  <r>
    <s v="MRWSH020186"/>
    <x v="2"/>
    <x v="1"/>
    <d v="2018-11-05T00:00:00"/>
    <d v="2018-11-16T00:00:00"/>
    <d v="2018-11-16T00:00:00"/>
    <d v="2018-11-16T00:00:00"/>
    <x v="0"/>
    <x v="1"/>
  </r>
  <r>
    <s v="MRWSH020197"/>
    <x v="2"/>
    <x v="1"/>
    <d v="2018-11-07T00:00:00"/>
    <d v="2018-11-12T00:00:00"/>
    <d v="2018-11-12T00:00:00"/>
    <d v="2018-11-12T00:00:00"/>
    <x v="0"/>
    <x v="1"/>
  </r>
  <r>
    <s v="MRWSH020202"/>
    <x v="2"/>
    <x v="1"/>
    <d v="2018-11-12T00:00:00"/>
    <d v="2018-11-13T00:00:00"/>
    <d v="2018-11-12T00:00:00"/>
    <d v="2018-11-12T00:00:00"/>
    <x v="0"/>
    <x v="1"/>
  </r>
  <r>
    <s v="MRWSH020209"/>
    <x v="2"/>
    <x v="1"/>
    <d v="2018-11-26T00:00:00"/>
    <d v="2018-12-03T00:00:00"/>
    <d v="2018-11-26T00:00:00"/>
    <m/>
    <x v="0"/>
    <x v="0"/>
  </r>
  <r>
    <s v="MRWSH020211"/>
    <x v="2"/>
    <x v="1"/>
    <d v="2018-11-12T00:00:00"/>
    <d v="2018-11-13T00:00:00"/>
    <d v="2018-11-13T00:00:00"/>
    <d v="2018-11-13T00:00:00"/>
    <x v="0"/>
    <x v="1"/>
  </r>
  <r>
    <s v="MRWSH020218"/>
    <x v="2"/>
    <x v="1"/>
    <d v="2018-11-08T00:00:00"/>
    <d v="2018-11-16T00:00:00"/>
    <d v="2018-11-16T00:00:00"/>
    <d v="2018-11-16T00:00:00"/>
    <x v="0"/>
    <x v="1"/>
  </r>
  <r>
    <s v="MRWSH020231"/>
    <x v="2"/>
    <x v="1"/>
    <d v="2018-11-12T00:00:00"/>
    <d v="2018-11-16T00:00:00"/>
    <d v="2018-11-16T00:00:00"/>
    <d v="2018-11-16T00:00:00"/>
    <x v="0"/>
    <x v="1"/>
  </r>
  <r>
    <s v="MRWSH020271"/>
    <x v="2"/>
    <x v="1"/>
    <d v="2018-11-19T00:00:00"/>
    <d v="2019-01-07T00:00:00"/>
    <d v="2018-12-03T00:00:00"/>
    <m/>
    <x v="0"/>
    <x v="3"/>
  </r>
  <r>
    <s v="MRWSH020274"/>
    <x v="2"/>
    <x v="1"/>
    <d v="2018-11-26T00:00:00"/>
    <d v="2018-12-05T00:00:00"/>
    <d v="2018-11-28T00:00:00"/>
    <m/>
    <x v="0"/>
    <x v="0"/>
  </r>
  <r>
    <s v="MRNTX015187"/>
    <x v="1"/>
    <x v="1"/>
    <d v="2018-11-28T00:00:00"/>
    <d v="2019-02-15T00:00:00"/>
    <d v="2019-02-15T00:00:00"/>
    <m/>
    <x v="1"/>
    <x v="2"/>
  </r>
  <r>
    <s v="MRSTX039789"/>
    <x v="0"/>
    <x v="1"/>
    <d v="2018-11-30T00:00:00"/>
    <d v="2018-12-21T00:00:00"/>
    <d v="2018-12-21T00:00:00"/>
    <m/>
    <x v="1"/>
    <x v="2"/>
  </r>
  <r>
    <s v="MRSTX039798"/>
    <x v="0"/>
    <x v="1"/>
    <d v="2018-11-23T00:00:00"/>
    <d v="2018-12-07T00:00:00"/>
    <d v="2018-12-07T00:00:00"/>
    <m/>
    <x v="0"/>
    <x v="0"/>
  </r>
  <r>
    <s v="MRSTX039825"/>
    <x v="0"/>
    <x v="1"/>
    <d v="2018-11-23T00:00:00"/>
    <d v="2018-12-07T00:00:00"/>
    <d v="2018-12-07T00:00:00"/>
    <m/>
    <x v="0"/>
    <x v="0"/>
  </r>
  <r>
    <s v="MRSTX039828"/>
    <x v="0"/>
    <x v="1"/>
    <d v="2018-11-11T00:00:00"/>
    <d v="2018-12-07T00:00:00"/>
    <d v="2018-12-07T00:00:00"/>
    <m/>
    <x v="1"/>
    <x v="4"/>
  </r>
  <r>
    <s v="MRSTX039837"/>
    <x v="0"/>
    <x v="1"/>
    <d v="2018-11-22T00:00:00"/>
    <d v="2018-11-23T00:00:00"/>
    <d v="2018-11-22T00:00:00"/>
    <m/>
    <x v="0"/>
    <x v="0"/>
  </r>
  <r>
    <s v="MRSTX039861"/>
    <x v="0"/>
    <x v="1"/>
    <d v="2018-11-07T00:00:00"/>
    <d v="2018-11-17T00:00:00"/>
    <d v="2018-11-17T00:00:00"/>
    <m/>
    <x v="0"/>
    <x v="0"/>
  </r>
  <r>
    <s v="MRSTX039863"/>
    <x v="0"/>
    <x v="1"/>
    <d v="2018-11-23T00:00:00"/>
    <d v="2018-12-07T00:00:00"/>
    <d v="2018-12-07T00:00:00"/>
    <m/>
    <x v="0"/>
    <x v="0"/>
  </r>
  <r>
    <s v="MRSTX039874"/>
    <x v="0"/>
    <x v="1"/>
    <d v="2018-11-23T00:00:00"/>
    <d v="2018-11-23T00:00:00"/>
    <d v="2018-11-23T00:00:00"/>
    <m/>
    <x v="0"/>
    <x v="0"/>
  </r>
  <r>
    <s v="MRSTX039876"/>
    <x v="0"/>
    <x v="1"/>
    <d v="2018-11-23T00:00:00"/>
    <d v="2018-11-30T00:00:00"/>
    <d v="2018-11-30T00:00:00"/>
    <m/>
    <x v="0"/>
    <x v="0"/>
  </r>
  <r>
    <s v="MRSTX039891"/>
    <x v="0"/>
    <x v="1"/>
    <d v="2018-11-22T00:00:00"/>
    <d v="2018-11-23T00:00:00"/>
    <d v="2018-11-22T00:00:00"/>
    <m/>
    <x v="0"/>
    <x v="0"/>
  </r>
  <r>
    <s v="MRSTX039895"/>
    <x v="0"/>
    <x v="1"/>
    <d v="2018-11-07T00:00:00"/>
    <d v="2018-11-17T00:00:00"/>
    <d v="2018-11-17T00:00:00"/>
    <m/>
    <x v="0"/>
    <x v="0"/>
  </r>
  <r>
    <s v="MRSTX039919"/>
    <x v="0"/>
    <x v="1"/>
    <d v="2018-11-23T00:00:00"/>
    <d v="2018-12-07T00:00:00"/>
    <d v="2018-12-07T00:00:00"/>
    <m/>
    <x v="0"/>
    <x v="0"/>
  </r>
  <r>
    <s v="MRSTX039945"/>
    <x v="0"/>
    <x v="1"/>
    <d v="2018-11-22T00:00:00"/>
    <d v="2018-11-23T00:00:00"/>
    <d v="2018-11-22T00:00:00"/>
    <m/>
    <x v="0"/>
    <x v="0"/>
  </r>
  <r>
    <s v="MRSTX039949"/>
    <x v="0"/>
    <x v="1"/>
    <d v="2018-11-11T00:00:00"/>
    <d v="2018-12-07T00:00:00"/>
    <d v="2018-12-07T00:00:00"/>
    <m/>
    <x v="1"/>
    <x v="4"/>
  </r>
  <r>
    <s v="MRSTX039984"/>
    <x v="0"/>
    <x v="1"/>
    <d v="2018-11-07T00:00:00"/>
    <d v="2018-11-17T00:00:00"/>
    <d v="2018-11-17T00:00:00"/>
    <m/>
    <x v="0"/>
    <x v="0"/>
  </r>
  <r>
    <s v="MRSTX040002"/>
    <x v="0"/>
    <x v="1"/>
    <d v="2018-11-30T00:00:00"/>
    <d v="2018-12-21T00:00:00"/>
    <d v="2018-12-21T00:00:00"/>
    <m/>
    <x v="1"/>
    <x v="2"/>
  </r>
  <r>
    <s v="MRSTX040003"/>
    <x v="0"/>
    <x v="1"/>
    <d v="2018-11-23T00:00:00"/>
    <d v="2018-12-07T00:00:00"/>
    <d v="2018-12-07T00:00:00"/>
    <m/>
    <x v="0"/>
    <x v="0"/>
  </r>
  <r>
    <s v="MRSTX040009"/>
    <x v="0"/>
    <x v="1"/>
    <d v="2018-11-23T00:00:00"/>
    <d v="2018-12-07T00:00:00"/>
    <d v="2018-12-07T00:00:00"/>
    <m/>
    <x v="0"/>
    <x v="0"/>
  </r>
  <r>
    <s v="MRSTX040021"/>
    <x v="0"/>
    <x v="1"/>
    <d v="2018-11-23T00:00:00"/>
    <d v="2018-11-30T00:00:00"/>
    <d v="2018-11-30T00:00:00"/>
    <m/>
    <x v="0"/>
    <x v="0"/>
  </r>
  <r>
    <s v="MRSTX040045"/>
    <x v="0"/>
    <x v="1"/>
    <d v="2018-11-30T00:00:00"/>
    <d v="2018-12-21T00:00:00"/>
    <d v="2018-12-21T00:00:00"/>
    <m/>
    <x v="1"/>
    <x v="2"/>
  </r>
  <r>
    <s v="MRSTX040049"/>
    <x v="0"/>
    <x v="1"/>
    <d v="2018-11-23T00:00:00"/>
    <d v="2018-12-07T00:00:00"/>
    <d v="2018-12-07T00:00:00"/>
    <m/>
    <x v="0"/>
    <x v="0"/>
  </r>
  <r>
    <s v="MRWSH025066"/>
    <x v="2"/>
    <x v="1"/>
    <d v="2018-11-26T00:00:00"/>
    <d v="2018-12-04T00:00:00"/>
    <d v="2018-11-26T00:00:00"/>
    <m/>
    <x v="0"/>
    <x v="0"/>
  </r>
  <r>
    <s v="MRWSH025070"/>
    <x v="2"/>
    <x v="1"/>
    <d v="2018-11-26T00:00:00"/>
    <d v="2018-12-03T00:00:00"/>
    <d v="2018-11-26T00:00:00"/>
    <m/>
    <x v="0"/>
    <x v="0"/>
  </r>
  <r>
    <s v="MRWSH025115"/>
    <x v="2"/>
    <x v="1"/>
    <d v="2018-11-09T00:00:00"/>
    <d v="2018-11-05T00:00:00"/>
    <d v="2018-11-05T00:00:00"/>
    <d v="2018-11-05T00:00:00"/>
    <x v="0"/>
    <x v="1"/>
  </r>
  <r>
    <s v="MRWSH025119"/>
    <x v="2"/>
    <x v="1"/>
    <d v="2018-11-26T00:00:00"/>
    <d v="2018-11-12T00:00:00"/>
    <d v="2018-11-12T00:00:00"/>
    <d v="2018-11-12T00:00:00"/>
    <x v="0"/>
    <x v="1"/>
  </r>
  <r>
    <s v="MRWSH025120"/>
    <x v="2"/>
    <x v="1"/>
    <d v="2018-11-09T00:00:00"/>
    <d v="2018-11-05T00:00:00"/>
    <d v="2018-11-05T00:00:00"/>
    <d v="2018-11-05T00:00:00"/>
    <x v="0"/>
    <x v="1"/>
  </r>
  <r>
    <s v="MRWSH025144"/>
    <x v="2"/>
    <x v="1"/>
    <d v="2018-11-12T00:00:00"/>
    <d v="2019-01-07T00:00:00"/>
    <d v="2018-12-10T00:00:00"/>
    <m/>
    <x v="1"/>
    <x v="4"/>
  </r>
  <r>
    <s v="MRWSH025160"/>
    <x v="2"/>
    <x v="1"/>
    <d v="2018-11-09T00:00:00"/>
    <d v="2018-11-14T00:00:00"/>
    <d v="2018-11-14T00:00:00"/>
    <d v="2018-11-14T00:00:00"/>
    <x v="0"/>
    <x v="1"/>
  </r>
  <r>
    <s v="MRWSH025179"/>
    <x v="2"/>
    <x v="1"/>
    <d v="2018-11-26T00:00:00"/>
    <d v="2018-12-04T00:00:00"/>
    <d v="2018-12-03T00:00:00"/>
    <m/>
    <x v="0"/>
    <x v="0"/>
  </r>
  <r>
    <s v="MRWSH025185"/>
    <x v="2"/>
    <x v="1"/>
    <d v="2018-11-05T00:00:00"/>
    <d v="2018-11-06T00:00:00"/>
    <d v="2018-11-06T00:00:00"/>
    <d v="2018-11-06T00:00:00"/>
    <x v="0"/>
    <x v="1"/>
  </r>
  <r>
    <s v="MRWSH025191"/>
    <x v="2"/>
    <x v="1"/>
    <d v="2018-11-06T00:00:00"/>
    <d v="2018-11-08T00:00:00"/>
    <d v="2018-11-08T00:00:00"/>
    <d v="2018-11-08T00:00:00"/>
    <x v="0"/>
    <x v="1"/>
  </r>
  <r>
    <s v="MRWSH025199"/>
    <x v="2"/>
    <x v="1"/>
    <d v="2018-11-26T00:00:00"/>
    <d v="2019-01-02T00:00:00"/>
    <d v="2018-12-17T00:00:00"/>
    <m/>
    <x v="1"/>
    <x v="2"/>
  </r>
  <r>
    <s v="MRWSH025246"/>
    <x v="2"/>
    <x v="1"/>
    <d v="2018-11-26T00:00:00"/>
    <d v="2018-11-26T00:00:00"/>
    <d v="2018-11-26T00:00:00"/>
    <d v="2018-11-26T00:00:00"/>
    <x v="0"/>
    <x v="1"/>
  </r>
  <r>
    <s v="MRWSH025274"/>
    <x v="2"/>
    <x v="1"/>
    <d v="2018-11-05T00:00:00"/>
    <d v="2018-11-05T00:00:00"/>
    <d v="2018-11-05T00:00:00"/>
    <d v="2018-11-05T00:00:00"/>
    <x v="0"/>
    <x v="1"/>
  </r>
  <r>
    <s v="MRWSH025298"/>
    <x v="2"/>
    <x v="1"/>
    <d v="2018-11-12T00:00:00"/>
    <d v="2018-11-08T00:00:00"/>
    <d v="2018-11-08T00:00:00"/>
    <d v="2018-11-08T00:00:00"/>
    <x v="0"/>
    <x v="1"/>
  </r>
  <r>
    <s v="MRWSH025302"/>
    <x v="2"/>
    <x v="1"/>
    <d v="2018-11-06T00:00:00"/>
    <d v="2018-11-07T00:00:00"/>
    <d v="2018-11-07T00:00:00"/>
    <d v="2018-11-07T00:00:00"/>
    <x v="0"/>
    <x v="1"/>
  </r>
  <r>
    <s v="MRWSH025336"/>
    <x v="2"/>
    <x v="1"/>
    <d v="2018-11-19T00:00:00"/>
    <d v="2018-12-26T00:00:00"/>
    <d v="2018-12-03T00:00:00"/>
    <m/>
    <x v="0"/>
    <x v="3"/>
  </r>
  <r>
    <s v="MRSTX042318"/>
    <x v="0"/>
    <x v="1"/>
    <d v="2018-11-23T00:00:00"/>
    <d v="2018-12-07T00:00:00"/>
    <d v="2018-12-07T00:00:00"/>
    <m/>
    <x v="0"/>
    <x v="0"/>
  </r>
  <r>
    <s v="MRSTX042656"/>
    <x v="0"/>
    <x v="1"/>
    <d v="2018-11-26T00:00:00"/>
    <d v="2018-12-23T00:00:00"/>
    <d v="2018-11-06T00:00:00"/>
    <m/>
    <x v="0"/>
    <x v="3"/>
  </r>
  <r>
    <s v="MRWSH025386"/>
    <x v="2"/>
    <x v="1"/>
    <d v="2018-11-12T00:00:00"/>
    <d v="2018-11-21T00:00:00"/>
    <d v="2018-11-21T00:00:00"/>
    <d v="2018-11-21T00:00:00"/>
    <x v="0"/>
    <x v="1"/>
  </r>
  <r>
    <s v="MRWSH025393"/>
    <x v="2"/>
    <x v="1"/>
    <d v="2018-11-26T00:00:00"/>
    <d v="2018-12-10T00:00:00"/>
    <d v="2018-12-03T00:00:00"/>
    <m/>
    <x v="0"/>
    <x v="0"/>
  </r>
  <r>
    <s v="MRWSH025791"/>
    <x v="2"/>
    <x v="1"/>
    <d v="2018-11-12T00:00:00"/>
    <d v="2018-12-15T00:00:00"/>
    <d v="2018-12-15T00:00:00"/>
    <m/>
    <x v="1"/>
    <x v="4"/>
  </r>
  <r>
    <s v="MRNTX036628"/>
    <x v="1"/>
    <x v="1"/>
    <d v="2018-11-29T00:00:00"/>
    <d v="2019-01-15T00:00:00"/>
    <d v="2019-01-15T00:00:00"/>
    <m/>
    <x v="1"/>
    <x v="2"/>
  </r>
  <r>
    <s v="MRNTX036781"/>
    <x v="1"/>
    <x v="1"/>
    <d v="2018-11-29T00:00:00"/>
    <d v="2019-01-15T00:00:00"/>
    <d v="2019-01-15T00:00:00"/>
    <m/>
    <x v="1"/>
    <x v="2"/>
  </r>
  <r>
    <s v="MRSTX035516"/>
    <x v="0"/>
    <x v="2"/>
    <d v="2018-11-15T00:00:00"/>
    <d v="2018-12-18T00:00:00"/>
    <d v="2018-12-18T00:00:00"/>
    <m/>
    <x v="1"/>
    <x v="4"/>
  </r>
  <r>
    <s v="MRSTX035580"/>
    <x v="0"/>
    <x v="2"/>
    <d v="2018-11-12T00:00:00"/>
    <d v="2018-12-19T00:00:00"/>
    <d v="2018-11-29T00:00:00"/>
    <m/>
    <x v="1"/>
    <x v="4"/>
  </r>
  <r>
    <s v="MRSTX035616"/>
    <x v="0"/>
    <x v="2"/>
    <d v="2018-11-15T00:00:00"/>
    <d v="2018-12-19T00:00:00"/>
    <d v="2018-12-17T00:00:00"/>
    <m/>
    <x v="1"/>
    <x v="4"/>
  </r>
  <r>
    <s v="MRWSH020440"/>
    <x v="2"/>
    <x v="2"/>
    <d v="2018-11-08T00:00:00"/>
    <d v="2018-11-06T00:00:00"/>
    <d v="2018-11-06T00:00:00"/>
    <d v="2018-11-06T00:00:00"/>
    <x v="0"/>
    <x v="1"/>
  </r>
  <r>
    <s v="MRWSH020471"/>
    <x v="2"/>
    <x v="2"/>
    <d v="2018-11-07T00:00:00"/>
    <d v="2018-11-19T00:00:00"/>
    <d v="2018-11-19T00:00:00"/>
    <d v="2018-11-19T00:00:00"/>
    <x v="0"/>
    <x v="1"/>
  </r>
  <r>
    <s v="MRWSH020477"/>
    <x v="2"/>
    <x v="2"/>
    <d v="2018-11-12T00:00:00"/>
    <d v="2018-12-03T00:00:00"/>
    <d v="2018-12-03T00:00:00"/>
    <m/>
    <x v="1"/>
    <x v="4"/>
  </r>
  <r>
    <s v="MRNTX036812"/>
    <x v="1"/>
    <x v="2"/>
    <d v="2018-11-26T00:00:00"/>
    <d v="2018-11-26T00:00:00"/>
    <d v="2018-11-26T00:00:00"/>
    <d v="2018-11-26T00:00:00"/>
    <x v="0"/>
    <x v="1"/>
  </r>
  <r>
    <s v="MRNTX036818"/>
    <x v="1"/>
    <x v="2"/>
    <d v="2018-11-02T00:00:00"/>
    <d v="2018-11-13T00:00:00"/>
    <d v="2018-11-09T00:00:00"/>
    <d v="2018-11-09T00:00:00"/>
    <x v="0"/>
    <x v="1"/>
  </r>
  <r>
    <s v="MRNTX036825"/>
    <x v="1"/>
    <x v="2"/>
    <d v="2018-11-26T00:00:00"/>
    <d v="2018-12-03T00:00:00"/>
    <d v="2018-12-03T00:00:00"/>
    <m/>
    <x v="0"/>
    <x v="0"/>
  </r>
  <r>
    <s v="MRNTX036848"/>
    <x v="1"/>
    <x v="2"/>
    <d v="2018-11-09T00:00:00"/>
    <d v="2018-12-07T00:00:00"/>
    <d v="2018-12-07T00:00:00"/>
    <m/>
    <x v="1"/>
    <x v="4"/>
  </r>
  <r>
    <s v="MRNTX036850"/>
    <x v="1"/>
    <x v="2"/>
    <d v="2018-11-09T00:00:00"/>
    <d v="2018-11-26T00:00:00"/>
    <d v="2018-11-28T00:00:00"/>
    <d v="2018-11-28T00:00:00"/>
    <x v="1"/>
    <x v="1"/>
  </r>
  <r>
    <s v="MRNTX036855"/>
    <x v="1"/>
    <x v="2"/>
    <d v="2018-11-09T00:00:00"/>
    <d v="2018-11-26T00:00:00"/>
    <d v="2018-11-28T00:00:00"/>
    <d v="2018-11-28T00:00:00"/>
    <x v="1"/>
    <x v="1"/>
  </r>
  <r>
    <s v="MRNTX036858"/>
    <x v="1"/>
    <x v="2"/>
    <d v="2018-11-09T00:00:00"/>
    <d v="2018-12-07T00:00:00"/>
    <d v="2018-12-07T00:00:00"/>
    <m/>
    <x v="1"/>
    <x v="4"/>
  </r>
  <r>
    <s v="MRNTX036860"/>
    <x v="1"/>
    <x v="2"/>
    <d v="2018-11-09T00:00:00"/>
    <d v="2018-11-26T00:00:00"/>
    <d v="2018-11-28T00:00:00"/>
    <d v="2018-11-28T00:00:00"/>
    <x v="1"/>
    <x v="1"/>
  </r>
  <r>
    <s v="MRNTX036938"/>
    <x v="1"/>
    <x v="2"/>
    <d v="2018-11-12T00:00:00"/>
    <d v="2018-11-26T00:00:00"/>
    <d v="2018-11-30T00:00:00"/>
    <m/>
    <x v="1"/>
    <x v="4"/>
  </r>
  <r>
    <s v="MRNTX036941"/>
    <x v="1"/>
    <x v="2"/>
    <d v="2018-11-12T00:00:00"/>
    <d v="2018-11-12T00:00:00"/>
    <d v="2018-11-16T00:00:00"/>
    <d v="2018-11-16T00:00:00"/>
    <x v="0"/>
    <x v="1"/>
  </r>
  <r>
    <s v="MRNTX036960"/>
    <x v="1"/>
    <x v="2"/>
    <d v="2018-11-12T00:00:00"/>
    <d v="2018-11-30T00:00:00"/>
    <d v="2018-11-30T00:00:00"/>
    <m/>
    <x v="1"/>
    <x v="4"/>
  </r>
  <r>
    <s v="MRNTX036962"/>
    <x v="1"/>
    <x v="2"/>
    <d v="2018-11-09T00:00:00"/>
    <d v="2018-11-13T00:00:00"/>
    <d v="2018-11-13T00:00:00"/>
    <d v="2018-11-13T00:00:00"/>
    <x v="0"/>
    <x v="1"/>
  </r>
  <r>
    <s v="MRNTX036964"/>
    <x v="1"/>
    <x v="2"/>
    <d v="2018-11-02T00:00:00"/>
    <d v="2018-11-30T00:00:00"/>
    <d v="2018-11-29T00:00:00"/>
    <d v="2018-11-29T00:00:00"/>
    <x v="1"/>
    <x v="1"/>
  </r>
  <r>
    <s v="MRNTX037066"/>
    <x v="1"/>
    <x v="2"/>
    <d v="2018-11-02T00:00:00"/>
    <d v="2018-11-28T00:00:00"/>
    <d v="2018-11-21T00:00:00"/>
    <d v="2018-11-21T00:00:00"/>
    <x v="1"/>
    <x v="1"/>
  </r>
  <r>
    <s v="MRNTX037068"/>
    <x v="1"/>
    <x v="2"/>
    <d v="2018-11-12T00:00:00"/>
    <d v="2018-11-19T00:00:00"/>
    <d v="2018-11-17T00:00:00"/>
    <d v="2018-11-17T00:00:00"/>
    <x v="0"/>
    <x v="1"/>
  </r>
  <r>
    <s v="MRSTX031124"/>
    <x v="0"/>
    <x v="2"/>
    <d v="2018-11-15T00:00:00"/>
    <d v="2018-12-19T00:00:00"/>
    <d v="2018-12-17T00:00:00"/>
    <m/>
    <x v="1"/>
    <x v="4"/>
  </r>
  <r>
    <s v="MRSTX031136"/>
    <x v="0"/>
    <x v="2"/>
    <d v="2018-11-12T00:00:00"/>
    <d v="2018-11-12T00:00:00"/>
    <d v="2018-11-13T00:00:00"/>
    <d v="2018-11-13T00:00:00"/>
    <x v="0"/>
    <x v="1"/>
  </r>
  <r>
    <s v="MRSTX031482"/>
    <x v="0"/>
    <x v="2"/>
    <d v="2018-11-12T00:00:00"/>
    <d v="2018-12-19T00:00:00"/>
    <d v="2018-12-17T00:00:00"/>
    <m/>
    <x v="1"/>
    <x v="4"/>
  </r>
  <r>
    <s v="MRSTX031484"/>
    <x v="0"/>
    <x v="2"/>
    <d v="2018-11-12T00:00:00"/>
    <d v="2018-11-12T00:00:00"/>
    <d v="2018-11-09T00:00:00"/>
    <d v="2018-11-09T00:00:00"/>
    <x v="0"/>
    <x v="1"/>
  </r>
  <r>
    <s v="MRSTX031624"/>
    <x v="0"/>
    <x v="2"/>
    <d v="2018-11-15T00:00:00"/>
    <d v="2018-11-10T00:00:00"/>
    <d v="2018-11-16T00:00:00"/>
    <d v="2018-11-16T00:00:00"/>
    <x v="0"/>
    <x v="1"/>
  </r>
  <r>
    <s v="MRSTX031625"/>
    <x v="0"/>
    <x v="2"/>
    <d v="2018-11-15T00:00:00"/>
    <d v="2018-12-03T00:00:00"/>
    <d v="2018-12-03T00:00:00"/>
    <m/>
    <x v="1"/>
    <x v="4"/>
  </r>
  <r>
    <s v="MRWSH020481"/>
    <x v="2"/>
    <x v="2"/>
    <d v="2018-11-12T00:00:00"/>
    <d v="2018-11-16T00:00:00"/>
    <d v="2018-11-16T00:00:00"/>
    <d v="2018-11-16T00:00:00"/>
    <x v="0"/>
    <x v="1"/>
  </r>
  <r>
    <s v="MRWSH020511"/>
    <x v="2"/>
    <x v="2"/>
    <d v="2018-11-26T00:00:00"/>
    <d v="2018-11-19T00:00:00"/>
    <d v="2018-11-19T00:00:00"/>
    <d v="2018-11-19T00:00:00"/>
    <x v="0"/>
    <x v="1"/>
  </r>
  <r>
    <s v="MRWSH020566"/>
    <x v="2"/>
    <x v="2"/>
    <d v="2018-11-07T00:00:00"/>
    <d v="2018-11-06T00:00:00"/>
    <d v="2018-11-06T00:00:00"/>
    <d v="2018-11-06T00:00:00"/>
    <x v="0"/>
    <x v="1"/>
  </r>
  <r>
    <s v="MRWSH020589"/>
    <x v="2"/>
    <x v="2"/>
    <d v="2018-11-12T00:00:00"/>
    <d v="2018-11-13T00:00:00"/>
    <d v="2018-11-13T00:00:00"/>
    <d v="2018-11-13T00:00:00"/>
    <x v="0"/>
    <x v="1"/>
  </r>
  <r>
    <s v="MRWSH020590"/>
    <x v="2"/>
    <x v="2"/>
    <d v="2018-11-05T00:00:00"/>
    <d v="2018-11-05T00:00:00"/>
    <d v="2018-11-05T00:00:00"/>
    <d v="2018-11-05T00:00:00"/>
    <x v="0"/>
    <x v="1"/>
  </r>
  <r>
    <s v="MRWSH020606"/>
    <x v="2"/>
    <x v="2"/>
    <d v="2018-11-07T00:00:00"/>
    <d v="2018-11-09T00:00:00"/>
    <d v="2018-11-09T00:00:00"/>
    <d v="2018-11-09T00:00:00"/>
    <x v="0"/>
    <x v="1"/>
  </r>
  <r>
    <s v="MRWSH020607"/>
    <x v="2"/>
    <x v="2"/>
    <d v="2018-11-19T00:00:00"/>
    <d v="2018-11-16T00:00:00"/>
    <d v="2018-11-16T00:00:00"/>
    <d v="2018-11-16T00:00:00"/>
    <x v="0"/>
    <x v="1"/>
  </r>
  <r>
    <s v="MRWSH020618"/>
    <x v="2"/>
    <x v="2"/>
    <d v="2018-11-05T00:00:00"/>
    <d v="2018-11-07T00:00:00"/>
    <d v="2018-11-07T00:00:00"/>
    <d v="2018-11-07T00:00:00"/>
    <x v="0"/>
    <x v="1"/>
  </r>
  <r>
    <s v="MRWSH020648"/>
    <x v="2"/>
    <x v="2"/>
    <d v="2018-11-26T00:00:00"/>
    <d v="2018-12-04T00:00:00"/>
    <d v="2018-12-03T00:00:00"/>
    <m/>
    <x v="0"/>
    <x v="0"/>
  </r>
  <r>
    <s v="MRWSH020655"/>
    <x v="2"/>
    <x v="2"/>
    <d v="2018-11-19T00:00:00"/>
    <d v="2018-11-06T00:00:00"/>
    <d v="2018-11-06T00:00:00"/>
    <d v="2018-11-06T00:00:00"/>
    <x v="0"/>
    <x v="1"/>
  </r>
  <r>
    <s v="MRWSH020677"/>
    <x v="2"/>
    <x v="2"/>
    <d v="2018-11-19T00:00:00"/>
    <d v="2018-11-10T00:00:00"/>
    <d v="2018-11-10T00:00:00"/>
    <d v="2018-11-10T00:00:00"/>
    <x v="0"/>
    <x v="1"/>
  </r>
  <r>
    <s v="MRWSH020855"/>
    <x v="2"/>
    <x v="2"/>
    <d v="2018-11-12T00:00:00"/>
    <s v="N/A"/>
    <s v="N/A"/>
    <s v="N/A"/>
    <x v="2"/>
    <x v="0"/>
  </r>
  <r>
    <s v="MRWSH020917"/>
    <x v="2"/>
    <x v="2"/>
    <d v="2018-11-09T00:00:00"/>
    <d v="2018-11-14T00:00:00"/>
    <d v="2018-11-14T00:00:00"/>
    <d v="2018-11-14T00:00:00"/>
    <x v="0"/>
    <x v="1"/>
  </r>
  <r>
    <s v="MRWSH020937"/>
    <x v="2"/>
    <x v="2"/>
    <d v="2018-11-12T00:00:00"/>
    <d v="2018-11-16T00:00:00"/>
    <d v="2018-11-16T00:00:00"/>
    <d v="2018-11-16T00:00:00"/>
    <x v="0"/>
    <x v="1"/>
  </r>
  <r>
    <s v="MRWSH020983"/>
    <x v="2"/>
    <x v="2"/>
    <d v="2018-11-12T00:00:00"/>
    <d v="2018-12-03T00:00:00"/>
    <d v="2018-11-30T00:00:00"/>
    <m/>
    <x v="1"/>
    <x v="4"/>
  </r>
  <r>
    <s v="MRWSH021030"/>
    <x v="2"/>
    <x v="2"/>
    <d v="2018-11-19T00:00:00"/>
    <d v="2018-11-20T00:00:00"/>
    <d v="2018-11-20T00:00:00"/>
    <d v="2018-11-20T00:00:00"/>
    <x v="0"/>
    <x v="1"/>
  </r>
  <r>
    <s v="MRWSH021039"/>
    <x v="2"/>
    <x v="2"/>
    <d v="2018-11-26T00:00:00"/>
    <d v="2018-11-16T00:00:00"/>
    <d v="2018-11-16T00:00:00"/>
    <d v="2018-11-16T00:00:00"/>
    <x v="0"/>
    <x v="1"/>
  </r>
  <r>
    <s v="MRSTX033358"/>
    <x v="0"/>
    <x v="2"/>
    <d v="2018-11-12T00:00:00"/>
    <d v="2018-11-12T00:00:00"/>
    <d v="2018-11-19T00:00:00"/>
    <d v="2018-11-19T00:00:00"/>
    <x v="0"/>
    <x v="1"/>
  </r>
  <r>
    <s v="MRSTX033375"/>
    <x v="0"/>
    <x v="2"/>
    <d v="2018-11-16T00:00:00"/>
    <d v="2018-11-16T00:00:00"/>
    <d v="2018-11-06T00:00:00"/>
    <d v="2018-11-06T00:00:00"/>
    <x v="0"/>
    <x v="1"/>
  </r>
  <r>
    <s v="MRSTX033501"/>
    <x v="0"/>
    <x v="2"/>
    <d v="2018-11-12T00:00:00"/>
    <d v="2018-11-12T00:00:00"/>
    <d v="2018-11-09T00:00:00"/>
    <d v="2018-11-09T00:00:00"/>
    <x v="0"/>
    <x v="1"/>
  </r>
  <r>
    <s v="MRSTX033507"/>
    <x v="0"/>
    <x v="2"/>
    <d v="2018-11-12T00:00:00"/>
    <d v="2018-11-12T00:00:00"/>
    <d v="2018-11-11T00:00:00"/>
    <d v="2018-11-11T00:00:00"/>
    <x v="0"/>
    <x v="1"/>
  </r>
  <r>
    <s v="MRSTX033510"/>
    <x v="0"/>
    <x v="2"/>
    <d v="2018-11-12T00:00:00"/>
    <d v="2018-12-19T00:00:00"/>
    <d v="2018-12-18T00:00:00"/>
    <m/>
    <x v="1"/>
    <x v="4"/>
  </r>
  <r>
    <s v="MRSTX033522"/>
    <x v="0"/>
    <x v="2"/>
    <d v="2018-11-15T00:00:00"/>
    <d v="2018-12-09T00:00:00"/>
    <d v="2018-12-09T00:00:00"/>
    <m/>
    <x v="1"/>
    <x v="4"/>
  </r>
  <r>
    <s v="MRSTX033526"/>
    <x v="0"/>
    <x v="2"/>
    <d v="2018-11-12T00:00:00"/>
    <d v="2018-11-12T00:00:00"/>
    <d v="2018-11-15T00:00:00"/>
    <d v="2018-11-15T00:00:00"/>
    <x v="0"/>
    <x v="1"/>
  </r>
  <r>
    <s v="MRSTX033531"/>
    <x v="0"/>
    <x v="2"/>
    <d v="2018-11-12T00:00:00"/>
    <d v="2018-11-12T00:00:00"/>
    <d v="2018-11-13T00:00:00"/>
    <d v="2018-11-13T00:00:00"/>
    <x v="0"/>
    <x v="1"/>
  </r>
  <r>
    <s v="MRSTX033539"/>
    <x v="0"/>
    <x v="2"/>
    <d v="2018-11-12T00:00:00"/>
    <d v="2018-11-12T00:00:00"/>
    <d v="2018-11-16T00:00:00"/>
    <d v="2018-11-16T00:00:00"/>
    <x v="0"/>
    <x v="1"/>
  </r>
  <r>
    <s v="MRSTX033544"/>
    <x v="0"/>
    <x v="2"/>
    <d v="2018-11-12T00:00:00"/>
    <d v="2018-12-19T00:00:00"/>
    <d v="2018-12-17T00:00:00"/>
    <m/>
    <x v="1"/>
    <x v="4"/>
  </r>
  <r>
    <s v="MRSTX033573"/>
    <x v="0"/>
    <x v="2"/>
    <d v="2018-11-15T00:00:00"/>
    <d v="2018-11-15T00:00:00"/>
    <d v="2018-11-06T00:00:00"/>
    <d v="2018-11-06T00:00:00"/>
    <x v="0"/>
    <x v="1"/>
  </r>
  <r>
    <s v="MRSTX033584"/>
    <x v="0"/>
    <x v="2"/>
    <d v="2018-11-16T00:00:00"/>
    <d v="2018-12-05T00:00:00"/>
    <d v="2018-12-05T00:00:00"/>
    <m/>
    <x v="1"/>
    <x v="4"/>
  </r>
  <r>
    <s v="MRSTX033596"/>
    <x v="0"/>
    <x v="2"/>
    <d v="2018-11-15T00:00:00"/>
    <d v="2018-11-15T00:00:00"/>
    <d v="2018-11-16T00:00:00"/>
    <d v="2018-11-16T00:00:00"/>
    <x v="0"/>
    <x v="1"/>
  </r>
  <r>
    <s v="MRSTX033604"/>
    <x v="0"/>
    <x v="2"/>
    <d v="2018-11-15T00:00:00"/>
    <d v="2018-11-15T00:00:00"/>
    <d v="2018-11-16T00:00:00"/>
    <d v="2018-11-16T00:00:00"/>
    <x v="0"/>
    <x v="1"/>
  </r>
  <r>
    <s v="MRNTX025674"/>
    <x v="1"/>
    <x v="2"/>
    <d v="2018-11-15T00:00:00"/>
    <d v="2018-12-04T00:00:00"/>
    <d v="2018-12-04T00:00:00"/>
    <m/>
    <x v="1"/>
    <x v="4"/>
  </r>
  <r>
    <s v="MRNTX029183"/>
    <x v="1"/>
    <x v="2"/>
    <d v="2018-11-12T00:00:00"/>
    <d v="2018-11-26T00:00:00"/>
    <d v="2018-11-30T00:00:00"/>
    <m/>
    <x v="1"/>
    <x v="4"/>
  </r>
  <r>
    <s v="MRNTX029198"/>
    <x v="1"/>
    <x v="2"/>
    <d v="2018-11-05T00:00:00"/>
    <d v="2018-11-26T00:00:00"/>
    <d v="2018-11-26T00:00:00"/>
    <d v="2018-11-26T00:00:00"/>
    <x v="1"/>
    <x v="1"/>
  </r>
  <r>
    <s v="MRNTX029201"/>
    <x v="1"/>
    <x v="2"/>
    <d v="2018-11-28T00:00:00"/>
    <d v="2019-01-28T00:00:00"/>
    <d v="2019-01-28T00:00:00"/>
    <m/>
    <x v="1"/>
    <x v="2"/>
  </r>
  <r>
    <s v="MRNTX029208"/>
    <x v="1"/>
    <x v="2"/>
    <d v="2018-11-12T00:00:00"/>
    <d v="2018-11-30T00:00:00"/>
    <d v="2018-11-30T00:00:00"/>
    <m/>
    <x v="1"/>
    <x v="4"/>
  </r>
  <r>
    <s v="MRNTX029210"/>
    <x v="1"/>
    <x v="2"/>
    <d v="2018-11-05T00:00:00"/>
    <d v="2018-11-26T00:00:00"/>
    <d v="2018-11-26T00:00:00"/>
    <d v="2018-11-26T00:00:00"/>
    <x v="1"/>
    <x v="1"/>
  </r>
  <r>
    <s v="MRNTX029233"/>
    <x v="1"/>
    <x v="2"/>
    <d v="2018-11-09T00:00:00"/>
    <d v="2018-11-26T00:00:00"/>
    <d v="2018-11-30T00:00:00"/>
    <m/>
    <x v="1"/>
    <x v="4"/>
  </r>
  <r>
    <s v="MRNTX029235"/>
    <x v="1"/>
    <x v="2"/>
    <d v="2018-11-05T00:00:00"/>
    <d v="2018-11-20T00:00:00"/>
    <d v="2018-11-15T00:00:00"/>
    <d v="2018-11-15T00:00:00"/>
    <x v="0"/>
    <x v="1"/>
  </r>
  <r>
    <s v="MRNTX029236"/>
    <x v="1"/>
    <x v="2"/>
    <d v="2018-11-12T00:00:00"/>
    <d v="2018-11-30T00:00:00"/>
    <d v="2018-11-30T00:00:00"/>
    <m/>
    <x v="1"/>
    <x v="4"/>
  </r>
  <r>
    <s v="MRNTX029265"/>
    <x v="1"/>
    <x v="2"/>
    <d v="2018-11-12T00:00:00"/>
    <d v="2018-11-26T00:00:00"/>
    <d v="2018-11-19T00:00:00"/>
    <d v="2018-11-19T00:00:00"/>
    <x v="0"/>
    <x v="1"/>
  </r>
  <r>
    <s v="MRNTX029288"/>
    <x v="1"/>
    <x v="2"/>
    <d v="2018-11-28T00:00:00"/>
    <d v="2018-12-06T00:00:00"/>
    <d v="2018-12-06T00:00:00"/>
    <m/>
    <x v="0"/>
    <x v="0"/>
  </r>
  <r>
    <s v="MRNTX029299"/>
    <x v="1"/>
    <x v="2"/>
    <d v="2018-11-12T00:00:00"/>
    <d v="2018-11-30T00:00:00"/>
    <d v="2018-11-28T00:00:00"/>
    <d v="2018-11-28T00:00:00"/>
    <x v="1"/>
    <x v="1"/>
  </r>
  <r>
    <s v="MRNTX033034"/>
    <x v="1"/>
    <x v="2"/>
    <d v="2018-11-28T00:00:00"/>
    <d v="2018-11-30T00:00:00"/>
    <d v="2018-11-30T00:00:00"/>
    <m/>
    <x v="0"/>
    <x v="0"/>
  </r>
  <r>
    <s v="MRNTX033058"/>
    <x v="1"/>
    <x v="2"/>
    <d v="2018-11-28T00:00:00"/>
    <d v="2018-12-10T00:00:00"/>
    <d v="2018-12-10T00:00:00"/>
    <m/>
    <x v="0"/>
    <x v="0"/>
  </r>
  <r>
    <s v="MRNTX033119"/>
    <x v="1"/>
    <x v="2"/>
    <d v="2018-11-01T00:00:00"/>
    <d v="2019-01-28T00:00:00"/>
    <d v="2019-01-28T00:00:00"/>
    <m/>
    <x v="1"/>
    <x v="4"/>
  </r>
  <r>
    <s v="MRNTX033136"/>
    <x v="1"/>
    <x v="2"/>
    <d v="2018-11-05T00:00:00"/>
    <d v="2018-11-13T00:00:00"/>
    <d v="2018-11-10T00:00:00"/>
    <d v="2018-11-10T00:00:00"/>
    <x v="0"/>
    <x v="1"/>
  </r>
  <r>
    <s v="MRNTX033156"/>
    <x v="1"/>
    <x v="2"/>
    <d v="2018-11-05T00:00:00"/>
    <d v="2018-11-30T00:00:00"/>
    <d v="2018-11-30T00:00:00"/>
    <m/>
    <x v="1"/>
    <x v="4"/>
  </r>
  <r>
    <s v="MRNTX033158"/>
    <x v="1"/>
    <x v="2"/>
    <d v="2018-11-30T00:00:00"/>
    <d v="2018-11-30T00:00:00"/>
    <d v="2018-11-13T00:00:00"/>
    <d v="2018-11-13T00:00:00"/>
    <x v="0"/>
    <x v="1"/>
  </r>
  <r>
    <s v="MRNTX033173"/>
    <x v="1"/>
    <x v="2"/>
    <d v="2018-11-05T00:00:00"/>
    <d v="2018-11-13T00:00:00"/>
    <d v="2018-11-10T00:00:00"/>
    <d v="2018-11-10T00:00:00"/>
    <x v="0"/>
    <x v="1"/>
  </r>
  <r>
    <s v="MRNTX033259"/>
    <x v="1"/>
    <x v="2"/>
    <d v="2018-11-01T00:00:00"/>
    <d v="2019-01-28T00:00:00"/>
    <d v="2019-01-28T00:00:00"/>
    <m/>
    <x v="1"/>
    <x v="4"/>
  </r>
  <r>
    <s v="MRNTX033266"/>
    <x v="1"/>
    <x v="2"/>
    <d v="2018-11-28T00:00:00"/>
    <d v="2018-11-30T00:00:00"/>
    <d v="2018-11-30T00:00:00"/>
    <m/>
    <x v="0"/>
    <x v="0"/>
  </r>
  <r>
    <s v="MRNTX033294"/>
    <x v="1"/>
    <x v="2"/>
    <d v="2018-11-26T00:00:00"/>
    <d v="2019-01-28T00:00:00"/>
    <d v="2019-01-28T00:00:00"/>
    <m/>
    <x v="1"/>
    <x v="2"/>
  </r>
  <r>
    <s v="MRSTX035694"/>
    <x v="0"/>
    <x v="2"/>
    <d v="2018-11-02T00:00:00"/>
    <d v="2018-11-02T00:00:00"/>
    <d v="2018-11-02T00:00:00"/>
    <d v="2018-11-02T00:00:00"/>
    <x v="0"/>
    <x v="1"/>
  </r>
  <r>
    <s v="MRSTX035754"/>
    <x v="0"/>
    <x v="2"/>
    <d v="2018-11-15T00:00:00"/>
    <d v="2018-11-15T00:00:00"/>
    <d v="2018-11-05T00:00:00"/>
    <d v="2018-11-05T00:00:00"/>
    <x v="0"/>
    <x v="1"/>
  </r>
  <r>
    <s v="MRSTX035793"/>
    <x v="0"/>
    <x v="2"/>
    <d v="2018-11-15T00:00:00"/>
    <d v="2018-12-19T00:00:00"/>
    <d v="2018-12-17T00:00:00"/>
    <m/>
    <x v="1"/>
    <x v="4"/>
  </r>
  <r>
    <s v="MRANM017314"/>
    <x v="3"/>
    <x v="2"/>
    <d v="2018-11-05T00:00:00"/>
    <d v="2018-11-05T00:00:00"/>
    <d v="2018-11-05T00:00:00"/>
    <d v="2018-11-05T00:00:00"/>
    <x v="0"/>
    <x v="1"/>
  </r>
  <r>
    <s v="MRANM019406"/>
    <x v="3"/>
    <x v="2"/>
    <d v="2018-11-08T00:00:00"/>
    <d v="2018-11-12T00:00:00"/>
    <d v="2018-11-13T00:00:00"/>
    <m/>
    <x v="0"/>
    <x v="0"/>
  </r>
  <r>
    <s v="MRANM019425"/>
    <x v="3"/>
    <x v="2"/>
    <d v="2018-11-08T00:00:00"/>
    <d v="2018-11-12T00:00:00"/>
    <d v="2018-11-13T00:00:00"/>
    <m/>
    <x v="0"/>
    <x v="0"/>
  </r>
  <r>
    <s v="MRANM019470"/>
    <x v="3"/>
    <x v="2"/>
    <d v="2018-11-08T00:00:00"/>
    <d v="2018-11-12T00:00:00"/>
    <d v="2018-11-13T00:00:00"/>
    <m/>
    <x v="0"/>
    <x v="0"/>
  </r>
  <r>
    <s v="MRNTX031595"/>
    <x v="1"/>
    <x v="2"/>
    <d v="2018-11-26T00:00:00"/>
    <d v="2018-11-26T00:00:00"/>
    <d v="2018-11-13T00:00:00"/>
    <d v="2018-11-13T00:00:00"/>
    <x v="0"/>
    <x v="1"/>
  </r>
  <r>
    <s v="MRNTX031631"/>
    <x v="1"/>
    <x v="2"/>
    <d v="2018-11-30T00:00:00"/>
    <d v="2018-12-04T00:00:00"/>
    <d v="2018-11-28T00:00:00"/>
    <d v="2018-11-28T00:00:00"/>
    <x v="0"/>
    <x v="1"/>
  </r>
  <r>
    <s v="MRNTX031637"/>
    <x v="1"/>
    <x v="2"/>
    <d v="2018-11-26T00:00:00"/>
    <d v="2018-11-26T00:00:00"/>
    <d v="2018-11-13T00:00:00"/>
    <d v="2018-11-13T00:00:00"/>
    <x v="0"/>
    <x v="1"/>
  </r>
  <r>
    <s v="MRNTX031642"/>
    <x v="1"/>
    <x v="2"/>
    <d v="2018-11-30T00:00:00"/>
    <d v="2018-11-30T00:00:00"/>
    <d v="2018-11-21T00:00:00"/>
    <d v="2018-11-21T00:00:00"/>
    <x v="0"/>
    <x v="1"/>
  </r>
  <r>
    <s v="MRNTX031650"/>
    <x v="1"/>
    <x v="2"/>
    <d v="2018-11-30T00:00:00"/>
    <d v="2018-12-03T00:00:00"/>
    <d v="2018-12-03T00:00:00"/>
    <m/>
    <x v="0"/>
    <x v="0"/>
  </r>
  <r>
    <s v="MRNTX031658"/>
    <x v="1"/>
    <x v="2"/>
    <d v="2018-11-30T00:00:00"/>
    <d v="2018-11-30T00:00:00"/>
    <d v="2018-11-21T00:00:00"/>
    <d v="2018-11-21T00:00:00"/>
    <x v="0"/>
    <x v="1"/>
  </r>
  <r>
    <s v="MRNTX031687"/>
    <x v="1"/>
    <x v="2"/>
    <d v="2018-11-02T00:00:00"/>
    <d v="2018-11-09T00:00:00"/>
    <d v="2018-11-20T00:00:00"/>
    <d v="2018-11-20T00:00:00"/>
    <x v="1"/>
    <x v="1"/>
  </r>
  <r>
    <s v="MRSTX035830"/>
    <x v="0"/>
    <x v="2"/>
    <d v="2018-11-15T00:00:00"/>
    <d v="2018-12-19T00:00:00"/>
    <d v="2018-12-17T00:00:00"/>
    <m/>
    <x v="1"/>
    <x v="4"/>
  </r>
  <r>
    <s v="MRSTX035867"/>
    <x v="0"/>
    <x v="2"/>
    <d v="2018-11-15T00:00:00"/>
    <d v="2018-12-19T00:00:00"/>
    <d v="2018-12-17T00:00:00"/>
    <m/>
    <x v="1"/>
    <x v="4"/>
  </r>
  <r>
    <s v="MRSTX035919"/>
    <x v="0"/>
    <x v="2"/>
    <d v="2018-11-12T00:00:00"/>
    <d v="2018-12-19T00:00:00"/>
    <d v="2018-11-29T00:00:00"/>
    <m/>
    <x v="1"/>
    <x v="4"/>
  </r>
  <r>
    <s v="MRSTX035921"/>
    <x v="0"/>
    <x v="2"/>
    <d v="2018-11-15T00:00:00"/>
    <d v="2018-11-15T00:00:00"/>
    <d v="2018-11-05T00:00:00"/>
    <d v="2018-11-05T00:00:00"/>
    <x v="0"/>
    <x v="1"/>
  </r>
  <r>
    <s v="MRWSH021155"/>
    <x v="2"/>
    <x v="2"/>
    <d v="2018-11-12T00:00:00"/>
    <d v="2018-11-26T00:00:00"/>
    <d v="2018-11-26T00:00:00"/>
    <d v="2018-11-26T00:00:00"/>
    <x v="0"/>
    <x v="1"/>
  </r>
  <r>
    <s v="MRWSH021899"/>
    <x v="2"/>
    <x v="2"/>
    <d v="2018-11-19T00:00:00"/>
    <d v="2019-01-07T00:00:00"/>
    <d v="2019-01-07T00:00:00"/>
    <m/>
    <x v="1"/>
    <x v="2"/>
  </r>
  <r>
    <s v="MRWSH021936"/>
    <x v="2"/>
    <x v="2"/>
    <d v="2018-11-07T00:00:00"/>
    <d v="2018-11-09T00:00:00"/>
    <d v="2018-11-09T00:00:00"/>
    <d v="2018-11-09T00:00:00"/>
    <x v="0"/>
    <x v="1"/>
  </r>
  <r>
    <s v="MRWSH021957"/>
    <x v="2"/>
    <x v="2"/>
    <d v="2018-11-19T00:00:00"/>
    <d v="2018-11-06T00:00:00"/>
    <d v="2018-11-06T00:00:00"/>
    <d v="2018-11-06T00:00:00"/>
    <x v="0"/>
    <x v="1"/>
  </r>
  <r>
    <s v="MRWSH021966"/>
    <x v="2"/>
    <x v="2"/>
    <d v="2018-11-26T00:00:00"/>
    <d v="2018-12-04T00:00:00"/>
    <d v="2018-12-03T00:00:00"/>
    <m/>
    <x v="0"/>
    <x v="0"/>
  </r>
  <r>
    <s v="MRWSH021971"/>
    <x v="2"/>
    <x v="2"/>
    <d v="2018-11-12T00:00:00"/>
    <d v="2018-11-13T00:00:00"/>
    <d v="2018-11-13T00:00:00"/>
    <d v="2018-11-13T00:00:00"/>
    <x v="0"/>
    <x v="1"/>
  </r>
  <r>
    <s v="MRWSH021973"/>
    <x v="2"/>
    <x v="2"/>
    <d v="2018-11-12T00:00:00"/>
    <d v="2018-12-03T00:00:00"/>
    <d v="2018-11-30T00:00:00"/>
    <m/>
    <x v="1"/>
    <x v="4"/>
  </r>
  <r>
    <s v="MRNTX031777"/>
    <x v="1"/>
    <x v="2"/>
    <d v="2018-11-09T00:00:00"/>
    <d v="2018-11-30T00:00:00"/>
    <d v="2018-11-30T00:00:00"/>
    <m/>
    <x v="1"/>
    <x v="4"/>
  </r>
  <r>
    <s v="MRNTX031782"/>
    <x v="1"/>
    <x v="2"/>
    <d v="2018-11-05T00:00:00"/>
    <d v="2018-11-09T00:00:00"/>
    <d v="2018-11-22T00:00:00"/>
    <d v="2018-11-22T00:00:00"/>
    <x v="1"/>
    <x v="1"/>
  </r>
  <r>
    <s v="MRNTX031786"/>
    <x v="1"/>
    <x v="2"/>
    <d v="2018-11-09T00:00:00"/>
    <d v="2019-01-28T00:00:00"/>
    <d v="2019-01-28T00:00:00"/>
    <m/>
    <x v="1"/>
    <x v="4"/>
  </r>
  <r>
    <s v="MRNTX031885"/>
    <x v="1"/>
    <x v="2"/>
    <d v="2018-11-12T00:00:00"/>
    <d v="2018-11-30T00:00:00"/>
    <d v="2018-11-28T00:00:00"/>
    <d v="2018-11-28T00:00:00"/>
    <x v="1"/>
    <x v="1"/>
  </r>
  <r>
    <s v="MRNTX031906"/>
    <x v="1"/>
    <x v="2"/>
    <d v="2018-11-01T00:00:00"/>
    <d v="2018-11-02T00:00:00"/>
    <d v="2018-11-20T00:00:00"/>
    <d v="2018-11-20T00:00:00"/>
    <x v="1"/>
    <x v="1"/>
  </r>
  <r>
    <s v="MRSTX033625"/>
    <x v="0"/>
    <x v="2"/>
    <d v="2018-11-15T00:00:00"/>
    <d v="2018-11-15T00:00:00"/>
    <d v="2018-11-19T00:00:00"/>
    <d v="2018-11-19T00:00:00"/>
    <x v="0"/>
    <x v="1"/>
  </r>
  <r>
    <s v="MRWSH022032"/>
    <x v="2"/>
    <x v="2"/>
    <d v="2018-11-05T00:00:00"/>
    <d v="2018-11-07T00:00:00"/>
    <d v="2018-11-07T00:00:00"/>
    <d v="2018-11-07T00:00:00"/>
    <x v="0"/>
    <x v="1"/>
  </r>
  <r>
    <s v="MRWSH022046"/>
    <x v="2"/>
    <x v="2"/>
    <d v="2018-11-05T00:00:00"/>
    <d v="2018-12-10T00:00:00"/>
    <d v="2018-12-10T00:00:00"/>
    <m/>
    <x v="1"/>
    <x v="4"/>
  </r>
  <r>
    <s v="MRWSH022072"/>
    <x v="2"/>
    <x v="2"/>
    <d v="2018-11-12T00:00:00"/>
    <d v="2018-11-16T00:00:00"/>
    <d v="2018-11-16T00:00:00"/>
    <d v="2018-11-16T00:00:00"/>
    <x v="0"/>
    <x v="1"/>
  </r>
  <r>
    <s v="MRWSH022091"/>
    <x v="2"/>
    <x v="2"/>
    <d v="2018-11-06T00:00:00"/>
    <d v="2018-11-08T00:00:00"/>
    <d v="2018-11-08T00:00:00"/>
    <d v="2018-11-08T00:00:00"/>
    <x v="0"/>
    <x v="1"/>
  </r>
  <r>
    <s v="MRWSH022118"/>
    <x v="2"/>
    <x v="2"/>
    <d v="2018-11-07T00:00:00"/>
    <d v="2018-11-09T00:00:00"/>
    <d v="2018-11-09T00:00:00"/>
    <d v="2018-11-09T00:00:00"/>
    <x v="0"/>
    <x v="1"/>
  </r>
  <r>
    <s v="MRWSH022128"/>
    <x v="2"/>
    <x v="2"/>
    <d v="2018-11-07T00:00:00"/>
    <d v="2018-11-06T00:00:00"/>
    <d v="2018-11-06T00:00:00"/>
    <d v="2018-11-06T00:00:00"/>
    <x v="0"/>
    <x v="1"/>
  </r>
  <r>
    <s v="MRWSH022150"/>
    <x v="2"/>
    <x v="2"/>
    <d v="2018-11-19T00:00:00"/>
    <d v="2018-11-06T00:00:00"/>
    <d v="2018-11-06T00:00:00"/>
    <d v="2018-11-06T00:00:00"/>
    <x v="0"/>
    <x v="1"/>
  </r>
  <r>
    <s v="MRWSH022179"/>
    <x v="2"/>
    <x v="2"/>
    <d v="2018-11-06T00:00:00"/>
    <d v="2018-11-08T00:00:00"/>
    <d v="2018-11-08T00:00:00"/>
    <d v="2018-11-08T00:00:00"/>
    <x v="0"/>
    <x v="1"/>
  </r>
  <r>
    <s v="MRWSH022224"/>
    <x v="2"/>
    <x v="2"/>
    <d v="2018-11-26T00:00:00"/>
    <d v="2018-11-26T00:00:00"/>
    <d v="2018-11-26T00:00:00"/>
    <d v="2018-11-26T00:00:00"/>
    <x v="0"/>
    <x v="1"/>
  </r>
  <r>
    <s v="MRWSH022242"/>
    <x v="2"/>
    <x v="2"/>
    <d v="2018-11-07T00:00:00"/>
    <d v="2018-11-06T00:00:00"/>
    <d v="2018-11-06T00:00:00"/>
    <d v="2018-11-06T00:00:00"/>
    <x v="0"/>
    <x v="1"/>
  </r>
  <r>
    <s v="MRWSH022269"/>
    <x v="2"/>
    <x v="2"/>
    <d v="2018-11-19T00:00:00"/>
    <d v="2018-11-06T00:00:00"/>
    <d v="2018-11-06T00:00:00"/>
    <d v="2018-11-06T00:00:00"/>
    <x v="0"/>
    <x v="1"/>
  </r>
  <r>
    <s v="MRWSH022276"/>
    <x v="2"/>
    <x v="2"/>
    <d v="2018-11-12T00:00:00"/>
    <d v="2018-12-03T00:00:00"/>
    <d v="2018-11-30T00:00:00"/>
    <m/>
    <x v="1"/>
    <x v="4"/>
  </r>
  <r>
    <s v="MRWSH022281"/>
    <x v="2"/>
    <x v="2"/>
    <d v="2018-11-07T00:00:00"/>
    <d v="2018-11-09T00:00:00"/>
    <d v="2018-11-09T00:00:00"/>
    <d v="2018-11-09T00:00:00"/>
    <x v="0"/>
    <x v="1"/>
  </r>
  <r>
    <s v="MRWSH022296"/>
    <x v="2"/>
    <x v="2"/>
    <d v="2018-11-09T00:00:00"/>
    <d v="2018-11-14T00:00:00"/>
    <d v="2018-11-14T00:00:00"/>
    <d v="2018-11-14T00:00:00"/>
    <x v="0"/>
    <x v="1"/>
  </r>
  <r>
    <s v="MRNTX018005"/>
    <x v="1"/>
    <x v="2"/>
    <d v="2018-11-02T00:00:00"/>
    <d v="2018-11-20T00:00:00"/>
    <d v="2018-11-18T00:00:00"/>
    <d v="2018-11-18T00:00:00"/>
    <x v="1"/>
    <x v="1"/>
  </r>
  <r>
    <s v="MRNTX018205"/>
    <x v="1"/>
    <x v="2"/>
    <d v="2018-11-02T00:00:00"/>
    <d v="2018-11-20T00:00:00"/>
    <d v="2018-11-18T00:00:00"/>
    <d v="2018-11-18T00:00:00"/>
    <x v="1"/>
    <x v="1"/>
  </r>
  <r>
    <s v="MRSTX033681"/>
    <x v="0"/>
    <x v="2"/>
    <d v="2018-11-12T00:00:00"/>
    <d v="2018-11-12T00:00:00"/>
    <d v="2018-11-16T00:00:00"/>
    <d v="2018-11-16T00:00:00"/>
    <x v="0"/>
    <x v="1"/>
  </r>
  <r>
    <s v="MRSTX033684"/>
    <x v="0"/>
    <x v="2"/>
    <d v="2018-11-12T00:00:00"/>
    <d v="2018-11-12T00:00:00"/>
    <d v="2018-11-12T00:00:00"/>
    <d v="2018-11-12T00:00:00"/>
    <x v="0"/>
    <x v="1"/>
  </r>
  <r>
    <s v="MRSTX033685"/>
    <x v="0"/>
    <x v="2"/>
    <d v="2018-11-12T00:00:00"/>
    <d v="2018-12-19T00:00:00"/>
    <d v="2018-11-12T00:00:00"/>
    <m/>
    <x v="0"/>
    <x v="3"/>
  </r>
  <r>
    <s v="MRSTX033695"/>
    <x v="0"/>
    <x v="2"/>
    <d v="2018-11-12T00:00:00"/>
    <d v="2018-11-12T00:00:00"/>
    <d v="2018-11-19T00:00:00"/>
    <d v="2018-11-19T00:00:00"/>
    <x v="0"/>
    <x v="1"/>
  </r>
  <r>
    <s v="MRSTX033697"/>
    <x v="0"/>
    <x v="2"/>
    <d v="2018-11-12T00:00:00"/>
    <d v="2018-11-12T00:00:00"/>
    <d v="2018-11-13T00:00:00"/>
    <d v="2018-11-13T00:00:00"/>
    <x v="0"/>
    <x v="1"/>
  </r>
  <r>
    <s v="MRSTX033705"/>
    <x v="0"/>
    <x v="2"/>
    <d v="2018-11-15T00:00:00"/>
    <d v="2018-12-09T00:00:00"/>
    <d v="2018-12-09T00:00:00"/>
    <m/>
    <x v="1"/>
    <x v="4"/>
  </r>
  <r>
    <s v="MRSTX033706"/>
    <x v="0"/>
    <x v="2"/>
    <d v="2018-11-12T00:00:00"/>
    <d v="2018-11-12T00:00:00"/>
    <d v="2018-11-13T00:00:00"/>
    <d v="2018-11-13T00:00:00"/>
    <x v="0"/>
    <x v="1"/>
  </r>
  <r>
    <s v="MRSTX033749"/>
    <x v="0"/>
    <x v="2"/>
    <d v="2018-11-15T00:00:00"/>
    <d v="2018-11-15T00:00:00"/>
    <d v="2018-11-16T00:00:00"/>
    <d v="2018-11-16T00:00:00"/>
    <x v="0"/>
    <x v="1"/>
  </r>
  <r>
    <s v="MRSTX033758"/>
    <x v="0"/>
    <x v="2"/>
    <d v="2018-11-15T00:00:00"/>
    <d v="2018-12-05T00:00:00"/>
    <d v="2018-12-05T00:00:00"/>
    <m/>
    <x v="1"/>
    <x v="4"/>
  </r>
  <r>
    <s v="MRSTX033782"/>
    <x v="0"/>
    <x v="2"/>
    <d v="2018-11-15T00:00:00"/>
    <d v="2018-12-05T00:00:00"/>
    <d v="2018-12-05T00:00:00"/>
    <m/>
    <x v="1"/>
    <x v="4"/>
  </r>
  <r>
    <s v="MRSTX033801"/>
    <x v="0"/>
    <x v="2"/>
    <d v="2018-11-12T00:00:00"/>
    <d v="2018-11-12T00:00:00"/>
    <d v="2018-11-16T00:00:00"/>
    <d v="2018-11-16T00:00:00"/>
    <x v="0"/>
    <x v="1"/>
  </r>
  <r>
    <s v="MRSTX033855"/>
    <x v="0"/>
    <x v="2"/>
    <d v="2018-11-15T00:00:00"/>
    <d v="2018-11-15T00:00:00"/>
    <d v="2018-11-13T00:00:00"/>
    <d v="2018-11-13T00:00:00"/>
    <x v="0"/>
    <x v="1"/>
  </r>
  <r>
    <s v="MRSTX033868"/>
    <x v="0"/>
    <x v="2"/>
    <d v="2018-11-12T00:00:00"/>
    <d v="2018-11-12T00:00:00"/>
    <d v="2018-11-13T00:00:00"/>
    <d v="2018-11-13T00:00:00"/>
    <x v="0"/>
    <x v="1"/>
  </r>
  <r>
    <s v="MRSTX033878"/>
    <x v="0"/>
    <x v="2"/>
    <d v="2018-11-12T00:00:00"/>
    <d v="2018-11-12T00:00:00"/>
    <d v="2018-11-15T00:00:00"/>
    <d v="2018-11-15T00:00:00"/>
    <x v="0"/>
    <x v="1"/>
  </r>
  <r>
    <s v="MRSTX033885"/>
    <x v="0"/>
    <x v="2"/>
    <d v="2018-11-15T00:00:00"/>
    <d v="2018-11-15T00:00:00"/>
    <d v="2018-11-06T00:00:00"/>
    <d v="2018-11-06T00:00:00"/>
    <x v="0"/>
    <x v="1"/>
  </r>
  <r>
    <s v="MRSTX033899"/>
    <x v="0"/>
    <x v="2"/>
    <d v="2018-11-15T00:00:00"/>
    <d v="2018-11-15T00:00:00"/>
    <d v="2018-11-13T00:00:00"/>
    <d v="2018-11-13T00:00:00"/>
    <x v="0"/>
    <x v="1"/>
  </r>
  <r>
    <s v="MRNTX030244"/>
    <x v="1"/>
    <x v="2"/>
    <d v="2018-11-01T00:00:00"/>
    <d v="2018-11-02T00:00:00"/>
    <d v="2018-11-20T00:00:00"/>
    <d v="2018-11-20T00:00:00"/>
    <x v="1"/>
    <x v="1"/>
  </r>
  <r>
    <s v="MRNTX030252"/>
    <x v="1"/>
    <x v="2"/>
    <d v="2018-11-19T00:00:00"/>
    <d v="2018-11-19T00:00:00"/>
    <d v="2018-11-10T00:00:00"/>
    <d v="2018-11-10T00:00:00"/>
    <x v="0"/>
    <x v="1"/>
  </r>
  <r>
    <s v="MRNTX030261"/>
    <x v="1"/>
    <x v="2"/>
    <d v="2018-11-12T00:00:00"/>
    <d v="2019-01-28T00:00:00"/>
    <d v="2019-01-28T00:00:00"/>
    <m/>
    <x v="1"/>
    <x v="4"/>
  </r>
  <r>
    <s v="MRNTX030295"/>
    <x v="1"/>
    <x v="2"/>
    <d v="2018-11-12T00:00:00"/>
    <d v="2018-11-12T00:00:00"/>
    <d v="2018-11-05T00:00:00"/>
    <d v="2018-11-05T00:00:00"/>
    <x v="0"/>
    <x v="1"/>
  </r>
  <r>
    <s v="MRNTX030346"/>
    <x v="1"/>
    <x v="2"/>
    <d v="2018-11-02T00:00:00"/>
    <d v="2018-11-09T00:00:00"/>
    <d v="2018-11-20T00:00:00"/>
    <d v="2018-11-20T00:00:00"/>
    <x v="1"/>
    <x v="1"/>
  </r>
  <r>
    <s v="MRNTX030474"/>
    <x v="1"/>
    <x v="2"/>
    <d v="2018-11-05T00:00:00"/>
    <d v="2018-11-09T00:00:00"/>
    <d v="2018-11-02T00:00:00"/>
    <d v="2018-11-02T00:00:00"/>
    <x v="0"/>
    <x v="1"/>
  </r>
  <r>
    <s v="MRNTX030483"/>
    <x v="1"/>
    <x v="2"/>
    <d v="2018-11-12T00:00:00"/>
    <d v="2018-11-30T00:00:00"/>
    <d v="2018-11-30T00:00:00"/>
    <m/>
    <x v="1"/>
    <x v="4"/>
  </r>
  <r>
    <s v="MRNTX030484"/>
    <x v="1"/>
    <x v="2"/>
    <d v="2018-11-09T00:00:00"/>
    <d v="2018-11-30T00:00:00"/>
    <d v="2018-11-30T00:00:00"/>
    <m/>
    <x v="1"/>
    <x v="4"/>
  </r>
  <r>
    <s v="MRNTX030488"/>
    <x v="1"/>
    <x v="2"/>
    <d v="2018-11-05T00:00:00"/>
    <d v="2018-11-09T00:00:00"/>
    <d v="2018-11-22T00:00:00"/>
    <d v="2018-11-22T00:00:00"/>
    <x v="1"/>
    <x v="1"/>
  </r>
  <r>
    <s v="MRNTX030503"/>
    <x v="1"/>
    <x v="2"/>
    <d v="2018-11-09T00:00:00"/>
    <d v="2019-01-28T00:00:00"/>
    <d v="2019-01-28T00:00:00"/>
    <m/>
    <x v="1"/>
    <x v="4"/>
  </r>
  <r>
    <s v="MRNTX030574"/>
    <x v="1"/>
    <x v="2"/>
    <d v="2018-11-26T00:00:00"/>
    <d v="2018-11-26T00:00:00"/>
    <d v="2018-11-13T00:00:00"/>
    <d v="2018-11-13T00:00:00"/>
    <x v="0"/>
    <x v="1"/>
  </r>
  <r>
    <s v="MRNTX030611"/>
    <x v="1"/>
    <x v="2"/>
    <d v="2018-11-02T00:00:00"/>
    <d v="2018-11-02T00:00:00"/>
    <d v="2018-11-06T00:00:00"/>
    <d v="2018-11-06T00:00:00"/>
    <x v="0"/>
    <x v="1"/>
  </r>
  <r>
    <s v="MRNTX033638"/>
    <x v="1"/>
    <x v="2"/>
    <d v="2018-11-28T00:00:00"/>
    <d v="2018-12-10T00:00:00"/>
    <d v="2018-12-10T00:00:00"/>
    <m/>
    <x v="0"/>
    <x v="0"/>
  </r>
  <r>
    <s v="MRNTX033778"/>
    <x v="1"/>
    <x v="2"/>
    <d v="2018-11-01T00:00:00"/>
    <d v="2019-01-28T00:00:00"/>
    <d v="2019-01-28T00:00:00"/>
    <m/>
    <x v="1"/>
    <x v="4"/>
  </r>
  <r>
    <s v="MRNTX033787"/>
    <x v="1"/>
    <x v="2"/>
    <d v="2018-11-05T00:00:00"/>
    <d v="2018-12-10T00:00:00"/>
    <d v="2018-12-10T00:00:00"/>
    <m/>
    <x v="1"/>
    <x v="4"/>
  </r>
  <r>
    <s v="MRNTX033805"/>
    <x v="1"/>
    <x v="2"/>
    <d v="2018-11-05T00:00:00"/>
    <d v="2018-11-13T00:00:00"/>
    <d v="2018-11-10T00:00:00"/>
    <d v="2018-11-10T00:00:00"/>
    <x v="0"/>
    <x v="1"/>
  </r>
  <r>
    <s v="MRNTX033834"/>
    <x v="1"/>
    <x v="2"/>
    <d v="2018-11-05T00:00:00"/>
    <d v="2018-11-30T00:00:00"/>
    <d v="2018-11-30T00:00:00"/>
    <m/>
    <x v="1"/>
    <x v="4"/>
  </r>
  <r>
    <s v="MRNTX033849"/>
    <x v="1"/>
    <x v="2"/>
    <d v="2018-11-28T00:00:00"/>
    <d v="2018-11-28T00:00:00"/>
    <d v="2018-11-19T00:00:00"/>
    <d v="2018-11-19T00:00:00"/>
    <x v="0"/>
    <x v="1"/>
  </r>
  <r>
    <s v="MRNTX033863"/>
    <x v="1"/>
    <x v="2"/>
    <d v="2018-11-05T00:00:00"/>
    <d v="2018-12-06T00:00:00"/>
    <d v="2018-12-06T00:00:00"/>
    <m/>
    <x v="1"/>
    <x v="4"/>
  </r>
  <r>
    <s v="MRNTX033884"/>
    <x v="1"/>
    <x v="2"/>
    <d v="2018-11-28T00:00:00"/>
    <d v="2018-11-28T00:00:00"/>
    <d v="2018-11-19T00:00:00"/>
    <d v="2018-11-19T00:00:00"/>
    <x v="0"/>
    <x v="1"/>
  </r>
  <r>
    <s v="MRNTX033885"/>
    <x v="1"/>
    <x v="2"/>
    <d v="2018-11-28T00:00:00"/>
    <d v="2018-11-28T00:00:00"/>
    <d v="2018-11-19T00:00:00"/>
    <d v="2018-11-19T00:00:00"/>
    <x v="0"/>
    <x v="1"/>
  </r>
  <r>
    <s v="MRNTX033897"/>
    <x v="1"/>
    <x v="2"/>
    <d v="2018-11-12T00:00:00"/>
    <d v="2018-11-26T00:00:00"/>
    <d v="2018-11-19T00:00:00"/>
    <d v="2018-11-19T00:00:00"/>
    <x v="0"/>
    <x v="1"/>
  </r>
  <r>
    <s v="MRNTX033900"/>
    <x v="1"/>
    <x v="2"/>
    <d v="2018-11-26T00:00:00"/>
    <d v="2018-11-30T00:00:00"/>
    <d v="2018-11-30T00:00:00"/>
    <m/>
    <x v="0"/>
    <x v="0"/>
  </r>
  <r>
    <s v="MRANM019602"/>
    <x v="3"/>
    <x v="2"/>
    <d v="2018-11-08T00:00:00"/>
    <d v="2018-11-26T00:00:00"/>
    <d v="2018-11-28T00:00:00"/>
    <d v="2018-11-28T00:00:00"/>
    <x v="1"/>
    <x v="1"/>
  </r>
  <r>
    <s v="MRANM019704"/>
    <x v="3"/>
    <x v="2"/>
    <d v="2018-11-08T00:00:00"/>
    <d v="2018-11-26T00:00:00"/>
    <d v="2018-11-28T00:00:00"/>
    <d v="2018-11-28T00:00:00"/>
    <x v="1"/>
    <x v="1"/>
  </r>
  <r>
    <s v="MRANM019731"/>
    <x v="3"/>
    <x v="2"/>
    <d v="2018-11-08T00:00:00"/>
    <d v="2018-11-26T00:00:00"/>
    <d v="2018-11-28T00:00:00"/>
    <d v="2018-11-28T00:00:00"/>
    <x v="1"/>
    <x v="1"/>
  </r>
  <r>
    <s v="MRANM019748"/>
    <x v="3"/>
    <x v="2"/>
    <d v="2018-11-08T00:00:00"/>
    <d v="2018-11-12T00:00:00"/>
    <d v="2018-11-13T00:00:00"/>
    <d v="2018-11-13T00:00:00"/>
    <x v="0"/>
    <x v="1"/>
  </r>
  <r>
    <s v="MRANM019759"/>
    <x v="3"/>
    <x v="2"/>
    <d v="2018-11-08T00:00:00"/>
    <d v="2018-11-12T00:00:00"/>
    <d v="2018-11-13T00:00:00"/>
    <d v="2018-11-13T00:00:00"/>
    <x v="0"/>
    <x v="1"/>
  </r>
  <r>
    <s v="MRANM019761"/>
    <x v="3"/>
    <x v="2"/>
    <d v="2018-11-08T00:00:00"/>
    <d v="2018-11-12T00:00:00"/>
    <d v="2018-11-13T00:00:00"/>
    <d v="2018-11-13T00:00:00"/>
    <x v="0"/>
    <x v="1"/>
  </r>
  <r>
    <s v="MRANM020131"/>
    <x v="3"/>
    <x v="2"/>
    <d v="2018-11-08T00:00:00"/>
    <d v="2018-11-12T00:00:00"/>
    <d v="2018-11-13T00:00:00"/>
    <d v="2018-11-13T00:00:00"/>
    <x v="0"/>
    <x v="1"/>
  </r>
  <r>
    <s v="MRANM020161"/>
    <x v="3"/>
    <x v="2"/>
    <d v="2018-11-02T00:00:00"/>
    <d v="2018-11-05T00:00:00"/>
    <d v="2018-11-02T00:00:00"/>
    <d v="2018-11-02T00:00:00"/>
    <x v="0"/>
    <x v="1"/>
  </r>
  <r>
    <s v="MRANM020162"/>
    <x v="3"/>
    <x v="2"/>
    <d v="2018-11-30T00:00:00"/>
    <d v="2018-12-07T00:00:00"/>
    <d v="2018-12-07T00:00:00"/>
    <m/>
    <x v="0"/>
    <x v="0"/>
  </r>
  <r>
    <s v="MRANM020170"/>
    <x v="3"/>
    <x v="2"/>
    <d v="2018-11-08T00:00:00"/>
    <d v="2018-11-26T00:00:00"/>
    <d v="2018-11-28T00:00:00"/>
    <d v="2018-11-28T00:00:00"/>
    <x v="1"/>
    <x v="1"/>
  </r>
  <r>
    <s v="MRNTX033924"/>
    <x v="1"/>
    <x v="2"/>
    <d v="2018-11-05T00:00:00"/>
    <d v="2018-11-05T00:00:00"/>
    <d v="2018-11-22T00:00:00"/>
    <d v="2018-11-22T00:00:00"/>
    <x v="1"/>
    <x v="1"/>
  </r>
  <r>
    <s v="MRNTX033925"/>
    <x v="1"/>
    <x v="2"/>
    <d v="2018-11-02T00:00:00"/>
    <d v="2018-11-26T00:00:00"/>
    <d v="2018-11-30T00:00:00"/>
    <m/>
    <x v="1"/>
    <x v="4"/>
  </r>
  <r>
    <s v="MRNTX033926"/>
    <x v="1"/>
    <x v="2"/>
    <d v="2018-11-28T00:00:00"/>
    <d v="2018-11-28T00:00:00"/>
    <d v="2018-11-19T00:00:00"/>
    <d v="2018-11-19T00:00:00"/>
    <x v="0"/>
    <x v="1"/>
  </r>
  <r>
    <s v="MRSTX036191"/>
    <x v="0"/>
    <x v="2"/>
    <d v="2018-11-12T00:00:00"/>
    <d v="2018-12-18T00:00:00"/>
    <d v="2018-12-18T00:00:00"/>
    <m/>
    <x v="1"/>
    <x v="4"/>
  </r>
  <r>
    <s v="MRSTX036201"/>
    <x v="0"/>
    <x v="2"/>
    <d v="2018-11-12T00:00:00"/>
    <d v="2018-11-12T00:00:00"/>
    <d v="2018-11-19T00:00:00"/>
    <d v="2018-11-19T00:00:00"/>
    <x v="0"/>
    <x v="1"/>
  </r>
  <r>
    <s v="MRSTX036230"/>
    <x v="0"/>
    <x v="2"/>
    <d v="2018-11-12T00:00:00"/>
    <d v="2018-12-13T00:00:00"/>
    <d v="2018-12-13T00:00:00"/>
    <m/>
    <x v="1"/>
    <x v="4"/>
  </r>
  <r>
    <s v="MRSTX036250"/>
    <x v="0"/>
    <x v="2"/>
    <d v="2018-11-15T00:00:00"/>
    <d v="2018-11-15T00:00:00"/>
    <d v="2018-11-16T00:00:00"/>
    <d v="2018-11-16T00:00:00"/>
    <x v="0"/>
    <x v="1"/>
  </r>
  <r>
    <s v="MRSTX036258"/>
    <x v="0"/>
    <x v="2"/>
    <d v="2018-11-15T00:00:00"/>
    <d v="2018-11-15T00:00:00"/>
    <d v="2018-11-15T00:00:00"/>
    <d v="2018-11-15T00:00:00"/>
    <x v="0"/>
    <x v="1"/>
  </r>
  <r>
    <s v="MRSTX036288"/>
    <x v="0"/>
    <x v="2"/>
    <d v="2018-11-15T00:00:00"/>
    <d v="2018-11-15T00:00:00"/>
    <d v="2018-11-12T00:00:00"/>
    <d v="2018-11-12T00:00:00"/>
    <x v="0"/>
    <x v="1"/>
  </r>
  <r>
    <s v="MRANM020407"/>
    <x v="3"/>
    <x v="2"/>
    <d v="2018-11-26T00:00:00"/>
    <d v="2018-12-03T00:00:00"/>
    <d v="2018-12-03T00:00:00"/>
    <m/>
    <x v="0"/>
    <x v="0"/>
  </r>
  <r>
    <s v="MRANM020435"/>
    <x v="3"/>
    <x v="2"/>
    <d v="2018-11-26T00:00:00"/>
    <d v="2018-11-28T00:00:00"/>
    <d v="2018-11-28T00:00:00"/>
    <m/>
    <x v="0"/>
    <x v="0"/>
  </r>
  <r>
    <s v="MRANM020441"/>
    <x v="3"/>
    <x v="2"/>
    <d v="2018-11-08T00:00:00"/>
    <d v="2018-11-12T00:00:00"/>
    <d v="2018-11-13T00:00:00"/>
    <d v="2018-11-13T00:00:00"/>
    <x v="0"/>
    <x v="1"/>
  </r>
  <r>
    <s v="MRANM020465"/>
    <x v="3"/>
    <x v="2"/>
    <d v="2018-11-26T00:00:00"/>
    <d v="2018-11-26T00:00:00"/>
    <d v="2018-11-28T00:00:00"/>
    <d v="2018-11-28T00:00:00"/>
    <x v="0"/>
    <x v="1"/>
  </r>
  <r>
    <s v="MRANM020548"/>
    <x v="3"/>
    <x v="2"/>
    <d v="2018-11-30T00:00:00"/>
    <d v="2018-12-07T00:00:00"/>
    <d v="2018-12-07T00:00:00"/>
    <m/>
    <x v="0"/>
    <x v="0"/>
  </r>
  <r>
    <s v="MRANM021941"/>
    <x v="3"/>
    <x v="2"/>
    <d v="2018-11-12T00:00:00"/>
    <d v="2018-11-12T00:00:00"/>
    <d v="2018-11-12T00:00:00"/>
    <m/>
    <x v="0"/>
    <x v="0"/>
  </r>
  <r>
    <s v="MRANM021945"/>
    <x v="3"/>
    <x v="2"/>
    <d v="2018-11-03T00:00:00"/>
    <d v="1999-12-30T00:00:00"/>
    <d v="2018-11-03T00:00:00"/>
    <m/>
    <x v="0"/>
    <x v="0"/>
  </r>
  <r>
    <s v="MRANM021958"/>
    <x v="3"/>
    <x v="2"/>
    <d v="2018-11-03T00:00:00"/>
    <d v="1999-12-30T00:00:00"/>
    <d v="2018-11-03T00:00:00"/>
    <m/>
    <x v="0"/>
    <x v="0"/>
  </r>
  <r>
    <s v="MRANM021959"/>
    <x v="3"/>
    <x v="2"/>
    <d v="2018-11-03T00:00:00"/>
    <d v="1999-12-30T00:00:00"/>
    <d v="2018-11-03T00:00:00"/>
    <m/>
    <x v="0"/>
    <x v="0"/>
  </r>
  <r>
    <s v="MRNTX031957"/>
    <x v="1"/>
    <x v="2"/>
    <d v="2018-11-12T00:00:00"/>
    <d v="2019-01-28T00:00:00"/>
    <d v="2019-01-28T00:00:00"/>
    <m/>
    <x v="1"/>
    <x v="4"/>
  </r>
  <r>
    <s v="MRNTX031967"/>
    <x v="1"/>
    <x v="2"/>
    <d v="2018-11-28T00:00:00"/>
    <d v="2018-11-28T00:00:00"/>
    <d v="2018-11-13T00:00:00"/>
    <d v="2018-11-13T00:00:00"/>
    <x v="0"/>
    <x v="1"/>
  </r>
  <r>
    <s v="MRNTX031973"/>
    <x v="1"/>
    <x v="2"/>
    <d v="2018-11-05T00:00:00"/>
    <d v="2018-12-03T00:00:00"/>
    <d v="2018-12-03T00:00:00"/>
    <m/>
    <x v="1"/>
    <x v="4"/>
  </r>
  <r>
    <s v="MRNTX032010"/>
    <x v="1"/>
    <x v="2"/>
    <d v="2018-11-19T00:00:00"/>
    <d v="2018-11-19T00:00:00"/>
    <d v="2018-11-09T00:00:00"/>
    <d v="2018-11-09T00:00:00"/>
    <x v="0"/>
    <x v="1"/>
  </r>
  <r>
    <s v="MRNTX032093"/>
    <x v="1"/>
    <x v="2"/>
    <d v="2018-11-12T00:00:00"/>
    <d v="2018-11-30T00:00:00"/>
    <d v="2018-11-28T00:00:00"/>
    <d v="2018-11-28T00:00:00"/>
    <x v="1"/>
    <x v="1"/>
  </r>
  <r>
    <s v="MRNTX032109"/>
    <x v="1"/>
    <x v="2"/>
    <d v="2018-11-12T00:00:00"/>
    <d v="2018-11-30T00:00:00"/>
    <d v="2018-11-28T00:00:00"/>
    <d v="2018-11-28T00:00:00"/>
    <x v="1"/>
    <x v="1"/>
  </r>
  <r>
    <s v="MRSTX036335"/>
    <x v="0"/>
    <x v="2"/>
    <d v="2018-11-16T00:00:00"/>
    <d v="2018-12-18T00:00:00"/>
    <d v="2018-12-18T00:00:00"/>
    <m/>
    <x v="1"/>
    <x v="4"/>
  </r>
  <r>
    <s v="MRSTX036359"/>
    <x v="0"/>
    <x v="2"/>
    <d v="2018-11-12T00:00:00"/>
    <d v="2018-12-19T00:00:00"/>
    <d v="2018-12-17T00:00:00"/>
    <m/>
    <x v="1"/>
    <x v="4"/>
  </r>
  <r>
    <s v="MRSTX036372"/>
    <x v="0"/>
    <x v="2"/>
    <d v="2018-11-12T00:00:00"/>
    <d v="2018-12-19T00:00:00"/>
    <d v="2018-12-17T00:00:00"/>
    <m/>
    <x v="1"/>
    <x v="4"/>
  </r>
  <r>
    <s v="MRSTX036387"/>
    <x v="0"/>
    <x v="2"/>
    <d v="2018-11-15T00:00:00"/>
    <d v="2018-12-19T00:00:00"/>
    <d v="2018-12-17T00:00:00"/>
    <m/>
    <x v="1"/>
    <x v="4"/>
  </r>
  <r>
    <s v="MRWSH022861"/>
    <x v="2"/>
    <x v="2"/>
    <d v="2018-11-12T00:00:00"/>
    <d v="2018-11-05T00:00:00"/>
    <d v="2018-11-05T00:00:00"/>
    <d v="2018-11-05T00:00:00"/>
    <x v="0"/>
    <x v="1"/>
  </r>
  <r>
    <s v="MRWSH022864"/>
    <x v="2"/>
    <x v="2"/>
    <d v="2018-11-19T00:00:00"/>
    <d v="2018-11-20T00:00:00"/>
    <d v="2018-11-20T00:00:00"/>
    <d v="2018-11-20T00:00:00"/>
    <x v="0"/>
    <x v="1"/>
  </r>
  <r>
    <s v="MRWSH022866"/>
    <x v="2"/>
    <x v="2"/>
    <d v="2018-11-26T00:00:00"/>
    <d v="2018-11-16T00:00:00"/>
    <d v="2018-11-16T00:00:00"/>
    <d v="2018-11-16T00:00:00"/>
    <x v="0"/>
    <x v="1"/>
  </r>
  <r>
    <s v="MRWSH022867"/>
    <x v="2"/>
    <x v="2"/>
    <d v="2018-11-19T00:00:00"/>
    <d v="2018-11-28T00:00:00"/>
    <d v="2018-11-28T00:00:00"/>
    <d v="2018-11-28T00:00:00"/>
    <x v="0"/>
    <x v="1"/>
  </r>
  <r>
    <s v="MRWSH022874"/>
    <x v="2"/>
    <x v="2"/>
    <d v="2018-11-06T00:00:00"/>
    <d v="2018-11-06T00:00:00"/>
    <d v="2018-11-06T00:00:00"/>
    <d v="2018-11-06T00:00:00"/>
    <x v="0"/>
    <x v="1"/>
  </r>
  <r>
    <s v="MRWSH022880"/>
    <x v="2"/>
    <x v="2"/>
    <d v="2018-11-06T00:00:00"/>
    <d v="2018-11-26T00:00:00"/>
    <d v="2018-11-26T00:00:00"/>
    <d v="2018-11-26T00:00:00"/>
    <x v="1"/>
    <x v="1"/>
  </r>
  <r>
    <s v="MRWSH022891"/>
    <x v="2"/>
    <x v="2"/>
    <d v="2018-11-12T00:00:00"/>
    <d v="2018-12-11T00:00:00"/>
    <d v="2018-12-10T00:00:00"/>
    <m/>
    <x v="1"/>
    <x v="4"/>
  </r>
  <r>
    <s v="MRWSH022972"/>
    <x v="2"/>
    <x v="2"/>
    <d v="2018-11-01T00:00:00"/>
    <d v="2018-11-01T00:00:00"/>
    <d v="2018-11-01T00:00:00"/>
    <d v="2018-11-01T00:00:00"/>
    <x v="0"/>
    <x v="1"/>
  </r>
  <r>
    <s v="MRWSH022984"/>
    <x v="2"/>
    <x v="2"/>
    <d v="2018-11-05T00:00:00"/>
    <d v="2018-11-05T00:00:00"/>
    <d v="2018-11-05T00:00:00"/>
    <d v="2018-11-05T00:00:00"/>
    <x v="0"/>
    <x v="1"/>
  </r>
  <r>
    <s v="MRNTX032197"/>
    <x v="1"/>
    <x v="2"/>
    <d v="2018-11-12T00:00:00"/>
    <d v="2018-11-19T00:00:00"/>
    <d v="2018-11-16T00:00:00"/>
    <d v="2018-11-16T00:00:00"/>
    <x v="0"/>
    <x v="1"/>
  </r>
  <r>
    <s v="MRNTX032200"/>
    <x v="1"/>
    <x v="2"/>
    <d v="2018-11-12T00:00:00"/>
    <d v="2018-11-19T00:00:00"/>
    <d v="2018-11-16T00:00:00"/>
    <d v="2018-11-16T00:00:00"/>
    <x v="0"/>
    <x v="1"/>
  </r>
  <r>
    <s v="MRNTX032201"/>
    <x v="1"/>
    <x v="2"/>
    <d v="2018-11-05T00:00:00"/>
    <d v="2018-11-13T00:00:00"/>
    <d v="2018-11-09T00:00:00"/>
    <d v="2018-11-09T00:00:00"/>
    <x v="0"/>
    <x v="1"/>
  </r>
  <r>
    <s v="MRNTX032206"/>
    <x v="1"/>
    <x v="2"/>
    <d v="2018-11-09T00:00:00"/>
    <d v="2018-11-09T00:00:00"/>
    <d v="2018-11-21T00:00:00"/>
    <d v="2018-11-21T00:00:00"/>
    <x v="0"/>
    <x v="1"/>
  </r>
  <r>
    <s v="MRNTX032210"/>
    <x v="1"/>
    <x v="2"/>
    <d v="2018-11-05T00:00:00"/>
    <d v="2018-11-13T00:00:00"/>
    <d v="2018-11-09T00:00:00"/>
    <d v="2018-11-09T00:00:00"/>
    <x v="0"/>
    <x v="1"/>
  </r>
  <r>
    <s v="MRNTX032211"/>
    <x v="1"/>
    <x v="2"/>
    <d v="2018-11-28T00:00:00"/>
    <d v="2018-11-30T00:00:00"/>
    <d v="2018-11-30T00:00:00"/>
    <m/>
    <x v="0"/>
    <x v="0"/>
  </r>
  <r>
    <s v="MRNTX032221"/>
    <x v="1"/>
    <x v="2"/>
    <d v="2018-11-12T00:00:00"/>
    <d v="2018-11-12T00:00:00"/>
    <d v="2018-11-12T00:00:00"/>
    <d v="2018-11-12T00:00:00"/>
    <x v="0"/>
    <x v="1"/>
  </r>
  <r>
    <s v="MRNTX032230"/>
    <x v="1"/>
    <x v="2"/>
    <d v="2018-11-09T00:00:00"/>
    <d v="2018-11-09T00:00:00"/>
    <d v="2018-11-21T00:00:00"/>
    <d v="2018-11-21T00:00:00"/>
    <x v="0"/>
    <x v="1"/>
  </r>
  <r>
    <s v="MRNTX032234"/>
    <x v="1"/>
    <x v="2"/>
    <d v="2018-11-15T00:00:00"/>
    <d v="2018-12-03T00:00:00"/>
    <d v="2018-12-03T00:00:00"/>
    <m/>
    <x v="1"/>
    <x v="4"/>
  </r>
  <r>
    <s v="MRNTX032238"/>
    <x v="1"/>
    <x v="2"/>
    <d v="2018-11-12T00:00:00"/>
    <d v="2018-11-12T00:00:00"/>
    <d v="2018-11-12T00:00:00"/>
    <d v="2018-11-12T00:00:00"/>
    <x v="0"/>
    <x v="1"/>
  </r>
  <r>
    <s v="MRNTX032243"/>
    <x v="1"/>
    <x v="2"/>
    <d v="2018-11-05T00:00:00"/>
    <d v="2018-11-05T00:00:00"/>
    <d v="2018-11-21T00:00:00"/>
    <d v="2018-11-21T00:00:00"/>
    <x v="1"/>
    <x v="1"/>
  </r>
  <r>
    <s v="MRNTX032244"/>
    <x v="1"/>
    <x v="2"/>
    <d v="2018-11-09T00:00:00"/>
    <d v="2018-11-13T00:00:00"/>
    <d v="2018-11-14T00:00:00"/>
    <d v="2018-11-14T00:00:00"/>
    <x v="0"/>
    <x v="1"/>
  </r>
  <r>
    <s v="MRNTX032246"/>
    <x v="1"/>
    <x v="2"/>
    <d v="2018-11-02T00:00:00"/>
    <d v="2018-11-26T00:00:00"/>
    <d v="2018-11-30T00:00:00"/>
    <m/>
    <x v="1"/>
    <x v="4"/>
  </r>
  <r>
    <s v="MRNTX032248"/>
    <x v="1"/>
    <x v="2"/>
    <d v="2018-11-12T00:00:00"/>
    <d v="2018-11-12T00:00:00"/>
    <d v="2018-11-12T00:00:00"/>
    <d v="2018-11-12T00:00:00"/>
    <x v="0"/>
    <x v="1"/>
  </r>
  <r>
    <s v="MRNTX032250"/>
    <x v="1"/>
    <x v="2"/>
    <d v="2018-11-09T00:00:00"/>
    <d v="2018-11-13T00:00:00"/>
    <d v="2018-11-14T00:00:00"/>
    <d v="2018-11-14T00:00:00"/>
    <x v="0"/>
    <x v="1"/>
  </r>
  <r>
    <s v="MRNTX032261"/>
    <x v="1"/>
    <x v="2"/>
    <d v="2018-11-02T00:00:00"/>
    <d v="2018-11-13T00:00:00"/>
    <d v="2018-11-08T00:00:00"/>
    <d v="2018-11-08T00:00:00"/>
    <x v="0"/>
    <x v="1"/>
  </r>
  <r>
    <s v="MRNTX032264"/>
    <x v="1"/>
    <x v="2"/>
    <d v="2018-11-12T00:00:00"/>
    <d v="2018-11-12T00:00:00"/>
    <d v="2018-11-12T00:00:00"/>
    <d v="2018-11-12T00:00:00"/>
    <x v="0"/>
    <x v="1"/>
  </r>
  <r>
    <s v="MRSTX033926"/>
    <x v="0"/>
    <x v="2"/>
    <d v="2018-11-12T00:00:00"/>
    <d v="2018-11-12T00:00:00"/>
    <d v="2018-11-19T00:00:00"/>
    <d v="2018-11-19T00:00:00"/>
    <x v="0"/>
    <x v="1"/>
  </r>
  <r>
    <s v="MRSTX033970"/>
    <x v="0"/>
    <x v="2"/>
    <d v="2018-11-15T00:00:00"/>
    <d v="2018-12-09T00:00:00"/>
    <d v="2018-12-09T00:00:00"/>
    <m/>
    <x v="1"/>
    <x v="4"/>
  </r>
  <r>
    <s v="MRWSH023045"/>
    <x v="2"/>
    <x v="2"/>
    <d v="2018-11-01T00:00:00"/>
    <d v="2018-11-01T00:00:00"/>
    <d v="2018-11-01T00:00:00"/>
    <d v="2018-11-01T00:00:00"/>
    <x v="0"/>
    <x v="1"/>
  </r>
  <r>
    <s v="MRWSH023048"/>
    <x v="2"/>
    <x v="2"/>
    <d v="2018-11-01T00:00:00"/>
    <d v="2018-11-01T00:00:00"/>
    <d v="2018-11-01T00:00:00"/>
    <d v="2018-11-01T00:00:00"/>
    <x v="0"/>
    <x v="1"/>
  </r>
  <r>
    <s v="MRWSH023070"/>
    <x v="2"/>
    <x v="2"/>
    <d v="2018-11-26T00:00:00"/>
    <d v="2019-01-14T00:00:00"/>
    <d v="2019-01-14T00:00:00"/>
    <m/>
    <x v="1"/>
    <x v="2"/>
  </r>
  <r>
    <s v="MRWSH023112"/>
    <x v="2"/>
    <x v="2"/>
    <d v="2018-11-26T00:00:00"/>
    <d v="2019-01-14T00:00:00"/>
    <d v="2019-01-14T00:00:00"/>
    <m/>
    <x v="1"/>
    <x v="2"/>
  </r>
  <r>
    <s v="MRWSH023113"/>
    <x v="2"/>
    <x v="2"/>
    <d v="2018-11-26T00:00:00"/>
    <d v="2018-12-05T00:00:00"/>
    <d v="2018-12-05T00:00:00"/>
    <m/>
    <x v="0"/>
    <x v="0"/>
  </r>
  <r>
    <s v="MRWSH023150"/>
    <x v="2"/>
    <x v="2"/>
    <d v="2018-11-26T00:00:00"/>
    <d v="2019-01-14T00:00:00"/>
    <d v="2019-01-14T00:00:00"/>
    <m/>
    <x v="1"/>
    <x v="2"/>
  </r>
  <r>
    <s v="MRWSH023162"/>
    <x v="2"/>
    <x v="2"/>
    <d v="2018-11-27T00:00:00"/>
    <d v="2018-12-08T00:00:00"/>
    <d v="2018-12-04T00:00:00"/>
    <m/>
    <x v="0"/>
    <x v="0"/>
  </r>
  <r>
    <s v="MRWSH023163"/>
    <x v="2"/>
    <x v="2"/>
    <d v="2018-11-27T00:00:00"/>
    <d v="2018-12-08T00:00:00"/>
    <d v="2018-12-04T00:00:00"/>
    <m/>
    <x v="0"/>
    <x v="0"/>
  </r>
  <r>
    <s v="MRWSH024470"/>
    <x v="2"/>
    <x v="2"/>
    <d v="2018-11-21T00:00:00"/>
    <d v="2018-08-05T00:00:00"/>
    <d v="2018-12-05T00:00:00"/>
    <m/>
    <x v="0"/>
    <x v="0"/>
  </r>
  <r>
    <s v="MRWSH024472"/>
    <x v="2"/>
    <x v="2"/>
    <d v="2018-11-07T00:00:00"/>
    <d v="2018-11-05T00:00:00"/>
    <d v="2018-11-05T00:00:00"/>
    <d v="2018-11-05T00:00:00"/>
    <x v="0"/>
    <x v="1"/>
  </r>
  <r>
    <s v="MRWSH024476"/>
    <x v="2"/>
    <x v="2"/>
    <d v="2018-11-12T00:00:00"/>
    <d v="2018-12-03T00:00:00"/>
    <d v="2018-12-03T00:00:00"/>
    <m/>
    <x v="1"/>
    <x v="4"/>
  </r>
  <r>
    <s v="MRWSH024483"/>
    <x v="2"/>
    <x v="2"/>
    <d v="2018-11-19T00:00:00"/>
    <d v="2018-11-19T00:00:00"/>
    <d v="2018-11-19T00:00:00"/>
    <d v="2018-11-19T00:00:00"/>
    <x v="0"/>
    <x v="1"/>
  </r>
  <r>
    <s v="MRWSH024485"/>
    <x v="2"/>
    <x v="2"/>
    <d v="2018-11-12T00:00:00"/>
    <d v="2018-11-13T00:00:00"/>
    <d v="2018-11-12T00:00:00"/>
    <d v="2018-11-12T00:00:00"/>
    <x v="0"/>
    <x v="1"/>
  </r>
  <r>
    <s v="MRWSH024505"/>
    <x v="2"/>
    <x v="2"/>
    <d v="2018-11-07T00:00:00"/>
    <d v="2018-11-12T00:00:00"/>
    <d v="2018-11-12T00:00:00"/>
    <d v="2018-11-12T00:00:00"/>
    <x v="0"/>
    <x v="1"/>
  </r>
  <r>
    <s v="MRWSH024516"/>
    <x v="2"/>
    <x v="2"/>
    <d v="2018-11-07T00:00:00"/>
    <d v="2018-11-19T00:00:00"/>
    <d v="2018-11-19T00:00:00"/>
    <d v="2018-11-19T00:00:00"/>
    <x v="0"/>
    <x v="1"/>
  </r>
  <r>
    <s v="MRWSH024525"/>
    <x v="2"/>
    <x v="2"/>
    <d v="2018-11-12T00:00:00"/>
    <d v="2018-11-16T00:00:00"/>
    <d v="2018-11-16T00:00:00"/>
    <d v="2018-11-16T00:00:00"/>
    <x v="0"/>
    <x v="1"/>
  </r>
  <r>
    <s v="MRWSH024533"/>
    <x v="2"/>
    <x v="2"/>
    <d v="2018-11-12T00:00:00"/>
    <d v="2018-11-26T00:00:00"/>
    <d v="2018-11-26T00:00:00"/>
    <d v="2018-11-26T00:00:00"/>
    <x v="0"/>
    <x v="1"/>
  </r>
  <r>
    <s v="MRWSH024551"/>
    <x v="2"/>
    <x v="2"/>
    <d v="2018-11-12T00:00:00"/>
    <d v="2018-11-26T00:00:00"/>
    <d v="2018-11-26T00:00:00"/>
    <d v="2018-11-26T00:00:00"/>
    <x v="0"/>
    <x v="1"/>
  </r>
  <r>
    <s v="MRANM006631"/>
    <x v="3"/>
    <x v="2"/>
    <d v="2018-11-30T00:00:00"/>
    <d v="2018-11-30T00:00:00"/>
    <d v="2018-11-30T00:00:00"/>
    <m/>
    <x v="0"/>
    <x v="0"/>
  </r>
  <r>
    <s v="MRSTX034020"/>
    <x v="0"/>
    <x v="2"/>
    <d v="2018-11-12T00:00:00"/>
    <d v="2018-11-12T00:00:00"/>
    <d v="2018-11-15T00:00:00"/>
    <d v="2018-11-15T00:00:00"/>
    <x v="0"/>
    <x v="1"/>
  </r>
  <r>
    <s v="MRSTX034023"/>
    <x v="0"/>
    <x v="2"/>
    <d v="2018-11-12T00:00:00"/>
    <d v="2018-11-12T00:00:00"/>
    <d v="2018-11-15T00:00:00"/>
    <d v="2018-11-15T00:00:00"/>
    <x v="0"/>
    <x v="1"/>
  </r>
  <r>
    <s v="MRSTX034047"/>
    <x v="0"/>
    <x v="2"/>
    <d v="2018-11-12T00:00:00"/>
    <d v="2018-11-12T00:00:00"/>
    <d v="2018-11-11T00:00:00"/>
    <d v="2018-11-11T00:00:00"/>
    <x v="0"/>
    <x v="1"/>
  </r>
  <r>
    <s v="MRSTX034111"/>
    <x v="0"/>
    <x v="2"/>
    <d v="2018-11-15T00:00:00"/>
    <d v="2018-12-05T00:00:00"/>
    <d v="2018-12-05T00:00:00"/>
    <m/>
    <x v="1"/>
    <x v="4"/>
  </r>
  <r>
    <s v="MRSTX034112"/>
    <x v="0"/>
    <x v="2"/>
    <d v="2018-11-15T00:00:00"/>
    <d v="2018-12-09T00:00:00"/>
    <d v="2018-12-09T00:00:00"/>
    <m/>
    <x v="1"/>
    <x v="4"/>
  </r>
  <r>
    <s v="MRSTX034116"/>
    <x v="0"/>
    <x v="2"/>
    <d v="2018-11-15T00:00:00"/>
    <d v="2018-11-15T00:00:00"/>
    <d v="2018-11-16T00:00:00"/>
    <d v="2018-11-16T00:00:00"/>
    <x v="0"/>
    <x v="1"/>
  </r>
  <r>
    <s v="MRSTX034119"/>
    <x v="0"/>
    <x v="2"/>
    <d v="2018-11-15T00:00:00"/>
    <d v="2018-12-09T00:00:00"/>
    <d v="2018-12-09T00:00:00"/>
    <m/>
    <x v="1"/>
    <x v="4"/>
  </r>
  <r>
    <s v="MRSTX034122"/>
    <x v="0"/>
    <x v="2"/>
    <d v="2018-11-15T00:00:00"/>
    <d v="2018-11-15T00:00:00"/>
    <d v="2018-11-16T00:00:00"/>
    <d v="2018-11-16T00:00:00"/>
    <x v="0"/>
    <x v="1"/>
  </r>
  <r>
    <s v="MRSTX034162"/>
    <x v="0"/>
    <x v="2"/>
    <d v="2018-11-12T00:00:00"/>
    <d v="2018-12-19T00:00:00"/>
    <d v="2018-11-12T00:00:00"/>
    <m/>
    <x v="0"/>
    <x v="3"/>
  </r>
  <r>
    <s v="MRSTX034166"/>
    <x v="0"/>
    <x v="2"/>
    <d v="2018-11-12T00:00:00"/>
    <d v="2018-12-19T00:00:00"/>
    <d v="2018-12-18T00:00:00"/>
    <m/>
    <x v="1"/>
    <x v="4"/>
  </r>
  <r>
    <s v="MRSTX034199"/>
    <x v="0"/>
    <x v="2"/>
    <d v="2018-11-12T00:00:00"/>
    <d v="2018-11-12T00:00:00"/>
    <d v="2018-11-13T00:00:00"/>
    <d v="2018-11-13T00:00:00"/>
    <x v="0"/>
    <x v="1"/>
  </r>
  <r>
    <s v="MRSTX034212"/>
    <x v="0"/>
    <x v="2"/>
    <d v="2018-11-12T00:00:00"/>
    <d v="2018-11-12T00:00:00"/>
    <d v="2018-11-15T00:00:00"/>
    <d v="2018-11-15T00:00:00"/>
    <x v="0"/>
    <x v="1"/>
  </r>
  <r>
    <s v="MRNTX030695"/>
    <x v="1"/>
    <x v="2"/>
    <d v="2018-11-12T00:00:00"/>
    <d v="2018-11-12T00:00:00"/>
    <d v="2018-11-16T00:00:00"/>
    <d v="2018-11-16T00:00:00"/>
    <x v="0"/>
    <x v="1"/>
  </r>
  <r>
    <s v="MRNTX030706"/>
    <x v="1"/>
    <x v="2"/>
    <d v="2018-11-26T00:00:00"/>
    <d v="2018-11-26T00:00:00"/>
    <d v="2018-11-28T00:00:00"/>
    <d v="2018-11-28T00:00:00"/>
    <x v="0"/>
    <x v="1"/>
  </r>
  <r>
    <s v="MRNTX030799"/>
    <x v="1"/>
    <x v="2"/>
    <d v="2018-11-28T00:00:00"/>
    <d v="2018-11-28T00:00:00"/>
    <d v="2018-11-13T00:00:00"/>
    <d v="2018-11-13T00:00:00"/>
    <x v="0"/>
    <x v="1"/>
  </r>
  <r>
    <s v="MRNTX030808"/>
    <x v="1"/>
    <x v="2"/>
    <d v="2018-11-01T00:00:00"/>
    <d v="2018-11-02T00:00:00"/>
    <d v="2018-11-20T00:00:00"/>
    <d v="2018-11-20T00:00:00"/>
    <x v="1"/>
    <x v="1"/>
  </r>
  <r>
    <s v="MRNTX030811"/>
    <x v="1"/>
    <x v="2"/>
    <d v="2018-11-30T00:00:00"/>
    <d v="2018-11-30T00:00:00"/>
    <d v="2018-11-13T00:00:00"/>
    <d v="2018-11-13T00:00:00"/>
    <x v="0"/>
    <x v="1"/>
  </r>
  <r>
    <s v="MRNTX030826"/>
    <x v="1"/>
    <x v="2"/>
    <d v="2018-11-02T00:00:00"/>
    <d v="2018-11-02T00:00:00"/>
    <d v="2018-11-06T00:00:00"/>
    <d v="2018-11-06T00:00:00"/>
    <x v="0"/>
    <x v="1"/>
  </r>
  <r>
    <s v="MRNTX030840"/>
    <x v="1"/>
    <x v="2"/>
    <d v="2018-11-30T00:00:00"/>
    <d v="2018-11-30T00:00:00"/>
    <d v="2018-11-26T00:00:00"/>
    <d v="2018-11-26T00:00:00"/>
    <x v="0"/>
    <x v="1"/>
  </r>
  <r>
    <s v="MRNTX030844"/>
    <x v="1"/>
    <x v="2"/>
    <d v="2018-11-12T00:00:00"/>
    <d v="2019-01-28T00:00:00"/>
    <d v="2019-01-28T00:00:00"/>
    <m/>
    <x v="1"/>
    <x v="4"/>
  </r>
  <r>
    <s v="MRNTX030868"/>
    <x v="1"/>
    <x v="2"/>
    <d v="2018-11-30T00:00:00"/>
    <d v="2018-11-30T00:00:00"/>
    <d v="2018-11-05T00:00:00"/>
    <d v="2018-11-05T00:00:00"/>
    <x v="0"/>
    <x v="1"/>
  </r>
  <r>
    <s v="MRNTX030893"/>
    <x v="1"/>
    <x v="2"/>
    <d v="2018-11-30T00:00:00"/>
    <d v="2018-11-30T00:00:00"/>
    <d v="2018-11-05T00:00:00"/>
    <d v="2018-11-05T00:00:00"/>
    <x v="0"/>
    <x v="1"/>
  </r>
  <r>
    <s v="MRNTX030908"/>
    <x v="1"/>
    <x v="2"/>
    <d v="2018-11-12T00:00:00"/>
    <d v="2018-11-12T00:00:00"/>
    <d v="2018-11-21T00:00:00"/>
    <d v="2018-11-21T00:00:00"/>
    <x v="0"/>
    <x v="1"/>
  </r>
  <r>
    <s v="MRNTX030936"/>
    <x v="1"/>
    <x v="2"/>
    <d v="2018-11-30T00:00:00"/>
    <d v="2018-11-30T00:00:00"/>
    <d v="2018-10-27T00:00:00"/>
    <d v="2018-10-27T00:00:00"/>
    <x v="0"/>
    <x v="1"/>
  </r>
  <r>
    <s v="MRNTX030937"/>
    <x v="1"/>
    <x v="2"/>
    <d v="2018-11-12T00:00:00"/>
    <d v="2018-11-12T00:00:00"/>
    <d v="2018-11-16T00:00:00"/>
    <d v="2018-11-16T00:00:00"/>
    <x v="0"/>
    <x v="1"/>
  </r>
  <r>
    <s v="MRNTX030945"/>
    <x v="1"/>
    <x v="2"/>
    <d v="2018-11-12T00:00:00"/>
    <d v="2018-11-12T00:00:00"/>
    <d v="2018-11-05T00:00:00"/>
    <d v="2018-11-05T00:00:00"/>
    <x v="0"/>
    <x v="1"/>
  </r>
  <r>
    <s v="MRNTX033955"/>
    <x v="1"/>
    <x v="2"/>
    <d v="2018-11-26T00:00:00"/>
    <d v="2018-11-30T00:00:00"/>
    <d v="2018-11-30T00:00:00"/>
    <m/>
    <x v="0"/>
    <x v="0"/>
  </r>
  <r>
    <s v="MRNTX033971"/>
    <x v="1"/>
    <x v="2"/>
    <d v="2018-11-05T00:00:00"/>
    <d v="2018-12-06T00:00:00"/>
    <d v="2018-12-06T00:00:00"/>
    <m/>
    <x v="1"/>
    <x v="4"/>
  </r>
  <r>
    <s v="MRNTX033973"/>
    <x v="1"/>
    <x v="2"/>
    <d v="2018-11-01T00:00:00"/>
    <d v="2018-11-02T00:00:00"/>
    <d v="2018-11-01T00:00:00"/>
    <d v="2018-11-01T00:00:00"/>
    <x v="0"/>
    <x v="1"/>
  </r>
  <r>
    <s v="MRNTX033984"/>
    <x v="1"/>
    <x v="2"/>
    <d v="2018-11-05T00:00:00"/>
    <d v="2018-12-06T00:00:00"/>
    <d v="2018-12-06T00:00:00"/>
    <m/>
    <x v="1"/>
    <x v="4"/>
  </r>
  <r>
    <s v="MRNTX035481"/>
    <x v="1"/>
    <x v="2"/>
    <d v="2018-11-02T00:00:00"/>
    <d v="2018-11-02T00:00:00"/>
    <d v="2018-11-04T00:00:00"/>
    <d v="2018-11-04T00:00:00"/>
    <x v="0"/>
    <x v="1"/>
  </r>
  <r>
    <s v="MRNTX035672"/>
    <x v="1"/>
    <x v="2"/>
    <d v="2018-11-05T00:00:00"/>
    <d v="2018-11-26T00:00:00"/>
    <d v="2018-11-21T00:00:00"/>
    <d v="2018-11-21T00:00:00"/>
    <x v="1"/>
    <x v="1"/>
  </r>
  <r>
    <s v="MRNTX035968"/>
    <x v="1"/>
    <x v="2"/>
    <d v="2018-11-12T00:00:00"/>
    <d v="2018-11-19T00:00:00"/>
    <d v="2018-11-18T00:00:00"/>
    <d v="2018-11-18T00:00:00"/>
    <x v="0"/>
    <x v="1"/>
  </r>
  <r>
    <s v="MRNTX035972"/>
    <x v="1"/>
    <x v="2"/>
    <d v="2018-11-09T00:00:00"/>
    <d v="2018-11-09T00:00:00"/>
    <d v="2018-11-06T00:00:00"/>
    <d v="2018-11-06T00:00:00"/>
    <x v="0"/>
    <x v="1"/>
  </r>
  <r>
    <s v="MRNTX035973"/>
    <x v="1"/>
    <x v="2"/>
    <d v="2018-11-09T00:00:00"/>
    <d v="2018-11-13T00:00:00"/>
    <d v="2018-11-10T00:00:00"/>
    <d v="2018-11-10T00:00:00"/>
    <x v="0"/>
    <x v="1"/>
  </r>
  <r>
    <s v="MRNTX035976"/>
    <x v="1"/>
    <x v="2"/>
    <d v="2018-11-12T00:00:00"/>
    <d v="2018-11-12T00:00:00"/>
    <d v="2018-11-06T00:00:00"/>
    <d v="2018-11-06T00:00:00"/>
    <x v="0"/>
    <x v="1"/>
  </r>
  <r>
    <s v="MRNTX035979"/>
    <x v="1"/>
    <x v="2"/>
    <d v="2018-11-19T00:00:00"/>
    <d v="2018-11-19T00:00:00"/>
    <d v="2018-11-16T00:00:00"/>
    <d v="2018-11-16T00:00:00"/>
    <x v="0"/>
    <x v="1"/>
  </r>
  <r>
    <s v="MRNTX035982"/>
    <x v="1"/>
    <x v="2"/>
    <d v="2018-11-02T00:00:00"/>
    <d v="2018-11-05T00:00:00"/>
    <d v="2018-11-02T00:00:00"/>
    <d v="2018-11-02T00:00:00"/>
    <x v="0"/>
    <x v="1"/>
  </r>
  <r>
    <s v="MRNTX035983"/>
    <x v="1"/>
    <x v="2"/>
    <d v="2018-11-12T00:00:00"/>
    <d v="2018-12-04T00:00:00"/>
    <d v="2018-12-04T00:00:00"/>
    <m/>
    <x v="1"/>
    <x v="4"/>
  </r>
  <r>
    <s v="MRNTX035984"/>
    <x v="1"/>
    <x v="2"/>
    <d v="2018-11-05T00:00:00"/>
    <d v="2018-11-13T00:00:00"/>
    <d v="2018-11-19T00:00:00"/>
    <d v="2018-11-19T00:00:00"/>
    <x v="0"/>
    <x v="1"/>
  </r>
  <r>
    <s v="MRNTX035988"/>
    <x v="1"/>
    <x v="2"/>
    <d v="2018-11-02T00:00:00"/>
    <d v="2018-11-05T00:00:00"/>
    <d v="2018-11-02T00:00:00"/>
    <d v="2018-11-02T00:00:00"/>
    <x v="0"/>
    <x v="1"/>
  </r>
  <r>
    <s v="MRNTX035989"/>
    <x v="1"/>
    <x v="2"/>
    <d v="2018-11-19T00:00:00"/>
    <d v="2018-11-19T00:00:00"/>
    <d v="2018-11-13T00:00:00"/>
    <d v="2018-11-13T00:00:00"/>
    <x v="0"/>
    <x v="1"/>
  </r>
  <r>
    <s v="MRNTX035993"/>
    <x v="1"/>
    <x v="2"/>
    <d v="2018-11-02T00:00:00"/>
    <d v="2018-12-03T00:00:00"/>
    <d v="2018-11-02T00:00:00"/>
    <d v="2018-11-02T00:00:00"/>
    <x v="0"/>
    <x v="1"/>
  </r>
  <r>
    <s v="MRNTX035997"/>
    <x v="1"/>
    <x v="2"/>
    <d v="2018-11-12T00:00:00"/>
    <d v="2018-11-19T00:00:00"/>
    <d v="2018-11-14T00:00:00"/>
    <d v="2018-11-14T00:00:00"/>
    <x v="0"/>
    <x v="1"/>
  </r>
  <r>
    <s v="MRNTX036011"/>
    <x v="1"/>
    <x v="2"/>
    <d v="2018-11-12T00:00:00"/>
    <d v="2018-11-19T00:00:00"/>
    <d v="2018-11-14T00:00:00"/>
    <d v="2018-11-14T00:00:00"/>
    <x v="0"/>
    <x v="1"/>
  </r>
  <r>
    <s v="MRNTX036023"/>
    <x v="1"/>
    <x v="2"/>
    <d v="2018-11-12T00:00:00"/>
    <d v="2018-11-12T00:00:00"/>
    <d v="2018-11-12T00:00:00"/>
    <d v="2018-11-12T00:00:00"/>
    <x v="0"/>
    <x v="1"/>
  </r>
  <r>
    <s v="MRNTX036031"/>
    <x v="1"/>
    <x v="2"/>
    <d v="2018-11-28T00:00:00"/>
    <d v="2018-11-28T00:00:00"/>
    <d v="2018-11-20T00:00:00"/>
    <d v="2018-11-20T00:00:00"/>
    <x v="0"/>
    <x v="1"/>
  </r>
  <r>
    <s v="MRNTX036043"/>
    <x v="1"/>
    <x v="2"/>
    <d v="2018-11-12T00:00:00"/>
    <d v="2018-11-20T00:00:00"/>
    <d v="2018-11-16T00:00:00"/>
    <d v="2018-11-16T00:00:00"/>
    <x v="0"/>
    <x v="1"/>
  </r>
  <r>
    <s v="MRNTX036047"/>
    <x v="1"/>
    <x v="2"/>
    <d v="2018-11-02T00:00:00"/>
    <d v="2018-12-03T00:00:00"/>
    <d v="2018-11-02T00:00:00"/>
    <d v="2018-11-02T00:00:00"/>
    <x v="0"/>
    <x v="1"/>
  </r>
  <r>
    <s v="MRNTX036052"/>
    <x v="1"/>
    <x v="2"/>
    <d v="2018-11-12T00:00:00"/>
    <d v="2018-11-30T00:00:00"/>
    <d v="2018-11-30T00:00:00"/>
    <m/>
    <x v="1"/>
    <x v="4"/>
  </r>
  <r>
    <s v="MRNTX036055"/>
    <x v="1"/>
    <x v="2"/>
    <d v="2018-11-12T00:00:00"/>
    <d v="2018-11-12T00:00:00"/>
    <d v="2018-11-22T00:00:00"/>
    <d v="2018-11-22T00:00:00"/>
    <x v="0"/>
    <x v="1"/>
  </r>
  <r>
    <s v="MRNTX036056"/>
    <x v="1"/>
    <x v="2"/>
    <d v="2018-11-12T00:00:00"/>
    <d v="2018-11-19T00:00:00"/>
    <d v="2018-11-14T00:00:00"/>
    <d v="2018-11-14T00:00:00"/>
    <x v="0"/>
    <x v="1"/>
  </r>
  <r>
    <s v="MRNTX036066"/>
    <x v="1"/>
    <x v="2"/>
    <d v="2018-11-07T00:00:00"/>
    <d v="2018-11-20T00:00:00"/>
    <d v="2018-11-16T00:00:00"/>
    <d v="2018-11-16T00:00:00"/>
    <x v="0"/>
    <x v="1"/>
  </r>
  <r>
    <s v="MRNTX036071"/>
    <x v="1"/>
    <x v="2"/>
    <d v="2018-11-12T00:00:00"/>
    <d v="2018-11-30T00:00:00"/>
    <d v="2018-11-30T00:00:00"/>
    <m/>
    <x v="1"/>
    <x v="4"/>
  </r>
  <r>
    <s v="MRNTX036092"/>
    <x v="1"/>
    <x v="2"/>
    <d v="2018-11-12T00:00:00"/>
    <d v="2018-11-12T00:00:00"/>
    <d v="2018-11-22T00:00:00"/>
    <d v="2018-11-22T00:00:00"/>
    <x v="0"/>
    <x v="1"/>
  </r>
  <r>
    <s v="MRNTX036094"/>
    <x v="1"/>
    <x v="2"/>
    <d v="2018-11-12T00:00:00"/>
    <d v="2018-11-30T00:00:00"/>
    <d v="2018-11-30T00:00:00"/>
    <m/>
    <x v="1"/>
    <x v="4"/>
  </r>
  <r>
    <s v="MRNTX036097"/>
    <x v="1"/>
    <x v="2"/>
    <d v="2018-11-07T00:00:00"/>
    <d v="2018-11-20T00:00:00"/>
    <d v="2018-11-16T00:00:00"/>
    <d v="2018-11-16T00:00:00"/>
    <x v="0"/>
    <x v="1"/>
  </r>
  <r>
    <s v="MRNTX036101"/>
    <x v="1"/>
    <x v="2"/>
    <d v="2018-11-12T00:00:00"/>
    <d v="2018-11-12T00:00:00"/>
    <d v="2018-11-12T00:00:00"/>
    <d v="2018-11-12T00:00:00"/>
    <x v="0"/>
    <x v="1"/>
  </r>
  <r>
    <s v="MRNTX036102"/>
    <x v="1"/>
    <x v="2"/>
    <d v="2018-11-12T00:00:00"/>
    <d v="2018-11-30T00:00:00"/>
    <d v="2018-11-30T00:00:00"/>
    <m/>
    <x v="1"/>
    <x v="4"/>
  </r>
  <r>
    <s v="MRNTX036106"/>
    <x v="1"/>
    <x v="2"/>
    <d v="2018-11-12T00:00:00"/>
    <d v="2018-11-30T00:00:00"/>
    <d v="2018-11-30T00:00:00"/>
    <m/>
    <x v="1"/>
    <x v="4"/>
  </r>
  <r>
    <s v="MRNTX036108"/>
    <x v="1"/>
    <x v="2"/>
    <d v="2018-11-12T00:00:00"/>
    <d v="2018-11-19T00:00:00"/>
    <d v="2018-11-14T00:00:00"/>
    <d v="2018-11-14T00:00:00"/>
    <x v="0"/>
    <x v="1"/>
  </r>
  <r>
    <s v="MRNTX036109"/>
    <x v="1"/>
    <x v="2"/>
    <d v="2018-11-12T00:00:00"/>
    <d v="2018-11-30T00:00:00"/>
    <d v="2018-11-30T00:00:00"/>
    <m/>
    <x v="1"/>
    <x v="4"/>
  </r>
  <r>
    <s v="MRNTX036122"/>
    <x v="1"/>
    <x v="2"/>
    <d v="2018-11-26T00:00:00"/>
    <d v="2018-11-26T00:00:00"/>
    <d v="2018-11-28T00:00:00"/>
    <d v="2018-11-28T00:00:00"/>
    <x v="0"/>
    <x v="1"/>
  </r>
  <r>
    <s v="MRNTX036123"/>
    <x v="1"/>
    <x v="2"/>
    <d v="2018-11-28T00:00:00"/>
    <d v="2019-01-28T00:00:00"/>
    <d v="2019-01-28T00:00:00"/>
    <m/>
    <x v="1"/>
    <x v="2"/>
  </r>
  <r>
    <s v="MRNTX036130"/>
    <x v="1"/>
    <x v="2"/>
    <d v="2018-11-02T00:00:00"/>
    <d v="2018-11-26T00:00:00"/>
    <d v="2018-11-30T00:00:00"/>
    <m/>
    <x v="1"/>
    <x v="4"/>
  </r>
  <r>
    <s v="MRNTX036132"/>
    <x v="1"/>
    <x v="2"/>
    <d v="2018-11-15T00:00:00"/>
    <d v="2018-11-30T00:00:00"/>
    <d v="2018-11-30T00:00:00"/>
    <m/>
    <x v="1"/>
    <x v="4"/>
  </r>
  <r>
    <s v="MRNTX036140"/>
    <x v="1"/>
    <x v="2"/>
    <d v="2018-11-12T00:00:00"/>
    <d v="2018-11-26T00:00:00"/>
    <d v="2018-11-19T00:00:00"/>
    <d v="2018-11-19T00:00:00"/>
    <x v="0"/>
    <x v="1"/>
  </r>
  <r>
    <s v="MRNTX036143"/>
    <x v="1"/>
    <x v="2"/>
    <d v="2018-11-15T00:00:00"/>
    <d v="2018-11-30T00:00:00"/>
    <d v="2018-11-30T00:00:00"/>
    <m/>
    <x v="1"/>
    <x v="4"/>
  </r>
  <r>
    <s v="MRNTX036144"/>
    <x v="1"/>
    <x v="2"/>
    <d v="2018-11-09T00:00:00"/>
    <d v="2018-11-13T00:00:00"/>
    <d v="2018-11-14T00:00:00"/>
    <d v="2018-11-14T00:00:00"/>
    <x v="0"/>
    <x v="1"/>
  </r>
  <r>
    <s v="MRNTX036150"/>
    <x v="1"/>
    <x v="2"/>
    <d v="2018-11-15T00:00:00"/>
    <d v="2018-11-30T00:00:00"/>
    <d v="2018-11-30T00:00:00"/>
    <m/>
    <x v="1"/>
    <x v="4"/>
  </r>
  <r>
    <s v="MRNTX036151"/>
    <x v="1"/>
    <x v="2"/>
    <d v="2018-11-28T00:00:00"/>
    <d v="2018-12-06T00:00:00"/>
    <d v="2018-12-06T00:00:00"/>
    <m/>
    <x v="0"/>
    <x v="0"/>
  </r>
  <r>
    <s v="MRNTX036154"/>
    <x v="1"/>
    <x v="2"/>
    <d v="2018-11-05T00:00:00"/>
    <d v="2018-12-03T00:00:00"/>
    <d v="2018-12-03T00:00:00"/>
    <m/>
    <x v="1"/>
    <x v="4"/>
  </r>
  <r>
    <s v="MRNTX036158"/>
    <x v="1"/>
    <x v="2"/>
    <d v="2018-11-09T00:00:00"/>
    <d v="2018-11-09T00:00:00"/>
    <d v="2018-11-21T00:00:00"/>
    <d v="2018-11-21T00:00:00"/>
    <x v="0"/>
    <x v="1"/>
  </r>
  <r>
    <s v="MRNTX036165"/>
    <x v="1"/>
    <x v="2"/>
    <d v="2018-11-02T00:00:00"/>
    <d v="2018-11-13T00:00:00"/>
    <d v="2018-11-09T00:00:00"/>
    <d v="2018-11-09T00:00:00"/>
    <x v="0"/>
    <x v="1"/>
  </r>
  <r>
    <s v="MRNTX036167"/>
    <x v="1"/>
    <x v="2"/>
    <d v="2018-11-19T00:00:00"/>
    <d v="2018-11-19T00:00:00"/>
    <d v="2018-11-07T00:00:00"/>
    <d v="2018-11-07T00:00:00"/>
    <x v="0"/>
    <x v="1"/>
  </r>
  <r>
    <s v="MRNTX036170"/>
    <x v="1"/>
    <x v="2"/>
    <d v="2018-11-28T00:00:00"/>
    <d v="2018-11-30T00:00:00"/>
    <d v="2018-11-30T00:00:00"/>
    <m/>
    <x v="0"/>
    <x v="0"/>
  </r>
  <r>
    <s v="MRNTX036178"/>
    <x v="1"/>
    <x v="2"/>
    <d v="2018-11-28T00:00:00"/>
    <d v="2018-11-30T00:00:00"/>
    <d v="2018-11-30T00:00:00"/>
    <m/>
    <x v="0"/>
    <x v="0"/>
  </r>
  <r>
    <s v="MRNTX036181"/>
    <x v="1"/>
    <x v="2"/>
    <d v="2018-11-05T00:00:00"/>
    <d v="2018-11-20T00:00:00"/>
    <d v="2018-11-15T00:00:00"/>
    <d v="2018-11-15T00:00:00"/>
    <x v="0"/>
    <x v="1"/>
  </r>
  <r>
    <s v="MRNTX036189"/>
    <x v="1"/>
    <x v="2"/>
    <d v="2018-11-12T00:00:00"/>
    <d v="2018-11-12T00:00:00"/>
    <d v="2018-11-12T00:00:00"/>
    <d v="2018-11-12T00:00:00"/>
    <x v="0"/>
    <x v="1"/>
  </r>
  <r>
    <s v="MRNTX036192"/>
    <x v="1"/>
    <x v="2"/>
    <d v="2018-11-28T00:00:00"/>
    <d v="2018-12-10T00:00:00"/>
    <d v="2018-12-10T00:00:00"/>
    <m/>
    <x v="0"/>
    <x v="0"/>
  </r>
  <r>
    <s v="MRNTX036196"/>
    <x v="1"/>
    <x v="2"/>
    <d v="2018-11-09T00:00:00"/>
    <d v="2018-11-20T00:00:00"/>
    <d v="2018-11-14T00:00:00"/>
    <d v="2018-11-14T00:00:00"/>
    <x v="0"/>
    <x v="1"/>
  </r>
  <r>
    <s v="MRNTX036200"/>
    <x v="1"/>
    <x v="2"/>
    <d v="2018-11-15T00:00:00"/>
    <d v="2018-12-03T00:00:00"/>
    <d v="2018-12-03T00:00:00"/>
    <m/>
    <x v="1"/>
    <x v="4"/>
  </r>
  <r>
    <s v="MRNTX029317"/>
    <x v="1"/>
    <x v="2"/>
    <d v="2018-11-12T00:00:00"/>
    <d v="2018-11-30T00:00:00"/>
    <d v="2018-11-30T00:00:00"/>
    <m/>
    <x v="1"/>
    <x v="4"/>
  </r>
  <r>
    <s v="MRNTX029328"/>
    <x v="1"/>
    <x v="2"/>
    <d v="2018-11-12T00:00:00"/>
    <d v="2018-11-30T00:00:00"/>
    <d v="2018-11-30T00:00:00"/>
    <m/>
    <x v="1"/>
    <x v="4"/>
  </r>
  <r>
    <s v="MRNTX029337"/>
    <x v="1"/>
    <x v="2"/>
    <d v="2018-11-12T00:00:00"/>
    <d v="2018-12-03T00:00:00"/>
    <d v="2018-12-03T00:00:00"/>
    <m/>
    <x v="1"/>
    <x v="4"/>
  </r>
  <r>
    <s v="MRNTX029342"/>
    <x v="1"/>
    <x v="2"/>
    <d v="2018-11-09T00:00:00"/>
    <d v="2018-11-13T00:00:00"/>
    <d v="2018-11-14T00:00:00"/>
    <d v="2018-11-14T00:00:00"/>
    <x v="0"/>
    <x v="1"/>
  </r>
  <r>
    <s v="MRNTX029360"/>
    <x v="1"/>
    <x v="2"/>
    <d v="2018-11-02T00:00:00"/>
    <d v="2018-11-26T00:00:00"/>
    <d v="2018-11-30T00:00:00"/>
    <m/>
    <x v="1"/>
    <x v="4"/>
  </r>
  <r>
    <s v="MRNTX029363"/>
    <x v="1"/>
    <x v="2"/>
    <d v="2018-11-12T00:00:00"/>
    <d v="2018-11-26T00:00:00"/>
    <d v="2018-11-26T00:00:00"/>
    <d v="2018-11-26T00:00:00"/>
    <x v="0"/>
    <x v="1"/>
  </r>
  <r>
    <s v="MRNTX029372"/>
    <x v="1"/>
    <x v="2"/>
    <d v="2018-11-28T00:00:00"/>
    <d v="2018-12-10T00:00:00"/>
    <d v="2018-12-10T00:00:00"/>
    <m/>
    <x v="0"/>
    <x v="0"/>
  </r>
  <r>
    <s v="MRNTX029387"/>
    <x v="1"/>
    <x v="2"/>
    <d v="2018-11-02T00:00:00"/>
    <d v="2018-11-05T00:00:00"/>
    <d v="2018-11-02T00:00:00"/>
    <d v="2018-11-02T00:00:00"/>
    <x v="0"/>
    <x v="1"/>
  </r>
  <r>
    <s v="MRNTX029389"/>
    <x v="1"/>
    <x v="2"/>
    <d v="2018-11-12T00:00:00"/>
    <d v="2018-11-26T00:00:00"/>
    <d v="2018-11-26T00:00:00"/>
    <d v="2018-11-26T00:00:00"/>
    <x v="0"/>
    <x v="1"/>
  </r>
  <r>
    <s v="MRNTX029392"/>
    <x v="1"/>
    <x v="2"/>
    <d v="2018-11-15T00:00:00"/>
    <d v="2018-11-30T00:00:00"/>
    <d v="2018-11-28T00:00:00"/>
    <d v="2018-11-28T00:00:00"/>
    <x v="0"/>
    <x v="1"/>
  </r>
  <r>
    <s v="MRNTX029401"/>
    <x v="1"/>
    <x v="2"/>
    <d v="2018-11-02T00:00:00"/>
    <d v="2018-11-05T00:00:00"/>
    <d v="2018-11-02T00:00:00"/>
    <d v="2018-11-02T00:00:00"/>
    <x v="0"/>
    <x v="1"/>
  </r>
  <r>
    <s v="MRNTX029413"/>
    <x v="1"/>
    <x v="2"/>
    <d v="2018-11-10T00:00:00"/>
    <d v="2018-11-26T00:00:00"/>
    <d v="2018-11-26T00:00:00"/>
    <d v="2018-11-26T00:00:00"/>
    <x v="1"/>
    <x v="1"/>
  </r>
  <r>
    <s v="MRNTX029441"/>
    <x v="1"/>
    <x v="2"/>
    <d v="2018-11-12T00:00:00"/>
    <d v="2018-11-26T00:00:00"/>
    <d v="2018-11-30T00:00:00"/>
    <m/>
    <x v="1"/>
    <x v="4"/>
  </r>
  <r>
    <s v="MRNTX029447"/>
    <x v="1"/>
    <x v="2"/>
    <d v="2018-11-10T00:00:00"/>
    <d v="2018-12-06T00:00:00"/>
    <d v="2018-12-06T00:00:00"/>
    <m/>
    <x v="1"/>
    <x v="4"/>
  </r>
  <r>
    <s v="MRNTX029453"/>
    <x v="1"/>
    <x v="2"/>
    <d v="2018-11-28T00:00:00"/>
    <d v="2018-11-30T00:00:00"/>
    <d v="2018-11-28T00:00:00"/>
    <d v="2018-11-28T00:00:00"/>
    <x v="0"/>
    <x v="1"/>
  </r>
  <r>
    <s v="MRNTX029456"/>
    <x v="1"/>
    <x v="2"/>
    <d v="2018-11-10T00:00:00"/>
    <d v="2018-11-26T00:00:00"/>
    <d v="2018-11-20T00:00:00"/>
    <d v="2018-11-20T00:00:00"/>
    <x v="0"/>
    <x v="1"/>
  </r>
  <r>
    <s v="MRNTX029460"/>
    <x v="1"/>
    <x v="2"/>
    <d v="2018-11-28T00:00:00"/>
    <d v="2018-12-10T00:00:00"/>
    <d v="2018-12-10T00:00:00"/>
    <m/>
    <x v="0"/>
    <x v="0"/>
  </r>
  <r>
    <s v="MRNTX029468"/>
    <x v="1"/>
    <x v="2"/>
    <d v="2018-11-12T00:00:00"/>
    <d v="2018-11-26T00:00:00"/>
    <d v="2018-11-26T00:00:00"/>
    <d v="2018-11-26T00:00:00"/>
    <x v="0"/>
    <x v="1"/>
  </r>
  <r>
    <s v="MRNTX029473"/>
    <x v="1"/>
    <x v="2"/>
    <d v="2018-11-09T00:00:00"/>
    <d v="2018-11-20T00:00:00"/>
    <d v="2018-11-14T00:00:00"/>
    <d v="2018-11-14T00:00:00"/>
    <x v="0"/>
    <x v="1"/>
  </r>
  <r>
    <s v="MRNTX029485"/>
    <x v="1"/>
    <x v="2"/>
    <d v="2018-11-19T00:00:00"/>
    <d v="2018-11-26T00:00:00"/>
    <d v="2018-11-30T00:00:00"/>
    <m/>
    <x v="0"/>
    <x v="0"/>
  </r>
  <r>
    <s v="MRNTX029497"/>
    <x v="1"/>
    <x v="2"/>
    <d v="2018-11-10T00:00:00"/>
    <d v="2018-11-26T00:00:00"/>
    <d v="2018-11-30T00:00:00"/>
    <m/>
    <x v="1"/>
    <x v="4"/>
  </r>
  <r>
    <s v="MRNTX029513"/>
    <x v="1"/>
    <x v="2"/>
    <d v="2018-11-02T00:00:00"/>
    <d v="2019-01-28T00:00:00"/>
    <d v="2019-01-28T00:00:00"/>
    <m/>
    <x v="1"/>
    <x v="4"/>
  </r>
  <r>
    <s v="MRNTX029531"/>
    <x v="1"/>
    <x v="2"/>
    <d v="2018-11-12T00:00:00"/>
    <d v="2018-11-26T00:00:00"/>
    <d v="2018-11-28T00:00:00"/>
    <d v="2018-11-28T00:00:00"/>
    <x v="1"/>
    <x v="1"/>
  </r>
  <r>
    <s v="MRNTX029541"/>
    <x v="1"/>
    <x v="2"/>
    <d v="2018-11-12T00:00:00"/>
    <d v="2018-11-26T00:00:00"/>
    <d v="2018-11-26T00:00:00"/>
    <d v="2018-11-26T00:00:00"/>
    <x v="0"/>
    <x v="1"/>
  </r>
  <r>
    <s v="MRNTX029604"/>
    <x v="1"/>
    <x v="2"/>
    <d v="2018-11-12T00:00:00"/>
    <d v="2018-11-26T00:00:00"/>
    <d v="2018-11-28T00:00:00"/>
    <d v="2018-11-28T00:00:00"/>
    <x v="1"/>
    <x v="1"/>
  </r>
  <r>
    <s v="MRNTX029614"/>
    <x v="1"/>
    <x v="2"/>
    <d v="2018-11-09T00:00:00"/>
    <d v="2018-11-26T00:00:00"/>
    <d v="2018-11-30T00:00:00"/>
    <m/>
    <x v="1"/>
    <x v="4"/>
  </r>
  <r>
    <s v="MRNTX029625"/>
    <x v="1"/>
    <x v="2"/>
    <d v="2018-11-15T00:00:00"/>
    <d v="2018-11-30T00:00:00"/>
    <d v="2018-11-28T00:00:00"/>
    <d v="2018-11-28T00:00:00"/>
    <x v="0"/>
    <x v="1"/>
  </r>
  <r>
    <s v="MRNTX029667"/>
    <x v="1"/>
    <x v="2"/>
    <d v="2018-11-02T00:00:00"/>
    <d v="2018-11-05T00:00:00"/>
    <d v="2018-11-02T00:00:00"/>
    <d v="2018-11-02T00:00:00"/>
    <x v="0"/>
    <x v="1"/>
  </r>
  <r>
    <s v="MRNTX029683"/>
    <x v="1"/>
    <x v="2"/>
    <d v="2018-11-12T00:00:00"/>
    <d v="2018-12-03T00:00:00"/>
    <d v="2018-12-03T00:00:00"/>
    <m/>
    <x v="1"/>
    <x v="4"/>
  </r>
  <r>
    <s v="MRNTX029690"/>
    <x v="1"/>
    <x v="2"/>
    <d v="2018-11-12T00:00:00"/>
    <d v="2018-11-26T00:00:00"/>
    <d v="2018-11-26T00:00:00"/>
    <d v="2018-11-26T00:00:00"/>
    <x v="0"/>
    <x v="1"/>
  </r>
  <r>
    <s v="MRNTX029701"/>
    <x v="1"/>
    <x v="2"/>
    <d v="2018-11-09T00:00:00"/>
    <d v="2018-11-20T00:00:00"/>
    <d v="2018-11-14T00:00:00"/>
    <d v="2018-11-14T00:00:00"/>
    <x v="0"/>
    <x v="1"/>
  </r>
  <r>
    <s v="MRNTX029723"/>
    <x v="1"/>
    <x v="2"/>
    <d v="2018-11-02T00:00:00"/>
    <d v="2019-01-28T00:00:00"/>
    <d v="2019-01-28T00:00:00"/>
    <m/>
    <x v="1"/>
    <x v="4"/>
  </r>
  <r>
    <s v="MRNTX033360"/>
    <x v="1"/>
    <x v="2"/>
    <d v="2018-11-26T00:00:00"/>
    <d v="2019-01-28T00:00:00"/>
    <d v="2019-01-28T00:00:00"/>
    <m/>
    <x v="1"/>
    <x v="2"/>
  </r>
  <r>
    <s v="MRNTX033388"/>
    <x v="1"/>
    <x v="2"/>
    <d v="2018-11-01T00:00:00"/>
    <d v="2019-01-28T00:00:00"/>
    <d v="2019-01-28T00:00:00"/>
    <m/>
    <x v="1"/>
    <x v="4"/>
  </r>
  <r>
    <s v="MRNTX033409"/>
    <x v="1"/>
    <x v="2"/>
    <d v="2018-11-28T00:00:00"/>
    <d v="2018-12-10T00:00:00"/>
    <d v="2018-12-10T00:00:00"/>
    <m/>
    <x v="0"/>
    <x v="0"/>
  </r>
  <r>
    <s v="MRNTX033419"/>
    <x v="1"/>
    <x v="2"/>
    <d v="2018-11-12T00:00:00"/>
    <d v="2018-11-12T00:00:00"/>
    <d v="2018-11-16T00:00:00"/>
    <d v="2018-11-16T00:00:00"/>
    <x v="0"/>
    <x v="1"/>
  </r>
  <r>
    <s v="MRNTX033421"/>
    <x v="1"/>
    <x v="2"/>
    <d v="2018-11-05T00:00:00"/>
    <d v="2018-11-30T00:00:00"/>
    <d v="2018-11-30T00:00:00"/>
    <m/>
    <x v="1"/>
    <x v="4"/>
  </r>
  <r>
    <s v="MRNTX033429"/>
    <x v="1"/>
    <x v="2"/>
    <d v="2018-11-12T00:00:00"/>
    <d v="2018-11-12T00:00:00"/>
    <d v="2018-11-16T00:00:00"/>
    <d v="2018-11-16T00:00:00"/>
    <x v="0"/>
    <x v="1"/>
  </r>
  <r>
    <s v="MRNTX033493"/>
    <x v="1"/>
    <x v="2"/>
    <d v="2018-11-05T00:00:00"/>
    <d v="2018-12-10T00:00:00"/>
    <d v="2018-12-10T00:00:00"/>
    <m/>
    <x v="1"/>
    <x v="4"/>
  </r>
  <r>
    <s v="MRNTX033500"/>
    <x v="1"/>
    <x v="2"/>
    <d v="2018-11-26T00:00:00"/>
    <d v="2019-01-28T00:00:00"/>
    <d v="2019-01-28T00:00:00"/>
    <m/>
    <x v="1"/>
    <x v="2"/>
  </r>
  <r>
    <s v="MRWSH016029"/>
    <x v="2"/>
    <x v="2"/>
    <d v="2018-11-26T00:00:00"/>
    <d v="2018-12-10T00:00:00"/>
    <d v="2018-12-10T00:00:00"/>
    <m/>
    <x v="0"/>
    <x v="0"/>
  </r>
  <r>
    <s v="MRWSH016104"/>
    <x v="2"/>
    <x v="2"/>
    <d v="2018-11-03T00:00:00"/>
    <d v="2018-09-30T00:00:00"/>
    <d v="2018-11-03T00:00:00"/>
    <d v="2018-11-03T00:00:00"/>
    <x v="0"/>
    <x v="1"/>
  </r>
  <r>
    <s v="MRWSH017721"/>
    <x v="2"/>
    <x v="2"/>
    <d v="2018-11-12T00:00:00"/>
    <d v="2018-12-10T00:00:00"/>
    <d v="2018-12-10T00:00:00"/>
    <m/>
    <x v="1"/>
    <x v="4"/>
  </r>
  <r>
    <s v="MRWSH017751"/>
    <x v="2"/>
    <x v="2"/>
    <d v="2018-11-26T00:00:00"/>
    <d v="2018-12-10T00:00:00"/>
    <d v="2018-12-10T00:00:00"/>
    <m/>
    <x v="0"/>
    <x v="0"/>
  </r>
  <r>
    <s v="MRWSH019743"/>
    <x v="2"/>
    <x v="2"/>
    <d v="2018-11-19T00:00:00"/>
    <d v="2018-11-19T00:00:00"/>
    <d v="2018-11-19T00:00:00"/>
    <d v="2018-11-19T00:00:00"/>
    <x v="0"/>
    <x v="1"/>
  </r>
  <r>
    <s v="MRWSH019917"/>
    <x v="2"/>
    <x v="2"/>
    <d v="2018-11-26T00:00:00"/>
    <d v="2018-11-23T00:00:00"/>
    <d v="2018-11-23T00:00:00"/>
    <d v="2018-11-23T00:00:00"/>
    <x v="0"/>
    <x v="1"/>
  </r>
  <r>
    <s v="MRWSH019933"/>
    <x v="2"/>
    <x v="2"/>
    <d v="2018-11-19T00:00:00"/>
    <d v="2018-11-16T00:00:00"/>
    <d v="2018-11-16T00:00:00"/>
    <d v="2018-11-16T00:00:00"/>
    <x v="0"/>
    <x v="1"/>
  </r>
  <r>
    <s v="MRWSH019936"/>
    <x v="2"/>
    <x v="2"/>
    <d v="2018-11-12T00:00:00"/>
    <d v="2018-12-03T00:00:00"/>
    <d v="2018-12-03T00:00:00"/>
    <m/>
    <x v="1"/>
    <x v="4"/>
  </r>
  <r>
    <s v="MRWSH019940"/>
    <x v="2"/>
    <x v="2"/>
    <d v="2018-11-05T00:00:00"/>
    <d v="2018-11-07T00:00:00"/>
    <d v="2018-11-07T00:00:00"/>
    <d v="2018-11-07T00:00:00"/>
    <x v="0"/>
    <x v="1"/>
  </r>
  <r>
    <s v="MRANM021964"/>
    <x v="3"/>
    <x v="2"/>
    <d v="2018-11-03T00:00:00"/>
    <d v="1999-12-30T00:00:00"/>
    <d v="2018-11-03T00:00:00"/>
    <m/>
    <x v="0"/>
    <x v="0"/>
  </r>
  <r>
    <s v="MRANM021974"/>
    <x v="3"/>
    <x v="2"/>
    <d v="2018-11-03T00:00:00"/>
    <d v="1999-12-30T00:00:00"/>
    <d v="2018-11-03T00:00:00"/>
    <m/>
    <x v="0"/>
    <x v="0"/>
  </r>
  <r>
    <s v="MRANM021977"/>
    <x v="3"/>
    <x v="2"/>
    <d v="2018-11-03T00:00:00"/>
    <d v="1999-12-30T00:00:00"/>
    <d v="2018-11-03T00:00:00"/>
    <m/>
    <x v="0"/>
    <x v="0"/>
  </r>
  <r>
    <s v="MRANM021988"/>
    <x v="3"/>
    <x v="2"/>
    <d v="2018-11-03T00:00:00"/>
    <d v="1999-12-30T00:00:00"/>
    <d v="2018-11-03T00:00:00"/>
    <m/>
    <x v="0"/>
    <x v="0"/>
  </r>
  <r>
    <s v="MRANM021989"/>
    <x v="3"/>
    <x v="2"/>
    <d v="2018-11-03T00:00:00"/>
    <d v="1999-12-30T00:00:00"/>
    <d v="2018-11-03T00:00:00"/>
    <m/>
    <x v="0"/>
    <x v="0"/>
  </r>
  <r>
    <s v="MRANM021990"/>
    <x v="3"/>
    <x v="2"/>
    <d v="2018-11-03T00:00:00"/>
    <d v="1999-12-30T00:00:00"/>
    <d v="2018-11-03T00:00:00"/>
    <m/>
    <x v="0"/>
    <x v="0"/>
  </r>
  <r>
    <s v="MRANM021991"/>
    <x v="3"/>
    <x v="2"/>
    <d v="2018-11-03T00:00:00"/>
    <d v="1999-12-30T00:00:00"/>
    <d v="2018-11-03T00:00:00"/>
    <m/>
    <x v="0"/>
    <x v="0"/>
  </r>
  <r>
    <s v="MRANM021992"/>
    <x v="3"/>
    <x v="2"/>
    <d v="2018-11-03T00:00:00"/>
    <d v="1999-12-30T00:00:00"/>
    <d v="2018-11-03T00:00:00"/>
    <m/>
    <x v="0"/>
    <x v="0"/>
  </r>
  <r>
    <s v="MRANM021995"/>
    <x v="3"/>
    <x v="2"/>
    <d v="2018-11-03T00:00:00"/>
    <d v="1999-12-30T00:00:00"/>
    <d v="2018-11-03T00:00:00"/>
    <m/>
    <x v="0"/>
    <x v="0"/>
  </r>
  <r>
    <s v="MRANM022031"/>
    <x v="3"/>
    <x v="2"/>
    <d v="2018-11-12T00:00:00"/>
    <d v="2018-12-17T00:00:00"/>
    <d v="2018-11-12T00:00:00"/>
    <m/>
    <x v="0"/>
    <x v="3"/>
  </r>
  <r>
    <s v="MRANM022036"/>
    <x v="3"/>
    <x v="2"/>
    <d v="2018-11-19T00:00:00"/>
    <d v="2018-11-19T00:00:00"/>
    <d v="2018-11-19T00:00:00"/>
    <m/>
    <x v="0"/>
    <x v="0"/>
  </r>
  <r>
    <s v="MRANM022073"/>
    <x v="3"/>
    <x v="2"/>
    <d v="2018-11-26T00:00:00"/>
    <d v="2018-12-10T00:00:00"/>
    <d v="2018-12-10T00:00:00"/>
    <m/>
    <x v="0"/>
    <x v="0"/>
  </r>
  <r>
    <s v="MRANM022171"/>
    <x v="3"/>
    <x v="2"/>
    <d v="2018-11-26T00:00:00"/>
    <d v="2018-11-28T00:00:00"/>
    <d v="2018-11-28T00:00:00"/>
    <m/>
    <x v="0"/>
    <x v="0"/>
  </r>
  <r>
    <s v="MRANM022179"/>
    <x v="3"/>
    <x v="2"/>
    <d v="2018-11-26T00:00:00"/>
    <d v="2018-11-28T00:00:00"/>
    <d v="2018-11-28T00:00:00"/>
    <m/>
    <x v="0"/>
    <x v="0"/>
  </r>
  <r>
    <s v="MRANM022180"/>
    <x v="3"/>
    <x v="2"/>
    <d v="2018-11-26T00:00:00"/>
    <d v="2018-11-28T00:00:00"/>
    <d v="2018-11-28T00:00:00"/>
    <m/>
    <x v="0"/>
    <x v="0"/>
  </r>
  <r>
    <s v="MRSTX025793"/>
    <x v="0"/>
    <x v="2"/>
    <d v="2018-11-15T00:00:00"/>
    <d v="2018-12-07T00:00:00"/>
    <d v="2018-12-05T00:00:00"/>
    <m/>
    <x v="1"/>
    <x v="4"/>
  </r>
  <r>
    <s v="MRSTX025806"/>
    <x v="0"/>
    <x v="2"/>
    <d v="2018-11-15T00:00:00"/>
    <d v="2018-12-07T00:00:00"/>
    <d v="2018-12-05T00:00:00"/>
    <m/>
    <x v="1"/>
    <x v="4"/>
  </r>
  <r>
    <s v="MRSTX036395"/>
    <x v="0"/>
    <x v="2"/>
    <d v="2018-11-15T00:00:00"/>
    <d v="2018-12-19T00:00:00"/>
    <d v="2018-12-17T00:00:00"/>
    <m/>
    <x v="1"/>
    <x v="4"/>
  </r>
  <r>
    <s v="MRSTX036404"/>
    <x v="0"/>
    <x v="2"/>
    <d v="2018-11-15T00:00:00"/>
    <d v="2018-12-12T00:00:00"/>
    <d v="2018-12-10T00:00:00"/>
    <m/>
    <x v="1"/>
    <x v="4"/>
  </r>
  <r>
    <s v="MRSTX036421"/>
    <x v="0"/>
    <x v="2"/>
    <d v="2018-11-15T00:00:00"/>
    <d v="2018-11-15T00:00:00"/>
    <d v="2018-11-13T00:00:00"/>
    <d v="2018-11-13T00:00:00"/>
    <x v="0"/>
    <x v="1"/>
  </r>
  <r>
    <s v="MRSTX036438"/>
    <x v="0"/>
    <x v="2"/>
    <d v="2018-11-15T00:00:00"/>
    <d v="2018-11-15T00:00:00"/>
    <d v="2018-11-13T00:00:00"/>
    <d v="2018-11-13T00:00:00"/>
    <x v="0"/>
    <x v="1"/>
  </r>
  <r>
    <s v="MRSTX036475"/>
    <x v="0"/>
    <x v="2"/>
    <d v="2018-11-12T00:00:00"/>
    <d v="2018-12-19T00:00:00"/>
    <d v="2018-12-17T00:00:00"/>
    <m/>
    <x v="1"/>
    <x v="4"/>
  </r>
  <r>
    <s v="MRSTX036508"/>
    <x v="0"/>
    <x v="2"/>
    <d v="2018-11-15T00:00:00"/>
    <d v="2018-11-15T00:00:00"/>
    <d v="2018-11-05T00:00:00"/>
    <d v="2018-11-05T00:00:00"/>
    <x v="0"/>
    <x v="1"/>
  </r>
  <r>
    <s v="MRSTX036509"/>
    <x v="0"/>
    <x v="2"/>
    <d v="2018-11-15T00:00:00"/>
    <d v="2018-11-15T00:00:00"/>
    <d v="2018-11-05T00:00:00"/>
    <d v="2018-11-05T00:00:00"/>
    <x v="0"/>
    <x v="1"/>
  </r>
  <r>
    <s v="MRSTX036516"/>
    <x v="0"/>
    <x v="2"/>
    <d v="2018-11-15T00:00:00"/>
    <d v="2018-11-15T00:00:00"/>
    <d v="2018-11-05T00:00:00"/>
    <d v="2018-11-05T00:00:00"/>
    <x v="0"/>
    <x v="1"/>
  </r>
  <r>
    <s v="MRSTX036552"/>
    <x v="0"/>
    <x v="2"/>
    <d v="2018-11-15T00:00:00"/>
    <d v="2018-12-19T00:00:00"/>
    <d v="2018-12-17T00:00:00"/>
    <m/>
    <x v="1"/>
    <x v="4"/>
  </r>
  <r>
    <s v="MRSTX036636"/>
    <x v="0"/>
    <x v="2"/>
    <d v="2018-11-08T00:00:00"/>
    <d v="2018-07-15T00:00:00"/>
    <d v="2018-12-01T00:00:00"/>
    <m/>
    <x v="1"/>
    <x v="5"/>
  </r>
  <r>
    <s v="MRSTX036637"/>
    <x v="0"/>
    <x v="2"/>
    <d v="2018-11-12T00:00:00"/>
    <d v="2018-12-19T00:00:00"/>
    <d v="2018-12-17T00:00:00"/>
    <m/>
    <x v="1"/>
    <x v="4"/>
  </r>
  <r>
    <s v="MRSTX036640"/>
    <x v="0"/>
    <x v="2"/>
    <d v="2018-11-16T00:00:00"/>
    <d v="2018-11-16T00:00:00"/>
    <d v="2018-11-10T00:00:00"/>
    <d v="2018-11-10T00:00:00"/>
    <x v="0"/>
    <x v="1"/>
  </r>
  <r>
    <s v="MRSTX036652"/>
    <x v="0"/>
    <x v="2"/>
    <d v="2018-11-15T00:00:00"/>
    <d v="2018-12-12T00:00:00"/>
    <d v="2018-12-10T00:00:00"/>
    <m/>
    <x v="1"/>
    <x v="4"/>
  </r>
  <r>
    <s v="MRSTX036020"/>
    <x v="0"/>
    <x v="2"/>
    <d v="2018-11-02T00:00:00"/>
    <d v="2018-11-02T00:00:00"/>
    <d v="2018-11-02T00:00:00"/>
    <d v="2018-11-02T00:00:00"/>
    <x v="0"/>
    <x v="1"/>
  </r>
  <r>
    <s v="MRSTX036026"/>
    <x v="0"/>
    <x v="2"/>
    <d v="2018-11-02T00:00:00"/>
    <d v="2018-11-02T00:00:00"/>
    <d v="2018-11-02T00:00:00"/>
    <d v="2018-11-02T00:00:00"/>
    <x v="0"/>
    <x v="1"/>
  </r>
  <r>
    <s v="MRSTX036028"/>
    <x v="0"/>
    <x v="2"/>
    <d v="2018-11-02T00:00:00"/>
    <d v="2018-11-02T00:00:00"/>
    <d v="2018-11-02T00:00:00"/>
    <d v="2018-11-02T00:00:00"/>
    <x v="0"/>
    <x v="1"/>
  </r>
  <r>
    <s v="MRSTX036052"/>
    <x v="0"/>
    <x v="2"/>
    <d v="2018-11-15T00:00:00"/>
    <d v="2018-12-19T00:00:00"/>
    <d v="2018-12-17T00:00:00"/>
    <m/>
    <x v="1"/>
    <x v="4"/>
  </r>
  <r>
    <s v="MRSTX036062"/>
    <x v="0"/>
    <x v="2"/>
    <d v="2018-11-05T00:00:00"/>
    <d v="2018-11-05T00:00:00"/>
    <d v="2018-11-06T00:00:00"/>
    <d v="2018-11-06T00:00:00"/>
    <x v="0"/>
    <x v="1"/>
  </r>
  <r>
    <s v="MRSTX036074"/>
    <x v="0"/>
    <x v="2"/>
    <d v="2018-11-12T00:00:00"/>
    <d v="2018-11-12T00:00:00"/>
    <d v="2018-11-13T00:00:00"/>
    <d v="2018-11-13T00:00:00"/>
    <x v="0"/>
    <x v="1"/>
  </r>
  <r>
    <s v="MRSTX036075"/>
    <x v="0"/>
    <x v="2"/>
    <d v="2018-11-01T00:00:00"/>
    <d v="2018-12-05T00:00:00"/>
    <d v="2018-11-11T00:00:00"/>
    <d v="2018-11-11T00:00:00"/>
    <x v="0"/>
    <x v="1"/>
  </r>
  <r>
    <s v="MRSTX036090"/>
    <x v="0"/>
    <x v="2"/>
    <d v="2018-11-12T00:00:00"/>
    <d v="2018-12-19T00:00:00"/>
    <d v="2018-12-17T00:00:00"/>
    <m/>
    <x v="1"/>
    <x v="4"/>
  </r>
  <r>
    <s v="MRSTX036095"/>
    <x v="0"/>
    <x v="2"/>
    <d v="2018-11-12T00:00:00"/>
    <d v="2018-11-12T00:00:00"/>
    <d v="2018-11-09T00:00:00"/>
    <d v="2018-11-09T00:00:00"/>
    <x v="0"/>
    <x v="1"/>
  </r>
  <r>
    <s v="MRNTX024603"/>
    <x v="1"/>
    <x v="2"/>
    <d v="2018-11-09T00:00:00"/>
    <d v="2018-11-26T00:00:00"/>
    <d v="2018-11-28T00:00:00"/>
    <d v="2018-11-28T00:00:00"/>
    <x v="1"/>
    <x v="1"/>
  </r>
  <r>
    <s v="MRNTX024666"/>
    <x v="1"/>
    <x v="2"/>
    <d v="2018-11-28T00:00:00"/>
    <d v="2018-11-30T00:00:00"/>
    <d v="2018-11-30T00:00:00"/>
    <m/>
    <x v="0"/>
    <x v="0"/>
  </r>
  <r>
    <s v="MRNTX024692"/>
    <x v="1"/>
    <x v="2"/>
    <d v="2018-11-12T00:00:00"/>
    <d v="2018-11-30T00:00:00"/>
    <d v="2018-11-30T00:00:00"/>
    <m/>
    <x v="1"/>
    <x v="4"/>
  </r>
  <r>
    <s v="MRNTX032315"/>
    <x v="1"/>
    <x v="2"/>
    <d v="2018-11-30T00:00:00"/>
    <d v="2018-12-03T00:00:00"/>
    <d v="2018-11-26T00:00:00"/>
    <d v="2018-11-26T00:00:00"/>
    <x v="0"/>
    <x v="1"/>
  </r>
  <r>
    <s v="MRNTX032359"/>
    <x v="1"/>
    <x v="2"/>
    <d v="2018-11-12T00:00:00"/>
    <d v="2019-01-28T00:00:00"/>
    <d v="2019-01-28T00:00:00"/>
    <m/>
    <x v="1"/>
    <x v="4"/>
  </r>
  <r>
    <s v="MRNTX032372"/>
    <x v="1"/>
    <x v="2"/>
    <d v="2018-11-30T00:00:00"/>
    <d v="2018-11-30T00:00:00"/>
    <d v="2018-11-02T00:00:00"/>
    <d v="2018-11-02T00:00:00"/>
    <x v="0"/>
    <x v="1"/>
  </r>
  <r>
    <s v="MRNTX032405"/>
    <x v="1"/>
    <x v="2"/>
    <d v="2018-11-30T00:00:00"/>
    <d v="2018-11-30T00:00:00"/>
    <d v="2018-11-13T00:00:00"/>
    <d v="2018-11-13T00:00:00"/>
    <x v="0"/>
    <x v="1"/>
  </r>
  <r>
    <s v="MRNTX032413"/>
    <x v="1"/>
    <x v="2"/>
    <d v="2018-11-01T00:00:00"/>
    <d v="2018-11-05T00:00:00"/>
    <d v="2018-11-01T00:00:00"/>
    <d v="2018-11-01T00:00:00"/>
    <x v="0"/>
    <x v="1"/>
  </r>
  <r>
    <s v="MRNTX032416"/>
    <x v="1"/>
    <x v="2"/>
    <d v="2018-11-09T00:00:00"/>
    <d v="2018-11-30T00:00:00"/>
    <d v="2018-11-30T00:00:00"/>
    <m/>
    <x v="1"/>
    <x v="4"/>
  </r>
  <r>
    <s v="MRNTX032429"/>
    <x v="1"/>
    <x v="2"/>
    <d v="2018-11-05T00:00:00"/>
    <d v="2018-11-09T00:00:00"/>
    <d v="2018-11-22T00:00:00"/>
    <d v="2018-11-22T00:00:00"/>
    <x v="1"/>
    <x v="1"/>
  </r>
  <r>
    <s v="MRWSH024587"/>
    <x v="2"/>
    <x v="2"/>
    <d v="2018-11-09T00:00:00"/>
    <d v="2019-01-21T00:00:00"/>
    <d v="2019-01-21T00:00:00"/>
    <m/>
    <x v="1"/>
    <x v="4"/>
  </r>
  <r>
    <s v="MRWSH024589"/>
    <x v="2"/>
    <x v="2"/>
    <d v="2018-11-07T00:00:00"/>
    <d v="2018-11-05T00:00:00"/>
    <d v="2018-11-05T00:00:00"/>
    <d v="2018-11-05T00:00:00"/>
    <x v="0"/>
    <x v="1"/>
  </r>
  <r>
    <s v="MRWSH024592"/>
    <x v="2"/>
    <x v="2"/>
    <d v="2018-11-06T00:00:00"/>
    <d v="2018-11-12T00:00:00"/>
    <d v="2018-11-12T00:00:00"/>
    <d v="2018-11-12T00:00:00"/>
    <x v="0"/>
    <x v="1"/>
  </r>
  <r>
    <s v="MRWSH024609"/>
    <x v="2"/>
    <x v="2"/>
    <d v="2018-11-05T00:00:00"/>
    <d v="2019-01-14T00:00:00"/>
    <d v="2019-01-14T00:00:00"/>
    <m/>
    <x v="1"/>
    <x v="4"/>
  </r>
  <r>
    <s v="MRWSH024621"/>
    <x v="2"/>
    <x v="2"/>
    <d v="2018-11-26T00:00:00"/>
    <d v="2018-11-19T00:00:00"/>
    <d v="2018-11-19T00:00:00"/>
    <d v="2018-11-19T00:00:00"/>
    <x v="0"/>
    <x v="1"/>
  </r>
  <r>
    <s v="MRWSH024661"/>
    <x v="2"/>
    <x v="2"/>
    <d v="2018-11-09T00:00:00"/>
    <d v="2019-01-21T00:00:00"/>
    <d v="2019-01-21T00:00:00"/>
    <m/>
    <x v="1"/>
    <x v="4"/>
  </r>
  <r>
    <s v="MRWSH024684"/>
    <x v="2"/>
    <x v="2"/>
    <d v="2018-11-05T00:00:00"/>
    <d v="2019-01-14T00:00:00"/>
    <d v="2019-01-14T00:00:00"/>
    <m/>
    <x v="1"/>
    <x v="4"/>
  </r>
  <r>
    <s v="MRWSH024694"/>
    <x v="2"/>
    <x v="2"/>
    <d v="2018-11-09T00:00:00"/>
    <d v="2019-01-21T00:00:00"/>
    <d v="2019-01-21T00:00:00"/>
    <m/>
    <x v="1"/>
    <x v="4"/>
  </r>
  <r>
    <s v="MRWSH024706"/>
    <x v="2"/>
    <x v="2"/>
    <d v="2018-11-05T00:00:00"/>
    <d v="2018-11-08T00:00:00"/>
    <d v="2018-11-08T00:00:00"/>
    <d v="2018-11-08T00:00:00"/>
    <x v="0"/>
    <x v="1"/>
  </r>
  <r>
    <s v="MRWSH024709"/>
    <x v="2"/>
    <x v="2"/>
    <d v="2018-11-05T00:00:00"/>
    <d v="2018-11-08T00:00:00"/>
    <d v="2018-11-08T00:00:00"/>
    <d v="2018-11-08T00:00:00"/>
    <x v="0"/>
    <x v="1"/>
  </r>
  <r>
    <s v="MRWSH024727"/>
    <x v="2"/>
    <x v="2"/>
    <d v="2018-11-26T00:00:00"/>
    <d v="2018-11-23T00:00:00"/>
    <d v="2018-11-23T00:00:00"/>
    <d v="2018-11-23T00:00:00"/>
    <x v="0"/>
    <x v="1"/>
  </r>
  <r>
    <s v="MRWSH024745"/>
    <x v="2"/>
    <x v="2"/>
    <d v="2018-11-26T00:00:00"/>
    <d v="2018-12-05T00:00:00"/>
    <d v="2018-12-05T00:00:00"/>
    <m/>
    <x v="0"/>
    <x v="0"/>
  </r>
  <r>
    <s v="MRWSH024750"/>
    <x v="2"/>
    <x v="2"/>
    <d v="2018-11-09T00:00:00"/>
    <d v="2019-01-21T00:00:00"/>
    <d v="2019-01-21T00:00:00"/>
    <m/>
    <x v="1"/>
    <x v="4"/>
  </r>
  <r>
    <s v="MRWSH024771"/>
    <x v="2"/>
    <x v="2"/>
    <d v="2018-11-06T00:00:00"/>
    <d v="2018-11-12T00:00:00"/>
    <d v="2018-11-12T00:00:00"/>
    <d v="2018-11-12T00:00:00"/>
    <x v="0"/>
    <x v="1"/>
  </r>
  <r>
    <s v="MRSTX036146"/>
    <x v="0"/>
    <x v="2"/>
    <d v="2018-11-15T00:00:00"/>
    <d v="2018-12-19T00:00:00"/>
    <d v="2018-12-17T00:00:00"/>
    <m/>
    <x v="1"/>
    <x v="4"/>
  </r>
  <r>
    <s v="MRSTX036158"/>
    <x v="0"/>
    <x v="2"/>
    <d v="2018-11-15T00:00:00"/>
    <d v="2018-12-13T00:00:00"/>
    <d v="2018-12-13T00:00:00"/>
    <m/>
    <x v="1"/>
    <x v="4"/>
  </r>
  <r>
    <s v="MRSTX036165"/>
    <x v="0"/>
    <x v="2"/>
    <d v="2018-11-15T00:00:00"/>
    <d v="2018-11-15T00:00:00"/>
    <d v="2018-11-13T00:00:00"/>
    <d v="2018-11-13T00:00:00"/>
    <x v="0"/>
    <x v="1"/>
  </r>
  <r>
    <s v="MRWSH022319"/>
    <x v="2"/>
    <x v="2"/>
    <d v="2018-11-12T00:00:00"/>
    <d v="2018-12-03T00:00:00"/>
    <d v="2018-11-30T00:00:00"/>
    <m/>
    <x v="1"/>
    <x v="4"/>
  </r>
  <r>
    <s v="MRWSH022360"/>
    <x v="2"/>
    <x v="2"/>
    <d v="2018-11-26T00:00:00"/>
    <d v="2018-11-12T00:00:00"/>
    <d v="2018-11-12T00:00:00"/>
    <d v="2018-11-12T00:00:00"/>
    <x v="0"/>
    <x v="1"/>
  </r>
  <r>
    <s v="MRWSH022383"/>
    <x v="2"/>
    <x v="2"/>
    <d v="2018-11-07T00:00:00"/>
    <d v="2018-11-06T00:00:00"/>
    <d v="2018-11-06T00:00:00"/>
    <d v="2018-11-06T00:00:00"/>
    <x v="0"/>
    <x v="1"/>
  </r>
  <r>
    <s v="MRWSH022507"/>
    <x v="2"/>
    <x v="2"/>
    <d v="2018-11-19T00:00:00"/>
    <d v="2018-11-10T00:00:00"/>
    <d v="2018-11-10T00:00:00"/>
    <d v="2018-11-10T00:00:00"/>
    <x v="0"/>
    <x v="1"/>
  </r>
  <r>
    <s v="MRWSH022523"/>
    <x v="2"/>
    <x v="2"/>
    <d v="2018-11-12T00:00:00"/>
    <d v="2018-11-13T00:00:00"/>
    <d v="2018-11-13T00:00:00"/>
    <d v="2018-11-13T00:00:00"/>
    <x v="0"/>
    <x v="1"/>
  </r>
  <r>
    <s v="MRWSH022529"/>
    <x v="2"/>
    <x v="2"/>
    <d v="2018-11-19T00:00:00"/>
    <d v="2018-11-16T00:00:00"/>
    <d v="2018-11-16T00:00:00"/>
    <d v="2018-11-16T00:00:00"/>
    <x v="0"/>
    <x v="1"/>
  </r>
  <r>
    <s v="MRNTX032478"/>
    <x v="1"/>
    <x v="2"/>
    <d v="2018-11-28T00:00:00"/>
    <d v="2018-11-28T00:00:00"/>
    <d v="2018-11-13T00:00:00"/>
    <d v="2018-11-13T00:00:00"/>
    <x v="0"/>
    <x v="1"/>
  </r>
  <r>
    <s v="MRNTX032497"/>
    <x v="1"/>
    <x v="2"/>
    <d v="2018-11-19T00:00:00"/>
    <d v="2018-11-19T00:00:00"/>
    <d v="2018-11-12T00:00:00"/>
    <d v="2018-11-12T00:00:00"/>
    <x v="0"/>
    <x v="1"/>
  </r>
  <r>
    <s v="MRNTX032506"/>
    <x v="1"/>
    <x v="2"/>
    <d v="2018-11-05T00:00:00"/>
    <d v="2018-11-05T00:00:00"/>
    <d v="2018-11-21T00:00:00"/>
    <d v="2018-11-21T00:00:00"/>
    <x v="1"/>
    <x v="1"/>
  </r>
  <r>
    <s v="MRNTX032586"/>
    <x v="1"/>
    <x v="2"/>
    <d v="2018-11-30T00:00:00"/>
    <d v="2018-11-30T00:00:00"/>
    <d v="2018-11-30T00:00:00"/>
    <m/>
    <x v="0"/>
    <x v="0"/>
  </r>
  <r>
    <s v="MRNTX032590"/>
    <x v="1"/>
    <x v="2"/>
    <d v="2018-11-10T00:00:00"/>
    <d v="2018-11-19T00:00:00"/>
    <d v="2018-11-13T00:00:00"/>
    <d v="2018-11-13T00:00:00"/>
    <x v="0"/>
    <x v="1"/>
  </r>
  <r>
    <s v="MRSTX034230"/>
    <x v="0"/>
    <x v="2"/>
    <d v="2018-11-12T00:00:00"/>
    <d v="2018-11-12T00:00:00"/>
    <d v="2018-11-16T00:00:00"/>
    <d v="2018-11-16T00:00:00"/>
    <x v="0"/>
    <x v="1"/>
  </r>
  <r>
    <s v="MRSTX034255"/>
    <x v="0"/>
    <x v="2"/>
    <d v="2018-11-15T00:00:00"/>
    <d v="2018-11-15T00:00:00"/>
    <d v="2018-11-19T00:00:00"/>
    <d v="2018-11-19T00:00:00"/>
    <x v="0"/>
    <x v="1"/>
  </r>
  <r>
    <s v="MRSTX034258"/>
    <x v="0"/>
    <x v="2"/>
    <d v="2018-11-12T00:00:00"/>
    <d v="2018-11-12T00:00:00"/>
    <d v="2018-11-19T00:00:00"/>
    <d v="2018-11-19T00:00:00"/>
    <x v="0"/>
    <x v="1"/>
  </r>
  <r>
    <s v="MRSTX034288"/>
    <x v="0"/>
    <x v="2"/>
    <d v="2018-11-12T00:00:00"/>
    <d v="2018-11-12T00:00:00"/>
    <d v="2018-11-15T00:00:00"/>
    <d v="2018-11-15T00:00:00"/>
    <x v="0"/>
    <x v="1"/>
  </r>
  <r>
    <s v="MRWSH024925"/>
    <x v="2"/>
    <x v="2"/>
    <d v="2018-11-19T00:00:00"/>
    <d v="2018-11-14T00:00:00"/>
    <d v="2018-11-14T00:00:00"/>
    <d v="2018-11-14T00:00:00"/>
    <x v="0"/>
    <x v="1"/>
  </r>
  <r>
    <s v="MRWSH024937"/>
    <x v="2"/>
    <x v="2"/>
    <d v="2018-11-19T00:00:00"/>
    <d v="2018-11-14T00:00:00"/>
    <d v="2018-11-14T00:00:00"/>
    <d v="2018-11-14T00:00:00"/>
    <x v="0"/>
    <x v="1"/>
  </r>
  <r>
    <s v="MRWSH024946"/>
    <x v="2"/>
    <x v="2"/>
    <d v="2018-11-01T00:00:00"/>
    <d v="2018-11-01T00:00:00"/>
    <d v="2018-11-01T00:00:00"/>
    <d v="2018-11-01T00:00:00"/>
    <x v="0"/>
    <x v="1"/>
  </r>
  <r>
    <s v="MRWSH024980"/>
    <x v="2"/>
    <x v="2"/>
    <d v="2018-11-26T00:00:00"/>
    <d v="2018-11-23T00:00:00"/>
    <d v="2018-11-23T00:00:00"/>
    <d v="2018-11-23T00:00:00"/>
    <x v="0"/>
    <x v="1"/>
  </r>
  <r>
    <s v="MRWSH024983"/>
    <x v="2"/>
    <x v="2"/>
    <d v="2018-11-01T00:00:00"/>
    <d v="2018-11-01T00:00:00"/>
    <d v="2018-11-01T00:00:00"/>
    <d v="2018-11-01T00:00:00"/>
    <x v="0"/>
    <x v="1"/>
  </r>
  <r>
    <s v="MRWSH024984"/>
    <x v="2"/>
    <x v="2"/>
    <d v="2018-11-12T00:00:00"/>
    <d v="2018-11-09T00:00:00"/>
    <d v="2018-11-09T00:00:00"/>
    <d v="2018-11-09T00:00:00"/>
    <x v="0"/>
    <x v="1"/>
  </r>
  <r>
    <s v="MRNTX018931"/>
    <x v="1"/>
    <x v="2"/>
    <d v="2018-11-28T00:00:00"/>
    <d v="2018-11-30T00:00:00"/>
    <d v="2018-11-30T00:00:00"/>
    <m/>
    <x v="0"/>
    <x v="0"/>
  </r>
  <r>
    <s v="MRNTX031014"/>
    <x v="1"/>
    <x v="2"/>
    <d v="2018-11-02T00:00:00"/>
    <d v="2018-11-09T00:00:00"/>
    <d v="2018-11-20T00:00:00"/>
    <d v="2018-11-20T00:00:00"/>
    <x v="1"/>
    <x v="1"/>
  </r>
  <r>
    <s v="MRNTX031064"/>
    <x v="1"/>
    <x v="2"/>
    <d v="2018-11-26T00:00:00"/>
    <d v="2018-11-26T00:00:00"/>
    <d v="2018-11-13T00:00:00"/>
    <d v="2018-11-13T00:00:00"/>
    <x v="0"/>
    <x v="1"/>
  </r>
  <r>
    <s v="MRNTX031067"/>
    <x v="1"/>
    <x v="2"/>
    <d v="2018-11-05T00:00:00"/>
    <d v="2018-11-09T00:00:00"/>
    <d v="2018-11-02T00:00:00"/>
    <d v="2018-11-02T00:00:00"/>
    <x v="0"/>
    <x v="1"/>
  </r>
  <r>
    <s v="MRNTX031097"/>
    <x v="1"/>
    <x v="2"/>
    <d v="2018-11-09T00:00:00"/>
    <d v="2019-01-28T00:00:00"/>
    <d v="2019-01-28T00:00:00"/>
    <m/>
    <x v="1"/>
    <x v="4"/>
  </r>
  <r>
    <s v="MRWSH022573"/>
    <x v="2"/>
    <x v="2"/>
    <d v="2018-11-05T00:00:00"/>
    <d v="2018-11-06T00:00:00"/>
    <d v="2018-11-06T00:00:00"/>
    <d v="2018-11-06T00:00:00"/>
    <x v="0"/>
    <x v="1"/>
  </r>
  <r>
    <s v="MRWSH022585"/>
    <x v="2"/>
    <x v="2"/>
    <d v="2018-11-12T00:00:00"/>
    <d v="2018-11-16T00:00:00"/>
    <d v="2018-11-16T00:00:00"/>
    <d v="2018-11-16T00:00:00"/>
    <x v="0"/>
    <x v="1"/>
  </r>
  <r>
    <s v="MRWSH022605"/>
    <x v="2"/>
    <x v="2"/>
    <d v="2018-11-05T00:00:00"/>
    <d v="2018-11-06T00:00:00"/>
    <d v="2018-11-06T00:00:00"/>
    <d v="2018-11-06T00:00:00"/>
    <x v="0"/>
    <x v="1"/>
  </r>
  <r>
    <s v="MRWSH022606"/>
    <x v="2"/>
    <x v="2"/>
    <d v="2018-11-26T00:00:00"/>
    <d v="2018-12-03T00:00:00"/>
    <d v="2018-12-03T00:00:00"/>
    <m/>
    <x v="0"/>
    <x v="0"/>
  </r>
  <r>
    <s v="MRWSH022664"/>
    <x v="2"/>
    <x v="2"/>
    <d v="2018-11-12T00:00:00"/>
    <d v="2018-11-16T00:00:00"/>
    <d v="2018-11-16T00:00:00"/>
    <d v="2018-11-16T00:00:00"/>
    <x v="0"/>
    <x v="1"/>
  </r>
  <r>
    <s v="MRWSH022687"/>
    <x v="2"/>
    <x v="2"/>
    <d v="2018-11-19T00:00:00"/>
    <d v="2018-11-10T00:00:00"/>
    <d v="2018-11-10T00:00:00"/>
    <d v="2018-11-10T00:00:00"/>
    <x v="0"/>
    <x v="1"/>
  </r>
  <r>
    <s v="MRWSH022693"/>
    <x v="2"/>
    <x v="2"/>
    <d v="2018-11-19T00:00:00"/>
    <d v="2018-11-10T00:00:00"/>
    <d v="2018-11-10T00:00:00"/>
    <d v="2018-11-10T00:00:00"/>
    <x v="0"/>
    <x v="1"/>
  </r>
  <r>
    <s v="MRWSH022700"/>
    <x v="2"/>
    <x v="2"/>
    <d v="2018-11-19T00:00:00"/>
    <d v="2018-11-20T00:00:00"/>
    <d v="2018-11-20T00:00:00"/>
    <d v="2018-11-20T00:00:00"/>
    <x v="0"/>
    <x v="1"/>
  </r>
  <r>
    <s v="MRWSH022704"/>
    <x v="2"/>
    <x v="2"/>
    <d v="2018-11-08T00:00:00"/>
    <d v="2018-11-06T00:00:00"/>
    <d v="2018-11-06T00:00:00"/>
    <d v="2018-11-06T00:00:00"/>
    <x v="0"/>
    <x v="1"/>
  </r>
  <r>
    <s v="MRWSH022718"/>
    <x v="2"/>
    <x v="2"/>
    <d v="2018-11-19T00:00:00"/>
    <d v="2018-11-20T00:00:00"/>
    <d v="2018-11-20T00:00:00"/>
    <d v="2018-11-20T00:00:00"/>
    <x v="0"/>
    <x v="1"/>
  </r>
  <r>
    <s v="MRWSH022765"/>
    <x v="2"/>
    <x v="2"/>
    <d v="2018-11-12T00:00:00"/>
    <d v="2018-12-11T00:00:00"/>
    <d v="2018-12-10T00:00:00"/>
    <m/>
    <x v="1"/>
    <x v="4"/>
  </r>
  <r>
    <s v="MRWSH022767"/>
    <x v="2"/>
    <x v="2"/>
    <d v="2018-11-12T00:00:00"/>
    <d v="2018-12-11T00:00:00"/>
    <d v="2018-12-10T00:00:00"/>
    <m/>
    <x v="1"/>
    <x v="4"/>
  </r>
  <r>
    <s v="MRWSH022779"/>
    <x v="2"/>
    <x v="2"/>
    <d v="2018-11-12T00:00:00"/>
    <d v="2018-11-05T00:00:00"/>
    <d v="2018-11-05T00:00:00"/>
    <d v="2018-11-05T00:00:00"/>
    <x v="0"/>
    <x v="1"/>
  </r>
  <r>
    <s v="MRWSH022788"/>
    <x v="2"/>
    <x v="2"/>
    <d v="2018-11-19T00:00:00"/>
    <d v="2018-11-28T00:00:00"/>
    <d v="2018-11-28T00:00:00"/>
    <d v="2018-11-28T00:00:00"/>
    <x v="0"/>
    <x v="1"/>
  </r>
  <r>
    <s v="MRWSH022817"/>
    <x v="2"/>
    <x v="2"/>
    <d v="2018-11-06T00:00:00"/>
    <d v="2018-11-06T00:00:00"/>
    <d v="2018-11-06T00:00:00"/>
    <d v="2018-11-06T00:00:00"/>
    <x v="0"/>
    <x v="1"/>
  </r>
  <r>
    <s v="MRWSH022828"/>
    <x v="2"/>
    <x v="2"/>
    <d v="2018-11-06T00:00:00"/>
    <d v="2018-11-26T00:00:00"/>
    <d v="2018-11-26T00:00:00"/>
    <d v="2018-11-26T00:00:00"/>
    <x v="1"/>
    <x v="1"/>
  </r>
  <r>
    <s v="MRSTX034292"/>
    <x v="0"/>
    <x v="2"/>
    <d v="2018-11-16T00:00:00"/>
    <d v="2018-12-05T00:00:00"/>
    <d v="2018-12-05T00:00:00"/>
    <m/>
    <x v="1"/>
    <x v="4"/>
  </r>
  <r>
    <s v="MRSTX034308"/>
    <x v="0"/>
    <x v="2"/>
    <d v="2018-11-12T00:00:00"/>
    <d v="2018-11-12T00:00:00"/>
    <d v="2018-11-16T00:00:00"/>
    <d v="2018-11-16T00:00:00"/>
    <x v="0"/>
    <x v="1"/>
  </r>
  <r>
    <s v="MRSTX034358"/>
    <x v="0"/>
    <x v="2"/>
    <d v="2018-11-12T00:00:00"/>
    <d v="2018-11-12T00:00:00"/>
    <d v="2018-11-11T00:00:00"/>
    <d v="2018-11-11T00:00:00"/>
    <x v="0"/>
    <x v="1"/>
  </r>
  <r>
    <s v="MRSTX034422"/>
    <x v="0"/>
    <x v="2"/>
    <d v="2018-11-12T00:00:00"/>
    <d v="2018-12-19T00:00:00"/>
    <d v="2018-12-17T00:00:00"/>
    <m/>
    <x v="1"/>
    <x v="4"/>
  </r>
  <r>
    <s v="MRSTX034426"/>
    <x v="0"/>
    <x v="2"/>
    <d v="2018-11-12T00:00:00"/>
    <d v="2018-11-12T00:00:00"/>
    <d v="2018-11-16T00:00:00"/>
    <d v="2018-11-16T00:00:00"/>
    <x v="0"/>
    <x v="1"/>
  </r>
  <r>
    <s v="MRSTX034441"/>
    <x v="0"/>
    <x v="2"/>
    <d v="2018-11-12T00:00:00"/>
    <d v="2018-12-19T00:00:00"/>
    <d v="2018-12-17T00:00:00"/>
    <m/>
    <x v="1"/>
    <x v="4"/>
  </r>
  <r>
    <s v="MRSTX034472"/>
    <x v="0"/>
    <x v="2"/>
    <d v="2018-11-15T00:00:00"/>
    <d v="2018-11-15T00:00:00"/>
    <d v="2018-11-16T00:00:00"/>
    <d v="2018-11-16T00:00:00"/>
    <x v="0"/>
    <x v="1"/>
  </r>
  <r>
    <s v="MRSTX034505"/>
    <x v="0"/>
    <x v="2"/>
    <d v="2018-11-12T00:00:00"/>
    <d v="2018-11-12T00:00:00"/>
    <d v="2018-11-29T00:00:00"/>
    <m/>
    <x v="1"/>
    <x v="5"/>
  </r>
  <r>
    <s v="MRWSH019948"/>
    <x v="2"/>
    <x v="2"/>
    <d v="2018-11-26T00:00:00"/>
    <d v="2018-12-04T00:00:00"/>
    <d v="2018-12-03T00:00:00"/>
    <m/>
    <x v="0"/>
    <x v="0"/>
  </r>
  <r>
    <s v="MRNTX031142"/>
    <x v="1"/>
    <x v="2"/>
    <d v="2018-11-09T00:00:00"/>
    <d v="2018-11-30T00:00:00"/>
    <d v="2018-11-30T00:00:00"/>
    <m/>
    <x v="1"/>
    <x v="4"/>
  </r>
  <r>
    <s v="MRNTX031150"/>
    <x v="1"/>
    <x v="2"/>
    <d v="2018-11-05T00:00:00"/>
    <d v="2018-11-09T00:00:00"/>
    <d v="2018-11-22T00:00:00"/>
    <d v="2018-11-22T00:00:00"/>
    <x v="1"/>
    <x v="1"/>
  </r>
  <r>
    <s v="MRNTX031206"/>
    <x v="1"/>
    <x v="2"/>
    <d v="2018-11-12T00:00:00"/>
    <d v="2018-11-12T00:00:00"/>
    <d v="2018-11-16T00:00:00"/>
    <d v="2018-11-16T00:00:00"/>
    <x v="0"/>
    <x v="1"/>
  </r>
  <r>
    <s v="MRNTX031207"/>
    <x v="1"/>
    <x v="2"/>
    <d v="2018-11-12T00:00:00"/>
    <d v="2018-11-26T00:00:00"/>
    <d v="2018-11-27T00:00:00"/>
    <d v="2018-11-27T00:00:00"/>
    <x v="1"/>
    <x v="1"/>
  </r>
  <r>
    <s v="MRNTX031230"/>
    <x v="1"/>
    <x v="2"/>
    <d v="2018-11-09T00:00:00"/>
    <d v="2018-11-20T00:00:00"/>
    <d v="2018-11-14T00:00:00"/>
    <d v="2018-11-14T00:00:00"/>
    <x v="0"/>
    <x v="1"/>
  </r>
  <r>
    <s v="MRNTX031265"/>
    <x v="1"/>
    <x v="2"/>
    <d v="2018-11-09T00:00:00"/>
    <d v="2018-11-26T00:00:00"/>
    <d v="2018-11-30T00:00:00"/>
    <m/>
    <x v="1"/>
    <x v="4"/>
  </r>
  <r>
    <s v="MRNTX036203"/>
    <x v="1"/>
    <x v="2"/>
    <d v="2018-11-12T00:00:00"/>
    <d v="2018-11-26T00:00:00"/>
    <d v="2018-11-26T00:00:00"/>
    <d v="2018-11-26T00:00:00"/>
    <x v="0"/>
    <x v="1"/>
  </r>
  <r>
    <s v="MRNTX036230"/>
    <x v="1"/>
    <x v="2"/>
    <d v="2018-11-28T00:00:00"/>
    <d v="2018-11-28T00:00:00"/>
    <d v="2018-11-20T00:00:00"/>
    <d v="2018-11-20T00:00:00"/>
    <x v="0"/>
    <x v="1"/>
  </r>
  <r>
    <s v="MRNTX036240"/>
    <x v="1"/>
    <x v="2"/>
    <d v="2018-11-12T00:00:00"/>
    <d v="2018-11-26T00:00:00"/>
    <d v="2018-11-30T00:00:00"/>
    <m/>
    <x v="1"/>
    <x v="4"/>
  </r>
  <r>
    <s v="MRNTX036241"/>
    <x v="1"/>
    <x v="2"/>
    <d v="2018-11-28T00:00:00"/>
    <d v="2018-12-06T00:00:00"/>
    <d v="2018-12-06T00:00:00"/>
    <m/>
    <x v="0"/>
    <x v="0"/>
  </r>
  <r>
    <s v="MRNTX036253"/>
    <x v="1"/>
    <x v="2"/>
    <d v="2018-11-19T00:00:00"/>
    <d v="2018-12-03T00:00:00"/>
    <d v="2018-12-03T00:00:00"/>
    <m/>
    <x v="0"/>
    <x v="0"/>
  </r>
  <r>
    <s v="MRNTX036255"/>
    <x v="1"/>
    <x v="2"/>
    <d v="2018-11-28T00:00:00"/>
    <d v="2018-12-03T00:00:00"/>
    <d v="2018-12-03T00:00:00"/>
    <m/>
    <x v="0"/>
    <x v="0"/>
  </r>
  <r>
    <s v="MRNTX036266"/>
    <x v="1"/>
    <x v="2"/>
    <d v="2018-11-19T00:00:00"/>
    <d v="2018-11-30T00:00:00"/>
    <d v="2018-11-30T00:00:00"/>
    <m/>
    <x v="0"/>
    <x v="0"/>
  </r>
  <r>
    <s v="MRNTX036267"/>
    <x v="1"/>
    <x v="2"/>
    <d v="2018-11-19T00:00:00"/>
    <d v="2018-11-30T00:00:00"/>
    <d v="2018-11-30T00:00:00"/>
    <m/>
    <x v="0"/>
    <x v="0"/>
  </r>
  <r>
    <s v="MRNTX036275"/>
    <x v="1"/>
    <x v="2"/>
    <d v="2018-11-19T00:00:00"/>
    <d v="2018-11-30T00:00:00"/>
    <d v="2018-11-30T00:00:00"/>
    <m/>
    <x v="0"/>
    <x v="0"/>
  </r>
  <r>
    <s v="MRNTX036285"/>
    <x v="1"/>
    <x v="2"/>
    <d v="2018-11-12T00:00:00"/>
    <d v="2018-11-30T00:00:00"/>
    <d v="2018-11-28T00:00:00"/>
    <d v="2018-11-28T00:00:00"/>
    <x v="1"/>
    <x v="1"/>
  </r>
  <r>
    <s v="MRNTX036286"/>
    <x v="1"/>
    <x v="2"/>
    <d v="2018-11-12T00:00:00"/>
    <d v="2018-11-30T00:00:00"/>
    <d v="2018-11-28T00:00:00"/>
    <d v="2018-11-28T00:00:00"/>
    <x v="1"/>
    <x v="1"/>
  </r>
  <r>
    <s v="MRNTX036291"/>
    <x v="1"/>
    <x v="2"/>
    <d v="2018-11-12T00:00:00"/>
    <d v="2018-11-26T00:00:00"/>
    <d v="2018-11-28T00:00:00"/>
    <d v="2018-11-28T00:00:00"/>
    <x v="1"/>
    <x v="1"/>
  </r>
  <r>
    <s v="MRNTX036422"/>
    <x v="1"/>
    <x v="2"/>
    <d v="2018-11-15T00:00:00"/>
    <d v="2018-11-30T00:00:00"/>
    <d v="2018-11-28T00:00:00"/>
    <d v="2018-11-28T00:00:00"/>
    <x v="0"/>
    <x v="1"/>
  </r>
  <r>
    <s v="MRNTX036426"/>
    <x v="1"/>
    <x v="2"/>
    <d v="2018-11-15T00:00:00"/>
    <d v="2018-11-30T00:00:00"/>
    <d v="2018-11-28T00:00:00"/>
    <d v="2018-11-28T00:00:00"/>
    <x v="0"/>
    <x v="1"/>
  </r>
  <r>
    <s v="MRNTX036432"/>
    <x v="1"/>
    <x v="2"/>
    <d v="2018-11-05T00:00:00"/>
    <d v="2018-11-26T00:00:00"/>
    <d v="2018-11-26T00:00:00"/>
    <d v="2018-11-26T00:00:00"/>
    <x v="1"/>
    <x v="1"/>
  </r>
  <r>
    <s v="MRNTX036435"/>
    <x v="1"/>
    <x v="2"/>
    <d v="2018-11-05T00:00:00"/>
    <d v="2018-11-26T00:00:00"/>
    <d v="2018-11-26T00:00:00"/>
    <d v="2018-11-26T00:00:00"/>
    <x v="1"/>
    <x v="1"/>
  </r>
  <r>
    <s v="MRNTX036460"/>
    <x v="1"/>
    <x v="2"/>
    <d v="2018-11-15T00:00:00"/>
    <d v="2018-11-30T00:00:00"/>
    <d v="2018-11-28T00:00:00"/>
    <d v="2018-11-28T00:00:00"/>
    <x v="0"/>
    <x v="1"/>
  </r>
  <r>
    <s v="MRNTX036475"/>
    <x v="1"/>
    <x v="2"/>
    <d v="2018-11-02T00:00:00"/>
    <d v="2018-11-05T00:00:00"/>
    <d v="2018-11-02T00:00:00"/>
    <d v="2018-11-02T00:00:00"/>
    <x v="0"/>
    <x v="1"/>
  </r>
  <r>
    <s v="MRNTX036478"/>
    <x v="1"/>
    <x v="2"/>
    <d v="2018-11-12T00:00:00"/>
    <d v="2018-11-12T00:00:00"/>
    <d v="2018-11-16T00:00:00"/>
    <d v="2018-11-16T00:00:00"/>
    <x v="0"/>
    <x v="1"/>
  </r>
  <r>
    <s v="MRNTX036495"/>
    <x v="1"/>
    <x v="2"/>
    <d v="2018-11-02T00:00:00"/>
    <d v="2019-01-28T00:00:00"/>
    <d v="2019-01-28T00:00:00"/>
    <m/>
    <x v="1"/>
    <x v="4"/>
  </r>
  <r>
    <s v="MRNTX036530"/>
    <x v="1"/>
    <x v="2"/>
    <d v="2018-11-28T00:00:00"/>
    <d v="2018-12-10T00:00:00"/>
    <d v="2018-12-10T00:00:00"/>
    <m/>
    <x v="0"/>
    <x v="0"/>
  </r>
  <r>
    <s v="MRNTX036560"/>
    <x v="1"/>
    <x v="2"/>
    <d v="2018-11-12T00:00:00"/>
    <d v="2018-11-26T00:00:00"/>
    <d v="2018-11-26T00:00:00"/>
    <d v="2018-11-26T00:00:00"/>
    <x v="0"/>
    <x v="1"/>
  </r>
  <r>
    <s v="MRNTX036566"/>
    <x v="1"/>
    <x v="2"/>
    <d v="2018-11-12T00:00:00"/>
    <d v="2018-12-03T00:00:00"/>
    <d v="2018-12-03T00:00:00"/>
    <m/>
    <x v="1"/>
    <x v="4"/>
  </r>
  <r>
    <s v="MRNTX036569"/>
    <x v="1"/>
    <x v="2"/>
    <d v="2018-11-12T00:00:00"/>
    <d v="2018-11-30T00:00:00"/>
    <d v="2018-11-28T00:00:00"/>
    <d v="2018-11-28T00:00:00"/>
    <x v="1"/>
    <x v="1"/>
  </r>
  <r>
    <s v="MRNTX036574"/>
    <x v="1"/>
    <x v="2"/>
    <d v="2018-11-05T00:00:00"/>
    <d v="2018-11-05T00:00:00"/>
    <d v="2018-11-22T00:00:00"/>
    <d v="2018-11-22T00:00:00"/>
    <x v="1"/>
    <x v="1"/>
  </r>
  <r>
    <s v="MRNTX036589"/>
    <x v="1"/>
    <x v="2"/>
    <d v="2018-11-26T00:00:00"/>
    <d v="2018-11-30T00:00:00"/>
    <d v="2018-11-30T00:00:00"/>
    <m/>
    <x v="0"/>
    <x v="0"/>
  </r>
  <r>
    <s v="MRSTX027412"/>
    <x v="0"/>
    <x v="2"/>
    <d v="2018-11-15T00:00:00"/>
    <d v="2018-12-05T00:00:00"/>
    <d v="2018-12-05T00:00:00"/>
    <m/>
    <x v="1"/>
    <x v="4"/>
  </r>
  <r>
    <s v="MRSTX027791"/>
    <x v="0"/>
    <x v="2"/>
    <d v="2018-11-12T00:00:00"/>
    <d v="2018-11-12T00:00:00"/>
    <d v="2018-11-29T00:00:00"/>
    <m/>
    <x v="1"/>
    <x v="5"/>
  </r>
  <r>
    <s v="MRSTX030821"/>
    <x v="0"/>
    <x v="2"/>
    <d v="2018-11-15T00:00:00"/>
    <d v="2018-11-15T00:00:00"/>
    <d v="2018-11-15T00:00:00"/>
    <d v="2018-11-15T00:00:00"/>
    <x v="0"/>
    <x v="1"/>
  </r>
  <r>
    <s v="MRNTX031320"/>
    <x v="1"/>
    <x v="2"/>
    <d v="2018-11-12T00:00:00"/>
    <d v="2018-11-12T00:00:00"/>
    <d v="2018-11-21T00:00:00"/>
    <d v="2018-11-21T00:00:00"/>
    <x v="0"/>
    <x v="1"/>
  </r>
  <r>
    <s v="MRNTX031342"/>
    <x v="1"/>
    <x v="2"/>
    <d v="2018-11-12T00:00:00"/>
    <d v="2018-11-12T00:00:00"/>
    <d v="2018-11-16T00:00:00"/>
    <d v="2018-11-16T00:00:00"/>
    <x v="0"/>
    <x v="1"/>
  </r>
  <r>
    <s v="MRNTX031364"/>
    <x v="1"/>
    <x v="2"/>
    <d v="2018-11-05T00:00:00"/>
    <d v="2018-11-26T00:00:00"/>
    <d v="2018-11-30T00:00:00"/>
    <m/>
    <x v="1"/>
    <x v="4"/>
  </r>
  <r>
    <s v="MRNTX031367"/>
    <x v="1"/>
    <x v="2"/>
    <d v="2018-11-12T00:00:00"/>
    <d v="2018-11-12T00:00:00"/>
    <d v="2018-11-16T00:00:00"/>
    <d v="2018-11-16T00:00:00"/>
    <x v="0"/>
    <x v="1"/>
  </r>
  <r>
    <s v="MRNTX031370"/>
    <x v="1"/>
    <x v="2"/>
    <d v="2018-11-12T00:00:00"/>
    <d v="2018-11-12T00:00:00"/>
    <d v="2018-11-21T00:00:00"/>
    <d v="2018-11-21T00:00:00"/>
    <x v="0"/>
    <x v="1"/>
  </r>
  <r>
    <s v="MRNTX031379"/>
    <x v="1"/>
    <x v="2"/>
    <d v="2018-11-12T00:00:00"/>
    <d v="2018-11-12T00:00:00"/>
    <d v="2018-11-05T00:00:00"/>
    <d v="2018-11-05T00:00:00"/>
    <x v="0"/>
    <x v="1"/>
  </r>
  <r>
    <s v="MRNTX031437"/>
    <x v="1"/>
    <x v="2"/>
    <d v="2018-11-01T00:00:00"/>
    <d v="2018-11-02T00:00:00"/>
    <d v="2018-11-01T00:00:00"/>
    <d v="2018-11-01T00:00:00"/>
    <x v="0"/>
    <x v="1"/>
  </r>
  <r>
    <s v="MRNTX031451"/>
    <x v="1"/>
    <x v="2"/>
    <d v="2018-11-26T00:00:00"/>
    <d v="2018-11-26T00:00:00"/>
    <d v="2018-11-28T00:00:00"/>
    <d v="2018-11-28T00:00:00"/>
    <x v="0"/>
    <x v="1"/>
  </r>
  <r>
    <s v="MRNTX031514"/>
    <x v="1"/>
    <x v="2"/>
    <d v="2018-11-02T00:00:00"/>
    <d v="2018-11-02T00:00:00"/>
    <d v="2018-11-06T00:00:00"/>
    <d v="2018-11-06T00:00:00"/>
    <x v="0"/>
    <x v="1"/>
  </r>
  <r>
    <s v="MRNTX031516"/>
    <x v="1"/>
    <x v="2"/>
    <d v="2018-11-02T00:00:00"/>
    <d v="2018-11-09T00:00:00"/>
    <d v="2018-11-20T00:00:00"/>
    <d v="2018-11-20T00:00:00"/>
    <x v="1"/>
    <x v="1"/>
  </r>
  <r>
    <s v="MRNTX031529"/>
    <x v="1"/>
    <x v="2"/>
    <d v="2018-11-09T00:00:00"/>
    <d v="2019-01-28T00:00:00"/>
    <d v="2019-01-28T00:00:00"/>
    <m/>
    <x v="1"/>
    <x v="4"/>
  </r>
  <r>
    <s v="MRNTX031548"/>
    <x v="1"/>
    <x v="2"/>
    <d v="2018-11-02T00:00:00"/>
    <d v="2018-11-02T00:00:00"/>
    <d v="2018-11-06T00:00:00"/>
    <d v="2018-11-06T00:00:00"/>
    <x v="0"/>
    <x v="1"/>
  </r>
  <r>
    <s v="MRNTX037075"/>
    <x v="1"/>
    <x v="2"/>
    <d v="2018-11-12T00:00:00"/>
    <d v="2019-01-28T00:00:00"/>
    <d v="2019-01-28T00:00:00"/>
    <m/>
    <x v="1"/>
    <x v="4"/>
  </r>
  <r>
    <s v="MRNTX037110"/>
    <x v="1"/>
    <x v="2"/>
    <d v="2018-11-05T00:00:00"/>
    <d v="2018-11-26T00:00:00"/>
    <d v="2018-11-24T00:00:00"/>
    <d v="2018-11-24T00:00:00"/>
    <x v="1"/>
    <x v="1"/>
  </r>
  <r>
    <s v="MRNTX037136"/>
    <x v="1"/>
    <x v="2"/>
    <d v="2018-11-05T00:00:00"/>
    <d v="2018-11-26T00:00:00"/>
    <d v="2018-11-24T00:00:00"/>
    <d v="2018-11-24T00:00:00"/>
    <x v="1"/>
    <x v="1"/>
  </r>
  <r>
    <s v="MRNTX037143"/>
    <x v="1"/>
    <x v="2"/>
    <d v="2018-11-02T00:00:00"/>
    <d v="2018-11-30T00:00:00"/>
    <d v="2018-11-29T00:00:00"/>
    <d v="2018-11-29T00:00:00"/>
    <x v="1"/>
    <x v="1"/>
  </r>
  <r>
    <s v="MRWSH019960"/>
    <x v="2"/>
    <x v="2"/>
    <d v="2018-11-19T00:00:00"/>
    <d v="2018-11-16T00:00:00"/>
    <d v="2018-11-16T00:00:00"/>
    <d v="2018-11-16T00:00:00"/>
    <x v="0"/>
    <x v="1"/>
  </r>
  <r>
    <s v="MRWSH019972"/>
    <x v="2"/>
    <x v="2"/>
    <d v="2018-11-05T00:00:00"/>
    <d v="2018-12-10T00:00:00"/>
    <d v="2018-12-10T00:00:00"/>
    <m/>
    <x v="1"/>
    <x v="4"/>
  </r>
  <r>
    <s v="MRWSH019976"/>
    <x v="2"/>
    <x v="2"/>
    <d v="2018-11-26T00:00:00"/>
    <d v="2018-11-16T00:00:00"/>
    <d v="2018-11-16T00:00:00"/>
    <d v="2018-11-16T00:00:00"/>
    <x v="0"/>
    <x v="1"/>
  </r>
  <r>
    <s v="MRWSH019997"/>
    <x v="2"/>
    <x v="2"/>
    <d v="2018-11-12T00:00:00"/>
    <d v="2018-12-03T00:00:00"/>
    <d v="2018-12-03T00:00:00"/>
    <m/>
    <x v="1"/>
    <x v="4"/>
  </r>
  <r>
    <s v="MRWSH020012"/>
    <x v="2"/>
    <x v="2"/>
    <d v="2018-11-06T00:00:00"/>
    <d v="2018-11-26T00:00:00"/>
    <d v="2018-11-26T00:00:00"/>
    <d v="2018-11-26T00:00:00"/>
    <x v="1"/>
    <x v="1"/>
  </r>
  <r>
    <s v="MRWSH020023"/>
    <x v="2"/>
    <x v="2"/>
    <d v="2018-11-07T00:00:00"/>
    <d v="2018-11-19T00:00:00"/>
    <d v="2018-11-19T00:00:00"/>
    <d v="2018-11-19T00:00:00"/>
    <x v="0"/>
    <x v="1"/>
  </r>
  <r>
    <s v="MRWSH020045"/>
    <x v="2"/>
    <x v="2"/>
    <d v="2018-11-09T00:00:00"/>
    <d v="2019-01-21T00:00:00"/>
    <d v="2018-11-09T00:00:00"/>
    <m/>
    <x v="0"/>
    <x v="3"/>
  </r>
  <r>
    <s v="MRWSH020065"/>
    <x v="2"/>
    <x v="2"/>
    <d v="2018-11-26T00:00:00"/>
    <d v="2018-12-03T00:00:00"/>
    <d v="2018-12-03T00:00:00"/>
    <m/>
    <x v="0"/>
    <x v="0"/>
  </r>
  <r>
    <s v="MRWSH020066"/>
    <x v="2"/>
    <x v="2"/>
    <d v="2018-11-12T00:00:00"/>
    <d v="2018-11-13T00:00:00"/>
    <d v="2018-11-13T00:00:00"/>
    <d v="2018-11-13T00:00:00"/>
    <x v="0"/>
    <x v="1"/>
  </r>
  <r>
    <s v="MRWSH020073"/>
    <x v="2"/>
    <x v="2"/>
    <d v="2018-11-05T00:00:00"/>
    <d v="2018-11-07T00:00:00"/>
    <d v="2018-11-07T00:00:00"/>
    <d v="2018-11-07T00:00:00"/>
    <x v="0"/>
    <x v="1"/>
  </r>
  <r>
    <s v="MRWSH020076"/>
    <x v="2"/>
    <x v="2"/>
    <d v="2018-11-12T00:00:00"/>
    <d v="2018-11-16T00:00:00"/>
    <d v="2018-11-16T00:00:00"/>
    <d v="2018-11-16T00:00:00"/>
    <x v="0"/>
    <x v="1"/>
  </r>
  <r>
    <s v="MRWSH020081"/>
    <x v="2"/>
    <x v="2"/>
    <d v="2018-11-26T00:00:00"/>
    <d v="2018-11-19T00:00:00"/>
    <d v="2018-11-19T00:00:00"/>
    <d v="2018-11-19T00:00:00"/>
    <x v="0"/>
    <x v="1"/>
  </r>
  <r>
    <s v="MRWSH020085"/>
    <x v="2"/>
    <x v="2"/>
    <d v="2018-11-05T00:00:00"/>
    <d v="2018-11-05T00:00:00"/>
    <d v="2018-11-05T00:00:00"/>
    <d v="2018-11-05T00:00:00"/>
    <x v="0"/>
    <x v="1"/>
  </r>
  <r>
    <s v="MRWSH020086"/>
    <x v="2"/>
    <x v="2"/>
    <d v="2018-11-12T00:00:00"/>
    <d v="2018-11-13T00:00:00"/>
    <d v="2018-11-13T00:00:00"/>
    <d v="2018-11-13T00:00:00"/>
    <x v="0"/>
    <x v="1"/>
  </r>
  <r>
    <s v="MRWSH020094"/>
    <x v="2"/>
    <x v="2"/>
    <d v="2018-11-09T00:00:00"/>
    <d v="2019-01-21T00:00:00"/>
    <d v="2018-11-09T00:00:00"/>
    <m/>
    <x v="0"/>
    <x v="3"/>
  </r>
  <r>
    <s v="MRWSH020127"/>
    <x v="2"/>
    <x v="2"/>
    <d v="2018-11-07T00:00:00"/>
    <d v="2018-11-19T00:00:00"/>
    <d v="2018-11-19T00:00:00"/>
    <d v="2018-11-19T00:00:00"/>
    <x v="0"/>
    <x v="1"/>
  </r>
  <r>
    <s v="MRWSH020186"/>
    <x v="2"/>
    <x v="2"/>
    <d v="2018-11-12T00:00:00"/>
    <d v="2018-11-16T00:00:00"/>
    <d v="2018-11-16T00:00:00"/>
    <d v="2018-11-16T00:00:00"/>
    <x v="0"/>
    <x v="1"/>
  </r>
  <r>
    <s v="MRWSH020197"/>
    <x v="2"/>
    <x v="2"/>
    <d v="2018-11-07T00:00:00"/>
    <d v="2018-11-12T00:00:00"/>
    <d v="2018-11-12T00:00:00"/>
    <d v="2018-11-12T00:00:00"/>
    <x v="0"/>
    <x v="1"/>
  </r>
  <r>
    <s v="MRWSH020202"/>
    <x v="2"/>
    <x v="2"/>
    <d v="2018-11-12T00:00:00"/>
    <d v="2018-11-13T00:00:00"/>
    <d v="2018-11-12T00:00:00"/>
    <d v="2018-11-12T00:00:00"/>
    <x v="0"/>
    <x v="1"/>
  </r>
  <r>
    <s v="MRWSH020209"/>
    <x v="2"/>
    <x v="2"/>
    <d v="2018-11-26T00:00:00"/>
    <d v="2018-12-03T00:00:00"/>
    <d v="2018-12-03T00:00:00"/>
    <m/>
    <x v="0"/>
    <x v="0"/>
  </r>
  <r>
    <s v="MRWSH020211"/>
    <x v="2"/>
    <x v="2"/>
    <d v="2018-11-12T00:00:00"/>
    <d v="2018-11-13T00:00:00"/>
    <d v="2018-11-13T00:00:00"/>
    <d v="2018-11-13T00:00:00"/>
    <x v="0"/>
    <x v="1"/>
  </r>
  <r>
    <s v="MRWSH020213"/>
    <x v="2"/>
    <x v="2"/>
    <d v="2018-11-26T00:00:00"/>
    <d v="2018-11-16T00:00:00"/>
    <d v="2018-11-16T00:00:00"/>
    <d v="2018-11-16T00:00:00"/>
    <x v="0"/>
    <x v="1"/>
  </r>
  <r>
    <s v="MRWSH020218"/>
    <x v="2"/>
    <x v="2"/>
    <d v="2018-11-12T00:00:00"/>
    <d v="2018-11-16T00:00:00"/>
    <d v="2018-11-16T00:00:00"/>
    <d v="2018-11-16T00:00:00"/>
    <x v="0"/>
    <x v="1"/>
  </r>
  <r>
    <s v="MRWSH020231"/>
    <x v="2"/>
    <x v="2"/>
    <d v="2018-11-12T00:00:00"/>
    <d v="2018-11-16T00:00:00"/>
    <d v="2018-11-16T00:00:00"/>
    <d v="2018-11-16T00:00:00"/>
    <x v="0"/>
    <x v="1"/>
  </r>
  <r>
    <s v="MRWSH020271"/>
    <x v="2"/>
    <x v="2"/>
    <d v="2018-11-19T00:00:00"/>
    <d v="2019-01-07T00:00:00"/>
    <d v="2019-01-07T00:00:00"/>
    <m/>
    <x v="1"/>
    <x v="2"/>
  </r>
  <r>
    <s v="MRWSH020274"/>
    <x v="2"/>
    <x v="2"/>
    <d v="2018-11-26T00:00:00"/>
    <d v="2018-12-05T00:00:00"/>
    <d v="2018-12-05T00:00:00"/>
    <m/>
    <x v="0"/>
    <x v="0"/>
  </r>
  <r>
    <s v="MRSTX030886"/>
    <x v="0"/>
    <x v="2"/>
    <d v="2018-11-12T00:00:00"/>
    <d v="2018-11-12T00:00:00"/>
    <d v="2018-11-29T00:00:00"/>
    <m/>
    <x v="1"/>
    <x v="5"/>
  </r>
  <r>
    <s v="MRSTX030946"/>
    <x v="0"/>
    <x v="2"/>
    <d v="2018-11-12T00:00:00"/>
    <d v="2018-11-12T00:00:00"/>
    <d v="2018-11-29T00:00:00"/>
    <m/>
    <x v="1"/>
    <x v="5"/>
  </r>
  <r>
    <s v="MRSTX030947"/>
    <x v="0"/>
    <x v="2"/>
    <d v="2018-11-12T00:00:00"/>
    <d v="2018-12-13T00:00:00"/>
    <d v="2018-12-13T00:00:00"/>
    <m/>
    <x v="1"/>
    <x v="4"/>
  </r>
  <r>
    <s v="MRSTX030955"/>
    <x v="0"/>
    <x v="2"/>
    <d v="2018-11-12T00:00:00"/>
    <d v="2018-11-12T00:00:00"/>
    <d v="2018-11-09T00:00:00"/>
    <d v="2018-11-09T00:00:00"/>
    <x v="0"/>
    <x v="1"/>
  </r>
  <r>
    <s v="MRSTX030957"/>
    <x v="0"/>
    <x v="2"/>
    <d v="2018-11-15T00:00:00"/>
    <d v="2018-12-13T00:00:00"/>
    <d v="2018-12-13T00:00:00"/>
    <m/>
    <x v="1"/>
    <x v="4"/>
  </r>
  <r>
    <s v="MRSTX030958"/>
    <x v="0"/>
    <x v="2"/>
    <d v="2018-11-12T00:00:00"/>
    <d v="2018-11-12T00:00:00"/>
    <d v="2018-11-19T00:00:00"/>
    <d v="2018-11-19T00:00:00"/>
    <x v="0"/>
    <x v="1"/>
  </r>
  <r>
    <s v="MRSTX030962"/>
    <x v="0"/>
    <x v="2"/>
    <d v="2018-11-15T00:00:00"/>
    <d v="2018-11-15T00:00:00"/>
    <d v="2018-11-13T00:00:00"/>
    <d v="2018-11-13T00:00:00"/>
    <x v="0"/>
    <x v="1"/>
  </r>
  <r>
    <s v="MRSTX030965"/>
    <x v="0"/>
    <x v="2"/>
    <d v="2018-11-15T00:00:00"/>
    <d v="2018-12-09T00:00:00"/>
    <d v="2018-12-09T00:00:00"/>
    <m/>
    <x v="1"/>
    <x v="4"/>
  </r>
  <r>
    <s v="MRSTX030974"/>
    <x v="0"/>
    <x v="2"/>
    <d v="2018-11-12T00:00:00"/>
    <d v="2018-12-05T00:00:00"/>
    <d v="2018-12-05T00:00:00"/>
    <m/>
    <x v="1"/>
    <x v="4"/>
  </r>
  <r>
    <s v="MRSTX031070"/>
    <x v="0"/>
    <x v="2"/>
    <d v="2018-11-12T00:00:00"/>
    <d v="2018-12-07T00:00:00"/>
    <d v="2018-12-07T00:00:00"/>
    <m/>
    <x v="1"/>
    <x v="4"/>
  </r>
  <r>
    <s v="MRSTX031080"/>
    <x v="0"/>
    <x v="2"/>
    <d v="2018-11-12T00:00:00"/>
    <d v="2018-11-12T00:00:00"/>
    <d v="2018-11-14T00:00:00"/>
    <d v="2018-11-14T00:00:00"/>
    <x v="0"/>
    <x v="1"/>
  </r>
  <r>
    <s v="MRSTX031093"/>
    <x v="0"/>
    <x v="2"/>
    <d v="2018-11-01T00:00:00"/>
    <d v="2018-12-05T00:00:00"/>
    <d v="2018-11-11T00:00:00"/>
    <d v="2018-11-11T00:00:00"/>
    <x v="0"/>
    <x v="1"/>
  </r>
  <r>
    <s v="MRSTX031100"/>
    <x v="0"/>
    <x v="2"/>
    <d v="2018-11-15T00:00:00"/>
    <d v="2018-11-15T00:00:00"/>
    <d v="2018-11-12T00:00:00"/>
    <d v="2018-11-12T00:00:00"/>
    <x v="0"/>
    <x v="1"/>
  </r>
  <r>
    <s v="MRSTX031114"/>
    <x v="0"/>
    <x v="2"/>
    <d v="2018-11-12T00:00:00"/>
    <d v="2018-12-19T00:00:00"/>
    <d v="2018-12-17T00:00:00"/>
    <m/>
    <x v="1"/>
    <x v="4"/>
  </r>
  <r>
    <s v="MRSTX039811"/>
    <x v="0"/>
    <x v="2"/>
    <d v="2018-11-15T00:00:00"/>
    <d v="2018-11-15T00:00:00"/>
    <d v="2018-11-13T00:00:00"/>
    <d v="2018-11-13T00:00:00"/>
    <x v="0"/>
    <x v="1"/>
  </r>
  <r>
    <s v="MRSTX039888"/>
    <x v="0"/>
    <x v="2"/>
    <d v="2018-11-15T00:00:00"/>
    <d v="2018-11-15T00:00:00"/>
    <d v="2018-11-13T00:00:00"/>
    <d v="2018-11-13T00:00:00"/>
    <x v="0"/>
    <x v="1"/>
  </r>
  <r>
    <s v="MRSTX040008"/>
    <x v="0"/>
    <x v="2"/>
    <d v="2018-11-15T00:00:00"/>
    <d v="2018-11-15T00:00:00"/>
    <d v="2018-11-13T00:00:00"/>
    <d v="2018-11-13T00:00:00"/>
    <x v="0"/>
    <x v="1"/>
  </r>
  <r>
    <s v="MRSTX040047"/>
    <x v="0"/>
    <x v="2"/>
    <d v="2018-11-15T00:00:00"/>
    <d v="2018-11-15T00:00:00"/>
    <d v="2018-11-13T00:00:00"/>
    <d v="2018-11-13T00:00:00"/>
    <x v="0"/>
    <x v="1"/>
  </r>
  <r>
    <s v="MRNTX037269"/>
    <x v="1"/>
    <x v="2"/>
    <d v="2018-11-05T00:00:00"/>
    <d v="2018-11-26T00:00:00"/>
    <d v="2018-11-24T00:00:00"/>
    <d v="2018-11-24T00:00:00"/>
    <x v="1"/>
    <x v="1"/>
  </r>
  <r>
    <s v="MRNTX037290"/>
    <x v="1"/>
    <x v="2"/>
    <d v="2018-11-02T00:00:00"/>
    <d v="2018-11-28T00:00:00"/>
    <d v="2018-11-21T00:00:00"/>
    <d v="2018-11-21T00:00:00"/>
    <x v="1"/>
    <x v="1"/>
  </r>
  <r>
    <s v="MRNTX037294"/>
    <x v="1"/>
    <x v="2"/>
    <d v="2018-11-02T00:00:00"/>
    <d v="2018-11-28T00:00:00"/>
    <d v="2018-11-21T00:00:00"/>
    <d v="2018-11-21T00:00:00"/>
    <x v="1"/>
    <x v="1"/>
  </r>
  <r>
    <s v="MRNTX037295"/>
    <x v="1"/>
    <x v="2"/>
    <d v="2018-11-12T00:00:00"/>
    <d v="2018-11-19T00:00:00"/>
    <d v="2018-11-17T00:00:00"/>
    <d v="2018-11-17T00:00:00"/>
    <x v="0"/>
    <x v="1"/>
  </r>
  <r>
    <s v="MRNTX037298"/>
    <x v="1"/>
    <x v="2"/>
    <d v="2018-11-12T00:00:00"/>
    <d v="2019-01-28T00:00:00"/>
    <d v="2019-01-28T00:00:00"/>
    <m/>
    <x v="1"/>
    <x v="4"/>
  </r>
  <r>
    <s v="MRNTX037325"/>
    <x v="1"/>
    <x v="2"/>
    <d v="2018-11-01T00:00:00"/>
    <d v="2018-11-02T00:00:00"/>
    <d v="2018-11-01T00:00:00"/>
    <d v="2018-11-01T00:00:00"/>
    <x v="0"/>
    <x v="1"/>
  </r>
  <r>
    <s v="MRSTX032284"/>
    <x v="0"/>
    <x v="2"/>
    <d v="2018-11-16T00:00:00"/>
    <d v="2018-12-19T00:00:00"/>
    <d v="2018-11-16T00:00:00"/>
    <m/>
    <x v="0"/>
    <x v="3"/>
  </r>
  <r>
    <s v="MRSTX032352"/>
    <x v="0"/>
    <x v="2"/>
    <d v="2018-11-02T00:00:00"/>
    <d v="2018-11-02T00:00:00"/>
    <d v="2018-11-02T00:00:00"/>
    <d v="2018-11-02T00:00:00"/>
    <x v="0"/>
    <x v="1"/>
  </r>
  <r>
    <s v="MRSTX032363"/>
    <x v="0"/>
    <x v="2"/>
    <d v="2018-11-02T00:00:00"/>
    <d v="2018-11-02T00:00:00"/>
    <d v="2018-11-02T00:00:00"/>
    <d v="2018-11-02T00:00:00"/>
    <x v="0"/>
    <x v="1"/>
  </r>
  <r>
    <s v="MRSTX032473"/>
    <x v="0"/>
    <x v="2"/>
    <d v="2018-11-15T00:00:00"/>
    <d v="2018-11-15T00:00:00"/>
    <d v="2018-11-16T00:00:00"/>
    <d v="2018-11-16T00:00:00"/>
    <x v="0"/>
    <x v="1"/>
  </r>
  <r>
    <s v="MRSTX032561"/>
    <x v="0"/>
    <x v="2"/>
    <d v="2018-11-15T00:00:00"/>
    <d v="2018-12-19T00:00:00"/>
    <d v="2018-12-19T00:00:00"/>
    <m/>
    <x v="1"/>
    <x v="4"/>
  </r>
  <r>
    <s v="MRSTX032593"/>
    <x v="0"/>
    <x v="2"/>
    <d v="2018-11-15T00:00:00"/>
    <d v="2018-11-15T00:00:00"/>
    <d v="2018-11-15T00:00:00"/>
    <d v="2018-11-15T00:00:00"/>
    <x v="0"/>
    <x v="1"/>
  </r>
  <r>
    <s v="MRSTX032749"/>
    <x v="0"/>
    <x v="2"/>
    <d v="2018-11-12T00:00:00"/>
    <d v="2018-11-12T00:00:00"/>
    <d v="2018-11-13T00:00:00"/>
    <d v="2018-11-13T00:00:00"/>
    <x v="0"/>
    <x v="1"/>
  </r>
  <r>
    <s v="MRSTX032786"/>
    <x v="0"/>
    <x v="2"/>
    <d v="2018-11-15T00:00:00"/>
    <d v="2018-11-15T00:00:00"/>
    <d v="2018-11-15T00:00:00"/>
    <d v="2018-11-15T00:00:00"/>
    <x v="0"/>
    <x v="1"/>
  </r>
  <r>
    <s v="MRSTX032828"/>
    <x v="0"/>
    <x v="2"/>
    <d v="2018-11-16T00:00:00"/>
    <d v="2018-12-19T00:00:00"/>
    <d v="2018-12-17T00:00:00"/>
    <m/>
    <x v="1"/>
    <x v="4"/>
  </r>
  <r>
    <s v="MRSTX032836"/>
    <x v="0"/>
    <x v="2"/>
    <d v="2018-11-16T00:00:00"/>
    <d v="2018-12-05T00:00:00"/>
    <d v="2018-12-05T00:00:00"/>
    <m/>
    <x v="1"/>
    <x v="4"/>
  </r>
  <r>
    <s v="MRNTX025127"/>
    <x v="1"/>
    <x v="2"/>
    <d v="2018-11-28T00:00:00"/>
    <d v="2018-11-30T00:00:00"/>
    <d v="2018-11-30T00:00:00"/>
    <m/>
    <x v="0"/>
    <x v="0"/>
  </r>
  <r>
    <s v="MRNTX032657"/>
    <x v="1"/>
    <x v="2"/>
    <d v="2018-11-30T00:00:00"/>
    <d v="2018-12-03T00:00:00"/>
    <d v="2018-12-03T00:00:00"/>
    <m/>
    <x v="0"/>
    <x v="0"/>
  </r>
  <r>
    <s v="MRNTX032672"/>
    <x v="1"/>
    <x v="2"/>
    <d v="2018-11-12T00:00:00"/>
    <d v="2018-11-26T00:00:00"/>
    <d v="2019-01-15T00:00:00"/>
    <m/>
    <x v="1"/>
    <x v="4"/>
  </r>
  <r>
    <s v="MRNTX032732"/>
    <x v="1"/>
    <x v="2"/>
    <d v="2018-11-12T00:00:00"/>
    <d v="2018-11-30T00:00:00"/>
    <d v="2018-11-30T00:00:00"/>
    <m/>
    <x v="1"/>
    <x v="4"/>
  </r>
  <r>
    <s v="MRNTX032747"/>
    <x v="1"/>
    <x v="2"/>
    <d v="2018-11-26T00:00:00"/>
    <d v="2019-01-28T00:00:00"/>
    <d v="2019-01-28T00:00:00"/>
    <m/>
    <x v="1"/>
    <x v="2"/>
  </r>
  <r>
    <s v="MRNTX032787"/>
    <x v="1"/>
    <x v="2"/>
    <d v="2018-11-05T00:00:00"/>
    <d v="2018-12-10T00:00:00"/>
    <d v="2018-12-10T00:00:00"/>
    <m/>
    <x v="1"/>
    <x v="4"/>
  </r>
  <r>
    <s v="MRNTX032871"/>
    <x v="1"/>
    <x v="2"/>
    <d v="2018-11-12T00:00:00"/>
    <d v="2018-11-26T00:00:00"/>
    <d v="2018-11-30T00:00:00"/>
    <m/>
    <x v="1"/>
    <x v="4"/>
  </r>
  <r>
    <s v="MRWSH025066"/>
    <x v="2"/>
    <x v="2"/>
    <d v="2018-11-26T00:00:00"/>
    <d v="2018-12-04T00:00:00"/>
    <d v="2018-12-03T00:00:00"/>
    <m/>
    <x v="0"/>
    <x v="0"/>
  </r>
  <r>
    <s v="MRWSH025070"/>
    <x v="2"/>
    <x v="2"/>
    <d v="2018-11-26T00:00:00"/>
    <d v="2018-12-05T00:00:00"/>
    <d v="2018-12-03T00:00:00"/>
    <m/>
    <x v="0"/>
    <x v="0"/>
  </r>
  <r>
    <s v="MRWSH025115"/>
    <x v="2"/>
    <x v="2"/>
    <d v="2018-11-05T00:00:00"/>
    <d v="2018-11-05T00:00:00"/>
    <d v="2018-11-05T00:00:00"/>
    <d v="2018-11-05T00:00:00"/>
    <x v="0"/>
    <x v="1"/>
  </r>
  <r>
    <s v="MRWSH025119"/>
    <x v="2"/>
    <x v="2"/>
    <d v="2018-11-26T00:00:00"/>
    <d v="2018-11-12T00:00:00"/>
    <d v="2018-11-12T00:00:00"/>
    <d v="2018-11-12T00:00:00"/>
    <x v="0"/>
    <x v="1"/>
  </r>
  <r>
    <s v="MRWSH025120"/>
    <x v="2"/>
    <x v="2"/>
    <d v="2018-11-05T00:00:00"/>
    <d v="2018-11-05T00:00:00"/>
    <d v="2018-11-05T00:00:00"/>
    <d v="2018-11-05T00:00:00"/>
    <x v="0"/>
    <x v="1"/>
  </r>
  <r>
    <s v="MRWSH025160"/>
    <x v="2"/>
    <x v="2"/>
    <d v="2018-11-09T00:00:00"/>
    <d v="2018-11-14T00:00:00"/>
    <d v="2018-11-14T00:00:00"/>
    <d v="2018-11-14T00:00:00"/>
    <x v="0"/>
    <x v="1"/>
  </r>
  <r>
    <s v="MRWSH025179"/>
    <x v="2"/>
    <x v="2"/>
    <d v="2018-11-26T00:00:00"/>
    <d v="2018-12-04T00:00:00"/>
    <d v="2018-12-03T00:00:00"/>
    <m/>
    <x v="0"/>
    <x v="0"/>
  </r>
  <r>
    <s v="MRWSH025185"/>
    <x v="2"/>
    <x v="2"/>
    <d v="2018-11-05T00:00:00"/>
    <d v="2018-11-06T00:00:00"/>
    <d v="2018-11-06T00:00:00"/>
    <d v="2018-11-06T00:00:00"/>
    <x v="0"/>
    <x v="1"/>
  </r>
  <r>
    <s v="MRWSH025191"/>
    <x v="2"/>
    <x v="2"/>
    <d v="2018-11-06T00:00:00"/>
    <d v="2018-11-08T00:00:00"/>
    <d v="2018-11-08T00:00:00"/>
    <d v="2018-11-08T00:00:00"/>
    <x v="0"/>
    <x v="1"/>
  </r>
  <r>
    <s v="MRWSH025213"/>
    <x v="2"/>
    <x v="2"/>
    <d v="2018-11-12T00:00:00"/>
    <d v="2018-11-16T00:00:00"/>
    <d v="2018-11-16T00:00:00"/>
    <d v="2018-11-16T00:00:00"/>
    <x v="0"/>
    <x v="1"/>
  </r>
  <r>
    <s v="MRWSH025246"/>
    <x v="2"/>
    <x v="2"/>
    <d v="2018-11-26T00:00:00"/>
    <d v="2018-11-26T00:00:00"/>
    <d v="2018-11-26T00:00:00"/>
    <d v="2018-11-26T00:00:00"/>
    <x v="0"/>
    <x v="1"/>
  </r>
  <r>
    <s v="MRWSH025274"/>
    <x v="2"/>
    <x v="2"/>
    <d v="2018-11-05T00:00:00"/>
    <d v="2018-11-05T00:00:00"/>
    <d v="2018-11-05T00:00:00"/>
    <d v="2018-11-05T00:00:00"/>
    <x v="0"/>
    <x v="1"/>
  </r>
  <r>
    <s v="MRWSH025298"/>
    <x v="2"/>
    <x v="2"/>
    <d v="2018-11-12T00:00:00"/>
    <d v="2018-11-08T00:00:00"/>
    <d v="2018-11-08T00:00:00"/>
    <d v="2018-11-08T00:00:00"/>
    <x v="0"/>
    <x v="1"/>
  </r>
  <r>
    <s v="MRWSH025302"/>
    <x v="2"/>
    <x v="2"/>
    <d v="2018-11-06T00:00:00"/>
    <d v="2018-11-07T00:00:00"/>
    <d v="2018-11-07T00:00:00"/>
    <d v="2018-11-07T00:00:00"/>
    <x v="0"/>
    <x v="1"/>
  </r>
  <r>
    <s v="MRSTX032992"/>
    <x v="0"/>
    <x v="2"/>
    <d v="2018-11-02T00:00:00"/>
    <d v="2018-11-02T00:00:00"/>
    <d v="2018-11-02T00:00:00"/>
    <d v="2018-11-02T00:00:00"/>
    <x v="0"/>
    <x v="1"/>
  </r>
  <r>
    <s v="MRSTX033094"/>
    <x v="0"/>
    <x v="2"/>
    <d v="2018-11-02T00:00:00"/>
    <d v="2018-11-02T00:00:00"/>
    <d v="2018-11-02T00:00:00"/>
    <d v="2018-11-02T00:00:00"/>
    <x v="0"/>
    <x v="1"/>
  </r>
  <r>
    <s v="MRNTX032993"/>
    <x v="1"/>
    <x v="2"/>
    <d v="2018-11-05T00:00:00"/>
    <d v="2018-12-10T00:00:00"/>
    <d v="2018-12-10T00:00:00"/>
    <m/>
    <x v="1"/>
    <x v="4"/>
  </r>
  <r>
    <s v="MRNTX032995"/>
    <x v="1"/>
    <x v="2"/>
    <d v="2018-11-05T00:00:00"/>
    <d v="2018-11-30T00:00:00"/>
    <d v="2018-11-30T00:00:00"/>
    <m/>
    <x v="1"/>
    <x v="4"/>
  </r>
  <r>
    <s v="MRSTX034546"/>
    <x v="0"/>
    <x v="2"/>
    <d v="2018-11-16T00:00:00"/>
    <d v="2018-12-19T00:00:00"/>
    <d v="2018-11-16T00:00:00"/>
    <m/>
    <x v="0"/>
    <x v="3"/>
  </r>
  <r>
    <s v="MRSTX034554"/>
    <x v="0"/>
    <x v="2"/>
    <d v="2018-11-15T00:00:00"/>
    <d v="2018-11-15T00:00:00"/>
    <d v="2018-11-13T00:00:00"/>
    <d v="2018-11-13T00:00:00"/>
    <x v="0"/>
    <x v="1"/>
  </r>
  <r>
    <s v="MRSTX034555"/>
    <x v="0"/>
    <x v="2"/>
    <d v="2018-11-15T00:00:00"/>
    <d v="2018-11-15T00:00:00"/>
    <d v="2018-11-15T00:00:00"/>
    <d v="2018-11-15T00:00:00"/>
    <x v="0"/>
    <x v="1"/>
  </r>
  <r>
    <s v="MRSTX034566"/>
    <x v="0"/>
    <x v="2"/>
    <d v="2018-11-15T00:00:00"/>
    <d v="2018-11-15T00:00:00"/>
    <d v="2018-11-13T00:00:00"/>
    <d v="2018-11-13T00:00:00"/>
    <x v="0"/>
    <x v="1"/>
  </r>
  <r>
    <s v="MRSTX034670"/>
    <x v="0"/>
    <x v="2"/>
    <d v="2018-11-15T00:00:00"/>
    <d v="2018-11-15T00:00:00"/>
    <d v="2018-11-13T00:00:00"/>
    <d v="2018-11-13T00:00:00"/>
    <x v="0"/>
    <x v="1"/>
  </r>
  <r>
    <s v="MRSTX034739"/>
    <x v="0"/>
    <x v="2"/>
    <d v="2018-11-15T00:00:00"/>
    <d v="2018-11-15T00:00:00"/>
    <d v="2018-11-13T00:00:00"/>
    <d v="2018-11-13T00:00:00"/>
    <x v="0"/>
    <x v="1"/>
  </r>
  <r>
    <s v="MRWSH025386"/>
    <x v="2"/>
    <x v="2"/>
    <d v="2018-11-12T00:00:00"/>
    <d v="2018-11-21T00:00:00"/>
    <d v="2018-11-21T00:00:00"/>
    <d v="2018-11-21T00:00:00"/>
    <x v="0"/>
    <x v="1"/>
  </r>
  <r>
    <s v="MRWSH025393"/>
    <x v="2"/>
    <x v="2"/>
    <d v="2018-11-26T00:00:00"/>
    <d v="2018-12-10T00:00:00"/>
    <d v="2018-12-10T00:00:00"/>
    <m/>
    <x v="0"/>
    <x v="0"/>
  </r>
  <r>
    <s v="MRNTX036613"/>
    <x v="1"/>
    <x v="2"/>
    <d v="2018-11-26T00:00:00"/>
    <d v="2018-11-30T00:00:00"/>
    <d v="2018-11-30T00:00:00"/>
    <m/>
    <x v="0"/>
    <x v="0"/>
  </r>
  <r>
    <s v="MRNTX036618"/>
    <x v="1"/>
    <x v="2"/>
    <d v="2018-11-19T00:00:00"/>
    <d v="2018-11-26T00:00:00"/>
    <d v="2018-11-26T00:00:00"/>
    <d v="2018-11-26T00:00:00"/>
    <x v="0"/>
    <x v="1"/>
  </r>
  <r>
    <s v="MRNTX036619"/>
    <x v="1"/>
    <x v="2"/>
    <d v="2018-11-19T00:00:00"/>
    <d v="2018-11-26T00:00:00"/>
    <d v="2018-11-26T00:00:00"/>
    <d v="2018-11-26T00:00:00"/>
    <x v="0"/>
    <x v="1"/>
  </r>
  <r>
    <s v="MRNTX036646"/>
    <x v="1"/>
    <x v="2"/>
    <d v="2018-11-02T00:00:00"/>
    <d v="2018-11-13T00:00:00"/>
    <d v="2018-11-09T00:00:00"/>
    <d v="2018-11-09T00:00:00"/>
    <x v="0"/>
    <x v="1"/>
  </r>
  <r>
    <s v="MRNTX036648"/>
    <x v="1"/>
    <x v="2"/>
    <d v="2018-11-26T00:00:00"/>
    <d v="2018-12-03T00:00:00"/>
    <d v="2018-12-03T00:00:00"/>
    <m/>
    <x v="0"/>
    <x v="0"/>
  </r>
  <r>
    <s v="MRNTX036671"/>
    <x v="1"/>
    <x v="2"/>
    <d v="2018-11-26T00:00:00"/>
    <d v="2018-11-30T00:00:00"/>
    <d v="2018-11-30T00:00:00"/>
    <m/>
    <x v="0"/>
    <x v="0"/>
  </r>
  <r>
    <s v="MRNTX036697"/>
    <x v="1"/>
    <x v="2"/>
    <d v="2018-11-12T00:00:00"/>
    <d v="2018-11-19T00:00:00"/>
    <d v="2018-11-16T00:00:00"/>
    <d v="2018-11-16T00:00:00"/>
    <x v="0"/>
    <x v="1"/>
  </r>
  <r>
    <s v="MRNTX036707"/>
    <x v="1"/>
    <x v="2"/>
    <d v="2018-11-19T00:00:00"/>
    <d v="2018-11-26T00:00:00"/>
    <d v="2018-11-26T00:00:00"/>
    <d v="2018-11-26T00:00:00"/>
    <x v="0"/>
    <x v="1"/>
  </r>
  <r>
    <s v="MRNTX036753"/>
    <x v="1"/>
    <x v="2"/>
    <d v="2018-11-26T00:00:00"/>
    <d v="2018-11-30T00:00:00"/>
    <d v="2018-11-30T00:00:00"/>
    <m/>
    <x v="0"/>
    <x v="0"/>
  </r>
  <r>
    <s v="MRNTX036788"/>
    <x v="1"/>
    <x v="2"/>
    <d v="2018-11-26T00:00:00"/>
    <d v="2018-12-03T00:00:00"/>
    <d v="2018-12-03T00:00:00"/>
    <m/>
    <x v="0"/>
    <x v="0"/>
  </r>
  <r>
    <s v="MRNTX036793"/>
    <x v="1"/>
    <x v="2"/>
    <d v="2018-11-15T00:00:00"/>
    <d v="2018-11-20T00:00:00"/>
    <d v="2018-11-16T00:00:00"/>
    <d v="2018-11-16T00:00:00"/>
    <x v="0"/>
    <x v="1"/>
  </r>
  <r>
    <s v="MRWSH011138"/>
    <x v="2"/>
    <x v="3"/>
    <d v="2018-11-16T00:00:00"/>
    <d v="2018-11-12T00:00:00"/>
    <d v="2018-11-12T00:00:00"/>
    <d v="2018-11-12T00:00:00"/>
    <x v="0"/>
    <x v="1"/>
  </r>
  <r>
    <s v="MRANM013412"/>
    <x v="3"/>
    <x v="3"/>
    <d v="2018-11-16T00:00:00"/>
    <d v="2018-12-26T00:00:00"/>
    <d v="2018-12-11T00:00:00"/>
    <m/>
    <x v="1"/>
    <x v="4"/>
  </r>
  <r>
    <s v="MRSTX035516"/>
    <x v="0"/>
    <x v="3"/>
    <d v="2018-11-24T00:00:00"/>
    <d v="2018-12-26T00:00:00"/>
    <d v="2018-12-26T00:00:00"/>
    <m/>
    <x v="1"/>
    <x v="2"/>
  </r>
  <r>
    <s v="MRSTX035580"/>
    <x v="0"/>
    <x v="3"/>
    <d v="2018-11-21T00:00:00"/>
    <d v="2018-12-25T00:00:00"/>
    <d v="2018-11-21T00:00:00"/>
    <m/>
    <x v="0"/>
    <x v="3"/>
  </r>
  <r>
    <s v="MRSTX035616"/>
    <x v="0"/>
    <x v="3"/>
    <d v="2018-11-24T00:00:00"/>
    <d v="2018-12-25T00:00:00"/>
    <d v="2018-12-25T00:00:00"/>
    <m/>
    <x v="1"/>
    <x v="2"/>
  </r>
  <r>
    <s v="MRWSH020440"/>
    <x v="2"/>
    <x v="3"/>
    <d v="2018-11-20T00:00:00"/>
    <d v="2018-12-07T00:00:00"/>
    <d v="2018-11-27T00:00:00"/>
    <m/>
    <x v="0"/>
    <x v="3"/>
  </r>
  <r>
    <s v="MRWSH020453"/>
    <x v="2"/>
    <x v="3"/>
    <d v="2018-11-06T00:00:00"/>
    <d v="2018-11-06T00:00:00"/>
    <d v="2018-11-06T00:00:00"/>
    <d v="2018-11-06T00:00:00"/>
    <x v="0"/>
    <x v="1"/>
  </r>
  <r>
    <s v="MRWSH020471"/>
    <x v="2"/>
    <x v="3"/>
    <d v="2018-11-16T00:00:00"/>
    <d v="2018-11-30T00:00:00"/>
    <d v="2018-11-29T00:00:00"/>
    <m/>
    <x v="0"/>
    <x v="0"/>
  </r>
  <r>
    <s v="MRWSH020477"/>
    <x v="2"/>
    <x v="3"/>
    <d v="2018-11-20T00:00:00"/>
    <d v="2018-12-14T00:00:00"/>
    <d v="2018-12-07T00:00:00"/>
    <m/>
    <x v="1"/>
    <x v="2"/>
  </r>
  <r>
    <s v="MRNTX036816"/>
    <x v="1"/>
    <x v="3"/>
    <d v="2018-11-29T00:00:00"/>
    <d v="2018-11-29T00:00:00"/>
    <d v="2018-11-06T00:00:00"/>
    <d v="2018-11-06T00:00:00"/>
    <x v="0"/>
    <x v="1"/>
  </r>
  <r>
    <s v="MRNTX036818"/>
    <x v="1"/>
    <x v="3"/>
    <d v="2018-11-16T00:00:00"/>
    <d v="2018-12-03T00:00:00"/>
    <d v="2018-12-03T00:00:00"/>
    <m/>
    <x v="1"/>
    <x v="4"/>
  </r>
  <r>
    <s v="MRNTX036839"/>
    <x v="1"/>
    <x v="3"/>
    <d v="2018-11-29T00:00:00"/>
    <d v="2018-11-30T00:00:00"/>
    <d v="2018-11-30T00:00:00"/>
    <m/>
    <x v="0"/>
    <x v="0"/>
  </r>
  <r>
    <s v="MRNTX036846"/>
    <x v="1"/>
    <x v="3"/>
    <d v="2018-11-05T00:00:00"/>
    <d v="2018-11-05T00:00:00"/>
    <d v="2018-11-05T00:00:00"/>
    <d v="2018-11-05T00:00:00"/>
    <x v="0"/>
    <x v="1"/>
  </r>
  <r>
    <s v="MRNTX036848"/>
    <x v="1"/>
    <x v="3"/>
    <d v="2018-11-23T00:00:00"/>
    <d v="2018-12-21T00:00:00"/>
    <d v="2018-12-21T00:00:00"/>
    <m/>
    <x v="1"/>
    <x v="2"/>
  </r>
  <r>
    <s v="MRNTX036850"/>
    <x v="1"/>
    <x v="3"/>
    <d v="2018-11-23T00:00:00"/>
    <d v="2018-12-10T00:00:00"/>
    <d v="2018-12-10T00:00:00"/>
    <m/>
    <x v="1"/>
    <x v="2"/>
  </r>
  <r>
    <s v="MRNTX036854"/>
    <x v="1"/>
    <x v="3"/>
    <d v="2018-11-05T00:00:00"/>
    <d v="2018-11-05T00:00:00"/>
    <d v="2018-11-05T00:00:00"/>
    <d v="2018-11-05T00:00:00"/>
    <x v="0"/>
    <x v="1"/>
  </r>
  <r>
    <s v="MRNTX036855"/>
    <x v="1"/>
    <x v="3"/>
    <d v="2018-11-23T00:00:00"/>
    <d v="2018-12-10T00:00:00"/>
    <d v="2018-12-10T00:00:00"/>
    <m/>
    <x v="1"/>
    <x v="2"/>
  </r>
  <r>
    <s v="MRNTX036858"/>
    <x v="1"/>
    <x v="3"/>
    <d v="2018-11-23T00:00:00"/>
    <d v="2018-12-21T00:00:00"/>
    <d v="2018-12-21T00:00:00"/>
    <m/>
    <x v="1"/>
    <x v="2"/>
  </r>
  <r>
    <s v="MRNTX036860"/>
    <x v="1"/>
    <x v="3"/>
    <d v="2018-11-23T00:00:00"/>
    <d v="2018-12-10T00:00:00"/>
    <d v="2018-12-10T00:00:00"/>
    <m/>
    <x v="1"/>
    <x v="2"/>
  </r>
  <r>
    <s v="MRNTX036938"/>
    <x v="1"/>
    <x v="3"/>
    <d v="2018-11-26T00:00:00"/>
    <d v="2018-12-10T00:00:00"/>
    <d v="2018-12-10T00:00:00"/>
    <m/>
    <x v="0"/>
    <x v="0"/>
  </r>
  <r>
    <s v="MRNTX036941"/>
    <x v="1"/>
    <x v="3"/>
    <d v="2018-11-26T00:00:00"/>
    <d v="2018-12-03T00:00:00"/>
    <d v="2018-12-03T00:00:00"/>
    <d v="2018-11-30T00:00:00"/>
    <x v="0"/>
    <x v="1"/>
  </r>
  <r>
    <s v="MRNTX036942"/>
    <x v="1"/>
    <x v="3"/>
    <d v="2018-11-04T00:00:00"/>
    <d v="2018-11-04T00:00:00"/>
    <d v="2018-11-05T00:00:00"/>
    <d v="2018-11-05T00:00:00"/>
    <x v="0"/>
    <x v="1"/>
  </r>
  <r>
    <s v="MRNTX036960"/>
    <x v="1"/>
    <x v="3"/>
    <d v="2018-11-26T00:00:00"/>
    <d v="2018-12-14T00:00:00"/>
    <d v="2018-12-14T00:00:00"/>
    <m/>
    <x v="1"/>
    <x v="2"/>
  </r>
  <r>
    <s v="MRNTX036962"/>
    <x v="1"/>
    <x v="3"/>
    <d v="2018-11-23T00:00:00"/>
    <d v="2018-11-27T00:00:00"/>
    <d v="2018-11-19T00:00:00"/>
    <d v="2018-11-19T00:00:00"/>
    <x v="0"/>
    <x v="1"/>
  </r>
  <r>
    <s v="MRNTX036963"/>
    <x v="1"/>
    <x v="3"/>
    <d v="2018-11-23T00:00:00"/>
    <d v="2018-11-23T00:00:00"/>
    <d v="2018-11-09T00:00:00"/>
    <d v="2018-11-09T00:00:00"/>
    <x v="0"/>
    <x v="1"/>
  </r>
  <r>
    <s v="MRNTX036964"/>
    <x v="1"/>
    <x v="3"/>
    <d v="2018-11-16T00:00:00"/>
    <d v="2018-12-14T00:00:00"/>
    <d v="2018-12-14T00:00:00"/>
    <m/>
    <x v="1"/>
    <x v="4"/>
  </r>
  <r>
    <s v="MRNTX037068"/>
    <x v="1"/>
    <x v="3"/>
    <d v="2018-11-26T00:00:00"/>
    <d v="2018-12-03T00:00:00"/>
    <d v="2018-12-03T00:00:00"/>
    <m/>
    <x v="0"/>
    <x v="0"/>
  </r>
  <r>
    <s v="MRSTX031124"/>
    <x v="0"/>
    <x v="3"/>
    <d v="2018-11-24T00:00:00"/>
    <d v="2018-12-25T00:00:00"/>
    <d v="2018-12-25T00:00:00"/>
    <m/>
    <x v="1"/>
    <x v="2"/>
  </r>
  <r>
    <s v="MRSTX031133"/>
    <x v="0"/>
    <x v="3"/>
    <d v="2018-11-22T00:00:00"/>
    <d v="2018-11-22T00:00:00"/>
    <d v="2018-11-16T00:00:00"/>
    <d v="2018-11-16T00:00:00"/>
    <x v="0"/>
    <x v="1"/>
  </r>
  <r>
    <s v="MRSTX031136"/>
    <x v="0"/>
    <x v="3"/>
    <d v="2018-11-21T00:00:00"/>
    <d v="2018-11-21T00:00:00"/>
    <d v="2018-11-20T00:00:00"/>
    <d v="2018-11-20T00:00:00"/>
    <x v="0"/>
    <x v="1"/>
  </r>
  <r>
    <s v="MRSTX031143"/>
    <x v="0"/>
    <x v="3"/>
    <d v="2018-11-22T00:00:00"/>
    <d v="2018-11-22T00:00:00"/>
    <d v="2018-11-16T00:00:00"/>
    <d v="2018-11-16T00:00:00"/>
    <x v="0"/>
    <x v="1"/>
  </r>
  <r>
    <s v="MRSTX031295"/>
    <x v="0"/>
    <x v="3"/>
    <d v="2018-11-22T00:00:00"/>
    <d v="2018-11-22T00:00:00"/>
    <d v="2018-11-12T00:00:00"/>
    <d v="2018-11-12T00:00:00"/>
    <x v="0"/>
    <x v="1"/>
  </r>
  <r>
    <s v="MRSTX031482"/>
    <x v="0"/>
    <x v="3"/>
    <d v="2018-11-21T00:00:00"/>
    <d v="2018-12-25T00:00:00"/>
    <d v="2018-11-21T00:00:00"/>
    <m/>
    <x v="0"/>
    <x v="3"/>
  </r>
  <r>
    <s v="MRSTX031484"/>
    <x v="0"/>
    <x v="3"/>
    <d v="2018-11-21T00:00:00"/>
    <d v="2018-11-21T00:00:00"/>
    <d v="2018-11-20T00:00:00"/>
    <d v="2018-11-20T00:00:00"/>
    <x v="0"/>
    <x v="1"/>
  </r>
  <r>
    <s v="MRSTX031608"/>
    <x v="0"/>
    <x v="3"/>
    <d v="2018-11-22T00:00:00"/>
    <d v="2018-11-22T00:00:00"/>
    <d v="2018-11-16T00:00:00"/>
    <d v="2018-11-16T00:00:00"/>
    <x v="0"/>
    <x v="1"/>
  </r>
  <r>
    <s v="MRSTX031613"/>
    <x v="0"/>
    <x v="3"/>
    <d v="2018-11-22T00:00:00"/>
    <d v="2018-11-22T00:00:00"/>
    <d v="2018-11-16T00:00:00"/>
    <d v="2018-11-16T00:00:00"/>
    <x v="0"/>
    <x v="1"/>
  </r>
  <r>
    <s v="MRSTX031624"/>
    <x v="0"/>
    <x v="3"/>
    <d v="2018-11-24T00:00:00"/>
    <d v="2018-11-16T00:00:00"/>
    <d v="2018-11-20T00:00:00"/>
    <d v="2018-11-20T00:00:00"/>
    <x v="0"/>
    <x v="1"/>
  </r>
  <r>
    <s v="MRSTX031625"/>
    <x v="0"/>
    <x v="3"/>
    <d v="2018-11-24T00:00:00"/>
    <d v="2018-12-11T00:00:00"/>
    <d v="2018-12-11T00:00:00"/>
    <m/>
    <x v="1"/>
    <x v="2"/>
  </r>
  <r>
    <s v="MRSTX032012"/>
    <x v="0"/>
    <x v="3"/>
    <d v="2018-11-01T00:00:00"/>
    <d v="2018-11-01T00:00:00"/>
    <d v="2018-11-01T00:00:00"/>
    <d v="2018-11-01T00:00:00"/>
    <x v="0"/>
    <x v="1"/>
  </r>
  <r>
    <s v="MRSTX032076"/>
    <x v="0"/>
    <x v="3"/>
    <d v="2018-11-05T00:00:00"/>
    <d v="2018-11-24T00:00:00"/>
    <d v="2018-11-20T00:00:00"/>
    <d v="2018-11-20T00:00:00"/>
    <x v="1"/>
    <x v="1"/>
  </r>
  <r>
    <s v="MRWSH020481"/>
    <x v="2"/>
    <x v="3"/>
    <d v="2018-11-16T00:00:00"/>
    <d v="2018-12-06T00:00:00"/>
    <d v="2018-11-30T00:00:00"/>
    <m/>
    <x v="0"/>
    <x v="3"/>
  </r>
  <r>
    <s v="MRWSH020489"/>
    <x v="2"/>
    <x v="3"/>
    <d v="2018-11-09T00:00:00"/>
    <d v="2018-11-16T00:00:00"/>
    <d v="2018-11-16T00:00:00"/>
    <d v="2018-11-16T00:00:00"/>
    <x v="0"/>
    <x v="1"/>
  </r>
  <r>
    <s v="MRWSH020514"/>
    <x v="2"/>
    <x v="3"/>
    <d v="2018-11-02T00:00:00"/>
    <d v="2018-11-05T00:00:00"/>
    <d v="2018-11-05T00:00:00"/>
    <d v="2018-11-05T00:00:00"/>
    <x v="0"/>
    <x v="1"/>
  </r>
  <r>
    <s v="MRWSH020547"/>
    <x v="2"/>
    <x v="3"/>
    <d v="2018-11-16T00:00:00"/>
    <d v="2018-11-16T00:00:00"/>
    <d v="2018-11-16T00:00:00"/>
    <d v="2018-11-16T00:00:00"/>
    <x v="0"/>
    <x v="1"/>
  </r>
  <r>
    <s v="MRWSH020566"/>
    <x v="2"/>
    <x v="3"/>
    <d v="2018-11-20T00:00:00"/>
    <d v="2018-11-21T00:00:00"/>
    <d v="2018-11-21T00:00:00"/>
    <d v="2018-11-21T00:00:00"/>
    <x v="0"/>
    <x v="1"/>
  </r>
  <r>
    <s v="MRWSH020589"/>
    <x v="2"/>
    <x v="3"/>
    <d v="2018-11-20T00:00:00"/>
    <d v="2018-12-06T00:00:00"/>
    <d v="2018-11-30T00:00:00"/>
    <m/>
    <x v="0"/>
    <x v="3"/>
  </r>
  <r>
    <s v="MRWSH020590"/>
    <x v="2"/>
    <x v="3"/>
    <d v="2018-11-20T00:00:00"/>
    <d v="2018-11-16T00:00:00"/>
    <d v="2018-11-16T00:00:00"/>
    <d v="2018-11-16T00:00:00"/>
    <x v="0"/>
    <x v="1"/>
  </r>
  <r>
    <s v="MRWSH020606"/>
    <x v="2"/>
    <x v="3"/>
    <d v="2018-11-20T00:00:00"/>
    <d v="2018-12-03T00:00:00"/>
    <d v="2018-11-24T00:00:00"/>
    <m/>
    <x v="0"/>
    <x v="0"/>
  </r>
  <r>
    <s v="MRWSH020618"/>
    <x v="2"/>
    <x v="3"/>
    <d v="2018-11-20T00:00:00"/>
    <d v="2018-11-30T00:00:00"/>
    <d v="2018-11-27T00:00:00"/>
    <m/>
    <x v="0"/>
    <x v="0"/>
  </r>
  <r>
    <s v="MRWSH020648"/>
    <x v="2"/>
    <x v="3"/>
    <d v="2018-11-29T00:00:00"/>
    <d v="2018-12-10T00:00:00"/>
    <d v="2018-12-13T00:00:00"/>
    <m/>
    <x v="0"/>
    <x v="0"/>
  </r>
  <r>
    <s v="MRWSH020649"/>
    <x v="2"/>
    <x v="3"/>
    <d v="2018-11-04T00:00:00"/>
    <d v="2018-11-04T00:00:00"/>
    <d v="2018-11-04T00:00:00"/>
    <d v="2018-11-04T00:00:00"/>
    <x v="0"/>
    <x v="1"/>
  </r>
  <r>
    <s v="MRWSH020793"/>
    <x v="2"/>
    <x v="3"/>
    <d v="2018-11-02T00:00:00"/>
    <d v="2018-11-05T00:00:00"/>
    <d v="2018-11-04T00:00:00"/>
    <d v="2018-11-04T00:00:00"/>
    <x v="0"/>
    <x v="1"/>
  </r>
  <r>
    <s v="MRWSH020855"/>
    <x v="2"/>
    <x v="3"/>
    <d v="2018-11-15T00:00:00"/>
    <s v="N/A"/>
    <s v="N/A"/>
    <s v="N/A"/>
    <x v="2"/>
    <x v="0"/>
  </r>
  <r>
    <s v="MRWSH020917"/>
    <x v="2"/>
    <x v="3"/>
    <d v="2018-11-16T00:00:00"/>
    <d v="2018-11-20T00:00:00"/>
    <d v="2018-11-20T00:00:00"/>
    <d v="2018-11-20T00:00:00"/>
    <x v="0"/>
    <x v="1"/>
  </r>
  <r>
    <s v="MRWSH020937"/>
    <x v="2"/>
    <x v="3"/>
    <d v="2018-11-20T00:00:00"/>
    <d v="2018-11-29T00:00:00"/>
    <d v="2018-11-30T00:00:00"/>
    <m/>
    <x v="0"/>
    <x v="0"/>
  </r>
  <r>
    <s v="MRWSH020946"/>
    <x v="2"/>
    <x v="3"/>
    <d v="2018-11-01T00:00:00"/>
    <d v="2018-11-01T00:00:00"/>
    <d v="2018-11-01T00:00:00"/>
    <d v="2018-11-01T00:00:00"/>
    <x v="0"/>
    <x v="1"/>
  </r>
  <r>
    <s v="MRWSH020950"/>
    <x v="2"/>
    <x v="3"/>
    <d v="2018-11-20T00:00:00"/>
    <d v="2018-11-21T00:00:00"/>
    <d v="2018-11-21T00:00:00"/>
    <d v="2018-11-21T00:00:00"/>
    <x v="0"/>
    <x v="1"/>
  </r>
  <r>
    <s v="MRWSH020954"/>
    <x v="2"/>
    <x v="3"/>
    <d v="2018-11-05T00:00:00"/>
    <d v="2018-11-13T00:00:00"/>
    <d v="2018-11-12T00:00:00"/>
    <d v="2018-11-12T00:00:00"/>
    <x v="0"/>
    <x v="1"/>
  </r>
  <r>
    <s v="MRWSH020957"/>
    <x v="2"/>
    <x v="3"/>
    <d v="2018-11-09T00:00:00"/>
    <d v="2018-11-21T00:00:00"/>
    <d v="2018-11-21T00:00:00"/>
    <d v="2018-11-21T00:00:00"/>
    <x v="0"/>
    <x v="1"/>
  </r>
  <r>
    <s v="MRWSH020983"/>
    <x v="2"/>
    <x v="3"/>
    <d v="2018-11-20T00:00:00"/>
    <d v="2018-12-12T00:00:00"/>
    <d v="2018-12-07T00:00:00"/>
    <m/>
    <x v="1"/>
    <x v="2"/>
  </r>
  <r>
    <s v="MRWSH021065"/>
    <x v="2"/>
    <x v="3"/>
    <d v="2018-11-05T00:00:00"/>
    <d v="2018-11-06T00:00:00"/>
    <d v="2018-11-05T00:00:00"/>
    <d v="2018-11-05T00:00:00"/>
    <x v="0"/>
    <x v="1"/>
  </r>
  <r>
    <s v="MRSTX033229"/>
    <x v="0"/>
    <x v="3"/>
    <d v="2018-11-01T00:00:00"/>
    <d v="2018-11-01T00:00:00"/>
    <d v="2018-11-01T00:00:00"/>
    <d v="2018-11-01T00:00:00"/>
    <x v="0"/>
    <x v="1"/>
  </r>
  <r>
    <s v="MRSTX033329"/>
    <x v="0"/>
    <x v="3"/>
    <d v="2018-11-05T00:00:00"/>
    <d v="2018-11-24T00:00:00"/>
    <d v="2018-11-20T00:00:00"/>
    <d v="2018-11-20T00:00:00"/>
    <x v="1"/>
    <x v="1"/>
  </r>
  <r>
    <s v="MRSTX033358"/>
    <x v="0"/>
    <x v="3"/>
    <d v="2018-11-21T00:00:00"/>
    <d v="2018-11-21T00:00:00"/>
    <d v="2018-11-20T00:00:00"/>
    <d v="2018-11-20T00:00:00"/>
    <x v="0"/>
    <x v="1"/>
  </r>
  <r>
    <s v="MRSTX033375"/>
    <x v="0"/>
    <x v="3"/>
    <d v="2018-11-25T00:00:00"/>
    <d v="2018-11-20T00:00:00"/>
    <d v="2018-11-12T00:00:00"/>
    <d v="2018-11-12T00:00:00"/>
    <x v="0"/>
    <x v="1"/>
  </r>
  <r>
    <s v="MRSTX033491"/>
    <x v="0"/>
    <x v="3"/>
    <d v="2018-11-06T00:00:00"/>
    <d v="2018-12-13T00:00:00"/>
    <d v="2018-12-13T00:00:00"/>
    <m/>
    <x v="1"/>
    <x v="4"/>
  </r>
  <r>
    <s v="MRSTX033501"/>
    <x v="0"/>
    <x v="3"/>
    <d v="2018-11-21T00:00:00"/>
    <d v="2018-11-21T00:00:00"/>
    <d v="2018-11-19T00:00:00"/>
    <d v="2018-11-19T00:00:00"/>
    <x v="0"/>
    <x v="1"/>
  </r>
  <r>
    <s v="MRSTX033507"/>
    <x v="0"/>
    <x v="3"/>
    <d v="2018-11-21T00:00:00"/>
    <d v="2018-11-21T00:00:00"/>
    <d v="2018-11-14T00:00:00"/>
    <d v="2018-11-14T00:00:00"/>
    <x v="0"/>
    <x v="1"/>
  </r>
  <r>
    <s v="MRSTX033510"/>
    <x v="0"/>
    <x v="3"/>
    <d v="2018-11-21T00:00:00"/>
    <d v="2018-12-25T00:00:00"/>
    <d v="2018-11-21T00:00:00"/>
    <m/>
    <x v="0"/>
    <x v="3"/>
  </r>
  <r>
    <s v="MRSTX033522"/>
    <x v="0"/>
    <x v="3"/>
    <d v="2018-11-24T00:00:00"/>
    <d v="2018-12-13T00:00:00"/>
    <d v="2018-12-13T00:00:00"/>
    <m/>
    <x v="1"/>
    <x v="2"/>
  </r>
  <r>
    <s v="MRSTX033526"/>
    <x v="0"/>
    <x v="3"/>
    <d v="2018-11-21T00:00:00"/>
    <d v="2018-11-21T00:00:00"/>
    <d v="2018-11-19T00:00:00"/>
    <d v="2018-11-19T00:00:00"/>
    <x v="0"/>
    <x v="1"/>
  </r>
  <r>
    <s v="MRSTX033531"/>
    <x v="0"/>
    <x v="3"/>
    <d v="2018-11-21T00:00:00"/>
    <d v="2018-11-21T00:00:00"/>
    <d v="2018-11-20T00:00:00"/>
    <d v="2018-11-20T00:00:00"/>
    <x v="0"/>
    <x v="1"/>
  </r>
  <r>
    <s v="MRSTX033539"/>
    <x v="0"/>
    <x v="3"/>
    <d v="2018-11-21T00:00:00"/>
    <d v="2018-11-21T00:00:00"/>
    <d v="2018-11-20T00:00:00"/>
    <d v="2018-11-20T00:00:00"/>
    <x v="0"/>
    <x v="1"/>
  </r>
  <r>
    <s v="MRSTX033544"/>
    <x v="0"/>
    <x v="3"/>
    <d v="2018-11-21T00:00:00"/>
    <d v="2018-12-25T00:00:00"/>
    <d v="2018-11-21T00:00:00"/>
    <m/>
    <x v="0"/>
    <x v="3"/>
  </r>
  <r>
    <s v="MRSTX033548"/>
    <x v="0"/>
    <x v="3"/>
    <d v="2018-11-12T00:00:00"/>
    <d v="2018-11-12T00:00:00"/>
    <d v="2018-11-20T00:00:00"/>
    <d v="2018-11-20T00:00:00"/>
    <x v="0"/>
    <x v="1"/>
  </r>
  <r>
    <s v="MRSTX033570"/>
    <x v="0"/>
    <x v="3"/>
    <d v="2018-11-04T00:00:00"/>
    <d v="2018-10-27T00:00:00"/>
    <d v="2018-11-20T00:00:00"/>
    <d v="2018-11-20T00:00:00"/>
    <x v="1"/>
    <x v="1"/>
  </r>
  <r>
    <s v="MRSTX033573"/>
    <x v="0"/>
    <x v="3"/>
    <d v="2018-11-24T00:00:00"/>
    <d v="2018-11-20T00:00:00"/>
    <d v="2018-11-11T00:00:00"/>
    <d v="2018-11-11T00:00:00"/>
    <x v="0"/>
    <x v="1"/>
  </r>
  <r>
    <s v="MRSTX033577"/>
    <x v="0"/>
    <x v="3"/>
    <d v="2018-11-06T00:00:00"/>
    <d v="2018-12-13T00:00:00"/>
    <d v="2018-12-13T00:00:00"/>
    <m/>
    <x v="1"/>
    <x v="4"/>
  </r>
  <r>
    <s v="MRSTX033584"/>
    <x v="0"/>
    <x v="3"/>
    <d v="2018-11-25T00:00:00"/>
    <d v="2018-12-09T00:00:00"/>
    <d v="2018-12-09T00:00:00"/>
    <m/>
    <x v="0"/>
    <x v="0"/>
  </r>
  <r>
    <s v="MRSTX033596"/>
    <x v="0"/>
    <x v="3"/>
    <d v="2018-11-24T00:00:00"/>
    <d v="2018-11-24T00:00:00"/>
    <d v="2018-11-20T00:00:00"/>
    <d v="2018-11-20T00:00:00"/>
    <x v="0"/>
    <x v="1"/>
  </r>
  <r>
    <s v="MRSTX033604"/>
    <x v="0"/>
    <x v="3"/>
    <d v="2018-11-24T00:00:00"/>
    <d v="2018-11-24T00:00:00"/>
    <d v="2018-11-20T00:00:00"/>
    <d v="2018-11-20T00:00:00"/>
    <x v="0"/>
    <x v="1"/>
  </r>
  <r>
    <s v="MRNTX025579"/>
    <x v="1"/>
    <x v="3"/>
    <d v="2018-11-15T00:00:00"/>
    <d v="2018-12-11T00:00:00"/>
    <d v="2018-12-11T00:00:00"/>
    <m/>
    <x v="1"/>
    <x v="4"/>
  </r>
  <r>
    <s v="MRNTX025604"/>
    <x v="1"/>
    <x v="3"/>
    <d v="2018-11-15T00:00:00"/>
    <d v="2018-12-11T00:00:00"/>
    <d v="2018-12-11T00:00:00"/>
    <m/>
    <x v="1"/>
    <x v="4"/>
  </r>
  <r>
    <s v="MRNTX025674"/>
    <x v="1"/>
    <x v="3"/>
    <d v="2018-11-29T00:00:00"/>
    <d v="2018-12-18T00:00:00"/>
    <d v="2018-12-18T00:00:00"/>
    <m/>
    <x v="1"/>
    <x v="2"/>
  </r>
  <r>
    <s v="MRNTX029183"/>
    <x v="1"/>
    <x v="3"/>
    <d v="2018-11-26T00:00:00"/>
    <d v="2018-12-10T00:00:00"/>
    <d v="2018-12-10T00:00:00"/>
    <m/>
    <x v="0"/>
    <x v="0"/>
  </r>
  <r>
    <s v="MRNTX029198"/>
    <x v="1"/>
    <x v="3"/>
    <d v="2018-11-19T00:00:00"/>
    <d v="2018-12-10T00:00:00"/>
    <d v="2018-12-10T00:00:00"/>
    <m/>
    <x v="1"/>
    <x v="2"/>
  </r>
  <r>
    <s v="MRNTX029208"/>
    <x v="1"/>
    <x v="3"/>
    <d v="2018-11-26T00:00:00"/>
    <d v="2018-12-14T00:00:00"/>
    <d v="2018-12-14T00:00:00"/>
    <m/>
    <x v="1"/>
    <x v="2"/>
  </r>
  <r>
    <s v="MRNTX029210"/>
    <x v="1"/>
    <x v="3"/>
    <d v="2018-11-19T00:00:00"/>
    <d v="2018-12-10T00:00:00"/>
    <d v="2018-12-10T00:00:00"/>
    <m/>
    <x v="1"/>
    <x v="2"/>
  </r>
  <r>
    <s v="MRNTX029213"/>
    <x v="1"/>
    <x v="3"/>
    <d v="2018-11-03T00:00:00"/>
    <d v="2018-11-03T00:00:00"/>
    <d v="2018-11-05T00:00:00"/>
    <d v="2018-11-05T00:00:00"/>
    <x v="0"/>
    <x v="1"/>
  </r>
  <r>
    <s v="MRNTX029223"/>
    <x v="1"/>
    <x v="3"/>
    <d v="2018-11-05T00:00:00"/>
    <d v="2018-11-14T00:00:00"/>
    <d v="2018-11-16T00:00:00"/>
    <d v="2018-11-16T00:00:00"/>
    <x v="0"/>
    <x v="1"/>
  </r>
  <r>
    <s v="MRNTX029233"/>
    <x v="1"/>
    <x v="3"/>
    <d v="2018-11-23T00:00:00"/>
    <d v="2018-12-10T00:00:00"/>
    <d v="2018-12-10T00:00:00"/>
    <m/>
    <x v="1"/>
    <x v="2"/>
  </r>
  <r>
    <s v="MRNTX029235"/>
    <x v="1"/>
    <x v="3"/>
    <d v="2018-11-19T00:00:00"/>
    <d v="2018-12-04T00:00:00"/>
    <d v="2018-11-25T00:00:00"/>
    <d v="2018-11-25T00:00:00"/>
    <x v="0"/>
    <x v="1"/>
  </r>
  <r>
    <s v="MRNTX029236"/>
    <x v="1"/>
    <x v="3"/>
    <d v="2018-11-26T00:00:00"/>
    <d v="2018-12-14T00:00:00"/>
    <d v="2018-12-14T00:00:00"/>
    <m/>
    <x v="1"/>
    <x v="2"/>
  </r>
  <r>
    <s v="MRNTX029265"/>
    <x v="1"/>
    <x v="3"/>
    <d v="2018-11-26T00:00:00"/>
    <d v="2018-12-10T00:00:00"/>
    <d v="2018-12-10T00:00:00"/>
    <m/>
    <x v="0"/>
    <x v="0"/>
  </r>
  <r>
    <s v="MRNTX029299"/>
    <x v="1"/>
    <x v="3"/>
    <d v="2018-11-26T00:00:00"/>
    <d v="2018-12-14T00:00:00"/>
    <d v="2018-12-14T00:00:00"/>
    <m/>
    <x v="1"/>
    <x v="2"/>
  </r>
  <r>
    <s v="MRNTX029304"/>
    <x v="1"/>
    <x v="3"/>
    <d v="2018-11-05T00:00:00"/>
    <d v="2018-11-14T00:00:00"/>
    <d v="2018-11-16T00:00:00"/>
    <d v="2018-11-16T00:00:00"/>
    <x v="0"/>
    <x v="1"/>
  </r>
  <r>
    <s v="MRNTX029308"/>
    <x v="1"/>
    <x v="3"/>
    <d v="2018-11-05T00:00:00"/>
    <d v="2018-11-14T00:00:00"/>
    <d v="2018-11-16T00:00:00"/>
    <d v="2018-11-16T00:00:00"/>
    <x v="0"/>
    <x v="1"/>
  </r>
  <r>
    <s v="MRNTX033041"/>
    <x v="1"/>
    <x v="3"/>
    <d v="2018-11-16T00:00:00"/>
    <d v="2018-11-16T00:00:00"/>
    <d v="2018-11-20T00:00:00"/>
    <d v="2018-11-20T00:00:00"/>
    <x v="0"/>
    <x v="1"/>
  </r>
  <r>
    <s v="MRNTX033048"/>
    <x v="1"/>
    <x v="3"/>
    <d v="2018-11-27T00:00:00"/>
    <d v="2018-11-27T00:00:00"/>
    <d v="2018-11-12T00:00:00"/>
    <d v="2018-11-12T00:00:00"/>
    <x v="0"/>
    <x v="1"/>
  </r>
  <r>
    <s v="MRNTX033050"/>
    <x v="1"/>
    <x v="3"/>
    <d v="2018-11-12T00:00:00"/>
    <d v="2018-11-19T00:00:00"/>
    <d v="2018-11-14T00:00:00"/>
    <d v="2018-11-14T00:00:00"/>
    <x v="0"/>
    <x v="1"/>
  </r>
  <r>
    <s v="MRNTX033077"/>
    <x v="1"/>
    <x v="3"/>
    <d v="2018-11-05T00:00:00"/>
    <d v="2018-12-03T00:00:00"/>
    <d v="2018-12-03T00:00:00"/>
    <d v="2018-11-30T00:00:00"/>
    <x v="1"/>
    <x v="1"/>
  </r>
  <r>
    <s v="MRNTX033098"/>
    <x v="1"/>
    <x v="3"/>
    <d v="2018-11-30T00:00:00"/>
    <d v="2019-02-11T00:00:00"/>
    <d v="2019-02-11T00:00:00"/>
    <m/>
    <x v="1"/>
    <x v="2"/>
  </r>
  <r>
    <s v="MRNTX033119"/>
    <x v="1"/>
    <x v="3"/>
    <d v="2018-11-19T00:00:00"/>
    <d v="2019-02-11T00:00:00"/>
    <d v="2019-02-11T00:00:00"/>
    <m/>
    <x v="1"/>
    <x v="2"/>
  </r>
  <r>
    <s v="MRNTX033129"/>
    <x v="1"/>
    <x v="3"/>
    <d v="2018-11-03T00:00:00"/>
    <d v="2018-11-30T00:00:00"/>
    <d v="2018-11-30T00:00:00"/>
    <m/>
    <x v="1"/>
    <x v="4"/>
  </r>
  <r>
    <s v="MRNTX033136"/>
    <x v="1"/>
    <x v="3"/>
    <d v="2018-11-19T00:00:00"/>
    <d v="2018-11-30T00:00:00"/>
    <d v="2018-11-30T00:00:00"/>
    <m/>
    <x v="0"/>
    <x v="0"/>
  </r>
  <r>
    <s v="MRNTX033156"/>
    <x v="1"/>
    <x v="3"/>
    <d v="2018-11-19T00:00:00"/>
    <d v="2018-12-14T00:00:00"/>
    <d v="2018-12-14T00:00:00"/>
    <m/>
    <x v="1"/>
    <x v="2"/>
  </r>
  <r>
    <s v="MRNTX033173"/>
    <x v="1"/>
    <x v="3"/>
    <d v="2018-11-19T00:00:00"/>
    <d v="2018-11-30T00:00:00"/>
    <d v="2018-11-30T00:00:00"/>
    <m/>
    <x v="0"/>
    <x v="0"/>
  </r>
  <r>
    <s v="MRANM014697"/>
    <x v="3"/>
    <x v="3"/>
    <d v="2018-11-19T00:00:00"/>
    <d v="2018-12-19T00:00:00"/>
    <d v="2018-12-19T00:00:00"/>
    <m/>
    <x v="1"/>
    <x v="2"/>
  </r>
  <r>
    <s v="MRNTX033255"/>
    <x v="1"/>
    <x v="3"/>
    <d v="2018-11-30T00:00:00"/>
    <d v="2019-02-11T00:00:00"/>
    <d v="2019-02-11T00:00:00"/>
    <m/>
    <x v="1"/>
    <x v="2"/>
  </r>
  <r>
    <s v="MRNTX033259"/>
    <x v="1"/>
    <x v="3"/>
    <d v="2018-11-19T00:00:00"/>
    <d v="2019-02-11T00:00:00"/>
    <d v="2019-02-11T00:00:00"/>
    <m/>
    <x v="1"/>
    <x v="2"/>
  </r>
  <r>
    <s v="MRNTX033276"/>
    <x v="1"/>
    <x v="3"/>
    <d v="2018-11-05T00:00:00"/>
    <d v="2018-12-03T00:00:00"/>
    <d v="2018-12-03T00:00:00"/>
    <d v="2018-11-30T00:00:00"/>
    <x v="1"/>
    <x v="1"/>
  </r>
  <r>
    <s v="MRNTX033296"/>
    <x v="1"/>
    <x v="3"/>
    <d v="2018-11-02T00:00:00"/>
    <d v="2018-09-08T00:00:00"/>
    <d v="2018-11-02T00:00:00"/>
    <d v="2018-11-02T00:00:00"/>
    <x v="0"/>
    <x v="1"/>
  </r>
  <r>
    <s v="MRNTX033307"/>
    <x v="1"/>
    <x v="3"/>
    <d v="2018-11-04T00:00:00"/>
    <d v="2018-11-30T00:00:00"/>
    <d v="2018-11-30T00:00:00"/>
    <m/>
    <x v="1"/>
    <x v="4"/>
  </r>
  <r>
    <s v="MRSTX011261"/>
    <x v="0"/>
    <x v="3"/>
    <d v="2018-11-22T00:00:00"/>
    <d v="2018-11-22T00:00:00"/>
    <d v="2018-11-12T00:00:00"/>
    <d v="2018-11-12T00:00:00"/>
    <x v="0"/>
    <x v="1"/>
  </r>
  <r>
    <s v="MRSTX014658"/>
    <x v="0"/>
    <x v="3"/>
    <d v="2018-11-08T00:00:00"/>
    <d v="2018-11-08T00:00:00"/>
    <d v="2018-11-08T00:00:00"/>
    <m/>
    <x v="0"/>
    <x v="0"/>
  </r>
  <r>
    <s v="MRSTX015752"/>
    <x v="0"/>
    <x v="3"/>
    <d v="2018-11-08T00:00:00"/>
    <d v="2018-11-08T00:00:00"/>
    <d v="2018-11-08T00:00:00"/>
    <m/>
    <x v="0"/>
    <x v="0"/>
  </r>
  <r>
    <s v="MRSTX035754"/>
    <x v="0"/>
    <x v="3"/>
    <d v="2018-11-24T00:00:00"/>
    <d v="2018-11-20T00:00:00"/>
    <d v="2018-11-11T00:00:00"/>
    <d v="2018-11-11T00:00:00"/>
    <x v="0"/>
    <x v="1"/>
  </r>
  <r>
    <s v="MRSTX035786"/>
    <x v="0"/>
    <x v="3"/>
    <d v="2018-11-02T00:00:00"/>
    <d v="2018-11-02T00:00:00"/>
    <d v="2018-11-02T00:00:00"/>
    <d v="2018-11-02T00:00:00"/>
    <x v="0"/>
    <x v="1"/>
  </r>
  <r>
    <s v="MRSTX035793"/>
    <x v="0"/>
    <x v="3"/>
    <d v="2018-11-24T00:00:00"/>
    <d v="2018-12-25T00:00:00"/>
    <d v="2018-12-25T00:00:00"/>
    <m/>
    <x v="1"/>
    <x v="2"/>
  </r>
  <r>
    <s v="MRANM017213"/>
    <x v="3"/>
    <x v="3"/>
    <d v="2018-11-24T00:00:00"/>
    <d v="2018-11-24T00:00:00"/>
    <d v="2018-11-05T00:00:00"/>
    <d v="2018-11-05T00:00:00"/>
    <x v="0"/>
    <x v="1"/>
  </r>
  <r>
    <s v="MRANM017314"/>
    <x v="3"/>
    <x v="3"/>
    <d v="2018-11-19T00:00:00"/>
    <d v="2018-11-19T00:00:00"/>
    <d v="2018-11-13T00:00:00"/>
    <d v="2018-11-13T00:00:00"/>
    <x v="0"/>
    <x v="1"/>
  </r>
  <r>
    <s v="MRANM017336"/>
    <x v="3"/>
    <x v="3"/>
    <d v="2018-11-22T00:00:00"/>
    <d v="2018-12-24T00:00:00"/>
    <d v="2018-12-24T00:00:00"/>
    <m/>
    <x v="1"/>
    <x v="2"/>
  </r>
  <r>
    <s v="MRANM017340"/>
    <x v="3"/>
    <x v="3"/>
    <d v="2018-11-25T00:00:00"/>
    <d v="2018-12-26T00:00:00"/>
    <d v="2018-12-26T00:00:00"/>
    <m/>
    <x v="1"/>
    <x v="2"/>
  </r>
  <r>
    <s v="MRANM019406"/>
    <x v="3"/>
    <x v="3"/>
    <d v="2018-11-17T00:00:00"/>
    <d v="2018-11-30T00:00:00"/>
    <d v="2018-11-30T00:00:00"/>
    <m/>
    <x v="0"/>
    <x v="0"/>
  </r>
  <r>
    <s v="MRANM019425"/>
    <x v="3"/>
    <x v="3"/>
    <d v="2018-11-17T00:00:00"/>
    <d v="2018-11-30T00:00:00"/>
    <d v="2018-11-30T00:00:00"/>
    <m/>
    <x v="0"/>
    <x v="0"/>
  </r>
  <r>
    <s v="MRANM019470"/>
    <x v="3"/>
    <x v="3"/>
    <d v="2018-11-17T00:00:00"/>
    <d v="2018-11-30T00:00:00"/>
    <d v="2018-11-30T00:00:00"/>
    <m/>
    <x v="0"/>
    <x v="0"/>
  </r>
  <r>
    <s v="MRANM019591"/>
    <x v="3"/>
    <x v="3"/>
    <d v="2018-11-01T00:00:00"/>
    <d v="2018-10-15T00:00:00"/>
    <d v="2018-11-01T00:00:00"/>
    <d v="2018-11-01T00:00:00"/>
    <x v="0"/>
    <x v="1"/>
  </r>
  <r>
    <s v="MRNTX022068"/>
    <x v="1"/>
    <x v="3"/>
    <d v="2018-11-15T00:00:00"/>
    <d v="2018-12-11T00:00:00"/>
    <d v="2018-12-11T00:00:00"/>
    <m/>
    <x v="1"/>
    <x v="4"/>
  </r>
  <r>
    <s v="MRNTX031687"/>
    <x v="1"/>
    <x v="3"/>
    <d v="2018-11-23T00:00:00"/>
    <d v="2018-11-30T00:00:00"/>
    <d v="2018-11-30T00:00:00"/>
    <m/>
    <x v="0"/>
    <x v="0"/>
  </r>
  <r>
    <s v="MRNTX031732"/>
    <x v="1"/>
    <x v="3"/>
    <d v="2018-11-05T00:00:00"/>
    <d v="2018-11-14T00:00:00"/>
    <d v="2018-11-09T00:00:00"/>
    <d v="2018-11-09T00:00:00"/>
    <x v="0"/>
    <x v="1"/>
  </r>
  <r>
    <s v="MRNTX031745"/>
    <x v="1"/>
    <x v="3"/>
    <d v="2018-11-08T00:00:00"/>
    <d v="2018-12-03T00:00:00"/>
    <d v="2018-12-03T00:00:00"/>
    <m/>
    <x v="1"/>
    <x v="4"/>
  </r>
  <r>
    <s v="MRNTX031747"/>
    <x v="1"/>
    <x v="3"/>
    <d v="2018-11-16T00:00:00"/>
    <d v="2018-11-16T00:00:00"/>
    <d v="2018-11-20T00:00:00"/>
    <d v="2018-11-20T00:00:00"/>
    <x v="0"/>
    <x v="1"/>
  </r>
  <r>
    <s v="MRNTX031763"/>
    <x v="1"/>
    <x v="3"/>
    <d v="2018-11-03T00:00:00"/>
    <d v="2019-02-11T00:00:00"/>
    <d v="2019-02-11T00:00:00"/>
    <m/>
    <x v="1"/>
    <x v="4"/>
  </r>
  <r>
    <s v="MRSTX035830"/>
    <x v="0"/>
    <x v="3"/>
    <d v="2018-11-24T00:00:00"/>
    <d v="2018-12-25T00:00:00"/>
    <d v="2018-12-25T00:00:00"/>
    <m/>
    <x v="1"/>
    <x v="2"/>
  </r>
  <r>
    <s v="MRSTX035867"/>
    <x v="0"/>
    <x v="3"/>
    <d v="2018-11-24T00:00:00"/>
    <d v="2018-12-25T00:00:00"/>
    <d v="2018-12-25T00:00:00"/>
    <m/>
    <x v="1"/>
    <x v="2"/>
  </r>
  <r>
    <s v="MRSTX035869"/>
    <x v="0"/>
    <x v="3"/>
    <d v="2018-11-02T00:00:00"/>
    <d v="2018-11-02T00:00:00"/>
    <d v="2018-11-02T00:00:00"/>
    <d v="2018-11-02T00:00:00"/>
    <x v="0"/>
    <x v="1"/>
  </r>
  <r>
    <s v="MRSTX035919"/>
    <x v="0"/>
    <x v="3"/>
    <d v="2018-11-21T00:00:00"/>
    <d v="2018-12-25T00:00:00"/>
    <d v="2018-11-21T00:00:00"/>
    <m/>
    <x v="0"/>
    <x v="3"/>
  </r>
  <r>
    <s v="MRSTX035921"/>
    <x v="0"/>
    <x v="3"/>
    <d v="2018-11-24T00:00:00"/>
    <d v="2018-11-20T00:00:00"/>
    <d v="2018-11-11T00:00:00"/>
    <d v="2018-11-11T00:00:00"/>
    <x v="0"/>
    <x v="1"/>
  </r>
  <r>
    <s v="MRWSH021074"/>
    <x v="2"/>
    <x v="3"/>
    <d v="2018-11-01T00:00:00"/>
    <d v="2018-11-01T00:00:00"/>
    <d v="2018-11-01T00:00:00"/>
    <d v="2018-11-01T00:00:00"/>
    <x v="0"/>
    <x v="1"/>
  </r>
  <r>
    <s v="MRWSH021155"/>
    <x v="2"/>
    <x v="3"/>
    <d v="2018-11-20T00:00:00"/>
    <d v="2018-12-04T00:00:00"/>
    <d v="2018-12-07T00:00:00"/>
    <m/>
    <x v="1"/>
    <x v="2"/>
  </r>
  <r>
    <s v="MRWSH021932"/>
    <x v="2"/>
    <x v="3"/>
    <d v="2018-11-01T00:00:00"/>
    <d v="2018-11-01T00:00:00"/>
    <d v="2018-11-01T00:00:00"/>
    <d v="2018-11-01T00:00:00"/>
    <x v="0"/>
    <x v="1"/>
  </r>
  <r>
    <s v="MRWSH021936"/>
    <x v="2"/>
    <x v="3"/>
    <d v="2018-11-20T00:00:00"/>
    <d v="2018-12-03T00:00:00"/>
    <d v="2018-11-24T00:00:00"/>
    <m/>
    <x v="0"/>
    <x v="0"/>
  </r>
  <r>
    <s v="MRWSH021957"/>
    <x v="2"/>
    <x v="3"/>
    <d v="2018-11-30T00:00:00"/>
    <d v="2018-11-13T00:00:00"/>
    <d v="2018-11-13T00:00:00"/>
    <d v="2018-11-13T00:00:00"/>
    <x v="0"/>
    <x v="1"/>
  </r>
  <r>
    <s v="MRWSH021966"/>
    <x v="2"/>
    <x v="3"/>
    <d v="2018-11-29T00:00:00"/>
    <d v="2018-12-10T00:00:00"/>
    <d v="2018-12-13T00:00:00"/>
    <m/>
    <x v="0"/>
    <x v="0"/>
  </r>
  <r>
    <s v="MRWSH021971"/>
    <x v="2"/>
    <x v="3"/>
    <d v="2018-11-20T00:00:00"/>
    <d v="2018-12-03T00:00:00"/>
    <d v="2018-11-30T00:00:00"/>
    <m/>
    <x v="0"/>
    <x v="0"/>
  </r>
  <r>
    <s v="MRWSH021973"/>
    <x v="2"/>
    <x v="3"/>
    <d v="2018-11-20T00:00:00"/>
    <d v="2018-12-12T00:00:00"/>
    <d v="2018-12-07T00:00:00"/>
    <m/>
    <x v="1"/>
    <x v="2"/>
  </r>
  <r>
    <s v="MRWSH021988"/>
    <x v="2"/>
    <x v="3"/>
    <d v="2018-11-01T00:00:00"/>
    <d v="2018-11-01T00:00:00"/>
    <d v="2018-11-01T00:00:00"/>
    <d v="2018-11-01T00:00:00"/>
    <x v="0"/>
    <x v="1"/>
  </r>
  <r>
    <s v="MRNTX031777"/>
    <x v="1"/>
    <x v="3"/>
    <d v="2018-11-23T00:00:00"/>
    <d v="2018-12-14T00:00:00"/>
    <d v="2018-12-14T00:00:00"/>
    <m/>
    <x v="1"/>
    <x v="2"/>
  </r>
  <r>
    <s v="MRNTX031782"/>
    <x v="1"/>
    <x v="3"/>
    <d v="2018-11-19T00:00:00"/>
    <d v="2018-11-30T00:00:00"/>
    <d v="2018-11-30T00:00:00"/>
    <d v="2018-11-30T00:00:00"/>
    <x v="0"/>
    <x v="1"/>
  </r>
  <r>
    <s v="MRNTX031786"/>
    <x v="1"/>
    <x v="3"/>
    <d v="2018-11-23T00:00:00"/>
    <d v="2019-02-11T00:00:00"/>
    <d v="2019-02-11T00:00:00"/>
    <m/>
    <x v="1"/>
    <x v="2"/>
  </r>
  <r>
    <s v="MRNTX031796"/>
    <x v="1"/>
    <x v="3"/>
    <d v="2018-11-19T00:00:00"/>
    <d v="2018-09-18T00:00:00"/>
    <d v="2018-11-06T00:00:00"/>
    <d v="2018-11-06T00:00:00"/>
    <x v="0"/>
    <x v="1"/>
  </r>
  <r>
    <s v="MRNTX031807"/>
    <x v="1"/>
    <x v="3"/>
    <d v="2018-11-02T00:00:00"/>
    <d v="2018-09-16T00:00:00"/>
    <d v="2018-11-02T00:00:00"/>
    <d v="2018-11-02T00:00:00"/>
    <x v="0"/>
    <x v="1"/>
  </r>
  <r>
    <s v="MRNTX031813"/>
    <x v="1"/>
    <x v="3"/>
    <d v="2018-11-27T00:00:00"/>
    <d v="2018-09-20T00:00:00"/>
    <d v="2018-11-23T00:00:00"/>
    <d v="2018-11-23T00:00:00"/>
    <x v="0"/>
    <x v="1"/>
  </r>
  <r>
    <s v="MRNTX031885"/>
    <x v="1"/>
    <x v="3"/>
    <d v="2018-11-26T00:00:00"/>
    <d v="2018-12-14T00:00:00"/>
    <d v="2018-12-14T00:00:00"/>
    <m/>
    <x v="1"/>
    <x v="2"/>
  </r>
  <r>
    <s v="MRNTX031894"/>
    <x v="1"/>
    <x v="3"/>
    <d v="2018-11-05T00:00:00"/>
    <d v="2018-11-14T00:00:00"/>
    <d v="2018-11-09T00:00:00"/>
    <d v="2018-11-09T00:00:00"/>
    <x v="0"/>
    <x v="1"/>
  </r>
  <r>
    <s v="MRNTX031906"/>
    <x v="1"/>
    <x v="3"/>
    <d v="2018-11-16T00:00:00"/>
    <d v="2018-12-03T00:00:00"/>
    <d v="2018-11-28T00:00:00"/>
    <d v="2018-11-28T00:00:00"/>
    <x v="0"/>
    <x v="1"/>
  </r>
  <r>
    <s v="MRNTX031909"/>
    <x v="1"/>
    <x v="3"/>
    <d v="2018-11-22T00:00:00"/>
    <d v="2018-09-24T00:00:00"/>
    <d v="2018-11-16T00:00:00"/>
    <d v="2018-11-16T00:00:00"/>
    <x v="0"/>
    <x v="1"/>
  </r>
  <r>
    <s v="MRSTX033625"/>
    <x v="0"/>
    <x v="3"/>
    <d v="2018-11-24T00:00:00"/>
    <d v="2018-11-24T00:00:00"/>
    <d v="2018-11-20T00:00:00"/>
    <d v="2018-11-20T00:00:00"/>
    <x v="0"/>
    <x v="1"/>
  </r>
  <r>
    <s v="MRWSH022032"/>
    <x v="2"/>
    <x v="3"/>
    <d v="2018-11-20T00:00:00"/>
    <d v="2018-11-30T00:00:00"/>
    <d v="2018-11-27T00:00:00"/>
    <d v="2018-11-30T00:00:00"/>
    <x v="0"/>
    <x v="1"/>
  </r>
  <r>
    <s v="MRWSH022046"/>
    <x v="2"/>
    <x v="3"/>
    <d v="2018-11-20T00:00:00"/>
    <d v="2018-12-21T00:00:00"/>
    <d v="2018-12-14T00:00:00"/>
    <m/>
    <x v="1"/>
    <x v="2"/>
  </r>
  <r>
    <s v="MRWSH022056"/>
    <x v="2"/>
    <x v="3"/>
    <d v="2018-11-09T00:00:00"/>
    <d v="2018-11-21T00:00:00"/>
    <d v="2018-11-21T00:00:00"/>
    <d v="2018-11-21T00:00:00"/>
    <x v="0"/>
    <x v="1"/>
  </r>
  <r>
    <s v="MRWSH022072"/>
    <x v="2"/>
    <x v="3"/>
    <d v="2018-11-20T00:00:00"/>
    <d v="2018-11-26T00:00:00"/>
    <d v="2018-11-23T00:00:00"/>
    <d v="2018-11-23T00:00:00"/>
    <x v="0"/>
    <x v="1"/>
  </r>
  <r>
    <s v="MRWSH022089"/>
    <x v="2"/>
    <x v="3"/>
    <d v="2018-11-09T00:00:00"/>
    <d v="2018-11-16T00:00:00"/>
    <d v="2018-11-16T00:00:00"/>
    <d v="2018-11-16T00:00:00"/>
    <x v="0"/>
    <x v="1"/>
  </r>
  <r>
    <s v="MRWSH022091"/>
    <x v="2"/>
    <x v="3"/>
    <d v="2018-11-16T00:00:00"/>
    <d v="2018-11-18T00:00:00"/>
    <d v="2018-11-18T00:00:00"/>
    <d v="2018-11-18T00:00:00"/>
    <x v="0"/>
    <x v="1"/>
  </r>
  <r>
    <s v="MRWSH022107"/>
    <x v="2"/>
    <x v="3"/>
    <d v="2018-11-09T00:00:00"/>
    <d v="2018-11-21T00:00:00"/>
    <d v="2018-11-21T00:00:00"/>
    <d v="2018-11-21T00:00:00"/>
    <x v="0"/>
    <x v="1"/>
  </r>
  <r>
    <s v="MRWSH022118"/>
    <x v="2"/>
    <x v="3"/>
    <d v="2018-11-20T00:00:00"/>
    <d v="2018-12-03T00:00:00"/>
    <d v="2018-11-24T00:00:00"/>
    <m/>
    <x v="0"/>
    <x v="0"/>
  </r>
  <r>
    <s v="MRWSH022128"/>
    <x v="2"/>
    <x v="3"/>
    <d v="2018-11-20T00:00:00"/>
    <d v="2018-11-21T00:00:00"/>
    <d v="2018-11-21T00:00:00"/>
    <d v="2018-11-21T00:00:00"/>
    <x v="0"/>
    <x v="1"/>
  </r>
  <r>
    <s v="MRWSH022134"/>
    <x v="2"/>
    <x v="3"/>
    <d v="2018-11-09T00:00:00"/>
    <d v="2018-11-21T00:00:00"/>
    <d v="2018-11-21T00:00:00"/>
    <d v="2018-11-21T00:00:00"/>
    <x v="0"/>
    <x v="1"/>
  </r>
  <r>
    <s v="MRWSH022179"/>
    <x v="2"/>
    <x v="3"/>
    <d v="2018-11-16T00:00:00"/>
    <d v="2018-11-18T00:00:00"/>
    <d v="2018-11-18T00:00:00"/>
    <d v="2018-11-18T00:00:00"/>
    <x v="0"/>
    <x v="1"/>
  </r>
  <r>
    <s v="MRWSH022221"/>
    <x v="2"/>
    <x v="3"/>
    <d v="2018-11-05T00:00:00"/>
    <d v="2018-11-13T00:00:00"/>
    <d v="2018-11-12T00:00:00"/>
    <d v="2018-11-12T00:00:00"/>
    <x v="0"/>
    <x v="1"/>
  </r>
  <r>
    <s v="MRWSH022240"/>
    <x v="2"/>
    <x v="3"/>
    <d v="2018-11-09T00:00:00"/>
    <d v="2018-11-11T00:00:00"/>
    <d v="2018-11-11T00:00:00"/>
    <d v="2018-11-11T00:00:00"/>
    <x v="0"/>
    <x v="1"/>
  </r>
  <r>
    <s v="MRWSH022242"/>
    <x v="2"/>
    <x v="3"/>
    <d v="2018-11-20T00:00:00"/>
    <d v="2018-11-21T00:00:00"/>
    <d v="2018-11-21T00:00:00"/>
    <d v="2018-11-21T00:00:00"/>
    <x v="0"/>
    <x v="1"/>
  </r>
  <r>
    <s v="MRWSH022276"/>
    <x v="2"/>
    <x v="3"/>
    <d v="2018-11-20T00:00:00"/>
    <d v="2018-12-12T00:00:00"/>
    <d v="2018-12-07T00:00:00"/>
    <m/>
    <x v="1"/>
    <x v="2"/>
  </r>
  <r>
    <s v="MRWSH022281"/>
    <x v="2"/>
    <x v="3"/>
    <d v="2018-11-20T00:00:00"/>
    <d v="2018-12-03T00:00:00"/>
    <d v="2018-11-24T00:00:00"/>
    <m/>
    <x v="0"/>
    <x v="0"/>
  </r>
  <r>
    <s v="MRWSH022296"/>
    <x v="2"/>
    <x v="3"/>
    <d v="2018-11-16T00:00:00"/>
    <d v="2018-11-20T00:00:00"/>
    <d v="2018-11-20T00:00:00"/>
    <d v="2018-11-20T00:00:00"/>
    <x v="0"/>
    <x v="1"/>
  </r>
  <r>
    <s v="MRWSH022300"/>
    <x v="2"/>
    <x v="3"/>
    <d v="2018-11-14T00:00:00"/>
    <d v="2018-11-09T00:00:00"/>
    <d v="2018-11-09T00:00:00"/>
    <d v="2018-11-09T00:00:00"/>
    <x v="0"/>
    <x v="1"/>
  </r>
  <r>
    <s v="MRNTX018005"/>
    <x v="1"/>
    <x v="3"/>
    <d v="2018-11-16T00:00:00"/>
    <d v="2018-12-04T00:00:00"/>
    <d v="2018-11-25T00:00:00"/>
    <d v="2018-11-25T00:00:00"/>
    <x v="0"/>
    <x v="1"/>
  </r>
  <r>
    <s v="MRNTX018205"/>
    <x v="1"/>
    <x v="3"/>
    <d v="2018-11-16T00:00:00"/>
    <d v="2018-12-04T00:00:00"/>
    <d v="2018-11-25T00:00:00"/>
    <d v="2018-11-25T00:00:00"/>
    <x v="0"/>
    <x v="1"/>
  </r>
  <r>
    <s v="MRSTX033681"/>
    <x v="0"/>
    <x v="3"/>
    <d v="2018-11-21T00:00:00"/>
    <d v="2018-11-21T00:00:00"/>
    <d v="2018-11-20T00:00:00"/>
    <d v="2018-11-20T00:00:00"/>
    <x v="0"/>
    <x v="1"/>
  </r>
  <r>
    <s v="MRSTX033684"/>
    <x v="0"/>
    <x v="3"/>
    <d v="2018-11-21T00:00:00"/>
    <d v="2018-11-21T00:00:00"/>
    <d v="2018-11-20T00:00:00"/>
    <d v="2018-11-20T00:00:00"/>
    <x v="0"/>
    <x v="1"/>
  </r>
  <r>
    <s v="MRSTX033685"/>
    <x v="0"/>
    <x v="3"/>
    <d v="2018-11-21T00:00:00"/>
    <d v="2018-12-25T00:00:00"/>
    <d v="2018-11-21T00:00:00"/>
    <m/>
    <x v="0"/>
    <x v="3"/>
  </r>
  <r>
    <s v="MRSTX033695"/>
    <x v="0"/>
    <x v="3"/>
    <d v="2018-11-21T00:00:00"/>
    <d v="2018-11-21T00:00:00"/>
    <d v="2018-11-20T00:00:00"/>
    <d v="2018-11-20T00:00:00"/>
    <x v="0"/>
    <x v="1"/>
  </r>
  <r>
    <s v="MRSTX033697"/>
    <x v="0"/>
    <x v="3"/>
    <d v="2018-11-21T00:00:00"/>
    <d v="2018-11-21T00:00:00"/>
    <d v="2018-11-20T00:00:00"/>
    <d v="2018-11-20T00:00:00"/>
    <x v="0"/>
    <x v="1"/>
  </r>
  <r>
    <s v="MRSTX033705"/>
    <x v="0"/>
    <x v="3"/>
    <d v="2018-11-24T00:00:00"/>
    <d v="2018-12-13T00:00:00"/>
    <d v="2018-12-13T00:00:00"/>
    <m/>
    <x v="1"/>
    <x v="2"/>
  </r>
  <r>
    <s v="MRSTX033706"/>
    <x v="0"/>
    <x v="3"/>
    <d v="2018-11-21T00:00:00"/>
    <d v="2018-11-21T00:00:00"/>
    <d v="2018-11-20T00:00:00"/>
    <d v="2018-11-20T00:00:00"/>
    <x v="0"/>
    <x v="1"/>
  </r>
  <r>
    <s v="MRSTX033749"/>
    <x v="0"/>
    <x v="3"/>
    <d v="2018-11-24T00:00:00"/>
    <d v="2018-11-24T00:00:00"/>
    <d v="2018-11-20T00:00:00"/>
    <d v="2018-11-20T00:00:00"/>
    <x v="0"/>
    <x v="1"/>
  </r>
  <r>
    <s v="MRSTX033758"/>
    <x v="0"/>
    <x v="3"/>
    <d v="2018-11-24T00:00:00"/>
    <d v="2018-12-13T00:00:00"/>
    <d v="2018-12-13T00:00:00"/>
    <m/>
    <x v="1"/>
    <x v="2"/>
  </r>
  <r>
    <s v="MRSTX033773"/>
    <x v="0"/>
    <x v="3"/>
    <d v="2018-11-19T00:00:00"/>
    <d v="2018-11-19T00:00:00"/>
    <d v="2018-11-06T00:00:00"/>
    <d v="2018-11-06T00:00:00"/>
    <x v="0"/>
    <x v="1"/>
  </r>
  <r>
    <s v="MRSTX033782"/>
    <x v="0"/>
    <x v="3"/>
    <d v="2018-11-24T00:00:00"/>
    <d v="2018-12-13T00:00:00"/>
    <d v="2018-12-13T00:00:00"/>
    <m/>
    <x v="1"/>
    <x v="2"/>
  </r>
  <r>
    <s v="MRSTX033792"/>
    <x v="0"/>
    <x v="3"/>
    <d v="2018-11-22T00:00:00"/>
    <d v="2018-11-22T00:00:00"/>
    <d v="2018-11-11T00:00:00"/>
    <d v="2018-11-11T00:00:00"/>
    <x v="0"/>
    <x v="1"/>
  </r>
  <r>
    <s v="MRSTX033801"/>
    <x v="0"/>
    <x v="3"/>
    <d v="2018-11-21T00:00:00"/>
    <d v="2018-11-21T00:00:00"/>
    <d v="2018-11-20T00:00:00"/>
    <d v="2018-11-20T00:00:00"/>
    <x v="0"/>
    <x v="1"/>
  </r>
  <r>
    <s v="MRSTX033855"/>
    <x v="0"/>
    <x v="3"/>
    <d v="2018-11-24T00:00:00"/>
    <d v="2018-11-20T00:00:00"/>
    <d v="2018-11-20T00:00:00"/>
    <d v="2018-11-20T00:00:00"/>
    <x v="0"/>
    <x v="1"/>
  </r>
  <r>
    <s v="MRSTX033868"/>
    <x v="0"/>
    <x v="3"/>
    <d v="2018-11-21T00:00:00"/>
    <d v="2018-11-21T00:00:00"/>
    <d v="2018-11-20T00:00:00"/>
    <d v="2018-11-20T00:00:00"/>
    <x v="0"/>
    <x v="1"/>
  </r>
  <r>
    <s v="MRSTX033878"/>
    <x v="0"/>
    <x v="3"/>
    <d v="2018-11-21T00:00:00"/>
    <d v="2018-11-21T00:00:00"/>
    <d v="2018-11-20T00:00:00"/>
    <d v="2018-11-20T00:00:00"/>
    <x v="0"/>
    <x v="1"/>
  </r>
  <r>
    <s v="MRSTX033885"/>
    <x v="0"/>
    <x v="3"/>
    <d v="2018-11-24T00:00:00"/>
    <d v="2018-11-20T00:00:00"/>
    <d v="2018-11-11T00:00:00"/>
    <d v="2018-11-11T00:00:00"/>
    <x v="0"/>
    <x v="1"/>
  </r>
  <r>
    <s v="MRSTX033899"/>
    <x v="0"/>
    <x v="3"/>
    <d v="2018-11-24T00:00:00"/>
    <d v="2018-11-20T00:00:00"/>
    <d v="2018-11-20T00:00:00"/>
    <d v="2018-11-20T00:00:00"/>
    <x v="0"/>
    <x v="1"/>
  </r>
  <r>
    <s v="MRSTX033907"/>
    <x v="0"/>
    <x v="3"/>
    <d v="2018-11-12T00:00:00"/>
    <d v="2018-11-12T00:00:00"/>
    <d v="2018-11-20T00:00:00"/>
    <d v="2018-11-20T00:00:00"/>
    <x v="0"/>
    <x v="1"/>
  </r>
  <r>
    <s v="MRNTX030244"/>
    <x v="1"/>
    <x v="3"/>
    <d v="2018-11-16T00:00:00"/>
    <d v="2018-12-03T00:00:00"/>
    <d v="2018-11-28T00:00:00"/>
    <d v="2018-11-28T00:00:00"/>
    <x v="0"/>
    <x v="1"/>
  </r>
  <r>
    <s v="MRNTX030261"/>
    <x v="1"/>
    <x v="3"/>
    <d v="2018-11-26T00:00:00"/>
    <d v="2019-02-11T00:00:00"/>
    <d v="2019-02-11T00:00:00"/>
    <m/>
    <x v="1"/>
    <x v="2"/>
  </r>
  <r>
    <s v="MRNTX030295"/>
    <x v="1"/>
    <x v="3"/>
    <d v="2018-11-26T00:00:00"/>
    <d v="2018-11-26T00:00:00"/>
    <d v="2018-11-16T00:00:00"/>
    <d v="2018-11-16T00:00:00"/>
    <x v="0"/>
    <x v="1"/>
  </r>
  <r>
    <s v="MRNTX030329"/>
    <x v="1"/>
    <x v="3"/>
    <d v="2018-11-08T00:00:00"/>
    <d v="2018-12-03T00:00:00"/>
    <d v="2018-12-03T00:00:00"/>
    <m/>
    <x v="1"/>
    <x v="4"/>
  </r>
  <r>
    <s v="MRNTX030346"/>
    <x v="1"/>
    <x v="3"/>
    <d v="2018-11-23T00:00:00"/>
    <d v="2018-11-30T00:00:00"/>
    <d v="2018-11-30T00:00:00"/>
    <m/>
    <x v="0"/>
    <x v="0"/>
  </r>
  <r>
    <s v="MRNTX030376"/>
    <x v="1"/>
    <x v="3"/>
    <d v="2018-11-19T00:00:00"/>
    <d v="2018-11-19T00:00:00"/>
    <d v="2018-11-19T00:00:00"/>
    <d v="2018-11-19T00:00:00"/>
    <x v="0"/>
    <x v="1"/>
  </r>
  <r>
    <s v="MRNTX030413"/>
    <x v="1"/>
    <x v="3"/>
    <d v="2018-11-05T00:00:00"/>
    <d v="2018-12-24T00:00:00"/>
    <d v="2018-12-24T00:00:00"/>
    <m/>
    <x v="1"/>
    <x v="4"/>
  </r>
  <r>
    <s v="MRNTX030445"/>
    <x v="1"/>
    <x v="3"/>
    <d v="2018-11-28T00:00:00"/>
    <d v="2018-06-05T00:00:00"/>
    <d v="2018-11-05T00:00:00"/>
    <d v="2018-11-05T00:00:00"/>
    <x v="0"/>
    <x v="1"/>
  </r>
  <r>
    <s v="MRNTX030459"/>
    <x v="1"/>
    <x v="3"/>
    <d v="2018-11-03T00:00:00"/>
    <d v="2019-02-11T00:00:00"/>
    <d v="2019-02-11T00:00:00"/>
    <m/>
    <x v="1"/>
    <x v="4"/>
  </r>
  <r>
    <s v="MRNTX030468"/>
    <x v="1"/>
    <x v="3"/>
    <d v="2018-11-19T00:00:00"/>
    <d v="2018-09-18T00:00:00"/>
    <d v="2018-11-06T00:00:00"/>
    <d v="2018-11-06T00:00:00"/>
    <x v="0"/>
    <x v="1"/>
  </r>
  <r>
    <s v="MRNTX030474"/>
    <x v="1"/>
    <x v="3"/>
    <d v="2018-11-19T00:00:00"/>
    <d v="2018-11-23T00:00:00"/>
    <d v="2018-11-21T00:00:00"/>
    <d v="2018-11-21T00:00:00"/>
    <x v="0"/>
    <x v="1"/>
  </r>
  <r>
    <s v="MRNTX030483"/>
    <x v="1"/>
    <x v="3"/>
    <d v="2018-11-26T00:00:00"/>
    <d v="2018-12-14T00:00:00"/>
    <d v="2018-12-14T00:00:00"/>
    <m/>
    <x v="1"/>
    <x v="2"/>
  </r>
  <r>
    <s v="MRNTX030484"/>
    <x v="1"/>
    <x v="3"/>
    <d v="2018-11-23T00:00:00"/>
    <d v="2018-12-14T00:00:00"/>
    <d v="2018-12-14T00:00:00"/>
    <m/>
    <x v="1"/>
    <x v="2"/>
  </r>
  <r>
    <s v="MRNTX030488"/>
    <x v="1"/>
    <x v="3"/>
    <d v="2018-11-19T00:00:00"/>
    <d v="2018-11-30T00:00:00"/>
    <d v="2018-11-30T00:00:00"/>
    <d v="2018-11-30T00:00:00"/>
    <x v="0"/>
    <x v="1"/>
  </r>
  <r>
    <s v="MRNTX030503"/>
    <x v="1"/>
    <x v="3"/>
    <d v="2018-11-23T00:00:00"/>
    <d v="2019-02-11T00:00:00"/>
    <d v="2019-02-11T00:00:00"/>
    <m/>
    <x v="1"/>
    <x v="2"/>
  </r>
  <r>
    <s v="MRNTX030538"/>
    <x v="1"/>
    <x v="3"/>
    <d v="2018-11-16T00:00:00"/>
    <d v="2018-11-16T00:00:00"/>
    <d v="2018-11-20T00:00:00"/>
    <d v="2018-11-20T00:00:00"/>
    <x v="0"/>
    <x v="1"/>
  </r>
  <r>
    <s v="MRNTX030562"/>
    <x v="1"/>
    <x v="3"/>
    <d v="2018-11-05T00:00:00"/>
    <d v="2018-11-14T00:00:00"/>
    <d v="2018-11-09T00:00:00"/>
    <d v="2018-11-09T00:00:00"/>
    <x v="0"/>
    <x v="1"/>
  </r>
  <r>
    <s v="MRNTX030595"/>
    <x v="1"/>
    <x v="3"/>
    <d v="2018-11-27T00:00:00"/>
    <d v="2018-09-20T00:00:00"/>
    <d v="2018-11-23T00:00:00"/>
    <d v="2018-11-23T00:00:00"/>
    <x v="0"/>
    <x v="1"/>
  </r>
  <r>
    <s v="MRNTX030611"/>
    <x v="1"/>
    <x v="3"/>
    <d v="2018-11-16T00:00:00"/>
    <d v="2018-11-26T00:00:00"/>
    <d v="2018-11-25T00:00:00"/>
    <d v="2018-11-25T00:00:00"/>
    <x v="0"/>
    <x v="1"/>
  </r>
  <r>
    <s v="MRNTX033778"/>
    <x v="1"/>
    <x v="3"/>
    <d v="2018-11-19T00:00:00"/>
    <d v="2019-02-11T00:00:00"/>
    <d v="2019-02-11T00:00:00"/>
    <m/>
    <x v="1"/>
    <x v="2"/>
  </r>
  <r>
    <s v="MRNTX033784"/>
    <x v="1"/>
    <x v="3"/>
    <d v="2018-11-05T00:00:00"/>
    <d v="2018-12-03T00:00:00"/>
    <d v="2018-12-03T00:00:00"/>
    <d v="2018-11-30T00:00:00"/>
    <x v="1"/>
    <x v="1"/>
  </r>
  <r>
    <s v="MRNTX033787"/>
    <x v="1"/>
    <x v="3"/>
    <d v="2018-11-19T00:00:00"/>
    <d v="2018-12-24T00:00:00"/>
    <d v="2018-12-24T00:00:00"/>
    <m/>
    <x v="1"/>
    <x v="2"/>
  </r>
  <r>
    <s v="MRNTX033792"/>
    <x v="1"/>
    <x v="3"/>
    <d v="2018-11-02T00:00:00"/>
    <d v="2018-09-08T00:00:00"/>
    <d v="2018-11-02T00:00:00"/>
    <d v="2018-11-02T00:00:00"/>
    <x v="0"/>
    <x v="1"/>
  </r>
  <r>
    <s v="MRNTX033796"/>
    <x v="1"/>
    <x v="3"/>
    <d v="2018-11-27T00:00:00"/>
    <d v="2018-11-27T00:00:00"/>
    <d v="2018-11-12T00:00:00"/>
    <d v="2018-11-12T00:00:00"/>
    <x v="0"/>
    <x v="1"/>
  </r>
  <r>
    <s v="MRNTX033805"/>
    <x v="1"/>
    <x v="3"/>
    <d v="2018-11-19T00:00:00"/>
    <d v="2018-11-30T00:00:00"/>
    <d v="2018-11-30T00:00:00"/>
    <m/>
    <x v="0"/>
    <x v="0"/>
  </r>
  <r>
    <s v="MRNTX033806"/>
    <x v="1"/>
    <x v="3"/>
    <d v="2018-11-03T00:00:00"/>
    <d v="2018-11-30T00:00:00"/>
    <d v="2018-11-30T00:00:00"/>
    <m/>
    <x v="1"/>
    <x v="4"/>
  </r>
  <r>
    <s v="MRNTX033834"/>
    <x v="1"/>
    <x v="3"/>
    <d v="2018-11-19T00:00:00"/>
    <d v="2018-12-14T00:00:00"/>
    <d v="2018-12-14T00:00:00"/>
    <m/>
    <x v="1"/>
    <x v="2"/>
  </r>
  <r>
    <s v="MRNTX033837"/>
    <x v="1"/>
    <x v="3"/>
    <d v="2018-11-30T00:00:00"/>
    <d v="2019-02-11T00:00:00"/>
    <d v="2019-02-11T00:00:00"/>
    <m/>
    <x v="1"/>
    <x v="2"/>
  </r>
  <r>
    <s v="MRNTX033848"/>
    <x v="1"/>
    <x v="3"/>
    <d v="2018-11-19T00:00:00"/>
    <d v="2018-11-30T00:00:00"/>
    <d v="2018-11-30T00:00:00"/>
    <m/>
    <x v="0"/>
    <x v="0"/>
  </r>
  <r>
    <s v="MRNTX033851"/>
    <x v="1"/>
    <x v="3"/>
    <d v="2018-11-03T00:00:00"/>
    <d v="2018-11-30T00:00:00"/>
    <d v="2018-11-30T00:00:00"/>
    <m/>
    <x v="1"/>
    <x v="4"/>
  </r>
  <r>
    <s v="MRNTX033854"/>
    <x v="1"/>
    <x v="3"/>
    <d v="2018-11-03T00:00:00"/>
    <d v="2018-11-30T00:00:00"/>
    <d v="2018-11-30T00:00:00"/>
    <m/>
    <x v="1"/>
    <x v="4"/>
  </r>
  <r>
    <s v="MRNTX033863"/>
    <x v="1"/>
    <x v="3"/>
    <d v="2018-11-19T00:00:00"/>
    <d v="2018-12-20T00:00:00"/>
    <d v="2018-12-20T00:00:00"/>
    <m/>
    <x v="1"/>
    <x v="2"/>
  </r>
  <r>
    <s v="MRNTX033879"/>
    <x v="1"/>
    <x v="3"/>
    <d v="2018-11-03T00:00:00"/>
    <d v="2018-11-30T00:00:00"/>
    <d v="2018-11-30T00:00:00"/>
    <m/>
    <x v="1"/>
    <x v="4"/>
  </r>
  <r>
    <s v="MRNTX033897"/>
    <x v="1"/>
    <x v="3"/>
    <d v="2018-11-26T00:00:00"/>
    <d v="2018-12-10T00:00:00"/>
    <d v="2018-12-10T00:00:00"/>
    <m/>
    <x v="0"/>
    <x v="0"/>
  </r>
  <r>
    <s v="MRNTX033904"/>
    <x v="1"/>
    <x v="3"/>
    <d v="2018-11-19T00:00:00"/>
    <d v="2018-11-30T00:00:00"/>
    <d v="2018-11-30T00:00:00"/>
    <m/>
    <x v="0"/>
    <x v="0"/>
  </r>
  <r>
    <s v="MRWSH015536"/>
    <x v="2"/>
    <x v="3"/>
    <d v="2018-11-16T00:00:00"/>
    <d v="2018-11-12T00:00:00"/>
    <d v="2018-11-12T00:00:00"/>
    <d v="2018-11-12T00:00:00"/>
    <x v="0"/>
    <x v="1"/>
  </r>
  <r>
    <s v="MRANM019602"/>
    <x v="3"/>
    <x v="3"/>
    <d v="2018-11-19T00:00:00"/>
    <d v="2018-12-10T00:00:00"/>
    <d v="2018-12-10T00:00:00"/>
    <m/>
    <x v="1"/>
    <x v="2"/>
  </r>
  <r>
    <s v="MRANM019688"/>
    <x v="3"/>
    <x v="3"/>
    <d v="2018-11-01T00:00:00"/>
    <d v="2018-10-15T00:00:00"/>
    <d v="2018-11-01T00:00:00"/>
    <d v="2018-11-01T00:00:00"/>
    <x v="0"/>
    <x v="1"/>
  </r>
  <r>
    <s v="MRANM019704"/>
    <x v="3"/>
    <x v="3"/>
    <d v="2018-11-19T00:00:00"/>
    <d v="2018-12-10T00:00:00"/>
    <d v="2018-12-10T00:00:00"/>
    <m/>
    <x v="1"/>
    <x v="2"/>
  </r>
  <r>
    <s v="MRANM019718"/>
    <x v="3"/>
    <x v="3"/>
    <d v="2018-11-18T00:00:00"/>
    <d v="2020-12-31T00:00:00"/>
    <d v="2020-12-31T00:00:00"/>
    <m/>
    <x v="1"/>
    <x v="2"/>
  </r>
  <r>
    <s v="MRANM019720"/>
    <x v="3"/>
    <x v="3"/>
    <d v="2018-11-01T00:00:00"/>
    <d v="2018-10-15T00:00:00"/>
    <d v="2018-11-01T00:00:00"/>
    <d v="2018-11-01T00:00:00"/>
    <x v="0"/>
    <x v="1"/>
  </r>
  <r>
    <s v="MRANM019731"/>
    <x v="3"/>
    <x v="3"/>
    <d v="2018-11-19T00:00:00"/>
    <d v="2018-12-10T00:00:00"/>
    <d v="2018-12-10T00:00:00"/>
    <m/>
    <x v="1"/>
    <x v="2"/>
  </r>
  <r>
    <s v="MRANM019748"/>
    <x v="3"/>
    <x v="3"/>
    <d v="2018-11-19T00:00:00"/>
    <d v="2018-11-30T00:00:00"/>
    <d v="2018-11-30T00:00:00"/>
    <m/>
    <x v="0"/>
    <x v="0"/>
  </r>
  <r>
    <s v="MRANM019759"/>
    <x v="3"/>
    <x v="3"/>
    <d v="2018-11-19T00:00:00"/>
    <d v="2018-11-30T00:00:00"/>
    <d v="2018-11-30T00:00:00"/>
    <m/>
    <x v="0"/>
    <x v="0"/>
  </r>
  <r>
    <s v="MRANM019761"/>
    <x v="3"/>
    <x v="3"/>
    <d v="2018-11-19T00:00:00"/>
    <d v="2018-11-30T00:00:00"/>
    <d v="2018-11-30T00:00:00"/>
    <m/>
    <x v="0"/>
    <x v="0"/>
  </r>
  <r>
    <s v="MRANM020123"/>
    <x v="3"/>
    <x v="3"/>
    <d v="2018-11-02T00:00:00"/>
    <d v="2018-11-12T00:00:00"/>
    <d v="2018-11-02T00:00:00"/>
    <d v="2018-11-02T00:00:00"/>
    <x v="0"/>
    <x v="1"/>
  </r>
  <r>
    <s v="MRANM020131"/>
    <x v="3"/>
    <x v="3"/>
    <d v="2018-11-23T00:00:00"/>
    <d v="2018-11-30T00:00:00"/>
    <d v="2018-11-30T00:00:00"/>
    <m/>
    <x v="0"/>
    <x v="0"/>
  </r>
  <r>
    <s v="MRANM020161"/>
    <x v="3"/>
    <x v="3"/>
    <d v="2018-11-19T00:00:00"/>
    <d v="2018-11-19T00:00:00"/>
    <d v="2018-11-05T00:00:00"/>
    <d v="2018-11-05T00:00:00"/>
    <x v="0"/>
    <x v="1"/>
  </r>
  <r>
    <s v="MRANM020170"/>
    <x v="3"/>
    <x v="3"/>
    <d v="2018-11-19T00:00:00"/>
    <d v="2018-12-10T00:00:00"/>
    <d v="2018-12-10T00:00:00"/>
    <m/>
    <x v="1"/>
    <x v="2"/>
  </r>
  <r>
    <s v="MRANM020333"/>
    <x v="3"/>
    <x v="3"/>
    <d v="2018-11-02T00:00:00"/>
    <d v="2018-11-12T00:00:00"/>
    <d v="2018-11-02T00:00:00"/>
    <d v="2018-11-02T00:00:00"/>
    <x v="0"/>
    <x v="1"/>
  </r>
  <r>
    <s v="MRNTX033923"/>
    <x v="1"/>
    <x v="3"/>
    <d v="2018-11-19T00:00:00"/>
    <d v="2018-11-30T00:00:00"/>
    <d v="2018-11-30T00:00:00"/>
    <m/>
    <x v="0"/>
    <x v="0"/>
  </r>
  <r>
    <s v="MRNTX033924"/>
    <x v="1"/>
    <x v="3"/>
    <d v="2018-11-19T00:00:00"/>
    <d v="2018-12-03T00:00:00"/>
    <d v="2018-12-03T00:00:00"/>
    <d v="2018-11-30T00:00:00"/>
    <x v="0"/>
    <x v="1"/>
  </r>
  <r>
    <s v="MRNTX033925"/>
    <x v="1"/>
    <x v="3"/>
    <d v="2018-11-16T00:00:00"/>
    <d v="2018-12-10T00:00:00"/>
    <d v="2018-12-10T00:00:00"/>
    <m/>
    <x v="1"/>
    <x v="4"/>
  </r>
  <r>
    <s v="MRNTX033937"/>
    <x v="1"/>
    <x v="3"/>
    <d v="2018-11-03T00:00:00"/>
    <d v="2018-11-30T00:00:00"/>
    <d v="2018-11-30T00:00:00"/>
    <m/>
    <x v="1"/>
    <x v="4"/>
  </r>
  <r>
    <s v="MRSTX036191"/>
    <x v="0"/>
    <x v="3"/>
    <d v="2018-11-21T00:00:00"/>
    <d v="2018-12-26T00:00:00"/>
    <d v="2018-12-26T00:00:00"/>
    <m/>
    <x v="1"/>
    <x v="2"/>
  </r>
  <r>
    <s v="MRSTX036201"/>
    <x v="0"/>
    <x v="3"/>
    <d v="2018-11-21T00:00:00"/>
    <d v="2018-11-21T00:00:00"/>
    <d v="2018-11-20T00:00:00"/>
    <d v="2018-11-20T00:00:00"/>
    <x v="0"/>
    <x v="1"/>
  </r>
  <r>
    <s v="MRSTX036230"/>
    <x v="0"/>
    <x v="3"/>
    <d v="2018-11-21T00:00:00"/>
    <d v="2018-12-13T00:00:00"/>
    <d v="2018-12-13T00:00:00"/>
    <m/>
    <x v="1"/>
    <x v="2"/>
  </r>
  <r>
    <s v="MRSTX036250"/>
    <x v="0"/>
    <x v="3"/>
    <d v="2018-11-24T00:00:00"/>
    <d v="2018-11-24T00:00:00"/>
    <d v="2018-11-20T00:00:00"/>
    <d v="2018-11-20T00:00:00"/>
    <x v="0"/>
    <x v="1"/>
  </r>
  <r>
    <s v="MRSTX036258"/>
    <x v="0"/>
    <x v="3"/>
    <d v="2018-11-24T00:00:00"/>
    <d v="2018-11-24T00:00:00"/>
    <d v="2018-11-20T00:00:00"/>
    <d v="2018-11-20T00:00:00"/>
    <x v="0"/>
    <x v="1"/>
  </r>
  <r>
    <s v="MRANM020388"/>
    <x v="3"/>
    <x v="3"/>
    <d v="2018-11-26T00:00:00"/>
    <d v="2019-01-14T00:00:00"/>
    <d v="2019-01-14T00:00:00"/>
    <m/>
    <x v="1"/>
    <x v="2"/>
  </r>
  <r>
    <s v="MRANM020424"/>
    <x v="3"/>
    <x v="3"/>
    <d v="2018-11-05T00:00:00"/>
    <d v="2019-03-01T00:00:00"/>
    <d v="2019-01-01T00:00:00"/>
    <m/>
    <x v="1"/>
    <x v="4"/>
  </r>
  <r>
    <s v="MRANM020435"/>
    <x v="3"/>
    <x v="3"/>
    <d v="2018-11-19T00:00:00"/>
    <d v="2018-12-12T00:00:00"/>
    <d v="2018-12-12T00:00:00"/>
    <m/>
    <x v="1"/>
    <x v="2"/>
  </r>
  <r>
    <s v="MRANM020441"/>
    <x v="3"/>
    <x v="3"/>
    <d v="2018-11-23T00:00:00"/>
    <d v="2018-11-30T00:00:00"/>
    <d v="2018-11-30T00:00:00"/>
    <m/>
    <x v="0"/>
    <x v="0"/>
  </r>
  <r>
    <s v="MRANM020465"/>
    <x v="3"/>
    <x v="3"/>
    <d v="2018-11-23T00:00:00"/>
    <d v="2018-12-10T00:00:00"/>
    <d v="2018-12-10T00:00:00"/>
    <m/>
    <x v="1"/>
    <x v="2"/>
  </r>
  <r>
    <s v="MRANM020471"/>
    <x v="3"/>
    <x v="3"/>
    <d v="2018-11-26T00:00:00"/>
    <d v="2019-01-14T00:00:00"/>
    <d v="2019-01-14T00:00:00"/>
    <m/>
    <x v="1"/>
    <x v="2"/>
  </r>
  <r>
    <s v="MRANM020556"/>
    <x v="3"/>
    <x v="3"/>
    <d v="2018-11-12T00:00:00"/>
    <d v="2018-11-12T00:00:00"/>
    <d v="2018-11-08T00:00:00"/>
    <d v="2018-11-08T00:00:00"/>
    <x v="0"/>
    <x v="1"/>
  </r>
  <r>
    <s v="MRANM020557"/>
    <x v="3"/>
    <x v="3"/>
    <d v="2018-11-12T00:00:00"/>
    <d v="2018-11-12T00:00:00"/>
    <d v="2018-11-08T00:00:00"/>
    <d v="2018-11-08T00:00:00"/>
    <x v="0"/>
    <x v="1"/>
  </r>
  <r>
    <s v="MRANM021941"/>
    <x v="3"/>
    <x v="3"/>
    <d v="2018-11-13T00:00:00"/>
    <d v="1999-12-30T00:00:00"/>
    <d v="2018-11-13T00:00:00"/>
    <m/>
    <x v="0"/>
    <x v="0"/>
  </r>
  <r>
    <s v="MRANM021945"/>
    <x v="3"/>
    <x v="3"/>
    <d v="2018-11-13T00:00:00"/>
    <d v="1999-12-30T00:00:00"/>
    <d v="2018-11-13T00:00:00"/>
    <m/>
    <x v="0"/>
    <x v="0"/>
  </r>
  <r>
    <s v="MRANM021958"/>
    <x v="3"/>
    <x v="3"/>
    <d v="2018-11-13T00:00:00"/>
    <d v="1999-12-30T00:00:00"/>
    <d v="2018-11-13T00:00:00"/>
    <m/>
    <x v="0"/>
    <x v="0"/>
  </r>
  <r>
    <s v="MRANM021959"/>
    <x v="3"/>
    <x v="3"/>
    <d v="2018-11-13T00:00:00"/>
    <d v="1999-12-30T00:00:00"/>
    <d v="2018-11-13T00:00:00"/>
    <m/>
    <x v="0"/>
    <x v="0"/>
  </r>
  <r>
    <s v="MRNTX031950"/>
    <x v="1"/>
    <x v="3"/>
    <d v="2018-11-16T00:00:00"/>
    <d v="2018-11-16T00:00:00"/>
    <d v="2018-11-25T00:00:00"/>
    <d v="2018-11-25T00:00:00"/>
    <x v="0"/>
    <x v="1"/>
  </r>
  <r>
    <s v="MRNTX031957"/>
    <x v="1"/>
    <x v="3"/>
    <d v="2018-11-26T00:00:00"/>
    <d v="2019-02-11T00:00:00"/>
    <d v="2019-02-11T00:00:00"/>
    <m/>
    <x v="1"/>
    <x v="2"/>
  </r>
  <r>
    <s v="MRNTX031973"/>
    <x v="1"/>
    <x v="3"/>
    <d v="2018-11-19T00:00:00"/>
    <d v="2018-12-17T00:00:00"/>
    <d v="2018-12-17T00:00:00"/>
    <m/>
    <x v="1"/>
    <x v="2"/>
  </r>
  <r>
    <s v="MRNTX031975"/>
    <x v="1"/>
    <x v="3"/>
    <d v="2018-11-05T00:00:00"/>
    <d v="2018-12-03T00:00:00"/>
    <d v="2018-12-03T00:00:00"/>
    <m/>
    <x v="1"/>
    <x v="4"/>
  </r>
  <r>
    <s v="MRNTX031979"/>
    <x v="1"/>
    <x v="3"/>
    <d v="2018-11-07T00:00:00"/>
    <d v="2018-11-14T00:00:00"/>
    <d v="2018-11-08T00:00:00"/>
    <d v="2018-11-08T00:00:00"/>
    <x v="0"/>
    <x v="1"/>
  </r>
  <r>
    <s v="MRNTX032003"/>
    <x v="1"/>
    <x v="3"/>
    <d v="2018-11-19T00:00:00"/>
    <d v="2018-09-18T00:00:00"/>
    <d v="2018-11-06T00:00:00"/>
    <d v="2018-11-06T00:00:00"/>
    <x v="0"/>
    <x v="1"/>
  </r>
  <r>
    <s v="MRNTX032032"/>
    <x v="1"/>
    <x v="3"/>
    <d v="2018-11-02T00:00:00"/>
    <d v="2018-09-16T00:00:00"/>
    <d v="2018-11-02T00:00:00"/>
    <d v="2018-11-02T00:00:00"/>
    <x v="0"/>
    <x v="1"/>
  </r>
  <r>
    <s v="MRNTX032050"/>
    <x v="1"/>
    <x v="3"/>
    <d v="2018-11-14T00:00:00"/>
    <d v="2018-11-19T00:00:00"/>
    <d v="2018-11-20T00:00:00"/>
    <d v="2018-11-20T00:00:00"/>
    <x v="0"/>
    <x v="1"/>
  </r>
  <r>
    <s v="MRNTX032093"/>
    <x v="1"/>
    <x v="3"/>
    <d v="2018-11-26T00:00:00"/>
    <d v="2018-12-14T00:00:00"/>
    <d v="2018-12-14T00:00:00"/>
    <m/>
    <x v="1"/>
    <x v="2"/>
  </r>
  <r>
    <s v="MRNTX032109"/>
    <x v="1"/>
    <x v="3"/>
    <d v="2018-11-26T00:00:00"/>
    <d v="2018-12-14T00:00:00"/>
    <d v="2018-12-14T00:00:00"/>
    <m/>
    <x v="1"/>
    <x v="2"/>
  </r>
  <r>
    <s v="MRNTX032117"/>
    <x v="1"/>
    <x v="3"/>
    <d v="2018-11-05T00:00:00"/>
    <d v="2018-11-14T00:00:00"/>
    <d v="2018-11-09T00:00:00"/>
    <d v="2018-11-09T00:00:00"/>
    <x v="0"/>
    <x v="1"/>
  </r>
  <r>
    <s v="MRSTX036335"/>
    <x v="0"/>
    <x v="3"/>
    <d v="2018-11-25T00:00:00"/>
    <d v="2018-12-26T00:00:00"/>
    <d v="2018-12-26T00:00:00"/>
    <m/>
    <x v="1"/>
    <x v="2"/>
  </r>
  <r>
    <s v="MRSTX036359"/>
    <x v="0"/>
    <x v="3"/>
    <d v="2018-11-21T00:00:00"/>
    <d v="2018-12-25T00:00:00"/>
    <d v="2018-12-25T00:00:00"/>
    <m/>
    <x v="1"/>
    <x v="2"/>
  </r>
  <r>
    <s v="MRSTX036372"/>
    <x v="0"/>
    <x v="3"/>
    <d v="2018-11-21T00:00:00"/>
    <d v="2018-12-25T00:00:00"/>
    <d v="2018-12-25T00:00:00"/>
    <m/>
    <x v="1"/>
    <x v="2"/>
  </r>
  <r>
    <s v="MRSTX036387"/>
    <x v="0"/>
    <x v="3"/>
    <d v="2018-11-24T00:00:00"/>
    <d v="2018-12-25T00:00:00"/>
    <d v="2018-12-25T00:00:00"/>
    <m/>
    <x v="1"/>
    <x v="2"/>
  </r>
  <r>
    <s v="MRWSH022861"/>
    <x v="2"/>
    <x v="3"/>
    <d v="2018-11-20T00:00:00"/>
    <d v="2018-11-15T00:00:00"/>
    <d v="2018-11-15T00:00:00"/>
    <d v="2018-11-15T00:00:00"/>
    <x v="0"/>
    <x v="1"/>
  </r>
  <r>
    <s v="MRWSH022864"/>
    <x v="2"/>
    <x v="3"/>
    <d v="2018-11-30T00:00:00"/>
    <d v="2018-12-12T00:00:00"/>
    <d v="2018-12-07T00:00:00"/>
    <m/>
    <x v="0"/>
    <x v="0"/>
  </r>
  <r>
    <s v="MRWSH022874"/>
    <x v="2"/>
    <x v="3"/>
    <d v="2018-11-16T00:00:00"/>
    <d v="2018-11-14T00:00:00"/>
    <d v="2018-11-14T00:00:00"/>
    <d v="2018-11-14T00:00:00"/>
    <x v="0"/>
    <x v="1"/>
  </r>
  <r>
    <s v="MRWSH022878"/>
    <x v="2"/>
    <x v="3"/>
    <d v="2018-11-02T00:00:00"/>
    <d v="2018-11-08T00:00:00"/>
    <d v="2018-11-08T00:00:00"/>
    <d v="2018-11-08T00:00:00"/>
    <x v="0"/>
    <x v="1"/>
  </r>
  <r>
    <s v="MRWSH022880"/>
    <x v="2"/>
    <x v="3"/>
    <d v="2018-11-08T00:00:00"/>
    <d v="2018-12-03T00:00:00"/>
    <d v="2018-11-29T00:00:00"/>
    <m/>
    <x v="1"/>
    <x v="4"/>
  </r>
  <r>
    <s v="MRWSH022891"/>
    <x v="2"/>
    <x v="3"/>
    <d v="2018-11-15T00:00:00"/>
    <d v="2018-12-17T00:00:00"/>
    <d v="2018-12-06T00:00:00"/>
    <m/>
    <x v="1"/>
    <x v="4"/>
  </r>
  <r>
    <s v="MRWSH022892"/>
    <x v="2"/>
    <x v="3"/>
    <d v="2018-11-05T00:00:00"/>
    <d v="2018-11-06T00:00:00"/>
    <d v="2018-11-05T00:00:00"/>
    <d v="2018-11-05T00:00:00"/>
    <x v="0"/>
    <x v="1"/>
  </r>
  <r>
    <s v="MRWSH022972"/>
    <x v="2"/>
    <x v="3"/>
    <d v="2018-11-20T00:00:00"/>
    <d v="2018-11-16T00:00:00"/>
    <d v="2018-11-16T00:00:00"/>
    <d v="2018-11-16T00:00:00"/>
    <x v="0"/>
    <x v="1"/>
  </r>
  <r>
    <s v="MRWSH022973"/>
    <x v="2"/>
    <x v="3"/>
    <d v="2018-11-20T00:00:00"/>
    <d v="2018-11-21T00:00:00"/>
    <d v="2018-11-21T00:00:00"/>
    <d v="2018-11-21T00:00:00"/>
    <x v="0"/>
    <x v="1"/>
  </r>
  <r>
    <s v="MRWSH022984"/>
    <x v="2"/>
    <x v="3"/>
    <d v="2018-11-20T00:00:00"/>
    <d v="2018-11-16T00:00:00"/>
    <d v="2018-11-16T00:00:00"/>
    <d v="2018-11-16T00:00:00"/>
    <x v="0"/>
    <x v="1"/>
  </r>
  <r>
    <s v="MRWSH023006"/>
    <x v="2"/>
    <x v="3"/>
    <d v="2018-11-07T00:00:00"/>
    <d v="2018-11-08T00:00:00"/>
    <d v="2018-11-08T00:00:00"/>
    <d v="2018-11-08T00:00:00"/>
    <x v="0"/>
    <x v="1"/>
  </r>
  <r>
    <s v="MRNTX032122"/>
    <x v="1"/>
    <x v="3"/>
    <d v="2018-11-28T00:00:00"/>
    <d v="2018-06-05T00:00:00"/>
    <d v="2018-11-05T00:00:00"/>
    <d v="2018-11-05T00:00:00"/>
    <x v="0"/>
    <x v="1"/>
  </r>
  <r>
    <s v="MRNTX032159"/>
    <x v="1"/>
    <x v="3"/>
    <d v="2018-11-16T00:00:00"/>
    <d v="2018-11-16T00:00:00"/>
    <d v="2018-11-25T00:00:00"/>
    <d v="2018-11-25T00:00:00"/>
    <x v="0"/>
    <x v="1"/>
  </r>
  <r>
    <s v="MRNTX032181"/>
    <x v="1"/>
    <x v="3"/>
    <d v="2018-11-02T00:00:00"/>
    <d v="2018-09-16T00:00:00"/>
    <d v="2018-11-02T00:00:00"/>
    <d v="2018-11-02T00:00:00"/>
    <x v="0"/>
    <x v="1"/>
  </r>
  <r>
    <s v="MRNTX032197"/>
    <x v="1"/>
    <x v="3"/>
    <d v="2018-11-26T00:00:00"/>
    <d v="2018-12-03T00:00:00"/>
    <d v="2018-11-20T00:00:00"/>
    <d v="2018-11-20T00:00:00"/>
    <x v="0"/>
    <x v="1"/>
  </r>
  <r>
    <s v="MRNTX032200"/>
    <x v="1"/>
    <x v="3"/>
    <d v="2018-11-26T00:00:00"/>
    <d v="2018-12-03T00:00:00"/>
    <d v="2018-11-20T00:00:00"/>
    <d v="2018-11-20T00:00:00"/>
    <x v="0"/>
    <x v="1"/>
  </r>
  <r>
    <s v="MRNTX032201"/>
    <x v="1"/>
    <x v="3"/>
    <d v="2018-11-19T00:00:00"/>
    <d v="2018-11-27T00:00:00"/>
    <d v="2018-11-20T00:00:00"/>
    <d v="2018-11-20T00:00:00"/>
    <x v="0"/>
    <x v="1"/>
  </r>
  <r>
    <s v="MRNTX032206"/>
    <x v="1"/>
    <x v="3"/>
    <d v="2018-11-23T00:00:00"/>
    <d v="2018-12-03T00:00:00"/>
    <d v="2018-12-03T00:00:00"/>
    <m/>
    <x v="0"/>
    <x v="0"/>
  </r>
  <r>
    <s v="MRNTX032210"/>
    <x v="1"/>
    <x v="3"/>
    <d v="2018-11-19T00:00:00"/>
    <d v="2018-11-27T00:00:00"/>
    <d v="2018-11-20T00:00:00"/>
    <d v="2018-11-20T00:00:00"/>
    <x v="0"/>
    <x v="1"/>
  </r>
  <r>
    <s v="MRNTX032221"/>
    <x v="1"/>
    <x v="3"/>
    <d v="2018-11-26T00:00:00"/>
    <d v="2018-11-26T00:00:00"/>
    <d v="2018-11-25T00:00:00"/>
    <d v="2018-11-25T00:00:00"/>
    <x v="0"/>
    <x v="1"/>
  </r>
  <r>
    <s v="MRNTX032230"/>
    <x v="1"/>
    <x v="3"/>
    <d v="2018-11-23T00:00:00"/>
    <d v="2018-12-03T00:00:00"/>
    <d v="2018-12-03T00:00:00"/>
    <m/>
    <x v="0"/>
    <x v="0"/>
  </r>
  <r>
    <s v="MRNTX032234"/>
    <x v="1"/>
    <x v="3"/>
    <d v="2018-11-29T00:00:00"/>
    <d v="2018-12-17T00:00:00"/>
    <d v="2018-12-17T00:00:00"/>
    <m/>
    <x v="1"/>
    <x v="2"/>
  </r>
  <r>
    <s v="MRNTX032238"/>
    <x v="1"/>
    <x v="3"/>
    <d v="2018-11-26T00:00:00"/>
    <d v="2018-11-30T00:00:00"/>
    <d v="2018-11-30T00:00:00"/>
    <m/>
    <x v="0"/>
    <x v="0"/>
  </r>
  <r>
    <s v="MRNTX032243"/>
    <x v="1"/>
    <x v="3"/>
    <d v="2018-11-19T00:00:00"/>
    <d v="2018-11-30T00:00:00"/>
    <d v="2018-11-30T00:00:00"/>
    <d v="2018-11-30T00:00:00"/>
    <x v="0"/>
    <x v="1"/>
  </r>
  <r>
    <s v="MRNTX032244"/>
    <x v="1"/>
    <x v="3"/>
    <d v="2018-11-23T00:00:00"/>
    <d v="2018-12-03T00:00:00"/>
    <d v="2018-11-28T00:00:00"/>
    <d v="2018-11-28T00:00:00"/>
    <x v="0"/>
    <x v="1"/>
  </r>
  <r>
    <s v="MRNTX032246"/>
    <x v="1"/>
    <x v="3"/>
    <d v="2018-11-16T00:00:00"/>
    <d v="2018-12-10T00:00:00"/>
    <d v="2018-12-10T00:00:00"/>
    <m/>
    <x v="1"/>
    <x v="4"/>
  </r>
  <r>
    <s v="MRNTX032248"/>
    <x v="1"/>
    <x v="3"/>
    <d v="2018-11-26T00:00:00"/>
    <d v="2018-11-26T00:00:00"/>
    <d v="2018-11-25T00:00:00"/>
    <d v="2018-11-25T00:00:00"/>
    <x v="0"/>
    <x v="1"/>
  </r>
  <r>
    <s v="MRNTX032250"/>
    <x v="1"/>
    <x v="3"/>
    <d v="2018-11-23T00:00:00"/>
    <d v="2018-12-03T00:00:00"/>
    <d v="2018-11-28T00:00:00"/>
    <d v="2018-11-28T00:00:00"/>
    <x v="0"/>
    <x v="1"/>
  </r>
  <r>
    <s v="MRNTX032261"/>
    <x v="1"/>
    <x v="3"/>
    <d v="2018-11-16T00:00:00"/>
    <d v="2018-11-27T00:00:00"/>
    <d v="2018-11-14T00:00:00"/>
    <d v="2018-11-14T00:00:00"/>
    <x v="0"/>
    <x v="1"/>
  </r>
  <r>
    <s v="MRNTX032264"/>
    <x v="1"/>
    <x v="3"/>
    <d v="2018-11-26T00:00:00"/>
    <d v="2018-11-30T00:00:00"/>
    <d v="2018-11-30T00:00:00"/>
    <m/>
    <x v="0"/>
    <x v="0"/>
  </r>
  <r>
    <s v="MRSTX033926"/>
    <x v="0"/>
    <x v="3"/>
    <d v="2018-11-21T00:00:00"/>
    <d v="2018-11-21T00:00:00"/>
    <d v="2018-11-20T00:00:00"/>
    <d v="2018-11-20T00:00:00"/>
    <x v="0"/>
    <x v="1"/>
  </r>
  <r>
    <s v="MRSTX033928"/>
    <x v="0"/>
    <x v="3"/>
    <d v="2018-11-22T00:00:00"/>
    <d v="2018-11-22T00:00:00"/>
    <d v="2018-11-11T00:00:00"/>
    <d v="2018-11-11T00:00:00"/>
    <x v="0"/>
    <x v="1"/>
  </r>
  <r>
    <s v="MRSTX033933"/>
    <x v="0"/>
    <x v="3"/>
    <d v="2018-11-22T00:00:00"/>
    <d v="2018-11-22T00:00:00"/>
    <d v="2018-11-11T00:00:00"/>
    <d v="2018-11-11T00:00:00"/>
    <x v="0"/>
    <x v="1"/>
  </r>
  <r>
    <s v="MRSTX033970"/>
    <x v="0"/>
    <x v="3"/>
    <d v="2018-11-24T00:00:00"/>
    <d v="2018-12-13T00:00:00"/>
    <d v="2018-12-13T00:00:00"/>
    <m/>
    <x v="1"/>
    <x v="2"/>
  </r>
  <r>
    <s v="MRWSH023045"/>
    <x v="2"/>
    <x v="3"/>
    <d v="2018-11-20T00:00:00"/>
    <d v="2018-11-16T00:00:00"/>
    <d v="2018-11-16T00:00:00"/>
    <d v="2018-11-16T00:00:00"/>
    <x v="0"/>
    <x v="1"/>
  </r>
  <r>
    <s v="MRWSH023048"/>
    <x v="2"/>
    <x v="3"/>
    <d v="2018-11-20T00:00:00"/>
    <d v="2018-11-16T00:00:00"/>
    <d v="2018-11-16T00:00:00"/>
    <d v="2018-11-16T00:00:00"/>
    <x v="0"/>
    <x v="1"/>
  </r>
  <r>
    <s v="MRWSH023088"/>
    <x v="2"/>
    <x v="3"/>
    <d v="2018-11-07T00:00:00"/>
    <d v="2018-11-08T00:00:00"/>
    <d v="2018-11-08T00:00:00"/>
    <d v="2018-11-08T00:00:00"/>
    <x v="0"/>
    <x v="1"/>
  </r>
  <r>
    <s v="MRWSH023099"/>
    <x v="2"/>
    <x v="3"/>
    <d v="2018-11-20T00:00:00"/>
    <d v="2018-12-30T00:00:00"/>
    <d v="2018-12-30T00:00:00"/>
    <m/>
    <x v="1"/>
    <x v="2"/>
  </r>
  <r>
    <s v="MRWSH023148"/>
    <x v="2"/>
    <x v="3"/>
    <d v="2018-11-07T00:00:00"/>
    <d v="2018-11-08T00:00:00"/>
    <d v="2018-11-08T00:00:00"/>
    <d v="2018-11-08T00:00:00"/>
    <x v="0"/>
    <x v="1"/>
  </r>
  <r>
    <s v="MRWSH024471"/>
    <x v="2"/>
    <x v="3"/>
    <d v="2018-11-02T00:00:00"/>
    <d v="2018-11-05T00:00:00"/>
    <d v="2018-11-05T00:00:00"/>
    <d v="2018-11-05T00:00:00"/>
    <x v="0"/>
    <x v="1"/>
  </r>
  <r>
    <s v="MRWSH024472"/>
    <x v="2"/>
    <x v="3"/>
    <d v="2018-11-20T00:00:00"/>
    <d v="2018-11-20T00:00:00"/>
    <d v="2018-11-20T00:00:00"/>
    <d v="2018-11-20T00:00:00"/>
    <x v="0"/>
    <x v="1"/>
  </r>
  <r>
    <s v="MRWSH024476"/>
    <x v="2"/>
    <x v="3"/>
    <d v="2018-11-20T00:00:00"/>
    <d v="2018-12-14T00:00:00"/>
    <d v="2018-12-07T00:00:00"/>
    <m/>
    <x v="1"/>
    <x v="2"/>
  </r>
  <r>
    <s v="MRWSH024478"/>
    <x v="2"/>
    <x v="3"/>
    <d v="2018-11-09T00:00:00"/>
    <d v="2018-11-08T00:00:00"/>
    <d v="2018-11-08T00:00:00"/>
    <d v="2018-11-08T00:00:00"/>
    <x v="0"/>
    <x v="1"/>
  </r>
  <r>
    <s v="MRWSH024483"/>
    <x v="2"/>
    <x v="3"/>
    <d v="2018-11-30T00:00:00"/>
    <d v="2018-12-19T00:00:00"/>
    <d v="2018-11-28T00:00:00"/>
    <m/>
    <x v="0"/>
    <x v="3"/>
  </r>
  <r>
    <s v="MRWSH024485"/>
    <x v="2"/>
    <x v="3"/>
    <d v="2018-11-20T00:00:00"/>
    <d v="2018-11-30T00:00:00"/>
    <d v="2018-11-26T00:00:00"/>
    <m/>
    <x v="0"/>
    <x v="0"/>
  </r>
  <r>
    <s v="MRWSH024494"/>
    <x v="2"/>
    <x v="3"/>
    <d v="2018-11-01T00:00:00"/>
    <d v="2018-11-01T00:00:00"/>
    <d v="2018-11-01T00:00:00"/>
    <d v="2018-11-01T00:00:00"/>
    <x v="0"/>
    <x v="1"/>
  </r>
  <r>
    <s v="MRWSH024505"/>
    <x v="2"/>
    <x v="3"/>
    <d v="2018-11-20T00:00:00"/>
    <d v="2018-12-06T00:00:00"/>
    <d v="2018-11-27T00:00:00"/>
    <m/>
    <x v="0"/>
    <x v="3"/>
  </r>
  <r>
    <s v="MRWSH024511"/>
    <x v="2"/>
    <x v="3"/>
    <d v="2018-11-09T00:00:00"/>
    <d v="2018-11-08T00:00:00"/>
    <d v="2018-11-08T00:00:00"/>
    <d v="2018-11-08T00:00:00"/>
    <x v="0"/>
    <x v="1"/>
  </r>
  <r>
    <s v="MRWSH024516"/>
    <x v="2"/>
    <x v="3"/>
    <d v="2018-11-16T00:00:00"/>
    <d v="2018-11-30T00:00:00"/>
    <d v="2018-11-29T00:00:00"/>
    <m/>
    <x v="0"/>
    <x v="0"/>
  </r>
  <r>
    <s v="MRWSH024525"/>
    <x v="2"/>
    <x v="3"/>
    <d v="2018-11-16T00:00:00"/>
    <d v="2018-12-06T00:00:00"/>
    <d v="2018-11-30T00:00:00"/>
    <m/>
    <x v="0"/>
    <x v="3"/>
  </r>
  <r>
    <s v="MRWSH024533"/>
    <x v="2"/>
    <x v="3"/>
    <d v="2018-11-20T00:00:00"/>
    <d v="2018-12-04T00:00:00"/>
    <d v="2018-12-07T00:00:00"/>
    <m/>
    <x v="1"/>
    <x v="2"/>
  </r>
  <r>
    <s v="MRWSH024540"/>
    <x v="2"/>
    <x v="3"/>
    <d v="2018-11-07T00:00:00"/>
    <d v="2018-11-08T00:00:00"/>
    <d v="2018-11-08T00:00:00"/>
    <d v="2018-11-08T00:00:00"/>
    <x v="0"/>
    <x v="1"/>
  </r>
  <r>
    <s v="MRWSH024544"/>
    <x v="2"/>
    <x v="3"/>
    <d v="2018-11-01T00:00:00"/>
    <d v="2018-11-01T00:00:00"/>
    <d v="2018-11-01T00:00:00"/>
    <d v="2018-11-01T00:00:00"/>
    <x v="0"/>
    <x v="1"/>
  </r>
  <r>
    <s v="MRWSH024551"/>
    <x v="2"/>
    <x v="3"/>
    <d v="2018-11-20T00:00:00"/>
    <d v="2018-12-04T00:00:00"/>
    <d v="2018-12-07T00:00:00"/>
    <m/>
    <x v="1"/>
    <x v="2"/>
  </r>
  <r>
    <s v="MRNTX030663"/>
    <x v="1"/>
    <x v="3"/>
    <d v="2018-11-22T00:00:00"/>
    <d v="2018-09-24T00:00:00"/>
    <d v="2018-11-16T00:00:00"/>
    <d v="2018-11-16T00:00:00"/>
    <x v="0"/>
    <x v="1"/>
  </r>
  <r>
    <s v="MRANM006454"/>
    <x v="3"/>
    <x v="3"/>
    <d v="2018-11-16T00:00:00"/>
    <d v="2018-12-26T00:00:00"/>
    <d v="2018-12-11T00:00:00"/>
    <m/>
    <x v="1"/>
    <x v="4"/>
  </r>
  <r>
    <s v="MRSTX034020"/>
    <x v="0"/>
    <x v="3"/>
    <d v="2018-11-21T00:00:00"/>
    <d v="2018-11-21T00:00:00"/>
    <d v="2018-11-20T00:00:00"/>
    <d v="2018-11-20T00:00:00"/>
    <x v="0"/>
    <x v="1"/>
  </r>
  <r>
    <s v="MRSTX034023"/>
    <x v="0"/>
    <x v="3"/>
    <d v="2018-11-21T00:00:00"/>
    <d v="2018-11-21T00:00:00"/>
    <d v="2018-11-20T00:00:00"/>
    <d v="2018-11-20T00:00:00"/>
    <x v="0"/>
    <x v="1"/>
  </r>
  <r>
    <s v="MRSTX034047"/>
    <x v="0"/>
    <x v="3"/>
    <d v="2018-11-21T00:00:00"/>
    <d v="2018-11-21T00:00:00"/>
    <d v="2018-11-14T00:00:00"/>
    <d v="2018-11-14T00:00:00"/>
    <x v="0"/>
    <x v="1"/>
  </r>
  <r>
    <s v="MRSTX034111"/>
    <x v="0"/>
    <x v="3"/>
    <d v="2018-11-24T00:00:00"/>
    <d v="2018-12-13T00:00:00"/>
    <d v="2018-12-13T00:00:00"/>
    <m/>
    <x v="1"/>
    <x v="2"/>
  </r>
  <r>
    <s v="MRSTX034112"/>
    <x v="0"/>
    <x v="3"/>
    <d v="2018-11-24T00:00:00"/>
    <d v="2018-12-13T00:00:00"/>
    <d v="2018-12-13T00:00:00"/>
    <m/>
    <x v="1"/>
    <x v="2"/>
  </r>
  <r>
    <s v="MRSTX034116"/>
    <x v="0"/>
    <x v="3"/>
    <d v="2018-11-24T00:00:00"/>
    <d v="2018-11-24T00:00:00"/>
    <d v="2018-11-20T00:00:00"/>
    <d v="2018-11-20T00:00:00"/>
    <x v="0"/>
    <x v="1"/>
  </r>
  <r>
    <s v="MRSTX034119"/>
    <x v="0"/>
    <x v="3"/>
    <d v="2018-11-24T00:00:00"/>
    <d v="2018-12-13T00:00:00"/>
    <d v="2018-12-13T00:00:00"/>
    <m/>
    <x v="1"/>
    <x v="2"/>
  </r>
  <r>
    <s v="MRSTX034122"/>
    <x v="0"/>
    <x v="3"/>
    <d v="2018-11-24T00:00:00"/>
    <d v="2018-11-24T00:00:00"/>
    <d v="2018-11-20T00:00:00"/>
    <d v="2018-11-20T00:00:00"/>
    <x v="0"/>
    <x v="1"/>
  </r>
  <r>
    <s v="MRSTX034162"/>
    <x v="0"/>
    <x v="3"/>
    <d v="2018-11-21T00:00:00"/>
    <d v="2018-12-25T00:00:00"/>
    <d v="2018-11-21T00:00:00"/>
    <m/>
    <x v="0"/>
    <x v="3"/>
  </r>
  <r>
    <s v="MRSTX034166"/>
    <x v="0"/>
    <x v="3"/>
    <d v="2018-11-21T00:00:00"/>
    <d v="2018-12-25T00:00:00"/>
    <d v="2018-11-21T00:00:00"/>
    <m/>
    <x v="0"/>
    <x v="3"/>
  </r>
  <r>
    <s v="MRSTX034199"/>
    <x v="0"/>
    <x v="3"/>
    <d v="2018-11-21T00:00:00"/>
    <d v="2018-11-21T00:00:00"/>
    <d v="2018-11-20T00:00:00"/>
    <d v="2018-11-20T00:00:00"/>
    <x v="0"/>
    <x v="1"/>
  </r>
  <r>
    <s v="MRSTX034212"/>
    <x v="0"/>
    <x v="3"/>
    <d v="2018-11-21T00:00:00"/>
    <d v="2018-11-21T00:00:00"/>
    <d v="2018-11-19T00:00:00"/>
    <d v="2018-11-19T00:00:00"/>
    <x v="0"/>
    <x v="1"/>
  </r>
  <r>
    <s v="MRSTX034223"/>
    <x v="0"/>
    <x v="3"/>
    <d v="2018-11-19T00:00:00"/>
    <d v="2018-11-19T00:00:00"/>
    <d v="2018-11-06T00:00:00"/>
    <d v="2018-11-06T00:00:00"/>
    <x v="0"/>
    <x v="1"/>
  </r>
  <r>
    <s v="MRNTX030695"/>
    <x v="1"/>
    <x v="3"/>
    <d v="2018-11-26T00:00:00"/>
    <d v="2018-11-30T00:00:00"/>
    <d v="2018-11-30T00:00:00"/>
    <d v="2018-11-28T00:00:00"/>
    <x v="0"/>
    <x v="1"/>
  </r>
  <r>
    <s v="MRNTX030713"/>
    <x v="1"/>
    <x v="3"/>
    <d v="2018-11-03T00:00:00"/>
    <d v="2018-11-03T00:00:00"/>
    <d v="2018-11-05T00:00:00"/>
    <d v="2018-11-05T00:00:00"/>
    <x v="0"/>
    <x v="1"/>
  </r>
  <r>
    <s v="MRNTX030800"/>
    <x v="1"/>
    <x v="3"/>
    <d v="2018-11-05T00:00:00"/>
    <d v="2018-12-03T00:00:00"/>
    <d v="2018-12-03T00:00:00"/>
    <m/>
    <x v="1"/>
    <x v="4"/>
  </r>
  <r>
    <s v="MRNTX030808"/>
    <x v="1"/>
    <x v="3"/>
    <d v="2018-11-16T00:00:00"/>
    <d v="2018-11-30T00:00:00"/>
    <d v="2018-11-28T00:00:00"/>
    <d v="2018-11-28T00:00:00"/>
    <x v="0"/>
    <x v="1"/>
  </r>
  <r>
    <s v="MRNTX030826"/>
    <x v="1"/>
    <x v="3"/>
    <d v="2018-11-16T00:00:00"/>
    <d v="2018-11-26T00:00:00"/>
    <d v="2018-11-25T00:00:00"/>
    <d v="2018-11-25T00:00:00"/>
    <x v="0"/>
    <x v="1"/>
  </r>
  <r>
    <s v="MRNTX030838"/>
    <x v="1"/>
    <x v="3"/>
    <d v="2018-11-05T00:00:00"/>
    <d v="2018-11-14T00:00:00"/>
    <d v="2018-11-09T00:00:00"/>
    <d v="2018-11-09T00:00:00"/>
    <x v="0"/>
    <x v="1"/>
  </r>
  <r>
    <s v="MRNTX030844"/>
    <x v="1"/>
    <x v="3"/>
    <d v="2018-11-26T00:00:00"/>
    <d v="2019-02-11T00:00:00"/>
    <d v="2019-02-11T00:00:00"/>
    <m/>
    <x v="1"/>
    <x v="2"/>
  </r>
  <r>
    <s v="MRNTX030876"/>
    <x v="1"/>
    <x v="3"/>
    <d v="2018-11-19T00:00:00"/>
    <d v="2018-11-19T00:00:00"/>
    <d v="2018-11-19T00:00:00"/>
    <d v="2018-11-19T00:00:00"/>
    <x v="0"/>
    <x v="1"/>
  </r>
  <r>
    <s v="MRNTX030896"/>
    <x v="1"/>
    <x v="3"/>
    <d v="2018-11-03T00:00:00"/>
    <d v="2018-11-03T00:00:00"/>
    <d v="2018-11-05T00:00:00"/>
    <d v="2018-11-05T00:00:00"/>
    <x v="0"/>
    <x v="1"/>
  </r>
  <r>
    <s v="MRNTX030908"/>
    <x v="1"/>
    <x v="3"/>
    <d v="2018-11-26T00:00:00"/>
    <d v="2018-11-30T00:00:00"/>
    <d v="2018-11-30T00:00:00"/>
    <m/>
    <x v="0"/>
    <x v="0"/>
  </r>
  <r>
    <s v="MRNTX030937"/>
    <x v="1"/>
    <x v="3"/>
    <d v="2018-11-26T00:00:00"/>
    <d v="2018-11-30T00:00:00"/>
    <d v="2018-11-30T00:00:00"/>
    <d v="2018-11-28T00:00:00"/>
    <x v="0"/>
    <x v="1"/>
  </r>
  <r>
    <s v="MRNTX030938"/>
    <x v="1"/>
    <x v="3"/>
    <d v="2018-11-19T00:00:00"/>
    <d v="2018-09-18T00:00:00"/>
    <d v="2018-11-06T00:00:00"/>
    <d v="2018-11-06T00:00:00"/>
    <x v="0"/>
    <x v="1"/>
  </r>
  <r>
    <s v="MRNTX030945"/>
    <x v="1"/>
    <x v="3"/>
    <d v="2018-11-26T00:00:00"/>
    <d v="2018-11-26T00:00:00"/>
    <d v="2018-11-15T00:00:00"/>
    <d v="2018-11-15T00:00:00"/>
    <x v="0"/>
    <x v="1"/>
  </r>
  <r>
    <s v="MRNTX033954"/>
    <x v="1"/>
    <x v="3"/>
    <d v="2018-11-19T00:00:00"/>
    <d v="2018-11-30T00:00:00"/>
    <d v="2018-11-30T00:00:00"/>
    <m/>
    <x v="0"/>
    <x v="0"/>
  </r>
  <r>
    <s v="MRNTX033971"/>
    <x v="1"/>
    <x v="3"/>
    <d v="2018-11-19T00:00:00"/>
    <d v="2018-12-20T00:00:00"/>
    <d v="2018-12-20T00:00:00"/>
    <m/>
    <x v="1"/>
    <x v="2"/>
  </r>
  <r>
    <s v="MRNTX033973"/>
    <x v="1"/>
    <x v="3"/>
    <d v="2018-11-16T00:00:00"/>
    <d v="2018-11-16T00:00:00"/>
    <d v="2018-11-12T00:00:00"/>
    <d v="2018-11-12T00:00:00"/>
    <x v="0"/>
    <x v="1"/>
  </r>
  <r>
    <s v="MRNTX033984"/>
    <x v="1"/>
    <x v="3"/>
    <d v="2018-11-19T00:00:00"/>
    <d v="2018-12-20T00:00:00"/>
    <d v="2018-12-20T00:00:00"/>
    <m/>
    <x v="1"/>
    <x v="2"/>
  </r>
  <r>
    <s v="MRNTX035481"/>
    <x v="1"/>
    <x v="3"/>
    <d v="2018-11-16T00:00:00"/>
    <d v="2018-11-16T00:00:00"/>
    <d v="2018-11-09T00:00:00"/>
    <d v="2018-11-09T00:00:00"/>
    <x v="0"/>
    <x v="1"/>
  </r>
  <r>
    <s v="MRNTX035672"/>
    <x v="1"/>
    <x v="3"/>
    <d v="2018-11-19T00:00:00"/>
    <d v="2018-12-10T00:00:00"/>
    <d v="2018-12-10T00:00:00"/>
    <m/>
    <x v="1"/>
    <x v="2"/>
  </r>
  <r>
    <s v="MRNTX035866"/>
    <x v="1"/>
    <x v="3"/>
    <d v="2018-11-14T00:00:00"/>
    <d v="2018-11-19T00:00:00"/>
    <d v="2018-11-12T00:00:00"/>
    <d v="2018-11-12T00:00:00"/>
    <x v="0"/>
    <x v="1"/>
  </r>
  <r>
    <s v="MRNTX035966"/>
    <x v="1"/>
    <x v="3"/>
    <d v="2018-11-16T00:00:00"/>
    <d v="2018-11-30T00:00:00"/>
    <d v="2018-11-30T00:00:00"/>
    <m/>
    <x v="0"/>
    <x v="0"/>
  </r>
  <r>
    <s v="MRNTX035967"/>
    <x v="1"/>
    <x v="3"/>
    <d v="2018-11-09T00:00:00"/>
    <d v="2018-11-19T00:00:00"/>
    <d v="2018-11-12T00:00:00"/>
    <d v="2018-11-12T00:00:00"/>
    <x v="0"/>
    <x v="1"/>
  </r>
  <r>
    <s v="MRNTX035968"/>
    <x v="1"/>
    <x v="3"/>
    <d v="2018-11-26T00:00:00"/>
    <d v="2018-12-03T00:00:00"/>
    <d v="2018-11-21T00:00:00"/>
    <d v="2018-11-21T00:00:00"/>
    <x v="0"/>
    <x v="1"/>
  </r>
  <r>
    <s v="MRNTX035970"/>
    <x v="1"/>
    <x v="3"/>
    <d v="2018-11-02T00:00:00"/>
    <d v="2018-11-15T00:00:00"/>
    <d v="2018-11-02T00:00:00"/>
    <d v="2018-11-02T00:00:00"/>
    <x v="0"/>
    <x v="1"/>
  </r>
  <r>
    <s v="MRNTX035972"/>
    <x v="1"/>
    <x v="3"/>
    <d v="2018-11-23T00:00:00"/>
    <d v="2018-11-23T00:00:00"/>
    <d v="2018-11-12T00:00:00"/>
    <d v="2018-11-12T00:00:00"/>
    <x v="0"/>
    <x v="1"/>
  </r>
  <r>
    <s v="MRNTX035973"/>
    <x v="1"/>
    <x v="3"/>
    <d v="2018-11-23T00:00:00"/>
    <d v="2018-11-27T00:00:00"/>
    <d v="2018-11-15T00:00:00"/>
    <d v="2018-11-15T00:00:00"/>
    <x v="0"/>
    <x v="1"/>
  </r>
  <r>
    <s v="MRNTX035976"/>
    <x v="1"/>
    <x v="3"/>
    <d v="2018-11-26T00:00:00"/>
    <d v="2018-11-26T00:00:00"/>
    <d v="2018-11-12T00:00:00"/>
    <d v="2018-11-12T00:00:00"/>
    <x v="0"/>
    <x v="1"/>
  </r>
  <r>
    <s v="MRNTX035982"/>
    <x v="1"/>
    <x v="3"/>
    <d v="2018-11-19T00:00:00"/>
    <d v="2018-11-19T00:00:00"/>
    <d v="2018-11-14T00:00:00"/>
    <d v="2018-11-14T00:00:00"/>
    <x v="0"/>
    <x v="1"/>
  </r>
  <r>
    <s v="MRNTX035983"/>
    <x v="1"/>
    <x v="3"/>
    <d v="2018-11-26T00:00:00"/>
    <d v="2018-12-18T00:00:00"/>
    <d v="2018-12-18T00:00:00"/>
    <m/>
    <x v="1"/>
    <x v="2"/>
  </r>
  <r>
    <s v="MRNTX035984"/>
    <x v="1"/>
    <x v="3"/>
    <d v="2018-11-19T00:00:00"/>
    <d v="2018-11-30T00:00:00"/>
    <d v="2018-11-30T00:00:00"/>
    <m/>
    <x v="0"/>
    <x v="0"/>
  </r>
  <r>
    <s v="MRNTX035988"/>
    <x v="1"/>
    <x v="3"/>
    <d v="2018-11-19T00:00:00"/>
    <d v="2018-11-19T00:00:00"/>
    <d v="2018-11-08T00:00:00"/>
    <d v="2018-11-08T00:00:00"/>
    <x v="0"/>
    <x v="1"/>
  </r>
  <r>
    <s v="MRNTX035995"/>
    <x v="1"/>
    <x v="3"/>
    <d v="2018-11-15T00:00:00"/>
    <d v="2018-11-15T00:00:00"/>
    <d v="2018-11-07T00:00:00"/>
    <d v="2018-11-07T00:00:00"/>
    <x v="0"/>
    <x v="1"/>
  </r>
  <r>
    <s v="MRNTX035997"/>
    <x v="1"/>
    <x v="3"/>
    <d v="2018-11-26T00:00:00"/>
    <d v="2018-12-03T00:00:00"/>
    <d v="2018-11-25T00:00:00"/>
    <d v="2018-11-25T00:00:00"/>
    <x v="0"/>
    <x v="1"/>
  </r>
  <r>
    <s v="MRNTX036007"/>
    <x v="1"/>
    <x v="3"/>
    <d v="2018-11-02T00:00:00"/>
    <d v="2018-11-05T00:00:00"/>
    <d v="2018-11-02T00:00:00"/>
    <d v="2018-11-02T00:00:00"/>
    <x v="0"/>
    <x v="1"/>
  </r>
  <r>
    <s v="MRNTX036011"/>
    <x v="1"/>
    <x v="3"/>
    <d v="2018-11-26T00:00:00"/>
    <d v="2018-12-03T00:00:00"/>
    <d v="2018-11-25T00:00:00"/>
    <d v="2018-11-25T00:00:00"/>
    <x v="0"/>
    <x v="1"/>
  </r>
  <r>
    <s v="MRNTX036023"/>
    <x v="1"/>
    <x v="3"/>
    <d v="2018-11-26T00:00:00"/>
    <d v="2018-11-30T00:00:00"/>
    <d v="2018-11-30T00:00:00"/>
    <m/>
    <x v="0"/>
    <x v="0"/>
  </r>
  <r>
    <s v="MRNTX036028"/>
    <x v="1"/>
    <x v="3"/>
    <d v="2018-11-19T00:00:00"/>
    <d v="2018-11-19T00:00:00"/>
    <d v="2018-11-09T00:00:00"/>
    <d v="2018-11-09T00:00:00"/>
    <x v="0"/>
    <x v="1"/>
  </r>
  <r>
    <s v="MRNTX036041"/>
    <x v="1"/>
    <x v="3"/>
    <d v="2018-11-15T00:00:00"/>
    <d v="2018-11-15T00:00:00"/>
    <d v="2018-11-07T00:00:00"/>
    <d v="2018-11-07T00:00:00"/>
    <x v="0"/>
    <x v="1"/>
  </r>
  <r>
    <s v="MRNTX036043"/>
    <x v="1"/>
    <x v="3"/>
    <d v="2018-11-26T00:00:00"/>
    <d v="2018-12-04T00:00:00"/>
    <d v="2018-12-04T00:00:00"/>
    <d v="2018-11-28T00:00:00"/>
    <x v="0"/>
    <x v="1"/>
  </r>
  <r>
    <s v="MRNTX036052"/>
    <x v="1"/>
    <x v="3"/>
    <d v="2018-11-26T00:00:00"/>
    <d v="2018-12-14T00:00:00"/>
    <d v="2018-12-14T00:00:00"/>
    <m/>
    <x v="1"/>
    <x v="2"/>
  </r>
  <r>
    <s v="MRNTX036055"/>
    <x v="1"/>
    <x v="3"/>
    <d v="2018-11-26T00:00:00"/>
    <d v="2018-12-03T00:00:00"/>
    <d v="2018-12-03T00:00:00"/>
    <m/>
    <x v="0"/>
    <x v="0"/>
  </r>
  <r>
    <s v="MRNTX036056"/>
    <x v="1"/>
    <x v="3"/>
    <d v="2018-11-26T00:00:00"/>
    <d v="2018-12-03T00:00:00"/>
    <d v="2018-11-25T00:00:00"/>
    <d v="2018-11-25T00:00:00"/>
    <x v="0"/>
    <x v="1"/>
  </r>
  <r>
    <s v="MRNTX036066"/>
    <x v="1"/>
    <x v="3"/>
    <d v="2018-11-21T00:00:00"/>
    <d v="2018-12-04T00:00:00"/>
    <d v="2018-12-04T00:00:00"/>
    <m/>
    <x v="0"/>
    <x v="0"/>
  </r>
  <r>
    <s v="MRNTX036071"/>
    <x v="1"/>
    <x v="3"/>
    <d v="2018-11-26T00:00:00"/>
    <d v="2018-12-14T00:00:00"/>
    <d v="2018-12-14T00:00:00"/>
    <m/>
    <x v="1"/>
    <x v="2"/>
  </r>
  <r>
    <s v="MRNTX036080"/>
    <x v="1"/>
    <x v="3"/>
    <d v="2018-11-19T00:00:00"/>
    <d v="2018-11-19T00:00:00"/>
    <d v="2018-11-09T00:00:00"/>
    <d v="2018-11-09T00:00:00"/>
    <x v="0"/>
    <x v="1"/>
  </r>
  <r>
    <s v="MRNTX036089"/>
    <x v="1"/>
    <x v="3"/>
    <d v="2018-11-19T00:00:00"/>
    <d v="2018-11-19T00:00:00"/>
    <d v="2018-11-09T00:00:00"/>
    <d v="2018-11-09T00:00:00"/>
    <x v="0"/>
    <x v="1"/>
  </r>
  <r>
    <s v="MRNTX036092"/>
    <x v="1"/>
    <x v="3"/>
    <d v="2018-11-26T00:00:00"/>
    <d v="2018-12-03T00:00:00"/>
    <d v="2018-12-03T00:00:00"/>
    <m/>
    <x v="0"/>
    <x v="0"/>
  </r>
  <r>
    <s v="MRNTX036094"/>
    <x v="1"/>
    <x v="3"/>
    <d v="2018-11-26T00:00:00"/>
    <d v="2018-12-14T00:00:00"/>
    <d v="2018-12-14T00:00:00"/>
    <m/>
    <x v="1"/>
    <x v="2"/>
  </r>
  <r>
    <s v="MRNTX036097"/>
    <x v="1"/>
    <x v="3"/>
    <d v="2018-11-21T00:00:00"/>
    <d v="2018-12-04T00:00:00"/>
    <d v="2018-12-04T00:00:00"/>
    <m/>
    <x v="0"/>
    <x v="0"/>
  </r>
  <r>
    <s v="MRNTX036101"/>
    <x v="1"/>
    <x v="3"/>
    <d v="2018-11-26T00:00:00"/>
    <d v="2018-11-30T00:00:00"/>
    <d v="2018-11-30T00:00:00"/>
    <m/>
    <x v="0"/>
    <x v="0"/>
  </r>
  <r>
    <s v="MRNTX036102"/>
    <x v="1"/>
    <x v="3"/>
    <d v="2018-11-26T00:00:00"/>
    <d v="2018-12-14T00:00:00"/>
    <d v="2018-12-14T00:00:00"/>
    <m/>
    <x v="1"/>
    <x v="2"/>
  </r>
  <r>
    <s v="MRNTX036104"/>
    <x v="1"/>
    <x v="3"/>
    <d v="2018-11-02T00:00:00"/>
    <d v="2018-11-05T00:00:00"/>
    <d v="2018-11-02T00:00:00"/>
    <d v="2018-11-02T00:00:00"/>
    <x v="0"/>
    <x v="1"/>
  </r>
  <r>
    <s v="MRNTX036106"/>
    <x v="1"/>
    <x v="3"/>
    <d v="2018-11-26T00:00:00"/>
    <d v="2018-12-14T00:00:00"/>
    <d v="2018-12-14T00:00:00"/>
    <m/>
    <x v="1"/>
    <x v="2"/>
  </r>
  <r>
    <s v="MRNTX036108"/>
    <x v="1"/>
    <x v="3"/>
    <d v="2018-11-26T00:00:00"/>
    <d v="2018-12-03T00:00:00"/>
    <d v="2018-11-25T00:00:00"/>
    <d v="2018-11-25T00:00:00"/>
    <x v="0"/>
    <x v="1"/>
  </r>
  <r>
    <s v="MRNTX036109"/>
    <x v="1"/>
    <x v="3"/>
    <d v="2018-11-26T00:00:00"/>
    <d v="2018-12-14T00:00:00"/>
    <d v="2018-12-14T00:00:00"/>
    <m/>
    <x v="1"/>
    <x v="2"/>
  </r>
  <r>
    <s v="MRNTX036130"/>
    <x v="1"/>
    <x v="3"/>
    <d v="2018-11-16T00:00:00"/>
    <d v="2018-12-10T00:00:00"/>
    <d v="2018-12-10T00:00:00"/>
    <m/>
    <x v="1"/>
    <x v="4"/>
  </r>
  <r>
    <s v="MRNTX036132"/>
    <x v="1"/>
    <x v="3"/>
    <d v="2018-11-29T00:00:00"/>
    <d v="2018-12-14T00:00:00"/>
    <d v="2018-12-14T00:00:00"/>
    <m/>
    <x v="1"/>
    <x v="2"/>
  </r>
  <r>
    <s v="MRNTX036140"/>
    <x v="1"/>
    <x v="3"/>
    <d v="2018-11-26T00:00:00"/>
    <d v="2018-12-10T00:00:00"/>
    <d v="2018-12-10T00:00:00"/>
    <m/>
    <x v="0"/>
    <x v="0"/>
  </r>
  <r>
    <s v="MRNTX036143"/>
    <x v="1"/>
    <x v="3"/>
    <d v="2018-11-29T00:00:00"/>
    <d v="2018-12-14T00:00:00"/>
    <d v="2018-12-14T00:00:00"/>
    <m/>
    <x v="1"/>
    <x v="2"/>
  </r>
  <r>
    <s v="MRNTX036144"/>
    <x v="1"/>
    <x v="3"/>
    <d v="2018-11-23T00:00:00"/>
    <d v="2018-12-03T00:00:00"/>
    <d v="2018-11-28T00:00:00"/>
    <d v="2018-11-28T00:00:00"/>
    <x v="0"/>
    <x v="1"/>
  </r>
  <r>
    <s v="MRNTX036150"/>
    <x v="1"/>
    <x v="3"/>
    <d v="2018-11-29T00:00:00"/>
    <d v="2018-12-14T00:00:00"/>
    <d v="2018-12-14T00:00:00"/>
    <m/>
    <x v="1"/>
    <x v="2"/>
  </r>
  <r>
    <s v="MRNTX036154"/>
    <x v="1"/>
    <x v="3"/>
    <d v="2018-11-19T00:00:00"/>
    <d v="2018-12-17T00:00:00"/>
    <d v="2018-12-17T00:00:00"/>
    <m/>
    <x v="1"/>
    <x v="2"/>
  </r>
  <r>
    <s v="MRNTX036155"/>
    <x v="1"/>
    <x v="3"/>
    <d v="2018-11-28T00:00:00"/>
    <d v="1999-12-30T00:00:00"/>
    <d v="2018-11-05T00:00:00"/>
    <d v="2018-11-05T00:00:00"/>
    <x v="0"/>
    <x v="1"/>
  </r>
  <r>
    <s v="MRNTX036158"/>
    <x v="1"/>
    <x v="3"/>
    <d v="2018-11-23T00:00:00"/>
    <d v="2018-12-03T00:00:00"/>
    <d v="2018-12-03T00:00:00"/>
    <m/>
    <x v="0"/>
    <x v="0"/>
  </r>
  <r>
    <s v="MRNTX036165"/>
    <x v="1"/>
    <x v="3"/>
    <d v="2018-11-16T00:00:00"/>
    <d v="2018-11-30T00:00:00"/>
    <d v="2018-11-28T00:00:00"/>
    <d v="2018-11-28T00:00:00"/>
    <x v="0"/>
    <x v="1"/>
  </r>
  <r>
    <s v="MRNTX036166"/>
    <x v="1"/>
    <x v="3"/>
    <d v="2018-11-05T00:00:00"/>
    <d v="2018-11-14T00:00:00"/>
    <d v="2018-11-16T00:00:00"/>
    <d v="2018-11-16T00:00:00"/>
    <x v="0"/>
    <x v="1"/>
  </r>
  <r>
    <s v="MRNTX036179"/>
    <x v="1"/>
    <x v="3"/>
    <d v="2018-11-23T00:00:00"/>
    <d v="2018-11-23T00:00:00"/>
    <d v="2018-11-14T00:00:00"/>
    <d v="2018-11-14T00:00:00"/>
    <x v="0"/>
    <x v="1"/>
  </r>
  <r>
    <s v="MRNTX036181"/>
    <x v="1"/>
    <x v="3"/>
    <d v="2018-11-19T00:00:00"/>
    <d v="2018-12-04T00:00:00"/>
    <d v="2018-11-25T00:00:00"/>
    <d v="2018-11-25T00:00:00"/>
    <x v="0"/>
    <x v="1"/>
  </r>
  <r>
    <s v="MRNTX036189"/>
    <x v="1"/>
    <x v="3"/>
    <d v="2018-11-26T00:00:00"/>
    <d v="2018-11-26T00:00:00"/>
    <d v="2018-11-25T00:00:00"/>
    <d v="2018-11-25T00:00:00"/>
    <x v="0"/>
    <x v="1"/>
  </r>
  <r>
    <s v="MRNTX036196"/>
    <x v="1"/>
    <x v="3"/>
    <d v="2018-11-23T00:00:00"/>
    <d v="2018-12-04T00:00:00"/>
    <d v="2018-12-04T00:00:00"/>
    <m/>
    <x v="0"/>
    <x v="0"/>
  </r>
  <r>
    <s v="MRNTX036200"/>
    <x v="1"/>
    <x v="3"/>
    <d v="2018-11-29T00:00:00"/>
    <d v="2018-12-17T00:00:00"/>
    <d v="2018-12-17T00:00:00"/>
    <m/>
    <x v="1"/>
    <x v="2"/>
  </r>
  <r>
    <s v="MRNTX029317"/>
    <x v="1"/>
    <x v="3"/>
    <d v="2018-11-26T00:00:00"/>
    <d v="2018-12-14T00:00:00"/>
    <d v="2018-12-14T00:00:00"/>
    <m/>
    <x v="1"/>
    <x v="2"/>
  </r>
  <r>
    <s v="MRNTX029328"/>
    <x v="1"/>
    <x v="3"/>
    <d v="2018-11-26T00:00:00"/>
    <d v="2018-12-14T00:00:00"/>
    <d v="2018-12-14T00:00:00"/>
    <m/>
    <x v="1"/>
    <x v="2"/>
  </r>
  <r>
    <s v="MRNTX029330"/>
    <x v="1"/>
    <x v="3"/>
    <d v="2018-11-26T00:00:00"/>
    <d v="2019-01-30T00:00:00"/>
    <d v="2019-01-30T00:00:00"/>
    <m/>
    <x v="1"/>
    <x v="2"/>
  </r>
  <r>
    <s v="MRNTX029337"/>
    <x v="1"/>
    <x v="3"/>
    <d v="2018-11-26T00:00:00"/>
    <d v="2018-12-17T00:00:00"/>
    <d v="2018-12-17T00:00:00"/>
    <m/>
    <x v="1"/>
    <x v="2"/>
  </r>
  <r>
    <s v="MRNTX029342"/>
    <x v="1"/>
    <x v="3"/>
    <d v="2018-11-23T00:00:00"/>
    <d v="2018-12-03T00:00:00"/>
    <d v="2018-11-28T00:00:00"/>
    <d v="2018-11-28T00:00:00"/>
    <x v="0"/>
    <x v="1"/>
  </r>
  <r>
    <s v="MRNTX029343"/>
    <x v="1"/>
    <x v="3"/>
    <d v="2018-11-08T00:00:00"/>
    <d v="2018-11-08T00:00:00"/>
    <d v="2018-11-05T00:00:00"/>
    <d v="2018-11-05T00:00:00"/>
    <x v="0"/>
    <x v="1"/>
  </r>
  <r>
    <s v="MRNTX029345"/>
    <x v="1"/>
    <x v="3"/>
    <d v="2018-11-16T00:00:00"/>
    <d v="2018-11-30T00:00:00"/>
    <d v="2018-11-30T00:00:00"/>
    <m/>
    <x v="0"/>
    <x v="0"/>
  </r>
  <r>
    <s v="MRNTX029360"/>
    <x v="1"/>
    <x v="3"/>
    <d v="2018-11-16T00:00:00"/>
    <d v="2018-12-10T00:00:00"/>
    <d v="2018-12-10T00:00:00"/>
    <m/>
    <x v="1"/>
    <x v="4"/>
  </r>
  <r>
    <s v="MRNTX029363"/>
    <x v="1"/>
    <x v="3"/>
    <d v="2018-11-26T00:00:00"/>
    <d v="2018-12-10T00:00:00"/>
    <d v="2018-12-10T00:00:00"/>
    <m/>
    <x v="0"/>
    <x v="0"/>
  </r>
  <r>
    <s v="MRNTX029366"/>
    <x v="1"/>
    <x v="3"/>
    <d v="2018-11-05T00:00:00"/>
    <d v="2018-11-05T00:00:00"/>
    <d v="2018-11-06T00:00:00"/>
    <d v="2018-11-06T00:00:00"/>
    <x v="0"/>
    <x v="1"/>
  </r>
  <r>
    <s v="MRNTX029387"/>
    <x v="1"/>
    <x v="3"/>
    <d v="2018-11-19T00:00:00"/>
    <d v="2018-11-19T00:00:00"/>
    <d v="2018-11-15T00:00:00"/>
    <d v="2018-11-15T00:00:00"/>
    <x v="0"/>
    <x v="1"/>
  </r>
  <r>
    <s v="MRNTX029389"/>
    <x v="1"/>
    <x v="3"/>
    <d v="2018-11-26T00:00:00"/>
    <d v="2018-12-21T00:00:00"/>
    <d v="2018-12-21T00:00:00"/>
    <m/>
    <x v="1"/>
    <x v="2"/>
  </r>
  <r>
    <s v="MRNTX029390"/>
    <x v="1"/>
    <x v="3"/>
    <d v="2018-11-14T00:00:00"/>
    <d v="2018-11-14T00:00:00"/>
    <d v="2018-11-05T00:00:00"/>
    <d v="2018-11-05T00:00:00"/>
    <x v="0"/>
    <x v="1"/>
  </r>
  <r>
    <s v="MRNTX029392"/>
    <x v="1"/>
    <x v="3"/>
    <d v="2018-11-29T00:00:00"/>
    <d v="2018-12-14T00:00:00"/>
    <d v="2018-12-14T00:00:00"/>
    <m/>
    <x v="1"/>
    <x v="2"/>
  </r>
  <r>
    <s v="MRNTX029397"/>
    <x v="1"/>
    <x v="3"/>
    <d v="2018-11-05T00:00:00"/>
    <d v="2018-11-05T00:00:00"/>
    <d v="2018-11-05T00:00:00"/>
    <d v="2018-11-05T00:00:00"/>
    <x v="0"/>
    <x v="1"/>
  </r>
  <r>
    <s v="MRNTX029401"/>
    <x v="1"/>
    <x v="3"/>
    <d v="2018-11-19T00:00:00"/>
    <d v="2018-11-19T00:00:00"/>
    <d v="2018-11-15T00:00:00"/>
    <d v="2018-11-15T00:00:00"/>
    <x v="0"/>
    <x v="1"/>
  </r>
  <r>
    <s v="MRNTX029405"/>
    <x v="1"/>
    <x v="3"/>
    <d v="2018-11-16T00:00:00"/>
    <d v="2018-11-16T00:00:00"/>
    <d v="2018-11-28T00:00:00"/>
    <d v="2018-11-28T00:00:00"/>
    <x v="0"/>
    <x v="1"/>
  </r>
  <r>
    <s v="MRNTX029407"/>
    <x v="1"/>
    <x v="3"/>
    <d v="2018-11-02T00:00:00"/>
    <d v="2018-11-05T00:00:00"/>
    <d v="2018-11-02T00:00:00"/>
    <d v="2018-11-02T00:00:00"/>
    <x v="0"/>
    <x v="1"/>
  </r>
  <r>
    <s v="MRNTX029413"/>
    <x v="1"/>
    <x v="3"/>
    <d v="2018-11-25T00:00:00"/>
    <d v="2018-12-10T00:00:00"/>
    <d v="2018-12-10T00:00:00"/>
    <m/>
    <x v="1"/>
    <x v="2"/>
  </r>
  <r>
    <s v="MRNTX029440"/>
    <x v="1"/>
    <x v="3"/>
    <d v="2018-11-09T00:00:00"/>
    <d v="2018-11-09T00:00:00"/>
    <d v="2018-11-05T00:00:00"/>
    <d v="2018-11-05T00:00:00"/>
    <x v="0"/>
    <x v="1"/>
  </r>
  <r>
    <s v="MRNTX029441"/>
    <x v="1"/>
    <x v="3"/>
    <d v="2018-11-26T00:00:00"/>
    <d v="2018-12-10T00:00:00"/>
    <d v="2018-12-10T00:00:00"/>
    <m/>
    <x v="0"/>
    <x v="0"/>
  </r>
  <r>
    <s v="MRNTX029444"/>
    <x v="1"/>
    <x v="3"/>
    <d v="2018-11-10T00:00:00"/>
    <d v="2018-11-19T00:00:00"/>
    <d v="2018-11-16T00:00:00"/>
    <d v="2018-11-16T00:00:00"/>
    <x v="0"/>
    <x v="1"/>
  </r>
  <r>
    <s v="MRNTX029447"/>
    <x v="1"/>
    <x v="3"/>
    <d v="2018-11-25T00:00:00"/>
    <d v="2018-12-20T00:00:00"/>
    <d v="2018-12-20T00:00:00"/>
    <m/>
    <x v="1"/>
    <x v="2"/>
  </r>
  <r>
    <s v="MRNTX029455"/>
    <x v="1"/>
    <x v="3"/>
    <d v="2018-11-29T00:00:00"/>
    <d v="2018-11-29T00:00:00"/>
    <d v="2018-11-14T00:00:00"/>
    <d v="2018-11-14T00:00:00"/>
    <x v="0"/>
    <x v="1"/>
  </r>
  <r>
    <s v="MRNTX029456"/>
    <x v="1"/>
    <x v="3"/>
    <d v="2018-11-25T00:00:00"/>
    <d v="2018-12-10T00:00:00"/>
    <d v="2018-12-10T00:00:00"/>
    <m/>
    <x v="1"/>
    <x v="2"/>
  </r>
  <r>
    <s v="MRNTX029461"/>
    <x v="1"/>
    <x v="3"/>
    <d v="2018-11-14T00:00:00"/>
    <d v="2018-11-19T00:00:00"/>
    <d v="2018-11-14T00:00:00"/>
    <d v="2018-11-14T00:00:00"/>
    <x v="0"/>
    <x v="1"/>
  </r>
  <r>
    <s v="MRNTX029463"/>
    <x v="1"/>
    <x v="3"/>
    <d v="2018-11-16T00:00:00"/>
    <d v="2018-11-30T00:00:00"/>
    <d v="2018-11-30T00:00:00"/>
    <m/>
    <x v="0"/>
    <x v="0"/>
  </r>
  <r>
    <s v="MRNTX029468"/>
    <x v="1"/>
    <x v="3"/>
    <d v="2018-11-26T00:00:00"/>
    <d v="2018-12-21T00:00:00"/>
    <d v="2018-11-26T00:00:00"/>
    <d v="2018-11-26T00:00:00"/>
    <x v="0"/>
    <x v="1"/>
  </r>
  <r>
    <s v="MRNTX029473"/>
    <x v="1"/>
    <x v="3"/>
    <d v="2018-11-23T00:00:00"/>
    <d v="2018-12-04T00:00:00"/>
    <d v="2018-12-04T00:00:00"/>
    <d v="2018-11-30T00:00:00"/>
    <x v="0"/>
    <x v="1"/>
  </r>
  <r>
    <s v="MRNTX029488"/>
    <x v="1"/>
    <x v="3"/>
    <d v="2018-11-28T00:00:00"/>
    <d v="1999-12-30T00:00:00"/>
    <d v="2018-11-05T00:00:00"/>
    <d v="2018-11-05T00:00:00"/>
    <x v="0"/>
    <x v="1"/>
  </r>
  <r>
    <s v="MRNTX029490"/>
    <x v="1"/>
    <x v="3"/>
    <d v="2018-11-29T00:00:00"/>
    <d v="2018-11-29T00:00:00"/>
    <d v="2018-11-14T00:00:00"/>
    <d v="2018-11-14T00:00:00"/>
    <x v="0"/>
    <x v="1"/>
  </r>
  <r>
    <s v="MRNTX029497"/>
    <x v="1"/>
    <x v="3"/>
    <d v="2018-11-25T00:00:00"/>
    <d v="2018-12-10T00:00:00"/>
    <d v="2018-12-10T00:00:00"/>
    <m/>
    <x v="1"/>
    <x v="2"/>
  </r>
  <r>
    <s v="MRNTX029504"/>
    <x v="1"/>
    <x v="3"/>
    <d v="2018-11-14T00:00:00"/>
    <d v="2018-11-19T00:00:00"/>
    <d v="2018-11-14T00:00:00"/>
    <d v="2018-11-14T00:00:00"/>
    <x v="0"/>
    <x v="1"/>
  </r>
  <r>
    <s v="MRNTX029505"/>
    <x v="1"/>
    <x v="3"/>
    <d v="2018-11-14T00:00:00"/>
    <d v="2018-11-14T00:00:00"/>
    <d v="2018-11-07T00:00:00"/>
    <d v="2018-11-07T00:00:00"/>
    <x v="0"/>
    <x v="1"/>
  </r>
  <r>
    <s v="MRNTX029513"/>
    <x v="1"/>
    <x v="3"/>
    <d v="2018-11-16T00:00:00"/>
    <d v="2019-02-11T00:00:00"/>
    <d v="2019-02-11T00:00:00"/>
    <m/>
    <x v="1"/>
    <x v="4"/>
  </r>
  <r>
    <s v="MRNTX029522"/>
    <x v="1"/>
    <x v="3"/>
    <d v="2018-11-02T00:00:00"/>
    <d v="2018-11-05T00:00:00"/>
    <d v="2018-11-02T00:00:00"/>
    <d v="2018-11-02T00:00:00"/>
    <x v="0"/>
    <x v="1"/>
  </r>
  <r>
    <s v="MRNTX029531"/>
    <x v="1"/>
    <x v="3"/>
    <d v="2018-11-26T00:00:00"/>
    <d v="2018-12-10T00:00:00"/>
    <d v="2018-12-10T00:00:00"/>
    <m/>
    <x v="0"/>
    <x v="0"/>
  </r>
  <r>
    <s v="MRNTX029534"/>
    <x v="1"/>
    <x v="3"/>
    <d v="2018-11-16T00:00:00"/>
    <d v="2018-11-16T00:00:00"/>
    <d v="2018-11-28T00:00:00"/>
    <d v="2018-11-28T00:00:00"/>
    <x v="0"/>
    <x v="1"/>
  </r>
  <r>
    <s v="MRNTX029541"/>
    <x v="1"/>
    <x v="3"/>
    <d v="2018-11-26T00:00:00"/>
    <d v="2018-12-10T00:00:00"/>
    <d v="2018-12-10T00:00:00"/>
    <m/>
    <x v="0"/>
    <x v="0"/>
  </r>
  <r>
    <s v="MRNTX029597"/>
    <x v="1"/>
    <x v="3"/>
    <d v="2018-11-05T00:00:00"/>
    <d v="2018-11-14T00:00:00"/>
    <d v="2018-11-16T00:00:00"/>
    <d v="2018-11-16T00:00:00"/>
    <x v="0"/>
    <x v="1"/>
  </r>
  <r>
    <s v="MRNTX029600"/>
    <x v="1"/>
    <x v="3"/>
    <d v="2018-11-12T00:00:00"/>
    <d v="2018-11-19T00:00:00"/>
    <d v="2018-11-16T00:00:00"/>
    <d v="2018-11-16T00:00:00"/>
    <x v="0"/>
    <x v="1"/>
  </r>
  <r>
    <s v="MRNTX029601"/>
    <x v="1"/>
    <x v="3"/>
    <d v="2018-11-03T00:00:00"/>
    <d v="2018-11-03T00:00:00"/>
    <d v="2018-11-05T00:00:00"/>
    <d v="2018-11-05T00:00:00"/>
    <x v="0"/>
    <x v="1"/>
  </r>
  <r>
    <s v="MRNTX029604"/>
    <x v="1"/>
    <x v="3"/>
    <d v="2018-11-26T00:00:00"/>
    <d v="2018-12-10T00:00:00"/>
    <d v="2018-12-10T00:00:00"/>
    <m/>
    <x v="0"/>
    <x v="0"/>
  </r>
  <r>
    <s v="MRNTX029614"/>
    <x v="1"/>
    <x v="3"/>
    <d v="2018-11-23T00:00:00"/>
    <d v="2018-12-10T00:00:00"/>
    <d v="2018-12-10T00:00:00"/>
    <m/>
    <x v="1"/>
    <x v="2"/>
  </r>
  <r>
    <s v="MRNTX029625"/>
    <x v="1"/>
    <x v="3"/>
    <d v="2018-11-29T00:00:00"/>
    <d v="2018-12-14T00:00:00"/>
    <d v="2018-12-14T00:00:00"/>
    <m/>
    <x v="1"/>
    <x v="2"/>
  </r>
  <r>
    <s v="MRNTX029640"/>
    <x v="1"/>
    <x v="3"/>
    <d v="2018-11-26T00:00:00"/>
    <d v="2019-01-30T00:00:00"/>
    <d v="2019-01-30T00:00:00"/>
    <m/>
    <x v="1"/>
    <x v="2"/>
  </r>
  <r>
    <s v="MRNTX029662"/>
    <x v="1"/>
    <x v="3"/>
    <d v="2018-11-14T00:00:00"/>
    <d v="2018-11-19T00:00:00"/>
    <d v="2018-11-14T00:00:00"/>
    <d v="2018-11-14T00:00:00"/>
    <x v="0"/>
    <x v="1"/>
  </r>
  <r>
    <s v="MRNTX029667"/>
    <x v="1"/>
    <x v="3"/>
    <d v="2018-11-19T00:00:00"/>
    <d v="2018-11-19T00:00:00"/>
    <d v="2018-11-15T00:00:00"/>
    <d v="2018-11-15T00:00:00"/>
    <x v="0"/>
    <x v="1"/>
  </r>
  <r>
    <s v="MRNTX029678"/>
    <x v="1"/>
    <x v="3"/>
    <d v="2018-11-16T00:00:00"/>
    <d v="2018-11-30T00:00:00"/>
    <d v="2018-11-30T00:00:00"/>
    <m/>
    <x v="0"/>
    <x v="0"/>
  </r>
  <r>
    <s v="MRNTX029680"/>
    <x v="1"/>
    <x v="3"/>
    <d v="2018-11-16T00:00:00"/>
    <d v="2018-11-30T00:00:00"/>
    <d v="2018-11-30T00:00:00"/>
    <m/>
    <x v="0"/>
    <x v="0"/>
  </r>
  <r>
    <s v="MRNTX029681"/>
    <x v="1"/>
    <x v="3"/>
    <d v="2018-11-14T00:00:00"/>
    <d v="2018-11-14T00:00:00"/>
    <d v="2018-11-07T00:00:00"/>
    <d v="2018-11-07T00:00:00"/>
    <x v="0"/>
    <x v="1"/>
  </r>
  <r>
    <s v="MRNTX029683"/>
    <x v="1"/>
    <x v="3"/>
    <d v="2018-11-26T00:00:00"/>
    <d v="2018-12-17T00:00:00"/>
    <d v="2018-12-17T00:00:00"/>
    <m/>
    <x v="1"/>
    <x v="2"/>
  </r>
  <r>
    <s v="MRNTX029685"/>
    <x v="1"/>
    <x v="3"/>
    <d v="2018-11-04T00:00:00"/>
    <d v="2018-11-04T00:00:00"/>
    <d v="2018-11-05T00:00:00"/>
    <d v="2018-11-05T00:00:00"/>
    <x v="0"/>
    <x v="1"/>
  </r>
  <r>
    <s v="MRNTX029686"/>
    <x v="1"/>
    <x v="3"/>
    <d v="2018-11-04T00:00:00"/>
    <d v="2018-11-04T00:00:00"/>
    <d v="2018-11-05T00:00:00"/>
    <d v="2018-11-05T00:00:00"/>
    <x v="0"/>
    <x v="1"/>
  </r>
  <r>
    <s v="MRNTX029687"/>
    <x v="1"/>
    <x v="3"/>
    <d v="2018-11-26T00:00:00"/>
    <d v="2018-12-03T00:00:00"/>
    <d v="2018-12-03T00:00:00"/>
    <m/>
    <x v="0"/>
    <x v="0"/>
  </r>
  <r>
    <s v="MRNTX029688"/>
    <x v="1"/>
    <x v="3"/>
    <d v="2018-11-05T00:00:00"/>
    <d v="2018-11-05T00:00:00"/>
    <d v="2018-11-05T00:00:00"/>
    <d v="2018-11-05T00:00:00"/>
    <x v="0"/>
    <x v="1"/>
  </r>
  <r>
    <s v="MRNTX029690"/>
    <x v="1"/>
    <x v="3"/>
    <d v="2018-11-26T00:00:00"/>
    <d v="2018-12-10T00:00:00"/>
    <d v="2018-12-10T00:00:00"/>
    <m/>
    <x v="0"/>
    <x v="0"/>
  </r>
  <r>
    <s v="MRNTX029694"/>
    <x v="1"/>
    <x v="3"/>
    <d v="2018-11-14T00:00:00"/>
    <d v="2018-11-19T00:00:00"/>
    <d v="2018-11-14T00:00:00"/>
    <d v="2018-11-14T00:00:00"/>
    <x v="0"/>
    <x v="1"/>
  </r>
  <r>
    <s v="MRNTX029701"/>
    <x v="1"/>
    <x v="3"/>
    <d v="2018-11-23T00:00:00"/>
    <d v="2018-12-04T00:00:00"/>
    <d v="2018-12-04T00:00:00"/>
    <d v="2018-11-30T00:00:00"/>
    <x v="0"/>
    <x v="1"/>
  </r>
  <r>
    <s v="MRNTX029723"/>
    <x v="1"/>
    <x v="3"/>
    <d v="2018-11-16T00:00:00"/>
    <d v="2019-02-11T00:00:00"/>
    <d v="2019-02-11T00:00:00"/>
    <m/>
    <x v="1"/>
    <x v="4"/>
  </r>
  <r>
    <s v="MRNTX029731"/>
    <x v="1"/>
    <x v="3"/>
    <d v="2018-11-26T00:00:00"/>
    <d v="2019-01-30T00:00:00"/>
    <d v="2019-01-30T00:00:00"/>
    <m/>
    <x v="1"/>
    <x v="2"/>
  </r>
  <r>
    <s v="MRNTX030215"/>
    <x v="1"/>
    <x v="3"/>
    <d v="2018-11-05T00:00:00"/>
    <d v="2018-11-05T00:00:00"/>
    <d v="2018-11-05T00:00:00"/>
    <d v="2018-11-05T00:00:00"/>
    <x v="0"/>
    <x v="1"/>
  </r>
  <r>
    <s v="MRNTX033369"/>
    <x v="1"/>
    <x v="3"/>
    <d v="2018-11-05T00:00:00"/>
    <d v="2018-12-03T00:00:00"/>
    <d v="2018-12-03T00:00:00"/>
    <d v="2018-11-30T00:00:00"/>
    <x v="1"/>
    <x v="1"/>
  </r>
  <r>
    <s v="MRNTX033382"/>
    <x v="1"/>
    <x v="3"/>
    <d v="2018-11-19T00:00:00"/>
    <d v="2018-11-30T00:00:00"/>
    <d v="2018-11-30T00:00:00"/>
    <m/>
    <x v="0"/>
    <x v="0"/>
  </r>
  <r>
    <s v="MRNTX033388"/>
    <x v="1"/>
    <x v="3"/>
    <d v="2018-11-19T00:00:00"/>
    <d v="2019-02-11T00:00:00"/>
    <d v="2019-02-11T00:00:00"/>
    <m/>
    <x v="1"/>
    <x v="2"/>
  </r>
  <r>
    <s v="MRNTX033394"/>
    <x v="1"/>
    <x v="3"/>
    <d v="2018-11-07T00:00:00"/>
    <d v="2018-11-14T00:00:00"/>
    <d v="2018-11-08T00:00:00"/>
    <d v="2018-11-08T00:00:00"/>
    <x v="0"/>
    <x v="1"/>
  </r>
  <r>
    <s v="MRNTX033398"/>
    <x v="1"/>
    <x v="3"/>
    <d v="2018-11-19T00:00:00"/>
    <d v="2018-11-30T00:00:00"/>
    <d v="2018-11-30T00:00:00"/>
    <m/>
    <x v="0"/>
    <x v="0"/>
  </r>
  <r>
    <s v="MRNTX033402"/>
    <x v="1"/>
    <x v="3"/>
    <d v="2018-11-12T00:00:00"/>
    <d v="2018-11-19T00:00:00"/>
    <d v="2018-11-14T00:00:00"/>
    <d v="2018-11-14T00:00:00"/>
    <x v="0"/>
    <x v="1"/>
  </r>
  <r>
    <s v="MRNTX033419"/>
    <x v="1"/>
    <x v="3"/>
    <d v="2018-11-26T00:00:00"/>
    <d v="2018-12-03T00:00:00"/>
    <d v="2018-12-03T00:00:00"/>
    <d v="2018-11-30T00:00:00"/>
    <x v="0"/>
    <x v="1"/>
  </r>
  <r>
    <s v="MRNTX033421"/>
    <x v="1"/>
    <x v="3"/>
    <d v="2018-11-19T00:00:00"/>
    <d v="2018-12-14T00:00:00"/>
    <d v="2018-12-14T00:00:00"/>
    <m/>
    <x v="1"/>
    <x v="2"/>
  </r>
  <r>
    <s v="MRNTX033429"/>
    <x v="1"/>
    <x v="3"/>
    <d v="2018-11-26T00:00:00"/>
    <d v="2018-12-03T00:00:00"/>
    <d v="2018-12-03T00:00:00"/>
    <d v="2018-11-30T00:00:00"/>
    <x v="0"/>
    <x v="1"/>
  </r>
  <r>
    <s v="MRNTX033445"/>
    <x v="1"/>
    <x v="3"/>
    <d v="2018-11-02T00:00:00"/>
    <d v="2018-09-08T00:00:00"/>
    <d v="2018-11-02T00:00:00"/>
    <d v="2018-11-02T00:00:00"/>
    <x v="0"/>
    <x v="1"/>
  </r>
  <r>
    <s v="MRNTX033483"/>
    <x v="1"/>
    <x v="3"/>
    <d v="2018-11-27T00:00:00"/>
    <d v="2018-11-27T00:00:00"/>
    <d v="2018-11-12T00:00:00"/>
    <d v="2018-11-12T00:00:00"/>
    <x v="0"/>
    <x v="1"/>
  </r>
  <r>
    <s v="MRNTX033493"/>
    <x v="1"/>
    <x v="3"/>
    <d v="2018-11-19T00:00:00"/>
    <d v="2018-12-24T00:00:00"/>
    <d v="2018-12-24T00:00:00"/>
    <m/>
    <x v="1"/>
    <x v="2"/>
  </r>
  <r>
    <s v="MRNTX033507"/>
    <x v="1"/>
    <x v="3"/>
    <d v="2018-11-03T00:00:00"/>
    <d v="2018-11-30T00:00:00"/>
    <d v="2018-11-30T00:00:00"/>
    <m/>
    <x v="1"/>
    <x v="4"/>
  </r>
  <r>
    <s v="MRWSH016029"/>
    <x v="2"/>
    <x v="3"/>
    <d v="2018-11-30T00:00:00"/>
    <d v="2018-12-14T00:00:00"/>
    <d v="2018-12-14T00:00:00"/>
    <m/>
    <x v="0"/>
    <x v="0"/>
  </r>
  <r>
    <s v="MRWSH016104"/>
    <x v="2"/>
    <x v="3"/>
    <d v="2018-11-30T00:00:00"/>
    <d v="2018-10-04T00:00:00"/>
    <d v="2018-11-23T00:00:00"/>
    <d v="2018-11-23T00:00:00"/>
    <x v="0"/>
    <x v="1"/>
  </r>
  <r>
    <s v="MRWSH017751"/>
    <x v="2"/>
    <x v="3"/>
    <d v="2018-11-30T00:00:00"/>
    <d v="2018-12-14T00:00:00"/>
    <d v="2018-12-14T00:00:00"/>
    <m/>
    <x v="0"/>
    <x v="0"/>
  </r>
  <r>
    <s v="MRWSH019743"/>
    <x v="2"/>
    <x v="3"/>
    <d v="2018-11-30T00:00:00"/>
    <d v="2018-12-19T00:00:00"/>
    <d v="2018-11-28T00:00:00"/>
    <m/>
    <x v="0"/>
    <x v="3"/>
  </r>
  <r>
    <s v="MRWSH019909"/>
    <x v="2"/>
    <x v="3"/>
    <d v="2018-11-01T00:00:00"/>
    <d v="2018-11-01T00:00:00"/>
    <d v="2018-11-01T00:00:00"/>
    <d v="2018-11-01T00:00:00"/>
    <x v="0"/>
    <x v="1"/>
  </r>
  <r>
    <s v="MRWSH019922"/>
    <x v="2"/>
    <x v="3"/>
    <d v="2018-11-09T00:00:00"/>
    <d v="2018-11-16T00:00:00"/>
    <d v="2018-11-16T00:00:00"/>
    <d v="2018-11-16T00:00:00"/>
    <x v="0"/>
    <x v="1"/>
  </r>
  <r>
    <s v="MRWSH019936"/>
    <x v="2"/>
    <x v="3"/>
    <d v="2018-11-20T00:00:00"/>
    <d v="2018-12-14T00:00:00"/>
    <d v="2018-12-07T00:00:00"/>
    <m/>
    <x v="1"/>
    <x v="2"/>
  </r>
  <r>
    <s v="MRWSH019939"/>
    <x v="2"/>
    <x v="3"/>
    <d v="2018-11-09T00:00:00"/>
    <d v="2018-11-16T00:00:00"/>
    <d v="2018-11-16T00:00:00"/>
    <d v="2018-11-16T00:00:00"/>
    <x v="0"/>
    <x v="1"/>
  </r>
  <r>
    <s v="MRWSH019940"/>
    <x v="2"/>
    <x v="3"/>
    <d v="2018-11-20T00:00:00"/>
    <d v="2018-11-30T00:00:00"/>
    <d v="2018-11-27T00:00:00"/>
    <m/>
    <x v="0"/>
    <x v="0"/>
  </r>
  <r>
    <s v="MRANM021964"/>
    <x v="3"/>
    <x v="3"/>
    <d v="2018-11-13T00:00:00"/>
    <d v="1999-12-30T00:00:00"/>
    <d v="2018-11-13T00:00:00"/>
    <m/>
    <x v="0"/>
    <x v="0"/>
  </r>
  <r>
    <s v="MRANM021974"/>
    <x v="3"/>
    <x v="3"/>
    <d v="2018-11-13T00:00:00"/>
    <d v="1999-12-30T00:00:00"/>
    <d v="2018-11-13T00:00:00"/>
    <m/>
    <x v="0"/>
    <x v="0"/>
  </r>
  <r>
    <s v="MRANM021977"/>
    <x v="3"/>
    <x v="3"/>
    <d v="2018-11-13T00:00:00"/>
    <d v="1999-12-30T00:00:00"/>
    <d v="2018-11-13T00:00:00"/>
    <m/>
    <x v="0"/>
    <x v="0"/>
  </r>
  <r>
    <s v="MRANM021988"/>
    <x v="3"/>
    <x v="3"/>
    <d v="2018-11-13T00:00:00"/>
    <d v="1999-12-30T00:00:00"/>
    <d v="2018-11-13T00:00:00"/>
    <m/>
    <x v="0"/>
    <x v="0"/>
  </r>
  <r>
    <s v="MRANM021989"/>
    <x v="3"/>
    <x v="3"/>
    <d v="2018-11-13T00:00:00"/>
    <d v="1999-12-30T00:00:00"/>
    <d v="2018-11-13T00:00:00"/>
    <m/>
    <x v="0"/>
    <x v="0"/>
  </r>
  <r>
    <s v="MRANM021990"/>
    <x v="3"/>
    <x v="3"/>
    <d v="2018-11-13T00:00:00"/>
    <d v="1999-12-30T00:00:00"/>
    <d v="2018-11-13T00:00:00"/>
    <m/>
    <x v="0"/>
    <x v="0"/>
  </r>
  <r>
    <s v="MRANM021991"/>
    <x v="3"/>
    <x v="3"/>
    <d v="2018-11-13T00:00:00"/>
    <d v="1999-12-30T00:00:00"/>
    <d v="2018-11-13T00:00:00"/>
    <m/>
    <x v="0"/>
    <x v="0"/>
  </r>
  <r>
    <s v="MRANM021992"/>
    <x v="3"/>
    <x v="3"/>
    <d v="2018-11-13T00:00:00"/>
    <d v="1999-12-30T00:00:00"/>
    <d v="2018-11-13T00:00:00"/>
    <m/>
    <x v="0"/>
    <x v="0"/>
  </r>
  <r>
    <s v="MRANM021995"/>
    <x v="3"/>
    <x v="3"/>
    <d v="2018-11-13T00:00:00"/>
    <d v="1999-12-30T00:00:00"/>
    <d v="2018-11-13T00:00:00"/>
    <m/>
    <x v="0"/>
    <x v="0"/>
  </r>
  <r>
    <s v="MRANM022031"/>
    <x v="3"/>
    <x v="3"/>
    <d v="2018-11-26T00:00:00"/>
    <d v="2018-12-31T00:00:00"/>
    <d v="2018-11-26T00:00:00"/>
    <m/>
    <x v="0"/>
    <x v="3"/>
  </r>
  <r>
    <s v="MRANM022048"/>
    <x v="3"/>
    <x v="3"/>
    <d v="2018-11-05T00:00:00"/>
    <d v="2018-11-05T00:00:00"/>
    <d v="2018-11-10T00:00:00"/>
    <d v="2018-11-10T00:00:00"/>
    <x v="0"/>
    <x v="1"/>
  </r>
  <r>
    <s v="MRANM022055"/>
    <x v="3"/>
    <x v="3"/>
    <d v="2018-11-05T00:00:00"/>
    <d v="2018-11-05T00:00:00"/>
    <d v="2018-11-10T00:00:00"/>
    <d v="2018-11-10T00:00:00"/>
    <x v="0"/>
    <x v="1"/>
  </r>
  <r>
    <s v="MRANM022071"/>
    <x v="3"/>
    <x v="3"/>
    <d v="2018-11-26T00:00:00"/>
    <d v="2018-12-31T00:00:00"/>
    <d v="2018-12-31T00:00:00"/>
    <m/>
    <x v="1"/>
    <x v="2"/>
  </r>
  <r>
    <s v="MRANM022073"/>
    <x v="3"/>
    <x v="3"/>
    <d v="2018-11-15T00:00:00"/>
    <d v="2018-12-24T00:00:00"/>
    <d v="2018-12-24T00:00:00"/>
    <m/>
    <x v="1"/>
    <x v="4"/>
  </r>
  <r>
    <s v="MRANM022092"/>
    <x v="3"/>
    <x v="3"/>
    <d v="2018-11-26T00:00:00"/>
    <d v="2018-12-31T00:00:00"/>
    <d v="2018-12-31T00:00:00"/>
    <m/>
    <x v="1"/>
    <x v="2"/>
  </r>
  <r>
    <s v="MRANM022119"/>
    <x v="3"/>
    <x v="3"/>
    <d v="2018-11-26T00:00:00"/>
    <d v="2018-12-31T00:00:00"/>
    <d v="2018-12-31T00:00:00"/>
    <m/>
    <x v="1"/>
    <x v="2"/>
  </r>
  <r>
    <s v="MRANM022151"/>
    <x v="3"/>
    <x v="3"/>
    <d v="2018-11-26T00:00:00"/>
    <d v="2018-12-31T00:00:00"/>
    <d v="2018-12-31T00:00:00"/>
    <m/>
    <x v="1"/>
    <x v="2"/>
  </r>
  <r>
    <s v="MRANM022159"/>
    <x v="3"/>
    <x v="3"/>
    <d v="2018-11-26T00:00:00"/>
    <d v="2018-12-31T00:00:00"/>
    <d v="2018-12-31T00:00:00"/>
    <m/>
    <x v="1"/>
    <x v="2"/>
  </r>
  <r>
    <s v="MRSTX025793"/>
    <x v="0"/>
    <x v="3"/>
    <d v="2018-11-24T00:00:00"/>
    <d v="2018-12-13T00:00:00"/>
    <d v="2018-12-13T00:00:00"/>
    <m/>
    <x v="1"/>
    <x v="2"/>
  </r>
  <r>
    <s v="MRSTX025806"/>
    <x v="0"/>
    <x v="3"/>
    <d v="2018-11-24T00:00:00"/>
    <d v="2018-12-13T00:00:00"/>
    <d v="2018-12-13T00:00:00"/>
    <m/>
    <x v="1"/>
    <x v="2"/>
  </r>
  <r>
    <s v="MRSTX036395"/>
    <x v="0"/>
    <x v="3"/>
    <d v="2018-11-24T00:00:00"/>
    <d v="2018-12-25T00:00:00"/>
    <d v="2018-12-25T00:00:00"/>
    <m/>
    <x v="1"/>
    <x v="2"/>
  </r>
  <r>
    <s v="MRSTX036404"/>
    <x v="0"/>
    <x v="3"/>
    <d v="2018-11-24T00:00:00"/>
    <d v="2018-12-18T00:00:00"/>
    <d v="2018-11-20T00:00:00"/>
    <m/>
    <x v="0"/>
    <x v="3"/>
  </r>
  <r>
    <s v="MRSTX036421"/>
    <x v="0"/>
    <x v="3"/>
    <d v="2018-11-24T00:00:00"/>
    <d v="2018-11-24T00:00:00"/>
    <d v="2018-11-15T00:00:00"/>
    <d v="2018-11-15T00:00:00"/>
    <x v="0"/>
    <x v="1"/>
  </r>
  <r>
    <s v="MRSTX036438"/>
    <x v="0"/>
    <x v="3"/>
    <d v="2018-11-24T00:00:00"/>
    <d v="2018-11-24T00:00:00"/>
    <d v="2018-11-15T00:00:00"/>
    <d v="2018-11-15T00:00:00"/>
    <x v="0"/>
    <x v="1"/>
  </r>
  <r>
    <s v="MRSTX036475"/>
    <x v="0"/>
    <x v="3"/>
    <d v="2018-11-21T00:00:00"/>
    <d v="2018-12-25T00:00:00"/>
    <d v="2018-12-25T00:00:00"/>
    <m/>
    <x v="1"/>
    <x v="2"/>
  </r>
  <r>
    <s v="MRSTX036508"/>
    <x v="0"/>
    <x v="3"/>
    <d v="2018-11-24T00:00:00"/>
    <d v="2018-11-24T00:00:00"/>
    <d v="2018-11-15T00:00:00"/>
    <d v="2018-11-15T00:00:00"/>
    <x v="0"/>
    <x v="1"/>
  </r>
  <r>
    <s v="MRSTX036509"/>
    <x v="0"/>
    <x v="3"/>
    <d v="2018-11-24T00:00:00"/>
    <d v="2018-11-24T00:00:00"/>
    <d v="2018-11-15T00:00:00"/>
    <d v="2018-11-15T00:00:00"/>
    <x v="0"/>
    <x v="1"/>
  </r>
  <r>
    <s v="MRSTX036516"/>
    <x v="0"/>
    <x v="3"/>
    <d v="2018-11-24T00:00:00"/>
    <d v="2018-11-24T00:00:00"/>
    <d v="2018-11-15T00:00:00"/>
    <d v="2018-11-15T00:00:00"/>
    <x v="0"/>
    <x v="1"/>
  </r>
  <r>
    <s v="MRSTX036552"/>
    <x v="0"/>
    <x v="3"/>
    <d v="2018-11-24T00:00:00"/>
    <d v="2018-12-25T00:00:00"/>
    <d v="2018-12-25T00:00:00"/>
    <m/>
    <x v="1"/>
    <x v="2"/>
  </r>
  <r>
    <s v="MRSTX036567"/>
    <x v="0"/>
    <x v="3"/>
    <d v="2018-11-01T00:00:00"/>
    <d v="2018-11-02T00:00:00"/>
    <d v="2018-11-01T00:00:00"/>
    <d v="2018-11-01T00:00:00"/>
    <x v="0"/>
    <x v="1"/>
  </r>
  <r>
    <s v="MRSTX036637"/>
    <x v="0"/>
    <x v="3"/>
    <d v="2018-11-21T00:00:00"/>
    <d v="2018-12-25T00:00:00"/>
    <d v="2018-12-25T00:00:00"/>
    <m/>
    <x v="1"/>
    <x v="2"/>
  </r>
  <r>
    <s v="MRSTX036640"/>
    <x v="0"/>
    <x v="3"/>
    <d v="2018-11-25T00:00:00"/>
    <d v="2018-11-20T00:00:00"/>
    <d v="2018-11-20T00:00:00"/>
    <d v="2018-11-20T00:00:00"/>
    <x v="0"/>
    <x v="1"/>
  </r>
  <r>
    <s v="MRSTX036652"/>
    <x v="0"/>
    <x v="3"/>
    <d v="2018-11-24T00:00:00"/>
    <d v="2018-12-18T00:00:00"/>
    <d v="2018-12-18T00:00:00"/>
    <m/>
    <x v="1"/>
    <x v="2"/>
  </r>
  <r>
    <s v="MRNTX033549"/>
    <x v="1"/>
    <x v="3"/>
    <d v="2018-11-07T00:00:00"/>
    <d v="2018-11-14T00:00:00"/>
    <d v="2018-11-08T00:00:00"/>
    <d v="2018-11-08T00:00:00"/>
    <x v="0"/>
    <x v="1"/>
  </r>
  <r>
    <s v="MRNTX033559"/>
    <x v="1"/>
    <x v="3"/>
    <d v="2018-11-21T00:00:00"/>
    <d v="2018-12-11T00:00:00"/>
    <d v="2018-12-11T00:00:00"/>
    <m/>
    <x v="1"/>
    <x v="2"/>
  </r>
  <r>
    <s v="MRNTX033579"/>
    <x v="1"/>
    <x v="3"/>
    <d v="2018-11-30T00:00:00"/>
    <d v="2019-02-11T00:00:00"/>
    <d v="2019-02-11T00:00:00"/>
    <m/>
    <x v="1"/>
    <x v="2"/>
  </r>
  <r>
    <s v="MRNTX033583"/>
    <x v="1"/>
    <x v="3"/>
    <d v="2018-11-29T00:00:00"/>
    <d v="2018-11-30T00:00:00"/>
    <d v="2018-11-30T00:00:00"/>
    <m/>
    <x v="0"/>
    <x v="0"/>
  </r>
  <r>
    <s v="MRSTX036052"/>
    <x v="0"/>
    <x v="3"/>
    <d v="2018-11-24T00:00:00"/>
    <d v="2018-12-25T00:00:00"/>
    <d v="2018-12-25T00:00:00"/>
    <m/>
    <x v="1"/>
    <x v="2"/>
  </r>
  <r>
    <s v="MRSTX036056"/>
    <x v="0"/>
    <x v="3"/>
    <d v="2018-11-02T00:00:00"/>
    <d v="2018-11-02T00:00:00"/>
    <d v="2018-11-02T00:00:00"/>
    <d v="2018-11-02T00:00:00"/>
    <x v="0"/>
    <x v="1"/>
  </r>
  <r>
    <s v="MRSTX036060"/>
    <x v="0"/>
    <x v="3"/>
    <d v="2018-11-02T00:00:00"/>
    <d v="2018-11-02T00:00:00"/>
    <d v="2018-11-02T00:00:00"/>
    <d v="2018-11-02T00:00:00"/>
    <x v="0"/>
    <x v="1"/>
  </r>
  <r>
    <s v="MRSTX036062"/>
    <x v="0"/>
    <x v="3"/>
    <d v="2018-11-14T00:00:00"/>
    <d v="2018-11-15T00:00:00"/>
    <d v="2018-11-15T00:00:00"/>
    <d v="2018-11-15T00:00:00"/>
    <x v="0"/>
    <x v="1"/>
  </r>
  <r>
    <s v="MRSTX036074"/>
    <x v="0"/>
    <x v="3"/>
    <d v="2018-11-21T00:00:00"/>
    <d v="2018-11-21T00:00:00"/>
    <d v="2018-11-20T00:00:00"/>
    <d v="2018-11-20T00:00:00"/>
    <x v="0"/>
    <x v="1"/>
  </r>
  <r>
    <s v="MRSTX036090"/>
    <x v="0"/>
    <x v="3"/>
    <d v="2018-11-21T00:00:00"/>
    <d v="2018-12-25T00:00:00"/>
    <d v="2018-12-25T00:00:00"/>
    <m/>
    <x v="1"/>
    <x v="2"/>
  </r>
  <r>
    <s v="MRSTX036095"/>
    <x v="0"/>
    <x v="3"/>
    <d v="2018-11-21T00:00:00"/>
    <d v="2018-11-21T00:00:00"/>
    <d v="2018-11-20T00:00:00"/>
    <d v="2018-11-20T00:00:00"/>
    <x v="0"/>
    <x v="1"/>
  </r>
  <r>
    <s v="MRSTX036117"/>
    <x v="0"/>
    <x v="3"/>
    <d v="2018-11-22T00:00:00"/>
    <d v="2018-11-22T00:00:00"/>
    <d v="2018-11-16T00:00:00"/>
    <d v="2018-11-16T00:00:00"/>
    <x v="0"/>
    <x v="1"/>
  </r>
  <r>
    <s v="MRNTX011255"/>
    <x v="1"/>
    <x v="3"/>
    <d v="2018-11-15T00:00:00"/>
    <d v="2018-12-11T00:00:00"/>
    <d v="2018-12-11T00:00:00"/>
    <m/>
    <x v="1"/>
    <x v="4"/>
  </r>
  <r>
    <s v="MRNTX024603"/>
    <x v="1"/>
    <x v="3"/>
    <d v="2018-11-23T00:00:00"/>
    <d v="2018-12-10T00:00:00"/>
    <d v="2018-12-10T00:00:00"/>
    <m/>
    <x v="1"/>
    <x v="2"/>
  </r>
  <r>
    <s v="MRNTX024692"/>
    <x v="1"/>
    <x v="3"/>
    <d v="2018-11-26T00:00:00"/>
    <d v="2018-12-14T00:00:00"/>
    <d v="2018-12-14T00:00:00"/>
    <m/>
    <x v="1"/>
    <x v="2"/>
  </r>
  <r>
    <s v="MRNTX032293"/>
    <x v="1"/>
    <x v="3"/>
    <d v="2018-11-08T00:00:00"/>
    <d v="2018-12-03T00:00:00"/>
    <d v="2018-12-03T00:00:00"/>
    <m/>
    <x v="1"/>
    <x v="4"/>
  </r>
  <r>
    <s v="MRNTX032323"/>
    <x v="1"/>
    <x v="3"/>
    <d v="2018-11-03T00:00:00"/>
    <d v="2018-11-03T00:00:00"/>
    <d v="2018-11-05T00:00:00"/>
    <d v="2018-11-05T00:00:00"/>
    <x v="0"/>
    <x v="1"/>
  </r>
  <r>
    <s v="MRNTX032329"/>
    <x v="1"/>
    <x v="3"/>
    <d v="2018-11-27T00:00:00"/>
    <d v="2018-09-20T00:00:00"/>
    <d v="2018-11-23T00:00:00"/>
    <d v="2018-11-23T00:00:00"/>
    <x v="0"/>
    <x v="1"/>
  </r>
  <r>
    <s v="MRNTX032336"/>
    <x v="1"/>
    <x v="3"/>
    <d v="2018-11-05T00:00:00"/>
    <d v="2018-11-14T00:00:00"/>
    <d v="2018-11-09T00:00:00"/>
    <d v="2018-11-09T00:00:00"/>
    <x v="0"/>
    <x v="1"/>
  </r>
  <r>
    <s v="MRNTX032359"/>
    <x v="1"/>
    <x v="3"/>
    <d v="2018-11-26T00:00:00"/>
    <d v="2019-02-11T00:00:00"/>
    <d v="2019-02-11T00:00:00"/>
    <m/>
    <x v="1"/>
    <x v="2"/>
  </r>
  <r>
    <s v="MRNTX032367"/>
    <x v="1"/>
    <x v="3"/>
    <d v="2018-11-05T00:00:00"/>
    <d v="2018-12-24T00:00:00"/>
    <d v="2018-12-24T00:00:00"/>
    <m/>
    <x v="1"/>
    <x v="4"/>
  </r>
  <r>
    <s v="MRNTX032368"/>
    <x v="1"/>
    <x v="3"/>
    <d v="2018-11-05T00:00:00"/>
    <d v="2018-11-14T00:00:00"/>
    <d v="2018-11-09T00:00:00"/>
    <d v="2018-11-09T00:00:00"/>
    <x v="0"/>
    <x v="1"/>
  </r>
  <r>
    <s v="MRNTX032377"/>
    <x v="1"/>
    <x v="3"/>
    <d v="2018-11-22T00:00:00"/>
    <d v="2018-09-24T00:00:00"/>
    <d v="2018-11-16T00:00:00"/>
    <d v="2018-11-16T00:00:00"/>
    <x v="0"/>
    <x v="1"/>
  </r>
  <r>
    <s v="MRNTX032384"/>
    <x v="1"/>
    <x v="3"/>
    <d v="2018-11-19T00:00:00"/>
    <d v="2018-11-19T00:00:00"/>
    <d v="2018-11-19T00:00:00"/>
    <d v="2018-11-19T00:00:00"/>
    <x v="0"/>
    <x v="1"/>
  </r>
  <r>
    <s v="MRNTX032400"/>
    <x v="1"/>
    <x v="3"/>
    <d v="2018-11-03T00:00:00"/>
    <d v="2019-02-11T00:00:00"/>
    <d v="2019-02-11T00:00:00"/>
    <m/>
    <x v="1"/>
    <x v="4"/>
  </r>
  <r>
    <s v="MRNTX032413"/>
    <x v="1"/>
    <x v="3"/>
    <d v="2018-11-19T00:00:00"/>
    <d v="2018-11-19T00:00:00"/>
    <d v="2018-11-09T00:00:00"/>
    <d v="2018-11-09T00:00:00"/>
    <x v="0"/>
    <x v="1"/>
  </r>
  <r>
    <s v="MRNTX032416"/>
    <x v="1"/>
    <x v="3"/>
    <d v="2018-11-23T00:00:00"/>
    <d v="2018-12-14T00:00:00"/>
    <d v="2018-12-14T00:00:00"/>
    <m/>
    <x v="1"/>
    <x v="2"/>
  </r>
  <r>
    <s v="MRNTX032420"/>
    <x v="1"/>
    <x v="3"/>
    <d v="2018-11-16T00:00:00"/>
    <d v="2018-11-16T00:00:00"/>
    <d v="2018-11-20T00:00:00"/>
    <d v="2018-11-20T00:00:00"/>
    <x v="0"/>
    <x v="1"/>
  </r>
  <r>
    <s v="MRNTX032429"/>
    <x v="1"/>
    <x v="3"/>
    <d v="2018-11-19T00:00:00"/>
    <d v="2018-11-30T00:00:00"/>
    <d v="2018-11-30T00:00:00"/>
    <d v="2018-11-30T00:00:00"/>
    <x v="0"/>
    <x v="1"/>
  </r>
  <r>
    <s v="MRWSH024585"/>
    <x v="2"/>
    <x v="3"/>
    <d v="2018-11-09T00:00:00"/>
    <d v="2018-11-08T00:00:00"/>
    <d v="2018-11-08T00:00:00"/>
    <d v="2018-11-08T00:00:00"/>
    <x v="0"/>
    <x v="1"/>
  </r>
  <r>
    <s v="MRWSH024587"/>
    <x v="2"/>
    <x v="3"/>
    <d v="2018-11-20T00:00:00"/>
    <d v="2019-02-01T00:00:00"/>
    <d v="2019-02-01T00:00:00"/>
    <m/>
    <x v="1"/>
    <x v="2"/>
  </r>
  <r>
    <s v="MRWSH024589"/>
    <x v="2"/>
    <x v="3"/>
    <d v="2018-11-20T00:00:00"/>
    <d v="2018-11-20T00:00:00"/>
    <d v="2018-11-20T00:00:00"/>
    <d v="2018-11-20T00:00:00"/>
    <x v="0"/>
    <x v="1"/>
  </r>
  <r>
    <s v="MRWSH024590"/>
    <x v="2"/>
    <x v="3"/>
    <d v="2018-11-09T00:00:00"/>
    <d v="2018-11-13T00:00:00"/>
    <d v="2018-11-13T00:00:00"/>
    <d v="2018-11-13T00:00:00"/>
    <x v="0"/>
    <x v="1"/>
  </r>
  <r>
    <s v="MRWSH024592"/>
    <x v="2"/>
    <x v="3"/>
    <d v="2018-11-20T00:00:00"/>
    <d v="2018-11-21T00:00:00"/>
    <d v="2018-11-21T00:00:00"/>
    <d v="2018-11-21T00:00:00"/>
    <x v="0"/>
    <x v="1"/>
  </r>
  <r>
    <s v="MRWSH024609"/>
    <x v="2"/>
    <x v="3"/>
    <d v="2018-11-16T00:00:00"/>
    <d v="2019-01-31T00:00:00"/>
    <d v="2019-01-31T00:00:00"/>
    <m/>
    <x v="1"/>
    <x v="4"/>
  </r>
  <r>
    <s v="MRWSH024619"/>
    <x v="2"/>
    <x v="3"/>
    <d v="2018-11-09T00:00:00"/>
    <d v="2018-11-29T00:00:00"/>
    <d v="2018-11-24T00:00:00"/>
    <d v="2018-11-29T00:00:00"/>
    <x v="1"/>
    <x v="1"/>
  </r>
  <r>
    <s v="MRWSH024634"/>
    <x v="2"/>
    <x v="3"/>
    <d v="2018-11-20T00:00:00"/>
    <d v="2018-12-30T00:00:00"/>
    <d v="2018-12-30T00:00:00"/>
    <m/>
    <x v="1"/>
    <x v="2"/>
  </r>
  <r>
    <s v="MRWSH024648"/>
    <x v="2"/>
    <x v="3"/>
    <d v="2018-11-06T00:00:00"/>
    <d v="2018-11-05T00:00:00"/>
    <d v="2018-11-05T00:00:00"/>
    <d v="2018-11-05T00:00:00"/>
    <x v="0"/>
    <x v="1"/>
  </r>
  <r>
    <s v="MRWSH024650"/>
    <x v="2"/>
    <x v="3"/>
    <d v="2018-11-01T00:00:00"/>
    <d v="2018-11-01T00:00:00"/>
    <d v="2018-11-01T00:00:00"/>
    <d v="2018-11-01T00:00:00"/>
    <x v="0"/>
    <x v="1"/>
  </r>
  <r>
    <s v="MRWSH024661"/>
    <x v="2"/>
    <x v="3"/>
    <d v="2018-11-20T00:00:00"/>
    <d v="2019-02-01T00:00:00"/>
    <d v="2019-02-01T00:00:00"/>
    <m/>
    <x v="1"/>
    <x v="2"/>
  </r>
  <r>
    <s v="MRWSH024684"/>
    <x v="2"/>
    <x v="3"/>
    <d v="2018-11-16T00:00:00"/>
    <d v="2019-01-31T00:00:00"/>
    <d v="2019-01-31T00:00:00"/>
    <m/>
    <x v="1"/>
    <x v="4"/>
  </r>
  <r>
    <s v="MRWSH024685"/>
    <x v="2"/>
    <x v="3"/>
    <d v="2018-11-01T00:00:00"/>
    <d v="2018-11-01T00:00:00"/>
    <d v="2018-11-01T00:00:00"/>
    <d v="2018-11-01T00:00:00"/>
    <x v="0"/>
    <x v="1"/>
  </r>
  <r>
    <s v="MRWSH024693"/>
    <x v="2"/>
    <x v="3"/>
    <d v="2018-11-09T00:00:00"/>
    <d v="2018-11-16T00:00:00"/>
    <d v="2018-11-16T00:00:00"/>
    <d v="2018-11-16T00:00:00"/>
    <x v="0"/>
    <x v="1"/>
  </r>
  <r>
    <s v="MRWSH024694"/>
    <x v="2"/>
    <x v="3"/>
    <d v="2018-11-20T00:00:00"/>
    <d v="2019-02-01T00:00:00"/>
    <d v="2019-02-01T00:00:00"/>
    <m/>
    <x v="1"/>
    <x v="2"/>
  </r>
  <r>
    <s v="MRWSH024705"/>
    <x v="2"/>
    <x v="3"/>
    <d v="2018-11-09T00:00:00"/>
    <d v="2018-11-16T00:00:00"/>
    <d v="2018-11-16T00:00:00"/>
    <d v="2018-11-16T00:00:00"/>
    <x v="0"/>
    <x v="1"/>
  </r>
  <r>
    <s v="MRWSH024706"/>
    <x v="2"/>
    <x v="3"/>
    <d v="2018-11-14T00:00:00"/>
    <d v="2018-11-16T00:00:00"/>
    <d v="2018-11-16T00:00:00"/>
    <d v="2018-11-16T00:00:00"/>
    <x v="0"/>
    <x v="1"/>
  </r>
  <r>
    <s v="MRWSH024709"/>
    <x v="2"/>
    <x v="3"/>
    <d v="2018-11-14T00:00:00"/>
    <d v="2018-11-16T00:00:00"/>
    <d v="2018-11-16T00:00:00"/>
    <d v="2018-11-16T00:00:00"/>
    <x v="0"/>
    <x v="1"/>
  </r>
  <r>
    <s v="MRWSH024714"/>
    <x v="2"/>
    <x v="3"/>
    <d v="2018-11-09T00:00:00"/>
    <d v="2018-11-16T00:00:00"/>
    <d v="2018-11-16T00:00:00"/>
    <d v="2018-11-16T00:00:00"/>
    <x v="0"/>
    <x v="1"/>
  </r>
  <r>
    <s v="MRWSH024736"/>
    <x v="2"/>
    <x v="3"/>
    <d v="2018-11-01T00:00:00"/>
    <d v="2018-11-01T00:00:00"/>
    <d v="2018-11-01T00:00:00"/>
    <d v="2018-11-01T00:00:00"/>
    <x v="0"/>
    <x v="1"/>
  </r>
  <r>
    <s v="MRWSH024750"/>
    <x v="2"/>
    <x v="3"/>
    <d v="2018-11-20T00:00:00"/>
    <d v="2019-02-01T00:00:00"/>
    <d v="2019-02-01T00:00:00"/>
    <m/>
    <x v="1"/>
    <x v="2"/>
  </r>
  <r>
    <s v="MRWSH024771"/>
    <x v="2"/>
    <x v="3"/>
    <d v="2018-11-20T00:00:00"/>
    <d v="2018-11-21T00:00:00"/>
    <d v="2018-11-21T00:00:00"/>
    <d v="2018-11-21T00:00:00"/>
    <x v="0"/>
    <x v="1"/>
  </r>
  <r>
    <s v="MRSTX036146"/>
    <x v="0"/>
    <x v="3"/>
    <d v="2018-11-24T00:00:00"/>
    <d v="2018-12-25T00:00:00"/>
    <d v="2018-12-25T00:00:00"/>
    <m/>
    <x v="1"/>
    <x v="2"/>
  </r>
  <r>
    <s v="MRSTX036158"/>
    <x v="0"/>
    <x v="3"/>
    <d v="2018-11-24T00:00:00"/>
    <d v="2018-12-13T00:00:00"/>
    <d v="2018-12-13T00:00:00"/>
    <m/>
    <x v="1"/>
    <x v="2"/>
  </r>
  <r>
    <s v="MRSTX036165"/>
    <x v="0"/>
    <x v="3"/>
    <d v="2018-11-24T00:00:00"/>
    <d v="2018-11-24T00:00:00"/>
    <d v="2018-11-20T00:00:00"/>
    <d v="2018-11-20T00:00:00"/>
    <x v="0"/>
    <x v="1"/>
  </r>
  <r>
    <s v="MRWSH022319"/>
    <x v="2"/>
    <x v="3"/>
    <d v="2018-11-20T00:00:00"/>
    <d v="2018-12-12T00:00:00"/>
    <d v="2018-12-07T00:00:00"/>
    <m/>
    <x v="1"/>
    <x v="2"/>
  </r>
  <r>
    <s v="MRWSH022326"/>
    <x v="2"/>
    <x v="3"/>
    <d v="2018-11-05T00:00:00"/>
    <d v="2018-11-13T00:00:00"/>
    <d v="2018-11-12T00:00:00"/>
    <d v="2018-11-12T00:00:00"/>
    <x v="0"/>
    <x v="1"/>
  </r>
  <r>
    <s v="MRWSH022348"/>
    <x v="2"/>
    <x v="3"/>
    <d v="2018-11-05T00:00:00"/>
    <d v="2018-11-13T00:00:00"/>
    <d v="2018-11-12T00:00:00"/>
    <d v="2018-11-12T00:00:00"/>
    <x v="0"/>
    <x v="1"/>
  </r>
  <r>
    <s v="MRWSH022383"/>
    <x v="2"/>
    <x v="3"/>
    <d v="2018-11-20T00:00:00"/>
    <d v="2018-11-21T00:00:00"/>
    <d v="2018-11-21T00:00:00"/>
    <d v="2018-11-21T00:00:00"/>
    <x v="0"/>
    <x v="1"/>
  </r>
  <r>
    <s v="MRWSH022502"/>
    <x v="2"/>
    <x v="3"/>
    <d v="2018-11-04T00:00:00"/>
    <d v="2018-11-04T00:00:00"/>
    <d v="2018-11-04T00:00:00"/>
    <d v="2018-11-04T00:00:00"/>
    <x v="0"/>
    <x v="1"/>
  </r>
  <r>
    <s v="MRWSH022507"/>
    <x v="2"/>
    <x v="3"/>
    <d v="2018-11-30T00:00:00"/>
    <d v="2018-11-29T00:00:00"/>
    <d v="2018-11-27T00:00:00"/>
    <d v="2018-11-29T00:00:00"/>
    <x v="0"/>
    <x v="1"/>
  </r>
  <r>
    <s v="MRWSH022523"/>
    <x v="2"/>
    <x v="3"/>
    <d v="2018-11-20T00:00:00"/>
    <d v="2018-12-06T00:00:00"/>
    <d v="2018-11-30T00:00:00"/>
    <m/>
    <x v="0"/>
    <x v="3"/>
  </r>
  <r>
    <s v="MRWSH022529"/>
    <x v="2"/>
    <x v="3"/>
    <d v="2018-11-30T00:00:00"/>
    <d v="2018-11-29T00:00:00"/>
    <d v="2018-11-29T00:00:00"/>
    <d v="2018-11-29T00:00:00"/>
    <x v="0"/>
    <x v="1"/>
  </r>
  <r>
    <s v="MRWSH022551"/>
    <x v="2"/>
    <x v="3"/>
    <d v="2018-11-06T00:00:00"/>
    <d v="2018-11-06T00:00:00"/>
    <d v="2018-11-06T00:00:00"/>
    <d v="2018-11-06T00:00:00"/>
    <x v="0"/>
    <x v="1"/>
  </r>
  <r>
    <s v="MRNTX032491"/>
    <x v="1"/>
    <x v="3"/>
    <d v="2018-11-05T00:00:00"/>
    <d v="2018-12-03T00:00:00"/>
    <d v="2018-12-03T00:00:00"/>
    <m/>
    <x v="1"/>
    <x v="4"/>
  </r>
  <r>
    <s v="MRNTX032503"/>
    <x v="1"/>
    <x v="3"/>
    <d v="2018-11-19T00:00:00"/>
    <d v="2018-11-26T00:00:00"/>
    <d v="2018-11-20T00:00:00"/>
    <d v="2018-11-20T00:00:00"/>
    <x v="0"/>
    <x v="1"/>
  </r>
  <r>
    <s v="MRNTX032506"/>
    <x v="1"/>
    <x v="3"/>
    <d v="2018-11-19T00:00:00"/>
    <d v="2018-11-30T00:00:00"/>
    <d v="2018-11-30T00:00:00"/>
    <d v="2018-11-30T00:00:00"/>
    <x v="0"/>
    <x v="1"/>
  </r>
  <r>
    <s v="MRNTX032520"/>
    <x v="1"/>
    <x v="3"/>
    <d v="2018-11-05T00:00:00"/>
    <d v="2018-11-26T00:00:00"/>
    <d v="2018-11-21T00:00:00"/>
    <d v="2018-11-21T00:00:00"/>
    <x v="1"/>
    <x v="1"/>
  </r>
  <r>
    <s v="MRNTX032537"/>
    <x v="1"/>
    <x v="3"/>
    <d v="2018-11-19T00:00:00"/>
    <d v="2018-11-26T00:00:00"/>
    <d v="2018-11-20T00:00:00"/>
    <d v="2018-11-20T00:00:00"/>
    <x v="0"/>
    <x v="1"/>
  </r>
  <r>
    <s v="MRNTX032549"/>
    <x v="1"/>
    <x v="3"/>
    <d v="2018-11-19T00:00:00"/>
    <d v="2018-11-26T00:00:00"/>
    <d v="2018-11-20T00:00:00"/>
    <d v="2018-11-20T00:00:00"/>
    <x v="0"/>
    <x v="1"/>
  </r>
  <r>
    <s v="MRNTX032557"/>
    <x v="1"/>
    <x v="3"/>
    <d v="2018-11-05T00:00:00"/>
    <d v="2018-11-14T00:00:00"/>
    <d v="2018-11-16T00:00:00"/>
    <d v="2018-11-16T00:00:00"/>
    <x v="0"/>
    <x v="1"/>
  </r>
  <r>
    <s v="MRNTX032590"/>
    <x v="1"/>
    <x v="3"/>
    <d v="2018-11-24T00:00:00"/>
    <d v="2018-12-03T00:00:00"/>
    <d v="2018-11-16T00:00:00"/>
    <d v="2018-11-16T00:00:00"/>
    <x v="0"/>
    <x v="1"/>
  </r>
  <r>
    <s v="MRNTX032593"/>
    <x v="1"/>
    <x v="3"/>
    <d v="2018-11-05T00:00:00"/>
    <d v="2018-11-26T00:00:00"/>
    <d v="2018-11-21T00:00:00"/>
    <d v="2018-11-21T00:00:00"/>
    <x v="1"/>
    <x v="1"/>
  </r>
  <r>
    <s v="MRSTX034230"/>
    <x v="0"/>
    <x v="3"/>
    <d v="2018-11-21T00:00:00"/>
    <d v="2018-11-21T00:00:00"/>
    <d v="2018-11-20T00:00:00"/>
    <d v="2018-11-20T00:00:00"/>
    <x v="0"/>
    <x v="1"/>
  </r>
  <r>
    <s v="MRSTX034255"/>
    <x v="0"/>
    <x v="3"/>
    <d v="2018-11-24T00:00:00"/>
    <d v="2018-11-24T00:00:00"/>
    <d v="2018-11-20T00:00:00"/>
    <d v="2018-11-20T00:00:00"/>
    <x v="0"/>
    <x v="1"/>
  </r>
  <r>
    <s v="MRSTX034258"/>
    <x v="0"/>
    <x v="3"/>
    <d v="2018-11-21T00:00:00"/>
    <d v="2018-11-21T00:00:00"/>
    <d v="2018-11-20T00:00:00"/>
    <d v="2018-11-20T00:00:00"/>
    <x v="0"/>
    <x v="1"/>
  </r>
  <r>
    <s v="MRSTX034288"/>
    <x v="0"/>
    <x v="3"/>
    <d v="2018-11-21T00:00:00"/>
    <d v="2018-11-21T00:00:00"/>
    <d v="2018-11-19T00:00:00"/>
    <d v="2018-11-19T00:00:00"/>
    <x v="0"/>
    <x v="1"/>
  </r>
  <r>
    <s v="MRWSH024852"/>
    <x v="2"/>
    <x v="3"/>
    <d v="2018-11-06T00:00:00"/>
    <d v="2018-11-06T00:00:00"/>
    <d v="2018-11-06T00:00:00"/>
    <d v="2018-11-06T00:00:00"/>
    <x v="0"/>
    <x v="1"/>
  </r>
  <r>
    <s v="MRWSH024925"/>
    <x v="2"/>
    <x v="3"/>
    <d v="2018-11-30T00:00:00"/>
    <d v="2018-12-10T00:00:00"/>
    <d v="2018-12-04T00:00:00"/>
    <m/>
    <x v="0"/>
    <x v="0"/>
  </r>
  <r>
    <s v="MRWSH024926"/>
    <x v="2"/>
    <x v="3"/>
    <d v="2018-11-20T00:00:00"/>
    <d v="2018-12-08T00:00:00"/>
    <d v="2018-11-30T00:00:00"/>
    <m/>
    <x v="0"/>
    <x v="3"/>
  </r>
  <r>
    <s v="MRWSH024937"/>
    <x v="2"/>
    <x v="3"/>
    <d v="2018-11-30T00:00:00"/>
    <d v="2018-12-10T00:00:00"/>
    <d v="2018-12-04T00:00:00"/>
    <m/>
    <x v="0"/>
    <x v="0"/>
  </r>
  <r>
    <s v="MRWSH024943"/>
    <x v="2"/>
    <x v="3"/>
    <d v="2018-11-20T00:00:00"/>
    <d v="2018-12-08T00:00:00"/>
    <d v="2018-11-30T00:00:00"/>
    <m/>
    <x v="0"/>
    <x v="3"/>
  </r>
  <r>
    <s v="MRWSH024946"/>
    <x v="2"/>
    <x v="3"/>
    <d v="2018-11-08T00:00:00"/>
    <d v="2018-11-04T00:00:00"/>
    <d v="2018-11-04T00:00:00"/>
    <d v="2018-11-04T00:00:00"/>
    <x v="0"/>
    <x v="1"/>
  </r>
  <r>
    <s v="MRWSH024953"/>
    <x v="2"/>
    <x v="3"/>
    <d v="2018-11-20T00:00:00"/>
    <d v="2018-12-08T00:00:00"/>
    <d v="2018-11-30T00:00:00"/>
    <m/>
    <x v="0"/>
    <x v="3"/>
  </r>
  <r>
    <s v="MRWSH024983"/>
    <x v="2"/>
    <x v="3"/>
    <d v="2018-11-08T00:00:00"/>
    <d v="2018-11-04T00:00:00"/>
    <d v="2018-11-04T00:00:00"/>
    <d v="2018-11-04T00:00:00"/>
    <x v="0"/>
    <x v="1"/>
  </r>
  <r>
    <s v="MRWSH024984"/>
    <x v="2"/>
    <x v="3"/>
    <d v="2018-11-20T00:00:00"/>
    <d v="2018-11-17T00:00:00"/>
    <d v="2018-11-17T00:00:00"/>
    <d v="2018-11-17T00:00:00"/>
    <x v="0"/>
    <x v="1"/>
  </r>
  <r>
    <s v="MRWSH024990"/>
    <x v="2"/>
    <x v="3"/>
    <d v="2018-11-20T00:00:00"/>
    <d v="2018-12-08T00:00:00"/>
    <d v="2018-11-30T00:00:00"/>
    <m/>
    <x v="0"/>
    <x v="3"/>
  </r>
  <r>
    <s v="MRNTX031014"/>
    <x v="1"/>
    <x v="3"/>
    <d v="2018-11-23T00:00:00"/>
    <d v="2018-11-30T00:00:00"/>
    <d v="2018-11-30T00:00:00"/>
    <m/>
    <x v="0"/>
    <x v="0"/>
  </r>
  <r>
    <s v="MRNTX031025"/>
    <x v="1"/>
    <x v="3"/>
    <d v="2018-11-27T00:00:00"/>
    <d v="2018-09-20T00:00:00"/>
    <d v="2018-11-23T00:00:00"/>
    <d v="2018-11-23T00:00:00"/>
    <x v="0"/>
    <x v="1"/>
  </r>
  <r>
    <s v="MRNTX031067"/>
    <x v="1"/>
    <x v="3"/>
    <d v="2018-11-19T00:00:00"/>
    <d v="2018-11-23T00:00:00"/>
    <d v="2018-11-21T00:00:00"/>
    <d v="2018-11-21T00:00:00"/>
    <x v="0"/>
    <x v="1"/>
  </r>
  <r>
    <s v="MRNTX031073"/>
    <x v="1"/>
    <x v="3"/>
    <d v="2018-11-16T00:00:00"/>
    <d v="2018-11-16T00:00:00"/>
    <d v="2018-11-20T00:00:00"/>
    <d v="2018-11-20T00:00:00"/>
    <x v="0"/>
    <x v="1"/>
  </r>
  <r>
    <s v="MRNTX031097"/>
    <x v="1"/>
    <x v="3"/>
    <d v="2018-11-23T00:00:00"/>
    <d v="2019-02-11T00:00:00"/>
    <d v="2019-02-11T00:00:00"/>
    <m/>
    <x v="1"/>
    <x v="2"/>
  </r>
  <r>
    <s v="MRWSH022573"/>
    <x v="2"/>
    <x v="3"/>
    <d v="2018-11-20T00:00:00"/>
    <d v="2018-11-20T00:00:00"/>
    <d v="2018-11-20T00:00:00"/>
    <d v="2018-11-20T00:00:00"/>
    <x v="0"/>
    <x v="1"/>
  </r>
  <r>
    <s v="MRWSH022585"/>
    <x v="2"/>
    <x v="3"/>
    <d v="2018-11-20T00:00:00"/>
    <d v="2018-11-29T00:00:00"/>
    <d v="2018-11-30T00:00:00"/>
    <d v="2018-11-29T00:00:00"/>
    <x v="0"/>
    <x v="1"/>
  </r>
  <r>
    <s v="MRWSH022597"/>
    <x v="2"/>
    <x v="3"/>
    <d v="2018-11-09T00:00:00"/>
    <d v="2018-11-07T00:00:00"/>
    <d v="2018-11-08T00:00:00"/>
    <d v="2018-11-08T00:00:00"/>
    <x v="0"/>
    <x v="1"/>
  </r>
  <r>
    <s v="MRWSH022605"/>
    <x v="2"/>
    <x v="3"/>
    <d v="2018-11-20T00:00:00"/>
    <d v="2018-11-20T00:00:00"/>
    <d v="2018-11-20T00:00:00"/>
    <d v="2018-11-20T00:00:00"/>
    <x v="0"/>
    <x v="1"/>
  </r>
  <r>
    <s v="MRWSH022685"/>
    <x v="2"/>
    <x v="3"/>
    <d v="2018-11-04T00:00:00"/>
    <d v="2018-11-04T00:00:00"/>
    <d v="2018-11-04T00:00:00"/>
    <d v="2018-11-04T00:00:00"/>
    <x v="0"/>
    <x v="1"/>
  </r>
  <r>
    <s v="MRWSH022694"/>
    <x v="2"/>
    <x v="3"/>
    <d v="2018-11-04T00:00:00"/>
    <d v="2018-11-04T00:00:00"/>
    <d v="2018-11-04T00:00:00"/>
    <d v="2018-11-04T00:00:00"/>
    <x v="0"/>
    <x v="1"/>
  </r>
  <r>
    <s v="MRWSH022704"/>
    <x v="2"/>
    <x v="3"/>
    <d v="2018-11-20T00:00:00"/>
    <d v="2018-12-07T00:00:00"/>
    <d v="2018-11-27T00:00:00"/>
    <m/>
    <x v="0"/>
    <x v="3"/>
  </r>
  <r>
    <s v="MRWSH022715"/>
    <x v="2"/>
    <x v="3"/>
    <d v="2018-11-09T00:00:00"/>
    <d v="2018-11-14T00:00:00"/>
    <d v="2018-11-14T00:00:00"/>
    <d v="2018-11-14T00:00:00"/>
    <x v="0"/>
    <x v="1"/>
  </r>
  <r>
    <s v="MRWSH022765"/>
    <x v="2"/>
    <x v="3"/>
    <d v="2018-11-15T00:00:00"/>
    <d v="2018-12-17T00:00:00"/>
    <d v="2018-12-06T00:00:00"/>
    <m/>
    <x v="1"/>
    <x v="4"/>
  </r>
  <r>
    <s v="MRWSH022767"/>
    <x v="2"/>
    <x v="3"/>
    <d v="2018-11-15T00:00:00"/>
    <d v="2018-12-17T00:00:00"/>
    <d v="2018-12-06T00:00:00"/>
    <m/>
    <x v="1"/>
    <x v="4"/>
  </r>
  <r>
    <s v="MRWSH022779"/>
    <x v="2"/>
    <x v="3"/>
    <d v="2018-11-20T00:00:00"/>
    <d v="2018-11-15T00:00:00"/>
    <d v="2018-11-15T00:00:00"/>
    <d v="2018-11-15T00:00:00"/>
    <x v="0"/>
    <x v="1"/>
  </r>
  <r>
    <s v="MRWSH022788"/>
    <x v="2"/>
    <x v="3"/>
    <d v="2018-11-30T00:00:00"/>
    <d v="2018-11-30T00:00:00"/>
    <d v="2018-12-07T00:00:00"/>
    <m/>
    <x v="0"/>
    <x v="0"/>
  </r>
  <r>
    <s v="MRWSH022817"/>
    <x v="2"/>
    <x v="3"/>
    <d v="2018-11-16T00:00:00"/>
    <d v="2018-11-14T00:00:00"/>
    <d v="2018-11-14T00:00:00"/>
    <d v="2018-11-14T00:00:00"/>
    <x v="0"/>
    <x v="1"/>
  </r>
  <r>
    <s v="MRWSH022820"/>
    <x v="2"/>
    <x v="3"/>
    <d v="2018-11-02T00:00:00"/>
    <d v="2018-11-08T00:00:00"/>
    <d v="2018-11-08T00:00:00"/>
    <d v="2018-11-08T00:00:00"/>
    <x v="0"/>
    <x v="1"/>
  </r>
  <r>
    <s v="MRWSH022828"/>
    <x v="2"/>
    <x v="3"/>
    <d v="2018-11-08T00:00:00"/>
    <d v="2018-12-03T00:00:00"/>
    <d v="2018-11-29T00:00:00"/>
    <m/>
    <x v="1"/>
    <x v="4"/>
  </r>
  <r>
    <s v="MRSTX034291"/>
    <x v="0"/>
    <x v="3"/>
    <d v="2018-11-19T00:00:00"/>
    <d v="2018-11-19T00:00:00"/>
    <d v="2018-11-06T00:00:00"/>
    <d v="2018-11-06T00:00:00"/>
    <x v="0"/>
    <x v="1"/>
  </r>
  <r>
    <s v="MRSTX034292"/>
    <x v="0"/>
    <x v="3"/>
    <d v="2018-11-25T00:00:00"/>
    <d v="2018-12-09T00:00:00"/>
    <d v="2018-12-09T00:00:00"/>
    <m/>
    <x v="0"/>
    <x v="0"/>
  </r>
  <r>
    <s v="MRSTX034308"/>
    <x v="0"/>
    <x v="3"/>
    <d v="2018-11-21T00:00:00"/>
    <d v="2018-11-21T00:00:00"/>
    <d v="2018-11-20T00:00:00"/>
    <d v="2018-11-20T00:00:00"/>
    <x v="0"/>
    <x v="1"/>
  </r>
  <r>
    <s v="MRSTX034358"/>
    <x v="0"/>
    <x v="3"/>
    <d v="2018-11-21T00:00:00"/>
    <d v="2018-11-21T00:00:00"/>
    <d v="2018-11-14T00:00:00"/>
    <d v="2018-11-14T00:00:00"/>
    <x v="0"/>
    <x v="1"/>
  </r>
  <r>
    <s v="MRSTX034422"/>
    <x v="0"/>
    <x v="3"/>
    <d v="2018-11-21T00:00:00"/>
    <d v="2018-12-25T00:00:00"/>
    <d v="2018-11-21T00:00:00"/>
    <m/>
    <x v="0"/>
    <x v="3"/>
  </r>
  <r>
    <s v="MRSTX034426"/>
    <x v="0"/>
    <x v="3"/>
    <d v="2018-11-21T00:00:00"/>
    <d v="2018-11-21T00:00:00"/>
    <d v="2018-11-20T00:00:00"/>
    <d v="2018-11-20T00:00:00"/>
    <x v="0"/>
    <x v="1"/>
  </r>
  <r>
    <s v="MRSTX034441"/>
    <x v="0"/>
    <x v="3"/>
    <d v="2018-11-21T00:00:00"/>
    <d v="2018-12-25T00:00:00"/>
    <d v="2018-11-21T00:00:00"/>
    <m/>
    <x v="0"/>
    <x v="3"/>
  </r>
  <r>
    <s v="MRSTX034461"/>
    <x v="0"/>
    <x v="3"/>
    <d v="2018-11-22T00:00:00"/>
    <d v="2018-11-22T00:00:00"/>
    <d v="2018-11-11T00:00:00"/>
    <d v="2018-11-11T00:00:00"/>
    <x v="0"/>
    <x v="1"/>
  </r>
  <r>
    <s v="MRSTX034472"/>
    <x v="0"/>
    <x v="3"/>
    <d v="2018-11-24T00:00:00"/>
    <d v="2018-11-24T00:00:00"/>
    <d v="2018-11-20T00:00:00"/>
    <d v="2018-11-20T00:00:00"/>
    <x v="0"/>
    <x v="1"/>
  </r>
  <r>
    <s v="MRSTX034505"/>
    <x v="0"/>
    <x v="3"/>
    <d v="2018-11-21T00:00:00"/>
    <d v="2018-12-21T00:00:00"/>
    <d v="2018-12-21T00:00:00"/>
    <m/>
    <x v="1"/>
    <x v="2"/>
  </r>
  <r>
    <s v="MRWSH019948"/>
    <x v="2"/>
    <x v="3"/>
    <d v="2018-11-29T00:00:00"/>
    <d v="2018-12-10T00:00:00"/>
    <d v="2018-12-13T00:00:00"/>
    <m/>
    <x v="0"/>
    <x v="0"/>
  </r>
  <r>
    <s v="MRNTX031121"/>
    <x v="1"/>
    <x v="3"/>
    <d v="2018-11-03T00:00:00"/>
    <d v="2019-02-11T00:00:00"/>
    <d v="2019-02-11T00:00:00"/>
    <m/>
    <x v="1"/>
    <x v="4"/>
  </r>
  <r>
    <s v="MRNTX031136"/>
    <x v="1"/>
    <x v="3"/>
    <d v="2018-11-05T00:00:00"/>
    <d v="2018-12-24T00:00:00"/>
    <d v="2018-12-24T00:00:00"/>
    <m/>
    <x v="1"/>
    <x v="4"/>
  </r>
  <r>
    <s v="MRNTX031142"/>
    <x v="1"/>
    <x v="3"/>
    <d v="2018-11-23T00:00:00"/>
    <d v="2018-12-14T00:00:00"/>
    <d v="2018-12-14T00:00:00"/>
    <m/>
    <x v="1"/>
    <x v="2"/>
  </r>
  <r>
    <s v="MRNTX031150"/>
    <x v="1"/>
    <x v="3"/>
    <d v="2018-11-19T00:00:00"/>
    <d v="2018-11-30T00:00:00"/>
    <d v="2018-11-30T00:00:00"/>
    <d v="2018-11-30T00:00:00"/>
    <x v="0"/>
    <x v="1"/>
  </r>
  <r>
    <s v="MRNTX031202"/>
    <x v="1"/>
    <x v="3"/>
    <d v="2018-11-08T00:00:00"/>
    <d v="2018-12-03T00:00:00"/>
    <d v="2018-12-03T00:00:00"/>
    <m/>
    <x v="1"/>
    <x v="4"/>
  </r>
  <r>
    <s v="MRNTX031206"/>
    <x v="1"/>
    <x v="3"/>
    <d v="2018-11-26T00:00:00"/>
    <d v="2018-11-30T00:00:00"/>
    <d v="2018-11-30T00:00:00"/>
    <d v="2018-11-28T00:00:00"/>
    <x v="0"/>
    <x v="1"/>
  </r>
  <r>
    <s v="MRNTX031207"/>
    <x v="1"/>
    <x v="3"/>
    <d v="2018-11-26T00:00:00"/>
    <d v="2018-12-10T00:00:00"/>
    <d v="2018-12-10T00:00:00"/>
    <m/>
    <x v="0"/>
    <x v="0"/>
  </r>
  <r>
    <s v="MRNTX031215"/>
    <x v="1"/>
    <x v="3"/>
    <d v="2018-11-02T00:00:00"/>
    <d v="2018-11-03T00:00:00"/>
    <d v="2018-11-02T00:00:00"/>
    <d v="2018-11-02T00:00:00"/>
    <x v="0"/>
    <x v="1"/>
  </r>
  <r>
    <s v="MRNTX031222"/>
    <x v="1"/>
    <x v="3"/>
    <d v="2018-11-19T00:00:00"/>
    <d v="2018-11-30T00:00:00"/>
    <d v="2018-11-30T00:00:00"/>
    <m/>
    <x v="0"/>
    <x v="0"/>
  </r>
  <r>
    <s v="MRNTX031230"/>
    <x v="1"/>
    <x v="3"/>
    <d v="2018-11-23T00:00:00"/>
    <d v="2018-12-04T00:00:00"/>
    <d v="2018-12-04T00:00:00"/>
    <m/>
    <x v="0"/>
    <x v="0"/>
  </r>
  <r>
    <s v="MRNTX031265"/>
    <x v="1"/>
    <x v="3"/>
    <d v="2018-11-23T00:00:00"/>
    <d v="2018-12-10T00:00:00"/>
    <d v="2018-12-10T00:00:00"/>
    <m/>
    <x v="1"/>
    <x v="2"/>
  </r>
  <r>
    <s v="MRNTX036203"/>
    <x v="1"/>
    <x v="3"/>
    <d v="2018-11-26T00:00:00"/>
    <d v="2018-12-21T00:00:00"/>
    <d v="2018-12-21T00:00:00"/>
    <m/>
    <x v="1"/>
    <x v="2"/>
  </r>
  <r>
    <s v="MRNTX036235"/>
    <x v="1"/>
    <x v="3"/>
    <d v="2018-11-23T00:00:00"/>
    <d v="2018-11-23T00:00:00"/>
    <d v="2018-11-14T00:00:00"/>
    <d v="2018-11-14T00:00:00"/>
    <x v="0"/>
    <x v="1"/>
  </r>
  <r>
    <s v="MRNTX036240"/>
    <x v="1"/>
    <x v="3"/>
    <d v="2018-11-26T00:00:00"/>
    <d v="2018-12-10T00:00:00"/>
    <d v="2018-12-10T00:00:00"/>
    <m/>
    <x v="0"/>
    <x v="0"/>
  </r>
  <r>
    <s v="MRNTX036242"/>
    <x v="1"/>
    <x v="3"/>
    <d v="2018-11-29T00:00:00"/>
    <d v="2018-11-29T00:00:00"/>
    <d v="2018-11-14T00:00:00"/>
    <d v="2018-11-14T00:00:00"/>
    <x v="0"/>
    <x v="1"/>
  </r>
  <r>
    <s v="MRNTX036247"/>
    <x v="1"/>
    <x v="3"/>
    <d v="2018-11-29T00:00:00"/>
    <d v="2018-11-30T00:00:00"/>
    <d v="2018-11-30T00:00:00"/>
    <m/>
    <x v="0"/>
    <x v="0"/>
  </r>
  <r>
    <s v="MRNTX036262"/>
    <x v="1"/>
    <x v="3"/>
    <d v="2018-11-02T00:00:00"/>
    <d v="2018-11-05T00:00:00"/>
    <d v="2018-11-02T00:00:00"/>
    <d v="2018-11-02T00:00:00"/>
    <x v="0"/>
    <x v="1"/>
  </r>
  <r>
    <s v="MRNTX036263"/>
    <x v="1"/>
    <x v="3"/>
    <d v="2018-11-16T00:00:00"/>
    <d v="2018-11-16T00:00:00"/>
    <d v="2018-11-28T00:00:00"/>
    <d v="2018-11-28T00:00:00"/>
    <x v="0"/>
    <x v="1"/>
  </r>
  <r>
    <s v="MRNTX036265"/>
    <x v="1"/>
    <x v="3"/>
    <d v="2018-11-05T00:00:00"/>
    <d v="2018-11-14T00:00:00"/>
    <d v="2018-11-08T00:00:00"/>
    <d v="2018-11-08T00:00:00"/>
    <x v="0"/>
    <x v="1"/>
  </r>
  <r>
    <s v="MRNTX036273"/>
    <x v="1"/>
    <x v="3"/>
    <d v="2018-11-05T00:00:00"/>
    <d v="2018-11-14T00:00:00"/>
    <d v="2018-11-08T00:00:00"/>
    <d v="2018-11-08T00:00:00"/>
    <x v="0"/>
    <x v="1"/>
  </r>
  <r>
    <s v="MRNTX036285"/>
    <x v="1"/>
    <x v="3"/>
    <d v="2018-11-26T00:00:00"/>
    <d v="2018-12-14T00:00:00"/>
    <d v="2018-12-14T00:00:00"/>
    <m/>
    <x v="1"/>
    <x v="2"/>
  </r>
  <r>
    <s v="MRNTX036286"/>
    <x v="1"/>
    <x v="3"/>
    <d v="2018-11-26T00:00:00"/>
    <d v="2018-12-14T00:00:00"/>
    <d v="2018-12-14T00:00:00"/>
    <m/>
    <x v="1"/>
    <x v="2"/>
  </r>
  <r>
    <s v="MRNTX036291"/>
    <x v="1"/>
    <x v="3"/>
    <d v="2018-11-26T00:00:00"/>
    <d v="2018-12-10T00:00:00"/>
    <d v="2018-12-10T00:00:00"/>
    <m/>
    <x v="0"/>
    <x v="0"/>
  </r>
  <r>
    <s v="MRNTX036360"/>
    <x v="1"/>
    <x v="3"/>
    <d v="2018-11-26T00:00:00"/>
    <d v="2019-01-30T00:00:00"/>
    <d v="2019-01-30T00:00:00"/>
    <m/>
    <x v="1"/>
    <x v="2"/>
  </r>
  <r>
    <s v="MRNTX036370"/>
    <x v="1"/>
    <x v="3"/>
    <d v="2018-11-14T00:00:00"/>
    <d v="2018-11-19T00:00:00"/>
    <d v="2018-11-14T00:00:00"/>
    <d v="2018-11-14T00:00:00"/>
    <x v="0"/>
    <x v="1"/>
  </r>
  <r>
    <s v="MRNTX036419"/>
    <x v="1"/>
    <x v="3"/>
    <d v="2018-11-04T00:00:00"/>
    <d v="2018-11-04T00:00:00"/>
    <d v="2018-11-05T00:00:00"/>
    <d v="2018-11-05T00:00:00"/>
    <x v="0"/>
    <x v="1"/>
  </r>
  <r>
    <s v="MRNTX036420"/>
    <x v="1"/>
    <x v="3"/>
    <d v="2018-11-19T00:00:00"/>
    <d v="2018-11-30T00:00:00"/>
    <d v="2018-11-30T00:00:00"/>
    <m/>
    <x v="0"/>
    <x v="0"/>
  </r>
  <r>
    <s v="MRNTX036421"/>
    <x v="1"/>
    <x v="3"/>
    <d v="2018-11-05T00:00:00"/>
    <d v="2018-11-05T00:00:00"/>
    <d v="2018-11-05T00:00:00"/>
    <d v="2018-11-05T00:00:00"/>
    <x v="0"/>
    <x v="1"/>
  </r>
  <r>
    <s v="MRNTX036422"/>
    <x v="1"/>
    <x v="3"/>
    <d v="2018-11-29T00:00:00"/>
    <d v="2018-12-14T00:00:00"/>
    <d v="2018-12-14T00:00:00"/>
    <m/>
    <x v="1"/>
    <x v="2"/>
  </r>
  <r>
    <s v="MRNTX036424"/>
    <x v="1"/>
    <x v="3"/>
    <d v="2018-11-05T00:00:00"/>
    <d v="2018-11-05T00:00:00"/>
    <d v="2018-11-05T00:00:00"/>
    <d v="2018-11-05T00:00:00"/>
    <x v="0"/>
    <x v="1"/>
  </r>
  <r>
    <s v="MRNTX036425"/>
    <x v="1"/>
    <x v="3"/>
    <d v="2018-11-04T00:00:00"/>
    <d v="2018-11-04T00:00:00"/>
    <d v="2018-11-05T00:00:00"/>
    <d v="2018-11-05T00:00:00"/>
    <x v="0"/>
    <x v="1"/>
  </r>
  <r>
    <s v="MRNTX036426"/>
    <x v="1"/>
    <x v="3"/>
    <d v="2018-11-29T00:00:00"/>
    <d v="2018-12-14T00:00:00"/>
    <d v="2018-12-14T00:00:00"/>
    <m/>
    <x v="1"/>
    <x v="2"/>
  </r>
  <r>
    <s v="MRNTX036430"/>
    <x v="1"/>
    <x v="3"/>
    <d v="2018-11-02T00:00:00"/>
    <d v="2018-11-14T00:00:00"/>
    <d v="2018-11-14T00:00:00"/>
    <d v="2018-11-14T00:00:00"/>
    <x v="0"/>
    <x v="1"/>
  </r>
  <r>
    <s v="MRNTX036431"/>
    <x v="1"/>
    <x v="3"/>
    <d v="2018-11-14T00:00:00"/>
    <d v="2018-11-14T00:00:00"/>
    <d v="2018-11-09T00:00:00"/>
    <d v="2018-11-09T00:00:00"/>
    <x v="0"/>
    <x v="1"/>
  </r>
  <r>
    <s v="MRNTX036432"/>
    <x v="1"/>
    <x v="3"/>
    <d v="2018-11-19T00:00:00"/>
    <d v="2018-12-10T00:00:00"/>
    <d v="2018-12-10T00:00:00"/>
    <m/>
    <x v="1"/>
    <x v="2"/>
  </r>
  <r>
    <s v="MRNTX036433"/>
    <x v="1"/>
    <x v="3"/>
    <d v="2018-11-14T00:00:00"/>
    <d v="2018-11-14T00:00:00"/>
    <d v="2018-11-09T00:00:00"/>
    <d v="2018-11-09T00:00:00"/>
    <x v="0"/>
    <x v="1"/>
  </r>
  <r>
    <s v="MRNTX036435"/>
    <x v="1"/>
    <x v="3"/>
    <d v="2018-11-19T00:00:00"/>
    <d v="2018-12-10T00:00:00"/>
    <d v="2018-12-10T00:00:00"/>
    <m/>
    <x v="1"/>
    <x v="2"/>
  </r>
  <r>
    <s v="MRNTX036441"/>
    <x v="1"/>
    <x v="3"/>
    <d v="2018-11-01T00:00:00"/>
    <d v="2018-11-14T00:00:00"/>
    <d v="2018-11-14T00:00:00"/>
    <d v="2018-11-14T00:00:00"/>
    <x v="0"/>
    <x v="1"/>
  </r>
  <r>
    <s v="MRNTX036442"/>
    <x v="1"/>
    <x v="3"/>
    <d v="2018-11-16T00:00:00"/>
    <d v="2018-11-16T00:00:00"/>
    <d v="2018-11-20T00:00:00"/>
    <d v="2018-11-20T00:00:00"/>
    <x v="0"/>
    <x v="1"/>
  </r>
  <r>
    <s v="MRNTX036447"/>
    <x v="1"/>
    <x v="3"/>
    <d v="2018-11-14T00:00:00"/>
    <d v="2018-11-14T00:00:00"/>
    <d v="2018-11-09T00:00:00"/>
    <d v="2018-11-09T00:00:00"/>
    <x v="0"/>
    <x v="1"/>
  </r>
  <r>
    <s v="MRNTX036452"/>
    <x v="1"/>
    <x v="3"/>
    <d v="2018-11-16T00:00:00"/>
    <d v="2018-11-16T00:00:00"/>
    <d v="2018-11-20T00:00:00"/>
    <d v="2018-11-20T00:00:00"/>
    <x v="0"/>
    <x v="1"/>
  </r>
  <r>
    <s v="MRNTX036455"/>
    <x v="1"/>
    <x v="3"/>
    <d v="2018-11-14T00:00:00"/>
    <d v="2018-11-14T00:00:00"/>
    <d v="2018-11-09T00:00:00"/>
    <d v="2018-11-09T00:00:00"/>
    <x v="0"/>
    <x v="1"/>
  </r>
  <r>
    <s v="MRNTX036459"/>
    <x v="1"/>
    <x v="3"/>
    <d v="2018-11-19T00:00:00"/>
    <d v="2018-11-30T00:00:00"/>
    <d v="2018-11-30T00:00:00"/>
    <m/>
    <x v="0"/>
    <x v="0"/>
  </r>
  <r>
    <s v="MRNTX036460"/>
    <x v="1"/>
    <x v="3"/>
    <d v="2018-11-29T00:00:00"/>
    <d v="2018-12-14T00:00:00"/>
    <d v="2018-12-14T00:00:00"/>
    <m/>
    <x v="1"/>
    <x v="2"/>
  </r>
  <r>
    <s v="MRNTX036473"/>
    <x v="1"/>
    <x v="3"/>
    <d v="2018-11-14T00:00:00"/>
    <d v="2018-11-19T00:00:00"/>
    <d v="2018-11-14T00:00:00"/>
    <d v="2018-11-14T00:00:00"/>
    <x v="0"/>
    <x v="1"/>
  </r>
  <r>
    <s v="MRNTX036475"/>
    <x v="1"/>
    <x v="3"/>
    <d v="2018-11-19T00:00:00"/>
    <d v="2018-11-19T00:00:00"/>
    <d v="2018-11-15T00:00:00"/>
    <d v="2018-11-15T00:00:00"/>
    <x v="0"/>
    <x v="1"/>
  </r>
  <r>
    <s v="MRNTX036478"/>
    <x v="1"/>
    <x v="3"/>
    <d v="2018-11-26T00:00:00"/>
    <d v="2018-12-03T00:00:00"/>
    <d v="2018-12-03T00:00:00"/>
    <d v="2018-11-30T00:00:00"/>
    <x v="0"/>
    <x v="1"/>
  </r>
  <r>
    <s v="MRNTX036495"/>
    <x v="1"/>
    <x v="3"/>
    <d v="2018-11-16T00:00:00"/>
    <d v="2019-02-11T00:00:00"/>
    <d v="2019-02-11T00:00:00"/>
    <m/>
    <x v="1"/>
    <x v="4"/>
  </r>
  <r>
    <s v="MRNTX036498"/>
    <x v="1"/>
    <x v="3"/>
    <d v="2018-11-03T00:00:00"/>
    <d v="2018-11-03T00:00:00"/>
    <d v="2018-11-05T00:00:00"/>
    <d v="2018-11-05T00:00:00"/>
    <x v="0"/>
    <x v="1"/>
  </r>
  <r>
    <s v="MRNTX036514"/>
    <x v="1"/>
    <x v="3"/>
    <d v="2018-11-26T00:00:00"/>
    <d v="2019-01-30T00:00:00"/>
    <d v="2019-01-30T00:00:00"/>
    <m/>
    <x v="1"/>
    <x v="2"/>
  </r>
  <r>
    <s v="MRNTX036523"/>
    <x v="1"/>
    <x v="3"/>
    <d v="2018-11-26T00:00:00"/>
    <d v="2018-12-03T00:00:00"/>
    <d v="2018-12-03T00:00:00"/>
    <m/>
    <x v="0"/>
    <x v="0"/>
  </r>
  <r>
    <s v="MRNTX036529"/>
    <x v="1"/>
    <x v="3"/>
    <d v="2018-11-14T00:00:00"/>
    <d v="2018-11-19T00:00:00"/>
    <d v="2018-11-14T00:00:00"/>
    <d v="2018-11-14T00:00:00"/>
    <x v="0"/>
    <x v="1"/>
  </r>
  <r>
    <s v="MRNTX036542"/>
    <x v="1"/>
    <x v="3"/>
    <d v="2018-11-11T00:00:00"/>
    <d v="2018-11-19T00:00:00"/>
    <d v="2018-11-16T00:00:00"/>
    <d v="2018-11-16T00:00:00"/>
    <x v="0"/>
    <x v="1"/>
  </r>
  <r>
    <s v="MRNTX036550"/>
    <x v="1"/>
    <x v="3"/>
    <d v="2018-11-14T00:00:00"/>
    <d v="2018-11-19T00:00:00"/>
    <d v="2018-11-14T00:00:00"/>
    <d v="2018-11-14T00:00:00"/>
    <x v="0"/>
    <x v="1"/>
  </r>
  <r>
    <s v="MRNTX036560"/>
    <x v="1"/>
    <x v="3"/>
    <d v="2018-11-26T00:00:00"/>
    <d v="2018-12-10T00:00:00"/>
    <d v="2018-12-10T00:00:00"/>
    <m/>
    <x v="0"/>
    <x v="0"/>
  </r>
  <r>
    <s v="MRNTX036566"/>
    <x v="1"/>
    <x v="3"/>
    <d v="2018-11-26T00:00:00"/>
    <d v="2018-12-17T00:00:00"/>
    <d v="2018-12-17T00:00:00"/>
    <m/>
    <x v="1"/>
    <x v="2"/>
  </r>
  <r>
    <s v="MRNTX036569"/>
    <x v="1"/>
    <x v="3"/>
    <d v="2018-11-26T00:00:00"/>
    <d v="2018-12-14T00:00:00"/>
    <d v="2018-12-14T00:00:00"/>
    <m/>
    <x v="1"/>
    <x v="2"/>
  </r>
  <r>
    <s v="MRNTX036574"/>
    <x v="1"/>
    <x v="3"/>
    <d v="2018-11-19T00:00:00"/>
    <d v="2018-12-03T00:00:00"/>
    <d v="2018-12-03T00:00:00"/>
    <d v="2018-11-30T00:00:00"/>
    <x v="0"/>
    <x v="1"/>
  </r>
  <r>
    <s v="MRNTX036578"/>
    <x v="1"/>
    <x v="3"/>
    <d v="2018-11-05T00:00:00"/>
    <d v="2018-11-14T00:00:00"/>
    <d v="2018-11-16T00:00:00"/>
    <d v="2018-11-16T00:00:00"/>
    <x v="0"/>
    <x v="1"/>
  </r>
  <r>
    <s v="MRNTX036583"/>
    <x v="1"/>
    <x v="3"/>
    <d v="2018-11-29T00:00:00"/>
    <d v="2018-11-29T00:00:00"/>
    <d v="2018-11-06T00:00:00"/>
    <d v="2018-11-06T00:00:00"/>
    <x v="0"/>
    <x v="1"/>
  </r>
  <r>
    <s v="MRNTX036584"/>
    <x v="1"/>
    <x v="3"/>
    <d v="2018-11-29T00:00:00"/>
    <d v="2018-11-30T00:00:00"/>
    <d v="2018-11-30T00:00:00"/>
    <m/>
    <x v="0"/>
    <x v="0"/>
  </r>
  <r>
    <s v="MRNTX036602"/>
    <x v="1"/>
    <x v="3"/>
    <d v="2018-11-29T00:00:00"/>
    <d v="2018-11-29T00:00:00"/>
    <d v="2018-11-06T00:00:00"/>
    <d v="2018-11-06T00:00:00"/>
    <x v="0"/>
    <x v="1"/>
  </r>
  <r>
    <s v="MRSTX027412"/>
    <x v="0"/>
    <x v="3"/>
    <d v="2018-11-24T00:00:00"/>
    <d v="2018-12-13T00:00:00"/>
    <d v="2018-12-13T00:00:00"/>
    <m/>
    <x v="1"/>
    <x v="2"/>
  </r>
  <r>
    <s v="MRSTX027791"/>
    <x v="0"/>
    <x v="3"/>
    <d v="2018-11-21T00:00:00"/>
    <d v="2018-12-21T00:00:00"/>
    <d v="2018-12-21T00:00:00"/>
    <m/>
    <x v="1"/>
    <x v="2"/>
  </r>
  <r>
    <s v="MRSTX030821"/>
    <x v="0"/>
    <x v="3"/>
    <d v="2018-11-24T00:00:00"/>
    <d v="2018-11-24T00:00:00"/>
    <d v="2018-11-20T00:00:00"/>
    <d v="2018-11-20T00:00:00"/>
    <x v="0"/>
    <x v="1"/>
  </r>
  <r>
    <s v="MRNTX031298"/>
    <x v="1"/>
    <x v="3"/>
    <d v="2018-11-03T00:00:00"/>
    <d v="2018-11-03T00:00:00"/>
    <d v="2018-11-05T00:00:00"/>
    <d v="2018-11-05T00:00:00"/>
    <x v="0"/>
    <x v="1"/>
  </r>
  <r>
    <s v="MRNTX031320"/>
    <x v="1"/>
    <x v="3"/>
    <d v="2018-11-26T00:00:00"/>
    <d v="2018-11-30T00:00:00"/>
    <d v="2018-11-30T00:00:00"/>
    <m/>
    <x v="0"/>
    <x v="0"/>
  </r>
  <r>
    <s v="MRNTX031342"/>
    <x v="1"/>
    <x v="3"/>
    <d v="2018-11-26T00:00:00"/>
    <d v="2018-11-30T00:00:00"/>
    <d v="2018-11-30T00:00:00"/>
    <d v="2018-11-28T00:00:00"/>
    <x v="0"/>
    <x v="1"/>
  </r>
  <r>
    <s v="MRNTX031364"/>
    <x v="1"/>
    <x v="3"/>
    <d v="2018-11-19T00:00:00"/>
    <d v="2018-12-10T00:00:00"/>
    <d v="2018-12-10T00:00:00"/>
    <m/>
    <x v="1"/>
    <x v="2"/>
  </r>
  <r>
    <s v="MRNTX031367"/>
    <x v="1"/>
    <x v="3"/>
    <d v="2018-11-26T00:00:00"/>
    <d v="2018-12-03T00:00:00"/>
    <d v="2018-12-03T00:00:00"/>
    <d v="2018-11-30T00:00:00"/>
    <x v="0"/>
    <x v="1"/>
  </r>
  <r>
    <s v="MRNTX031370"/>
    <x v="1"/>
    <x v="3"/>
    <d v="2018-11-26T00:00:00"/>
    <d v="2018-11-30T00:00:00"/>
    <d v="2018-11-30T00:00:00"/>
    <m/>
    <x v="0"/>
    <x v="0"/>
  </r>
  <r>
    <s v="MRNTX031379"/>
    <x v="1"/>
    <x v="3"/>
    <d v="2018-11-26T00:00:00"/>
    <d v="2018-11-26T00:00:00"/>
    <d v="2018-11-15T00:00:00"/>
    <d v="2018-11-15T00:00:00"/>
    <x v="0"/>
    <x v="1"/>
  </r>
  <r>
    <s v="MRNTX031383"/>
    <x v="1"/>
    <x v="3"/>
    <d v="2018-11-03T00:00:00"/>
    <d v="2018-11-03T00:00:00"/>
    <d v="2018-11-05T00:00:00"/>
    <d v="2018-11-05T00:00:00"/>
    <x v="0"/>
    <x v="1"/>
  </r>
  <r>
    <s v="MRNTX031437"/>
    <x v="1"/>
    <x v="3"/>
    <d v="2018-11-16T00:00:00"/>
    <d v="2018-11-16T00:00:00"/>
    <d v="2018-11-12T00:00:00"/>
    <d v="2018-11-12T00:00:00"/>
    <x v="0"/>
    <x v="1"/>
  </r>
  <r>
    <s v="MRNTX031514"/>
    <x v="1"/>
    <x v="3"/>
    <d v="2018-11-16T00:00:00"/>
    <d v="2018-11-26T00:00:00"/>
    <d v="2018-11-25T00:00:00"/>
    <d v="2018-11-25T00:00:00"/>
    <x v="0"/>
    <x v="1"/>
  </r>
  <r>
    <s v="MRNTX031516"/>
    <x v="1"/>
    <x v="3"/>
    <d v="2018-11-23T00:00:00"/>
    <d v="2018-11-30T00:00:00"/>
    <d v="2018-11-30T00:00:00"/>
    <m/>
    <x v="0"/>
    <x v="0"/>
  </r>
  <r>
    <s v="MRNTX031529"/>
    <x v="1"/>
    <x v="3"/>
    <d v="2018-11-23T00:00:00"/>
    <d v="2019-02-11T00:00:00"/>
    <d v="2019-02-11T00:00:00"/>
    <m/>
    <x v="1"/>
    <x v="2"/>
  </r>
  <r>
    <s v="MRNTX031530"/>
    <x v="1"/>
    <x v="3"/>
    <d v="2018-11-05T00:00:00"/>
    <d v="2018-11-14T00:00:00"/>
    <d v="2018-11-09T00:00:00"/>
    <d v="2018-11-09T00:00:00"/>
    <x v="0"/>
    <x v="1"/>
  </r>
  <r>
    <s v="MRNTX031541"/>
    <x v="1"/>
    <x v="3"/>
    <d v="2018-11-16T00:00:00"/>
    <d v="2018-11-16T00:00:00"/>
    <d v="2018-11-25T00:00:00"/>
    <d v="2018-11-25T00:00:00"/>
    <x v="0"/>
    <x v="1"/>
  </r>
  <r>
    <s v="MRNTX031546"/>
    <x v="1"/>
    <x v="3"/>
    <d v="2018-11-19T00:00:00"/>
    <d v="2018-11-19T00:00:00"/>
    <d v="2018-11-19T00:00:00"/>
    <d v="2018-11-19T00:00:00"/>
    <x v="0"/>
    <x v="1"/>
  </r>
  <r>
    <s v="MRNTX031548"/>
    <x v="1"/>
    <x v="3"/>
    <d v="2018-11-16T00:00:00"/>
    <d v="2018-11-26T00:00:00"/>
    <d v="2018-11-25T00:00:00"/>
    <d v="2018-11-25T00:00:00"/>
    <x v="0"/>
    <x v="1"/>
  </r>
  <r>
    <s v="MRNTX031585"/>
    <x v="1"/>
    <x v="3"/>
    <d v="2018-11-28T00:00:00"/>
    <d v="2018-06-05T00:00:00"/>
    <d v="2018-11-05T00:00:00"/>
    <d v="2018-11-05T00:00:00"/>
    <x v="0"/>
    <x v="1"/>
  </r>
  <r>
    <s v="MRNTX037073"/>
    <x v="1"/>
    <x v="3"/>
    <d v="2018-11-26T00:00:00"/>
    <d v="2018-11-26T00:00:00"/>
    <d v="2018-11-08T00:00:00"/>
    <d v="2018-11-08T00:00:00"/>
    <x v="0"/>
    <x v="1"/>
  </r>
  <r>
    <s v="MRNTX037075"/>
    <x v="1"/>
    <x v="3"/>
    <d v="2018-11-26T00:00:00"/>
    <d v="2019-02-11T00:00:00"/>
    <d v="2019-02-11T00:00:00"/>
    <m/>
    <x v="1"/>
    <x v="2"/>
  </r>
  <r>
    <s v="MRNTX037110"/>
    <x v="1"/>
    <x v="3"/>
    <d v="2018-11-19T00:00:00"/>
    <d v="2018-12-10T00:00:00"/>
    <d v="2018-12-10T00:00:00"/>
    <m/>
    <x v="1"/>
    <x v="2"/>
  </r>
  <r>
    <s v="MRNTX037136"/>
    <x v="1"/>
    <x v="3"/>
    <d v="2018-11-19T00:00:00"/>
    <d v="2018-12-10T00:00:00"/>
    <d v="2018-12-10T00:00:00"/>
    <m/>
    <x v="1"/>
    <x v="2"/>
  </r>
  <r>
    <s v="MRNTX037143"/>
    <x v="1"/>
    <x v="3"/>
    <d v="2018-11-16T00:00:00"/>
    <d v="2018-12-14T00:00:00"/>
    <d v="2018-12-14T00:00:00"/>
    <m/>
    <x v="1"/>
    <x v="4"/>
  </r>
  <r>
    <s v="MRWSH019956"/>
    <x v="2"/>
    <x v="3"/>
    <d v="2018-11-16T00:00:00"/>
    <d v="2018-11-16T00:00:00"/>
    <d v="2018-11-16T00:00:00"/>
    <d v="2018-11-16T00:00:00"/>
    <x v="0"/>
    <x v="1"/>
  </r>
  <r>
    <s v="MRWSH019972"/>
    <x v="2"/>
    <x v="3"/>
    <d v="2018-11-20T00:00:00"/>
    <d v="2018-12-21T00:00:00"/>
    <d v="2018-12-14T00:00:00"/>
    <m/>
    <x v="1"/>
    <x v="2"/>
  </r>
  <r>
    <s v="MRWSH019997"/>
    <x v="2"/>
    <x v="3"/>
    <d v="2018-11-20T00:00:00"/>
    <d v="2018-12-14T00:00:00"/>
    <d v="2018-12-07T00:00:00"/>
    <m/>
    <x v="1"/>
    <x v="2"/>
  </r>
  <r>
    <s v="MRWSH020002"/>
    <x v="2"/>
    <x v="3"/>
    <d v="2018-11-01T00:00:00"/>
    <d v="2018-11-01T00:00:00"/>
    <d v="2018-11-01T00:00:00"/>
    <d v="2018-11-01T00:00:00"/>
    <x v="0"/>
    <x v="1"/>
  </r>
  <r>
    <s v="MRWSH020012"/>
    <x v="2"/>
    <x v="3"/>
    <d v="2018-11-08T00:00:00"/>
    <d v="2018-12-03T00:00:00"/>
    <d v="2018-11-29T00:00:00"/>
    <m/>
    <x v="1"/>
    <x v="4"/>
  </r>
  <r>
    <s v="MRWSH020023"/>
    <x v="2"/>
    <x v="3"/>
    <d v="2018-11-16T00:00:00"/>
    <d v="2018-11-30T00:00:00"/>
    <d v="2018-11-29T00:00:00"/>
    <m/>
    <x v="0"/>
    <x v="0"/>
  </r>
  <r>
    <s v="MRWSH020039"/>
    <x v="2"/>
    <x v="3"/>
    <d v="2018-11-16T00:00:00"/>
    <d v="2018-11-16T00:00:00"/>
    <d v="2018-11-16T00:00:00"/>
    <d v="2018-11-16T00:00:00"/>
    <x v="0"/>
    <x v="1"/>
  </r>
  <r>
    <s v="MRWSH020043"/>
    <x v="2"/>
    <x v="3"/>
    <d v="2018-11-05T00:00:00"/>
    <d v="2018-11-06T00:00:00"/>
    <d v="2018-11-05T00:00:00"/>
    <d v="2018-11-05T00:00:00"/>
    <x v="0"/>
    <x v="1"/>
  </r>
  <r>
    <s v="MRWSH020045"/>
    <x v="2"/>
    <x v="3"/>
    <d v="2018-11-20T00:00:00"/>
    <d v="2019-02-01T00:00:00"/>
    <d v="2018-12-14T00:00:00"/>
    <m/>
    <x v="1"/>
    <x v="2"/>
  </r>
  <r>
    <s v="MRWSH020066"/>
    <x v="2"/>
    <x v="3"/>
    <d v="2018-11-20T00:00:00"/>
    <d v="2018-12-03T00:00:00"/>
    <d v="2018-11-30T00:00:00"/>
    <m/>
    <x v="0"/>
    <x v="0"/>
  </r>
  <r>
    <s v="MRWSH020073"/>
    <x v="2"/>
    <x v="3"/>
    <d v="2018-11-20T00:00:00"/>
    <d v="2018-11-30T00:00:00"/>
    <d v="2018-11-27T00:00:00"/>
    <m/>
    <x v="0"/>
    <x v="0"/>
  </r>
  <r>
    <s v="MRWSH020076"/>
    <x v="2"/>
    <x v="3"/>
    <d v="2018-11-16T00:00:00"/>
    <d v="2018-12-06T00:00:00"/>
    <d v="2018-11-30T00:00:00"/>
    <m/>
    <x v="0"/>
    <x v="3"/>
  </r>
  <r>
    <s v="MRWSH020085"/>
    <x v="2"/>
    <x v="3"/>
    <d v="2018-11-20T00:00:00"/>
    <d v="2018-11-16T00:00:00"/>
    <d v="2018-11-16T00:00:00"/>
    <d v="2018-11-16T00:00:00"/>
    <x v="0"/>
    <x v="1"/>
  </r>
  <r>
    <s v="MRWSH020086"/>
    <x v="2"/>
    <x v="3"/>
    <d v="2018-11-20T00:00:00"/>
    <d v="2018-12-03T00:00:00"/>
    <d v="2018-11-30T00:00:00"/>
    <m/>
    <x v="0"/>
    <x v="0"/>
  </r>
  <r>
    <s v="MRWSH020094"/>
    <x v="2"/>
    <x v="3"/>
    <d v="2018-11-20T00:00:00"/>
    <d v="2019-02-01T00:00:00"/>
    <d v="2018-12-14T00:00:00"/>
    <m/>
    <x v="1"/>
    <x v="2"/>
  </r>
  <r>
    <s v="MRWSH020096"/>
    <x v="2"/>
    <x v="3"/>
    <d v="2018-11-02T00:00:00"/>
    <d v="2018-11-05T00:00:00"/>
    <d v="2018-11-05T00:00:00"/>
    <d v="2018-11-05T00:00:00"/>
    <x v="0"/>
    <x v="1"/>
  </r>
  <r>
    <s v="MRWSH020127"/>
    <x v="2"/>
    <x v="3"/>
    <d v="2018-11-16T00:00:00"/>
    <d v="2018-11-30T00:00:00"/>
    <d v="2018-11-29T00:00:00"/>
    <m/>
    <x v="0"/>
    <x v="0"/>
  </r>
  <r>
    <s v="MRWSH020139"/>
    <x v="2"/>
    <x v="3"/>
    <d v="2018-11-09T00:00:00"/>
    <d v="2018-11-29T00:00:00"/>
    <d v="2018-11-24T00:00:00"/>
    <m/>
    <x v="1"/>
    <x v="4"/>
  </r>
  <r>
    <s v="MRWSH020159"/>
    <x v="2"/>
    <x v="3"/>
    <d v="2018-11-09T00:00:00"/>
    <d v="2018-11-16T00:00:00"/>
    <d v="2018-11-16T00:00:00"/>
    <d v="2018-11-16T00:00:00"/>
    <x v="0"/>
    <x v="1"/>
  </r>
  <r>
    <s v="MRWSH020165"/>
    <x v="2"/>
    <x v="3"/>
    <d v="2018-11-09T00:00:00"/>
    <d v="2018-11-07T00:00:00"/>
    <d v="2018-11-08T00:00:00"/>
    <d v="2018-11-08T00:00:00"/>
    <x v="0"/>
    <x v="1"/>
  </r>
  <r>
    <s v="MRWSH020186"/>
    <x v="2"/>
    <x v="3"/>
    <d v="2018-11-16T00:00:00"/>
    <d v="2018-12-06T00:00:00"/>
    <d v="2018-11-30T00:00:00"/>
    <m/>
    <x v="0"/>
    <x v="3"/>
  </r>
  <r>
    <s v="MRWSH020195"/>
    <x v="2"/>
    <x v="3"/>
    <d v="2018-11-09T00:00:00"/>
    <d v="2018-11-13T00:00:00"/>
    <d v="2018-11-13T00:00:00"/>
    <d v="2018-11-13T00:00:00"/>
    <x v="0"/>
    <x v="1"/>
  </r>
  <r>
    <s v="MRWSH020197"/>
    <x v="2"/>
    <x v="3"/>
    <d v="2018-11-20T00:00:00"/>
    <d v="2018-12-06T00:00:00"/>
    <d v="2018-11-27T00:00:00"/>
    <m/>
    <x v="0"/>
    <x v="3"/>
  </r>
  <r>
    <s v="MRWSH020199"/>
    <x v="2"/>
    <x v="3"/>
    <d v="2018-11-01T00:00:00"/>
    <d v="2018-11-01T00:00:00"/>
    <d v="2018-11-01T00:00:00"/>
    <d v="2018-11-01T00:00:00"/>
    <x v="0"/>
    <x v="1"/>
  </r>
  <r>
    <s v="MRWSH020202"/>
    <x v="2"/>
    <x v="3"/>
    <d v="2018-11-20T00:00:00"/>
    <d v="2018-11-30T00:00:00"/>
    <d v="2018-11-26T00:00:00"/>
    <m/>
    <x v="0"/>
    <x v="0"/>
  </r>
  <r>
    <s v="MRWSH020211"/>
    <x v="2"/>
    <x v="3"/>
    <d v="2018-11-20T00:00:00"/>
    <d v="2018-12-06T00:00:00"/>
    <d v="2018-11-30T00:00:00"/>
    <m/>
    <x v="0"/>
    <x v="3"/>
  </r>
  <r>
    <s v="MRWSH020218"/>
    <x v="2"/>
    <x v="3"/>
    <d v="2018-11-20T00:00:00"/>
    <d v="2018-11-29T00:00:00"/>
    <d v="2018-11-30T00:00:00"/>
    <m/>
    <x v="0"/>
    <x v="0"/>
  </r>
  <r>
    <s v="MRWSH020219"/>
    <x v="2"/>
    <x v="3"/>
    <d v="2018-11-20T00:00:00"/>
    <d v="2018-11-21T00:00:00"/>
    <d v="2018-11-21T00:00:00"/>
    <d v="2018-11-21T00:00:00"/>
    <x v="0"/>
    <x v="1"/>
  </r>
  <r>
    <s v="MRWSH020227"/>
    <x v="2"/>
    <x v="3"/>
    <d v="2018-11-05T00:00:00"/>
    <d v="2018-11-06T00:00:00"/>
    <d v="2018-11-05T00:00:00"/>
    <d v="2018-11-05T00:00:00"/>
    <x v="0"/>
    <x v="1"/>
  </r>
  <r>
    <s v="MRWSH020231"/>
    <x v="2"/>
    <x v="3"/>
    <d v="2018-11-20T00:00:00"/>
    <d v="2018-11-26T00:00:00"/>
    <d v="2018-11-23T00:00:00"/>
    <d v="2018-11-23T00:00:00"/>
    <x v="0"/>
    <x v="1"/>
  </r>
  <r>
    <s v="MRWSH020232"/>
    <x v="2"/>
    <x v="3"/>
    <d v="2018-11-01T00:00:00"/>
    <d v="2018-11-01T00:00:00"/>
    <d v="2018-11-01T00:00:00"/>
    <d v="2018-11-01T00:00:00"/>
    <x v="0"/>
    <x v="1"/>
  </r>
  <r>
    <s v="MRNTX015140"/>
    <x v="1"/>
    <x v="3"/>
    <d v="2018-11-15T00:00:00"/>
    <d v="2018-12-11T00:00:00"/>
    <d v="2018-12-11T00:00:00"/>
    <m/>
    <x v="1"/>
    <x v="4"/>
  </r>
  <r>
    <s v="MRSTX030886"/>
    <x v="0"/>
    <x v="3"/>
    <d v="2018-11-21T00:00:00"/>
    <d v="2018-12-21T00:00:00"/>
    <d v="2018-12-21T00:00:00"/>
    <m/>
    <x v="1"/>
    <x v="2"/>
  </r>
  <r>
    <s v="MRSTX030946"/>
    <x v="0"/>
    <x v="3"/>
    <d v="2018-11-21T00:00:00"/>
    <d v="2018-12-21T00:00:00"/>
    <d v="2018-12-21T00:00:00"/>
    <m/>
    <x v="1"/>
    <x v="2"/>
  </r>
  <r>
    <s v="MRSTX030947"/>
    <x v="0"/>
    <x v="3"/>
    <d v="2018-11-21T00:00:00"/>
    <d v="2018-12-13T00:00:00"/>
    <d v="2018-12-13T00:00:00"/>
    <m/>
    <x v="1"/>
    <x v="2"/>
  </r>
  <r>
    <s v="MRSTX030955"/>
    <x v="0"/>
    <x v="3"/>
    <d v="2018-11-21T00:00:00"/>
    <d v="2018-11-21T00:00:00"/>
    <d v="2018-11-20T00:00:00"/>
    <d v="2018-11-20T00:00:00"/>
    <x v="0"/>
    <x v="1"/>
  </r>
  <r>
    <s v="MRSTX030957"/>
    <x v="0"/>
    <x v="3"/>
    <d v="2018-11-24T00:00:00"/>
    <d v="2018-12-13T00:00:00"/>
    <d v="2018-12-13T00:00:00"/>
    <m/>
    <x v="1"/>
    <x v="2"/>
  </r>
  <r>
    <s v="MRSTX030958"/>
    <x v="0"/>
    <x v="3"/>
    <d v="2018-11-21T00:00:00"/>
    <d v="2018-11-21T00:00:00"/>
    <d v="2018-11-20T00:00:00"/>
    <d v="2018-11-20T00:00:00"/>
    <x v="0"/>
    <x v="1"/>
  </r>
  <r>
    <s v="MRSTX030962"/>
    <x v="0"/>
    <x v="3"/>
    <d v="2018-11-24T00:00:00"/>
    <d v="2018-11-24T00:00:00"/>
    <d v="2018-11-20T00:00:00"/>
    <d v="2018-11-20T00:00:00"/>
    <x v="0"/>
    <x v="1"/>
  </r>
  <r>
    <s v="MRSTX030965"/>
    <x v="0"/>
    <x v="3"/>
    <d v="2018-11-24T00:00:00"/>
    <d v="2018-12-13T00:00:00"/>
    <d v="2018-12-13T00:00:00"/>
    <m/>
    <x v="1"/>
    <x v="2"/>
  </r>
  <r>
    <s v="MRSTX030974"/>
    <x v="0"/>
    <x v="3"/>
    <d v="2018-11-21T00:00:00"/>
    <d v="2018-12-13T00:00:00"/>
    <d v="2018-12-13T00:00:00"/>
    <m/>
    <x v="1"/>
    <x v="2"/>
  </r>
  <r>
    <s v="MRSTX031070"/>
    <x v="0"/>
    <x v="3"/>
    <d v="2018-11-21T00:00:00"/>
    <d v="2018-12-13T00:00:00"/>
    <d v="2018-12-13T00:00:00"/>
    <m/>
    <x v="1"/>
    <x v="2"/>
  </r>
  <r>
    <s v="MRSTX031080"/>
    <x v="0"/>
    <x v="3"/>
    <d v="2018-11-21T00:00:00"/>
    <d v="2018-11-21T00:00:00"/>
    <d v="2018-11-20T00:00:00"/>
    <d v="2018-11-20T00:00:00"/>
    <x v="0"/>
    <x v="1"/>
  </r>
  <r>
    <s v="MRSTX031114"/>
    <x v="0"/>
    <x v="3"/>
    <d v="2018-11-21T00:00:00"/>
    <d v="2018-12-25T00:00:00"/>
    <d v="2018-12-25T00:00:00"/>
    <m/>
    <x v="1"/>
    <x v="2"/>
  </r>
  <r>
    <s v="MRSTX039811"/>
    <x v="0"/>
    <x v="3"/>
    <d v="2018-11-24T00:00:00"/>
    <d v="2018-11-19T00:00:00"/>
    <d v="2018-11-20T00:00:00"/>
    <d v="2018-11-20T00:00:00"/>
    <x v="0"/>
    <x v="1"/>
  </r>
  <r>
    <s v="MRSTX039888"/>
    <x v="0"/>
    <x v="3"/>
    <d v="2018-11-24T00:00:00"/>
    <d v="2018-11-19T00:00:00"/>
    <d v="2018-11-20T00:00:00"/>
    <d v="2018-11-20T00:00:00"/>
    <x v="0"/>
    <x v="1"/>
  </r>
  <r>
    <s v="MRSTX040008"/>
    <x v="0"/>
    <x v="3"/>
    <d v="2018-11-24T00:00:00"/>
    <d v="2018-11-19T00:00:00"/>
    <d v="2018-11-20T00:00:00"/>
    <d v="2018-11-20T00:00:00"/>
    <x v="0"/>
    <x v="1"/>
  </r>
  <r>
    <s v="MRSTX040047"/>
    <x v="0"/>
    <x v="3"/>
    <d v="2018-11-24T00:00:00"/>
    <d v="2018-11-19T00:00:00"/>
    <d v="2018-11-20T00:00:00"/>
    <d v="2018-11-20T00:00:00"/>
    <x v="0"/>
    <x v="1"/>
  </r>
  <r>
    <s v="MRNTX037174"/>
    <x v="1"/>
    <x v="3"/>
    <d v="2018-11-02T00:00:00"/>
    <d v="2018-11-12T00:00:00"/>
    <d v="2018-11-02T00:00:00"/>
    <d v="2018-11-02T00:00:00"/>
    <x v="0"/>
    <x v="1"/>
  </r>
  <r>
    <s v="MRNTX037257"/>
    <x v="1"/>
    <x v="3"/>
    <d v="2018-11-19T00:00:00"/>
    <d v="2018-11-19T00:00:00"/>
    <d v="2018-11-08T00:00:00"/>
    <d v="2018-11-08T00:00:00"/>
    <x v="0"/>
    <x v="1"/>
  </r>
  <r>
    <s v="MRNTX037264"/>
    <x v="1"/>
    <x v="3"/>
    <d v="2018-11-02T00:00:00"/>
    <d v="2018-11-14T00:00:00"/>
    <d v="2018-11-02T00:00:00"/>
    <d v="2018-11-02T00:00:00"/>
    <x v="0"/>
    <x v="1"/>
  </r>
  <r>
    <s v="MRNTX037269"/>
    <x v="1"/>
    <x v="3"/>
    <d v="2018-11-19T00:00:00"/>
    <d v="2018-12-10T00:00:00"/>
    <d v="2018-12-10T00:00:00"/>
    <m/>
    <x v="1"/>
    <x v="2"/>
  </r>
  <r>
    <s v="MRNTX037273"/>
    <x v="1"/>
    <x v="3"/>
    <d v="2018-11-26T00:00:00"/>
    <d v="2018-11-26T00:00:00"/>
    <d v="2018-11-08T00:00:00"/>
    <d v="2018-11-08T00:00:00"/>
    <x v="0"/>
    <x v="1"/>
  </r>
  <r>
    <s v="MRNTX037295"/>
    <x v="1"/>
    <x v="3"/>
    <d v="2018-11-26T00:00:00"/>
    <d v="2018-12-03T00:00:00"/>
    <d v="2018-12-03T00:00:00"/>
    <m/>
    <x v="0"/>
    <x v="0"/>
  </r>
  <r>
    <s v="MRNTX037297"/>
    <x v="1"/>
    <x v="3"/>
    <d v="2018-11-19T00:00:00"/>
    <d v="2018-11-19T00:00:00"/>
    <d v="2018-11-08T00:00:00"/>
    <d v="2018-11-08T00:00:00"/>
    <x v="0"/>
    <x v="1"/>
  </r>
  <r>
    <s v="MRNTX037298"/>
    <x v="1"/>
    <x v="3"/>
    <d v="2018-11-26T00:00:00"/>
    <d v="2019-02-11T00:00:00"/>
    <d v="2019-02-11T00:00:00"/>
    <m/>
    <x v="1"/>
    <x v="2"/>
  </r>
  <r>
    <s v="MRNTX037309"/>
    <x v="1"/>
    <x v="3"/>
    <d v="2018-11-15T00:00:00"/>
    <d v="2018-11-15T00:00:00"/>
    <d v="2018-11-05T00:00:00"/>
    <d v="2018-11-05T00:00:00"/>
    <x v="0"/>
    <x v="1"/>
  </r>
  <r>
    <s v="MRNTX037318"/>
    <x v="1"/>
    <x v="3"/>
    <d v="2018-11-26T00:00:00"/>
    <d v="2018-12-03T00:00:00"/>
    <d v="2018-11-28T00:00:00"/>
    <d v="2018-11-28T00:00:00"/>
    <x v="0"/>
    <x v="1"/>
  </r>
  <r>
    <s v="MRNTX037325"/>
    <x v="1"/>
    <x v="3"/>
    <d v="2018-11-16T00:00:00"/>
    <d v="2018-11-16T00:00:00"/>
    <d v="2018-11-15T00:00:00"/>
    <d v="2018-11-15T00:00:00"/>
    <x v="0"/>
    <x v="1"/>
  </r>
  <r>
    <s v="MRNTX037327"/>
    <x v="1"/>
    <x v="3"/>
    <d v="2018-11-15T00:00:00"/>
    <d v="2018-11-15T00:00:00"/>
    <d v="2018-11-05T00:00:00"/>
    <d v="2018-11-05T00:00:00"/>
    <x v="0"/>
    <x v="1"/>
  </r>
  <r>
    <s v="MRSTX032284"/>
    <x v="0"/>
    <x v="3"/>
    <d v="2018-11-25T00:00:00"/>
    <d v="2018-12-25T00:00:00"/>
    <d v="2018-11-20T00:00:00"/>
    <m/>
    <x v="0"/>
    <x v="3"/>
  </r>
  <r>
    <s v="MRSTX032349"/>
    <x v="0"/>
    <x v="3"/>
    <d v="2018-11-08T00:00:00"/>
    <d v="1999-12-30T00:00:00"/>
    <d v="2018-11-08T00:00:00"/>
    <m/>
    <x v="0"/>
    <x v="0"/>
  </r>
  <r>
    <s v="MRSTX032473"/>
    <x v="0"/>
    <x v="3"/>
    <d v="2018-11-24T00:00:00"/>
    <d v="2018-11-24T00:00:00"/>
    <d v="2018-11-20T00:00:00"/>
    <d v="2018-11-20T00:00:00"/>
    <x v="0"/>
    <x v="1"/>
  </r>
  <r>
    <s v="MRSTX032510"/>
    <x v="0"/>
    <x v="3"/>
    <d v="2018-11-05T00:00:00"/>
    <d v="2018-11-24T00:00:00"/>
    <d v="2018-11-20T00:00:00"/>
    <d v="2018-11-20T00:00:00"/>
    <x v="1"/>
    <x v="1"/>
  </r>
  <r>
    <s v="MRSTX032535"/>
    <x v="0"/>
    <x v="3"/>
    <d v="2018-11-05T00:00:00"/>
    <d v="2018-11-24T00:00:00"/>
    <d v="2018-11-20T00:00:00"/>
    <d v="2018-11-20T00:00:00"/>
    <x v="1"/>
    <x v="1"/>
  </r>
  <r>
    <s v="MRSTX032561"/>
    <x v="0"/>
    <x v="3"/>
    <d v="2018-11-24T00:00:00"/>
    <d v="2018-12-25T00:00:00"/>
    <d v="2018-12-13T00:00:00"/>
    <m/>
    <x v="1"/>
    <x v="2"/>
  </r>
  <r>
    <s v="MRSTX032593"/>
    <x v="0"/>
    <x v="3"/>
    <d v="2018-11-24T00:00:00"/>
    <d v="2018-11-24T00:00:00"/>
    <d v="2018-11-20T00:00:00"/>
    <d v="2018-11-20T00:00:00"/>
    <x v="0"/>
    <x v="1"/>
  </r>
  <r>
    <s v="MRSTX032749"/>
    <x v="0"/>
    <x v="3"/>
    <d v="2018-11-21T00:00:00"/>
    <d v="2018-11-21T00:00:00"/>
    <d v="2018-11-20T00:00:00"/>
    <d v="2018-11-20T00:00:00"/>
    <x v="0"/>
    <x v="1"/>
  </r>
  <r>
    <s v="MRSTX032786"/>
    <x v="0"/>
    <x v="3"/>
    <d v="2018-11-24T00:00:00"/>
    <d v="2018-11-20T00:00:00"/>
    <d v="2018-11-19T00:00:00"/>
    <d v="2018-11-19T00:00:00"/>
    <x v="0"/>
    <x v="1"/>
  </r>
  <r>
    <s v="MRSTX032828"/>
    <x v="0"/>
    <x v="3"/>
    <d v="2018-11-25T00:00:00"/>
    <d v="2018-12-25T00:00:00"/>
    <d v="2018-11-20T00:00:00"/>
    <m/>
    <x v="0"/>
    <x v="3"/>
  </r>
  <r>
    <s v="MRSTX032836"/>
    <x v="0"/>
    <x v="3"/>
    <d v="2018-11-25T00:00:00"/>
    <d v="2018-12-13T00:00:00"/>
    <d v="2018-12-13T00:00:00"/>
    <m/>
    <x v="1"/>
    <x v="2"/>
  </r>
  <r>
    <s v="MRNTX025165"/>
    <x v="1"/>
    <x v="3"/>
    <d v="2018-11-05T00:00:00"/>
    <d v="2018-12-03T00:00:00"/>
    <d v="2018-12-03T00:00:00"/>
    <m/>
    <x v="1"/>
    <x v="4"/>
  </r>
  <r>
    <s v="MRNTX032672"/>
    <x v="1"/>
    <x v="3"/>
    <d v="2018-11-26T00:00:00"/>
    <d v="2018-12-10T00:00:00"/>
    <d v="2018-12-10T00:00:00"/>
    <m/>
    <x v="0"/>
    <x v="0"/>
  </r>
  <r>
    <s v="MRNTX032682"/>
    <x v="1"/>
    <x v="3"/>
    <d v="2018-11-05T00:00:00"/>
    <d v="2018-11-14T00:00:00"/>
    <d v="2018-11-16T00:00:00"/>
    <d v="2018-11-16T00:00:00"/>
    <x v="0"/>
    <x v="1"/>
  </r>
  <r>
    <s v="MRNTX032690"/>
    <x v="1"/>
    <x v="3"/>
    <d v="2018-11-19T00:00:00"/>
    <d v="2018-11-26T00:00:00"/>
    <d v="2018-11-20T00:00:00"/>
    <d v="2018-11-20T00:00:00"/>
    <x v="0"/>
    <x v="1"/>
  </r>
  <r>
    <s v="MRNTX032732"/>
    <x v="1"/>
    <x v="3"/>
    <d v="2018-11-26T00:00:00"/>
    <d v="2018-12-14T00:00:00"/>
    <d v="2018-12-14T00:00:00"/>
    <m/>
    <x v="1"/>
    <x v="2"/>
  </r>
  <r>
    <s v="MRNTX032787"/>
    <x v="1"/>
    <x v="3"/>
    <d v="2018-11-19T00:00:00"/>
    <d v="2018-12-24T00:00:00"/>
    <d v="2018-12-24T00:00:00"/>
    <m/>
    <x v="1"/>
    <x v="2"/>
  </r>
  <r>
    <s v="MRNTX032835"/>
    <x v="1"/>
    <x v="3"/>
    <d v="2018-11-21T00:00:00"/>
    <d v="2018-12-11T00:00:00"/>
    <d v="2018-12-11T00:00:00"/>
    <m/>
    <x v="1"/>
    <x v="2"/>
  </r>
  <r>
    <s v="MRNTX032859"/>
    <x v="1"/>
    <x v="3"/>
    <d v="2018-11-27T00:00:00"/>
    <d v="2018-11-27T00:00:00"/>
    <d v="2018-11-12T00:00:00"/>
    <d v="2018-11-12T00:00:00"/>
    <x v="0"/>
    <x v="1"/>
  </r>
  <r>
    <s v="MRNTX032871"/>
    <x v="1"/>
    <x v="3"/>
    <d v="2018-11-26T00:00:00"/>
    <d v="2018-12-10T00:00:00"/>
    <d v="2018-12-10T00:00:00"/>
    <m/>
    <x v="0"/>
    <x v="0"/>
  </r>
  <r>
    <s v="MRWSH025064"/>
    <x v="2"/>
    <x v="3"/>
    <d v="2018-11-02T00:00:00"/>
    <d v="2018-11-05T00:00:00"/>
    <d v="2018-11-04T00:00:00"/>
    <d v="2018-11-04T00:00:00"/>
    <x v="0"/>
    <x v="1"/>
  </r>
  <r>
    <s v="MRWSH025065"/>
    <x v="2"/>
    <x v="3"/>
    <d v="2018-11-02T00:00:00"/>
    <d v="2018-11-05T00:00:00"/>
    <d v="2018-11-04T00:00:00"/>
    <d v="2018-11-04T00:00:00"/>
    <x v="0"/>
    <x v="1"/>
  </r>
  <r>
    <s v="MRWSH025080"/>
    <x v="2"/>
    <x v="3"/>
    <d v="2018-11-02T00:00:00"/>
    <d v="2018-11-05T00:00:00"/>
    <d v="2018-11-04T00:00:00"/>
    <d v="2018-11-04T00:00:00"/>
    <x v="0"/>
    <x v="1"/>
  </r>
  <r>
    <s v="MRWSH025115"/>
    <x v="2"/>
    <x v="3"/>
    <d v="2018-11-16T00:00:00"/>
    <d v="2018-11-14T00:00:00"/>
    <d v="2018-11-14T00:00:00"/>
    <d v="2018-11-14T00:00:00"/>
    <x v="0"/>
    <x v="1"/>
  </r>
  <r>
    <s v="MRWSH025118"/>
    <x v="2"/>
    <x v="3"/>
    <d v="2018-11-20T00:00:00"/>
    <d v="2018-11-20T00:00:00"/>
    <d v="2018-11-20T00:00:00"/>
    <d v="2018-11-20T00:00:00"/>
    <x v="0"/>
    <x v="1"/>
  </r>
  <r>
    <s v="MRWSH025120"/>
    <x v="2"/>
    <x v="3"/>
    <d v="2018-11-16T00:00:00"/>
    <d v="2018-11-14T00:00:00"/>
    <d v="2018-11-14T00:00:00"/>
    <d v="2018-11-14T00:00:00"/>
    <x v="0"/>
    <x v="1"/>
  </r>
  <r>
    <s v="MRWSH025160"/>
    <x v="2"/>
    <x v="3"/>
    <d v="2018-11-16T00:00:00"/>
    <d v="2018-11-20T00:00:00"/>
    <d v="2018-11-20T00:00:00"/>
    <d v="2018-11-20T00:00:00"/>
    <x v="0"/>
    <x v="1"/>
  </r>
  <r>
    <s v="MRWSH025163"/>
    <x v="2"/>
    <x v="3"/>
    <d v="2018-11-20T00:00:00"/>
    <d v="2018-11-20T00:00:00"/>
    <d v="2018-11-20T00:00:00"/>
    <d v="2018-11-20T00:00:00"/>
    <x v="0"/>
    <x v="1"/>
  </r>
  <r>
    <s v="MRWSH025169"/>
    <x v="2"/>
    <x v="3"/>
    <d v="2018-11-14T00:00:00"/>
    <d v="2018-11-09T00:00:00"/>
    <d v="2018-11-09T00:00:00"/>
    <d v="2018-11-09T00:00:00"/>
    <x v="0"/>
    <x v="1"/>
  </r>
  <r>
    <s v="MRWSH025180"/>
    <x v="2"/>
    <x v="3"/>
    <d v="2018-11-01T00:00:00"/>
    <d v="2018-11-01T00:00:00"/>
    <d v="2018-11-01T00:00:00"/>
    <d v="2018-11-01T00:00:00"/>
    <x v="0"/>
    <x v="1"/>
  </r>
  <r>
    <s v="MRWSH025185"/>
    <x v="2"/>
    <x v="3"/>
    <d v="2018-11-16T00:00:00"/>
    <d v="2018-11-20T00:00:00"/>
    <d v="2018-11-20T00:00:00"/>
    <d v="2018-11-20T00:00:00"/>
    <x v="0"/>
    <x v="1"/>
  </r>
  <r>
    <s v="MRWSH025191"/>
    <x v="2"/>
    <x v="3"/>
    <d v="2018-11-09T00:00:00"/>
    <d v="2018-11-14T00:00:00"/>
    <d v="2018-11-14T00:00:00"/>
    <d v="2018-11-14T00:00:00"/>
    <x v="0"/>
    <x v="1"/>
  </r>
  <r>
    <s v="MRWSH025208"/>
    <x v="2"/>
    <x v="3"/>
    <d v="2018-11-03T00:00:00"/>
    <d v="2018-11-12T00:00:00"/>
    <d v="2018-11-12T00:00:00"/>
    <d v="2018-11-12T00:00:00"/>
    <x v="0"/>
    <x v="1"/>
  </r>
  <r>
    <s v="MRWSH025274"/>
    <x v="2"/>
    <x v="3"/>
    <d v="2018-11-14T00:00:00"/>
    <d v="2018-11-12T00:00:00"/>
    <d v="2018-11-07T00:00:00"/>
    <d v="2018-11-07T00:00:00"/>
    <x v="0"/>
    <x v="1"/>
  </r>
  <r>
    <s v="MRWSH025298"/>
    <x v="2"/>
    <x v="3"/>
    <d v="2018-11-20T00:00:00"/>
    <d v="2018-11-20T00:00:00"/>
    <d v="2018-11-20T00:00:00"/>
    <d v="2018-11-20T00:00:00"/>
    <x v="0"/>
    <x v="1"/>
  </r>
  <r>
    <s v="MRWSH025302"/>
    <x v="2"/>
    <x v="3"/>
    <d v="2018-11-16T00:00:00"/>
    <d v="2018-11-14T00:00:00"/>
    <d v="2018-11-14T00:00:00"/>
    <d v="2018-11-14T00:00:00"/>
    <x v="0"/>
    <x v="1"/>
  </r>
  <r>
    <s v="MRWSH025337"/>
    <x v="2"/>
    <x v="3"/>
    <d v="2018-11-09T00:00:00"/>
    <d v="2018-11-11T00:00:00"/>
    <d v="2018-11-11T00:00:00"/>
    <d v="2018-11-11T00:00:00"/>
    <x v="0"/>
    <x v="1"/>
  </r>
  <r>
    <s v="MRWSH025356"/>
    <x v="2"/>
    <x v="3"/>
    <d v="2018-11-09T00:00:00"/>
    <d v="2018-11-14T00:00:00"/>
    <d v="2018-11-14T00:00:00"/>
    <d v="2018-11-14T00:00:00"/>
    <x v="0"/>
    <x v="1"/>
  </r>
  <r>
    <s v="MRSTX033094"/>
    <x v="0"/>
    <x v="3"/>
    <d v="2018-11-20T00:00:00"/>
    <d v="2018-11-16T00:00:00"/>
    <d v="2018-11-16T00:00:00"/>
    <d v="2018-11-16T00:00:00"/>
    <x v="0"/>
    <x v="1"/>
  </r>
  <r>
    <s v="MRNTX032889"/>
    <x v="1"/>
    <x v="3"/>
    <d v="2018-11-05T00:00:00"/>
    <d v="2018-11-14T00:00:00"/>
    <d v="2018-11-16T00:00:00"/>
    <d v="2018-11-16T00:00:00"/>
    <x v="0"/>
    <x v="1"/>
  </r>
  <r>
    <s v="MRNTX032904"/>
    <x v="1"/>
    <x v="3"/>
    <d v="2018-11-19T00:00:00"/>
    <d v="2018-11-26T00:00:00"/>
    <d v="2018-11-20T00:00:00"/>
    <d v="2018-11-20T00:00:00"/>
    <x v="0"/>
    <x v="1"/>
  </r>
  <r>
    <s v="MRNTX032937"/>
    <x v="1"/>
    <x v="3"/>
    <d v="2018-11-05T00:00:00"/>
    <d v="2018-11-26T00:00:00"/>
    <d v="2018-11-21T00:00:00"/>
    <d v="2018-11-21T00:00:00"/>
    <x v="1"/>
    <x v="1"/>
  </r>
  <r>
    <s v="MRNTX032941"/>
    <x v="1"/>
    <x v="3"/>
    <d v="2018-11-02T00:00:00"/>
    <d v="2018-09-08T00:00:00"/>
    <d v="2018-11-02T00:00:00"/>
    <d v="2018-11-02T00:00:00"/>
    <x v="0"/>
    <x v="1"/>
  </r>
  <r>
    <s v="MRNTX032993"/>
    <x v="1"/>
    <x v="3"/>
    <d v="2018-11-19T00:00:00"/>
    <d v="2018-12-24T00:00:00"/>
    <d v="2018-12-24T00:00:00"/>
    <m/>
    <x v="1"/>
    <x v="2"/>
  </r>
  <r>
    <s v="MRNTX032995"/>
    <x v="1"/>
    <x v="3"/>
    <d v="2018-11-19T00:00:00"/>
    <d v="2018-12-14T00:00:00"/>
    <d v="2018-12-14T00:00:00"/>
    <m/>
    <x v="1"/>
    <x v="2"/>
  </r>
  <r>
    <s v="MRSTX034546"/>
    <x v="0"/>
    <x v="3"/>
    <d v="2018-11-25T00:00:00"/>
    <d v="2018-12-25T00:00:00"/>
    <d v="2018-11-20T00:00:00"/>
    <m/>
    <x v="0"/>
    <x v="3"/>
  </r>
  <r>
    <s v="MRSTX034554"/>
    <x v="0"/>
    <x v="3"/>
    <d v="2018-11-24T00:00:00"/>
    <d v="2018-11-24T00:00:00"/>
    <d v="2018-11-20T00:00:00"/>
    <d v="2018-11-20T00:00:00"/>
    <x v="0"/>
    <x v="1"/>
  </r>
  <r>
    <s v="MRSTX034555"/>
    <x v="0"/>
    <x v="3"/>
    <d v="2018-11-24T00:00:00"/>
    <d v="2018-11-24T00:00:00"/>
    <d v="2018-11-20T00:00:00"/>
    <d v="2018-11-20T00:00:00"/>
    <x v="0"/>
    <x v="1"/>
  </r>
  <r>
    <s v="MRSTX034566"/>
    <x v="0"/>
    <x v="3"/>
    <d v="2018-11-24T00:00:00"/>
    <d v="2018-11-24T00:00:00"/>
    <d v="2018-11-20T00:00:00"/>
    <d v="2018-11-20T00:00:00"/>
    <x v="0"/>
    <x v="1"/>
  </r>
  <r>
    <s v="MRSTX034670"/>
    <x v="0"/>
    <x v="3"/>
    <d v="2018-11-24T00:00:00"/>
    <d v="2018-11-24T00:00:00"/>
    <d v="2018-11-20T00:00:00"/>
    <d v="2018-11-20T00:00:00"/>
    <x v="0"/>
    <x v="1"/>
  </r>
  <r>
    <s v="MRSTX034739"/>
    <x v="0"/>
    <x v="3"/>
    <d v="2018-11-24T00:00:00"/>
    <d v="2018-11-24T00:00:00"/>
    <d v="2018-11-20T00:00:00"/>
    <d v="2018-11-20T00:00:00"/>
    <x v="0"/>
    <x v="1"/>
  </r>
  <r>
    <s v="MRWSH025386"/>
    <x v="2"/>
    <x v="3"/>
    <d v="2018-11-20T00:00:00"/>
    <d v="2018-12-04T00:00:00"/>
    <d v="2018-11-29T00:00:00"/>
    <m/>
    <x v="0"/>
    <x v="0"/>
  </r>
  <r>
    <s v="MRWSH025791"/>
    <x v="2"/>
    <x v="3"/>
    <d v="2018-11-20T00:00:00"/>
    <d v="2018-12-30T00:00:00"/>
    <d v="2018-12-30T00:00:00"/>
    <m/>
    <x v="1"/>
    <x v="2"/>
  </r>
  <r>
    <s v="MRNTX036646"/>
    <x v="1"/>
    <x v="3"/>
    <d v="2018-11-16T00:00:00"/>
    <d v="2018-12-03T00:00:00"/>
    <d v="2018-12-03T00:00:00"/>
    <m/>
    <x v="1"/>
    <x v="4"/>
  </r>
  <r>
    <s v="MRNTX036694"/>
    <x v="1"/>
    <x v="3"/>
    <d v="2018-11-29T00:00:00"/>
    <d v="2018-11-30T00:00:00"/>
    <d v="2018-11-30T00:00:00"/>
    <m/>
    <x v="0"/>
    <x v="0"/>
  </r>
  <r>
    <s v="MRNTX036697"/>
    <x v="1"/>
    <x v="3"/>
    <d v="2018-11-26T00:00:00"/>
    <d v="2018-12-03T00:00:00"/>
    <d v="2018-12-03T00:00:00"/>
    <m/>
    <x v="0"/>
    <x v="0"/>
  </r>
  <r>
    <s v="MRNTX036735"/>
    <x v="1"/>
    <x v="3"/>
    <d v="2018-11-29T00:00:00"/>
    <d v="2018-11-29T00:00:00"/>
    <d v="2018-11-06T00:00:00"/>
    <d v="2018-11-06T00:00:00"/>
    <x v="0"/>
    <x v="1"/>
  </r>
  <r>
    <s v="MRNTX036793"/>
    <x v="1"/>
    <x v="3"/>
    <d v="2018-11-29T00:00:00"/>
    <d v="2018-12-04T00:00:00"/>
    <d v="2018-12-04T00:00:00"/>
    <m/>
    <x v="0"/>
    <x v="0"/>
  </r>
  <r>
    <s v="MRWSH011138"/>
    <x v="2"/>
    <x v="4"/>
    <d v="2018-11-30T00:00:00"/>
    <d v="2018-12-02T00:00:00"/>
    <d v="2018-11-30T00:00:00"/>
    <m/>
    <x v="0"/>
    <x v="0"/>
  </r>
  <r>
    <s v="MRANM014310"/>
    <x v="3"/>
    <x v="4"/>
    <d v="2018-11-30T00:00:00"/>
    <d v="1999-12-30T00:00:00"/>
    <d v="2018-11-05T00:00:00"/>
    <d v="2018-11-05T00:00:00"/>
    <x v="0"/>
    <x v="1"/>
  </r>
  <r>
    <s v="MRSTX035516"/>
    <x v="0"/>
    <x v="4"/>
    <d v="2018-11-30T00:00:00"/>
    <d v="2018-12-31T00:00:00"/>
    <d v="2018-12-31T00:00:00"/>
    <m/>
    <x v="1"/>
    <x v="2"/>
  </r>
  <r>
    <s v="MRSTX035580"/>
    <x v="0"/>
    <x v="4"/>
    <d v="2018-11-28T00:00:00"/>
    <d v="2018-12-31T00:00:00"/>
    <d v="2018-12-31T00:00:00"/>
    <m/>
    <x v="1"/>
    <x v="2"/>
  </r>
  <r>
    <s v="MRSTX035616"/>
    <x v="0"/>
    <x v="4"/>
    <d v="2018-11-30T00:00:00"/>
    <d v="2018-12-31T00:00:00"/>
    <d v="2018-12-31T00:00:00"/>
    <m/>
    <x v="1"/>
    <x v="2"/>
  </r>
  <r>
    <s v="MRSTX035643"/>
    <x v="0"/>
    <x v="4"/>
    <d v="2018-11-15T00:00:00"/>
    <d v="2018-11-15T00:00:00"/>
    <d v="2018-11-15T00:00:00"/>
    <d v="2018-11-15T00:00:00"/>
    <x v="0"/>
    <x v="1"/>
  </r>
  <r>
    <s v="MRWSH020440"/>
    <x v="2"/>
    <x v="4"/>
    <d v="2018-11-30T00:00:00"/>
    <d v="2018-12-25T00:00:00"/>
    <d v="2018-12-31T00:00:00"/>
    <m/>
    <x v="1"/>
    <x v="2"/>
  </r>
  <r>
    <s v="MRWSH020453"/>
    <x v="2"/>
    <x v="4"/>
    <d v="2018-11-30T00:00:00"/>
    <d v="2018-09-18T00:00:00"/>
    <d v="2018-11-30T00:00:00"/>
    <m/>
    <x v="0"/>
    <x v="0"/>
  </r>
  <r>
    <s v="MRWSH020471"/>
    <x v="2"/>
    <x v="4"/>
    <d v="2018-11-30T00:00:00"/>
    <d v="2018-07-30T00:00:00"/>
    <d v="2018-12-31T00:00:00"/>
    <m/>
    <x v="1"/>
    <x v="5"/>
  </r>
  <r>
    <s v="MRWSH020477"/>
    <x v="2"/>
    <x v="4"/>
    <d v="2018-11-30T00:00:00"/>
    <d v="2018-11-02T00:00:00"/>
    <d v="2018-12-31T00:00:00"/>
    <m/>
    <x v="1"/>
    <x v="5"/>
  </r>
  <r>
    <s v="MRNTX036824"/>
    <x v="1"/>
    <x v="4"/>
    <d v="2018-11-23T00:00:00"/>
    <d v="2018-07-19T00:00:00"/>
    <d v="2018-11-14T00:00:00"/>
    <d v="2018-11-14T00:00:00"/>
    <x v="0"/>
    <x v="1"/>
  </r>
  <r>
    <s v="MRNTX036825"/>
    <x v="1"/>
    <x v="4"/>
    <d v="2018-11-23T00:00:00"/>
    <d v="1999-12-30T00:00:00"/>
    <d v="2018-12-24T00:00:00"/>
    <m/>
    <x v="1"/>
    <x v="5"/>
  </r>
  <r>
    <s v="MRNTX036846"/>
    <x v="1"/>
    <x v="4"/>
    <d v="2018-11-08T00:00:00"/>
    <d v="1999-12-30T00:00:00"/>
    <d v="2018-11-29T00:00:00"/>
    <d v="2018-11-29T00:00:00"/>
    <x v="1"/>
    <x v="1"/>
  </r>
  <r>
    <s v="MRNTX036848"/>
    <x v="1"/>
    <x v="4"/>
    <d v="2018-11-22T00:00:00"/>
    <d v="2018-08-09T00:00:00"/>
    <d v="2018-12-18T00:00:00"/>
    <m/>
    <x v="1"/>
    <x v="5"/>
  </r>
  <r>
    <s v="MRNTX036850"/>
    <x v="1"/>
    <x v="4"/>
    <d v="2018-11-28T00:00:00"/>
    <d v="2018-07-12T00:00:00"/>
    <d v="2018-12-18T00:00:00"/>
    <m/>
    <x v="1"/>
    <x v="5"/>
  </r>
  <r>
    <s v="MRNTX036853"/>
    <x v="1"/>
    <x v="4"/>
    <d v="2018-11-25T00:00:00"/>
    <d v="1999-12-30T00:00:00"/>
    <d v="2018-11-27T00:00:00"/>
    <d v="2018-11-27T00:00:00"/>
    <x v="0"/>
    <x v="1"/>
  </r>
  <r>
    <s v="MRNTX036854"/>
    <x v="1"/>
    <x v="4"/>
    <d v="2018-11-08T00:00:00"/>
    <d v="1999-12-30T00:00:00"/>
    <d v="2018-11-29T00:00:00"/>
    <d v="2018-11-29T00:00:00"/>
    <x v="1"/>
    <x v="1"/>
  </r>
  <r>
    <s v="MRNTX036855"/>
    <x v="1"/>
    <x v="4"/>
    <d v="2018-11-28T00:00:00"/>
    <d v="1999-12-30T00:00:00"/>
    <d v="2018-12-18T00:00:00"/>
    <m/>
    <x v="1"/>
    <x v="5"/>
  </r>
  <r>
    <s v="MRNTX036858"/>
    <x v="1"/>
    <x v="4"/>
    <d v="2018-11-22T00:00:00"/>
    <d v="2018-08-09T00:00:00"/>
    <d v="2018-12-18T00:00:00"/>
    <m/>
    <x v="1"/>
    <x v="5"/>
  </r>
  <r>
    <s v="MRNTX036860"/>
    <x v="1"/>
    <x v="4"/>
    <d v="2018-11-28T00:00:00"/>
    <d v="1999-12-30T00:00:00"/>
    <d v="2018-12-18T00:00:00"/>
    <m/>
    <x v="1"/>
    <x v="5"/>
  </r>
  <r>
    <s v="MRNTX036927"/>
    <x v="1"/>
    <x v="4"/>
    <d v="2018-11-10T00:00:00"/>
    <d v="1999-12-30T00:00:00"/>
    <d v="2018-11-20T00:00:00"/>
    <d v="2018-11-20T00:00:00"/>
    <x v="0"/>
    <x v="1"/>
  </r>
  <r>
    <s v="MRNTX036941"/>
    <x v="1"/>
    <x v="4"/>
    <d v="2018-11-30T00:00:00"/>
    <d v="1999-12-30T00:00:00"/>
    <d v="2018-12-10T00:00:00"/>
    <m/>
    <x v="0"/>
    <x v="0"/>
  </r>
  <r>
    <s v="MRNTX036942"/>
    <x v="1"/>
    <x v="4"/>
    <d v="2018-11-18T00:00:00"/>
    <d v="1999-12-30T00:00:00"/>
    <d v="2018-11-23T00:00:00"/>
    <d v="2018-11-23T00:00:00"/>
    <x v="0"/>
    <x v="1"/>
  </r>
  <r>
    <s v="MRNTX036957"/>
    <x v="1"/>
    <x v="4"/>
    <d v="2018-11-19T00:00:00"/>
    <d v="1999-12-30T00:00:00"/>
    <d v="2018-11-08T00:00:00"/>
    <d v="2018-11-08T00:00:00"/>
    <x v="0"/>
    <x v="1"/>
  </r>
  <r>
    <s v="MRNTX036961"/>
    <x v="1"/>
    <x v="4"/>
    <d v="2018-11-14T00:00:00"/>
    <d v="1999-12-30T00:00:00"/>
    <d v="2018-11-29T00:00:00"/>
    <d v="2018-11-29T00:00:00"/>
    <x v="1"/>
    <x v="1"/>
  </r>
  <r>
    <s v="MRNTX036962"/>
    <x v="1"/>
    <x v="4"/>
    <d v="2018-11-23T00:00:00"/>
    <d v="2018-11-10T00:00:00"/>
    <d v="2018-12-11T00:00:00"/>
    <m/>
    <x v="1"/>
    <x v="5"/>
  </r>
  <r>
    <s v="MRNTX036963"/>
    <x v="1"/>
    <x v="4"/>
    <d v="2018-11-24T00:00:00"/>
    <d v="1999-12-30T00:00:00"/>
    <d v="2018-11-30T00:00:00"/>
    <m/>
    <x v="0"/>
    <x v="0"/>
  </r>
  <r>
    <s v="MRNTX036964"/>
    <x v="1"/>
    <x v="4"/>
    <d v="2018-11-25T00:00:00"/>
    <d v="1999-12-30T00:00:00"/>
    <d v="2018-12-18T00:00:00"/>
    <m/>
    <x v="1"/>
    <x v="5"/>
  </r>
  <r>
    <s v="MRNTX037064"/>
    <x v="1"/>
    <x v="4"/>
    <d v="2018-11-10T00:00:00"/>
    <d v="1999-12-30T00:00:00"/>
    <d v="2018-11-28T00:00:00"/>
    <d v="2018-11-28T00:00:00"/>
    <x v="1"/>
    <x v="1"/>
  </r>
  <r>
    <s v="MRNTX037068"/>
    <x v="1"/>
    <x v="4"/>
    <d v="2018-11-29T00:00:00"/>
    <d v="1999-12-30T00:00:00"/>
    <d v="2018-12-17T00:00:00"/>
    <m/>
    <x v="1"/>
    <x v="5"/>
  </r>
  <r>
    <s v="MRSTX031124"/>
    <x v="0"/>
    <x v="4"/>
    <d v="2018-11-30T00:00:00"/>
    <d v="2018-12-31T00:00:00"/>
    <d v="2018-12-31T00:00:00"/>
    <m/>
    <x v="1"/>
    <x v="2"/>
  </r>
  <r>
    <s v="MRSTX031133"/>
    <x v="0"/>
    <x v="4"/>
    <d v="2018-11-30T00:00:00"/>
    <d v="2018-11-30T00:00:00"/>
    <d v="2018-11-27T00:00:00"/>
    <d v="2018-11-27T00:00:00"/>
    <x v="0"/>
    <x v="1"/>
  </r>
  <r>
    <s v="MRSTX031136"/>
    <x v="0"/>
    <x v="4"/>
    <d v="2018-11-30T00:00:00"/>
    <d v="2018-11-30T00:00:00"/>
    <d v="2018-11-30T00:00:00"/>
    <m/>
    <x v="0"/>
    <x v="0"/>
  </r>
  <r>
    <s v="MRSTX031143"/>
    <x v="0"/>
    <x v="4"/>
    <d v="2018-11-30T00:00:00"/>
    <d v="2018-11-30T00:00:00"/>
    <d v="2018-11-27T00:00:00"/>
    <d v="2018-11-27T00:00:00"/>
    <x v="0"/>
    <x v="1"/>
  </r>
  <r>
    <s v="MRSTX031295"/>
    <x v="0"/>
    <x v="4"/>
    <d v="2018-11-30T00:00:00"/>
    <d v="2018-11-30T00:00:00"/>
    <d v="2018-11-27T00:00:00"/>
    <d v="2018-11-27T00:00:00"/>
    <x v="0"/>
    <x v="1"/>
  </r>
  <r>
    <s v="MRSTX031299"/>
    <x v="0"/>
    <x v="4"/>
    <d v="2018-11-15T00:00:00"/>
    <d v="2018-11-15T00:00:00"/>
    <d v="2018-11-12T00:00:00"/>
    <d v="2018-11-12T00:00:00"/>
    <x v="0"/>
    <x v="1"/>
  </r>
  <r>
    <s v="MRSTX031482"/>
    <x v="0"/>
    <x v="4"/>
    <d v="2018-11-30T00:00:00"/>
    <d v="2018-12-31T00:00:00"/>
    <d v="2018-12-31T00:00:00"/>
    <m/>
    <x v="1"/>
    <x v="2"/>
  </r>
  <r>
    <s v="MRSTX031484"/>
    <x v="0"/>
    <x v="4"/>
    <d v="2018-11-30T00:00:00"/>
    <d v="2018-11-30T00:00:00"/>
    <d v="2018-11-30T00:00:00"/>
    <m/>
    <x v="0"/>
    <x v="0"/>
  </r>
  <r>
    <s v="MRSTX031608"/>
    <x v="0"/>
    <x v="4"/>
    <d v="2018-11-30T00:00:00"/>
    <d v="2018-11-30T00:00:00"/>
    <d v="2018-11-26T00:00:00"/>
    <d v="2018-11-26T00:00:00"/>
    <x v="0"/>
    <x v="1"/>
  </r>
  <r>
    <s v="MRSTX031613"/>
    <x v="0"/>
    <x v="4"/>
    <d v="2018-11-30T00:00:00"/>
    <d v="2018-11-30T00:00:00"/>
    <d v="2018-11-26T00:00:00"/>
    <d v="2018-11-26T00:00:00"/>
    <x v="0"/>
    <x v="1"/>
  </r>
  <r>
    <s v="MRSTX031616"/>
    <x v="0"/>
    <x v="4"/>
    <d v="2018-11-15T00:00:00"/>
    <d v="2018-11-15T00:00:00"/>
    <d v="2018-11-14T00:00:00"/>
    <d v="2018-11-14T00:00:00"/>
    <x v="0"/>
    <x v="1"/>
  </r>
  <r>
    <s v="MRSTX031624"/>
    <x v="0"/>
    <x v="4"/>
    <d v="2018-11-28T00:00:00"/>
    <d v="2018-11-28T00:00:00"/>
    <d v="2018-11-28T00:00:00"/>
    <m/>
    <x v="0"/>
    <x v="0"/>
  </r>
  <r>
    <s v="MRSTX031625"/>
    <x v="0"/>
    <x v="4"/>
    <d v="2018-11-28T00:00:00"/>
    <d v="2018-12-31T00:00:00"/>
    <d v="2018-12-31T00:00:00"/>
    <m/>
    <x v="1"/>
    <x v="2"/>
  </r>
  <r>
    <s v="MRSTX031665"/>
    <x v="0"/>
    <x v="4"/>
    <d v="2018-11-30T00:00:00"/>
    <d v="2018-11-30T00:00:00"/>
    <d v="2018-10-31T00:00:00"/>
    <d v="2018-10-31T00:00:00"/>
    <x v="0"/>
    <x v="1"/>
  </r>
  <r>
    <s v="MRSTX032076"/>
    <x v="0"/>
    <x v="4"/>
    <d v="2018-11-30T00:00:00"/>
    <d v="2018-11-30T00:00:00"/>
    <d v="2018-11-30T00:00:00"/>
    <m/>
    <x v="0"/>
    <x v="0"/>
  </r>
  <r>
    <s v="MRWSH020481"/>
    <x v="2"/>
    <x v="4"/>
    <d v="2018-11-30T00:00:00"/>
    <d v="2018-07-30T00:00:00"/>
    <d v="2018-12-31T00:00:00"/>
    <m/>
    <x v="1"/>
    <x v="5"/>
  </r>
  <r>
    <s v="MRWSH020489"/>
    <x v="2"/>
    <x v="4"/>
    <d v="2018-11-30T00:00:00"/>
    <d v="2018-12-31T00:00:00"/>
    <d v="2018-12-31T00:00:00"/>
    <m/>
    <x v="1"/>
    <x v="2"/>
  </r>
  <r>
    <s v="MRWSH020514"/>
    <x v="2"/>
    <x v="4"/>
    <d v="2018-11-30T00:00:00"/>
    <d v="2018-11-02T00:00:00"/>
    <d v="2018-11-12T00:00:00"/>
    <d v="2018-11-12T00:00:00"/>
    <x v="0"/>
    <x v="1"/>
  </r>
  <r>
    <s v="MRWSH020547"/>
    <x v="2"/>
    <x v="4"/>
    <d v="2018-11-30T00:00:00"/>
    <d v="2018-05-10T00:00:00"/>
    <d v="2018-11-20T00:00:00"/>
    <d v="2018-11-20T00:00:00"/>
    <x v="0"/>
    <x v="1"/>
  </r>
  <r>
    <s v="MRWSH020566"/>
    <x v="2"/>
    <x v="4"/>
    <d v="2018-11-30T00:00:00"/>
    <d v="2018-09-01T00:00:00"/>
    <d v="2018-11-28T00:00:00"/>
    <d v="2018-11-28T00:00:00"/>
    <x v="0"/>
    <x v="1"/>
  </r>
  <r>
    <s v="MRWSH020572"/>
    <x v="2"/>
    <x v="4"/>
    <d v="2018-11-30T00:00:00"/>
    <d v="2018-05-03T00:00:00"/>
    <d v="2018-11-14T00:00:00"/>
    <d v="2018-11-14T00:00:00"/>
    <x v="0"/>
    <x v="1"/>
  </r>
  <r>
    <s v="MRWSH020589"/>
    <x v="2"/>
    <x v="4"/>
    <d v="2018-11-30T00:00:00"/>
    <d v="2018-12-31T00:00:00"/>
    <d v="2018-12-31T00:00:00"/>
    <m/>
    <x v="1"/>
    <x v="2"/>
  </r>
  <r>
    <s v="MRWSH020590"/>
    <x v="2"/>
    <x v="4"/>
    <d v="2018-11-30T00:00:00"/>
    <d v="2018-12-31T00:00:00"/>
    <d v="2018-11-21T00:00:00"/>
    <d v="2018-11-21T00:00:00"/>
    <x v="0"/>
    <x v="1"/>
  </r>
  <r>
    <s v="MRWSH020606"/>
    <x v="2"/>
    <x v="4"/>
    <d v="2018-11-30T00:00:00"/>
    <d v="2018-12-31T00:00:00"/>
    <d v="2018-12-31T00:00:00"/>
    <m/>
    <x v="1"/>
    <x v="2"/>
  </r>
  <r>
    <s v="MRWSH020607"/>
    <x v="2"/>
    <x v="4"/>
    <d v="2018-11-30T00:00:00"/>
    <d v="2018-12-31T00:00:00"/>
    <d v="2018-12-31T00:00:00"/>
    <m/>
    <x v="1"/>
    <x v="2"/>
  </r>
  <r>
    <s v="MRWSH020618"/>
    <x v="2"/>
    <x v="4"/>
    <d v="2018-11-30T00:00:00"/>
    <d v="2018-07-05T00:00:00"/>
    <d v="2018-12-31T00:00:00"/>
    <m/>
    <x v="1"/>
    <x v="5"/>
  </r>
  <r>
    <s v="MRWSH020648"/>
    <x v="2"/>
    <x v="4"/>
    <d v="2018-11-30T00:00:00"/>
    <d v="2018-08-11T00:00:00"/>
    <d v="2018-12-31T00:00:00"/>
    <m/>
    <x v="1"/>
    <x v="5"/>
  </r>
  <r>
    <s v="MRWSH020649"/>
    <x v="2"/>
    <x v="4"/>
    <d v="2018-11-30T00:00:00"/>
    <d v="2018-12-31T00:00:00"/>
    <d v="2018-11-05T00:00:00"/>
    <d v="2018-11-05T00:00:00"/>
    <x v="0"/>
    <x v="1"/>
  </r>
  <r>
    <s v="MRWSH020678"/>
    <x v="2"/>
    <x v="4"/>
    <d v="2018-11-30T00:00:00"/>
    <d v="2018-12-25T00:00:00"/>
    <d v="2018-11-01T00:00:00"/>
    <d v="2018-11-01T00:00:00"/>
    <x v="0"/>
    <x v="1"/>
  </r>
  <r>
    <s v="MRWSH020703"/>
    <x v="2"/>
    <x v="4"/>
    <d v="2018-11-30T00:00:00"/>
    <d v="2018-09-01T00:00:00"/>
    <d v="2018-11-30T00:00:00"/>
    <m/>
    <x v="0"/>
    <x v="0"/>
  </r>
  <r>
    <s v="MRWSH020793"/>
    <x v="2"/>
    <x v="4"/>
    <d v="2018-11-30T00:00:00"/>
    <d v="2018-12-31T00:00:00"/>
    <d v="2018-11-07T00:00:00"/>
    <d v="2018-11-07T00:00:00"/>
    <x v="0"/>
    <x v="1"/>
  </r>
  <r>
    <s v="MRWSH020855"/>
    <x v="2"/>
    <x v="4"/>
    <d v="2018-11-30T00:00:00"/>
    <s v="N/A"/>
    <s v="N/A"/>
    <s v="N/A"/>
    <x v="2"/>
    <x v="0"/>
  </r>
  <r>
    <s v="MRWSH020917"/>
    <x v="2"/>
    <x v="4"/>
    <d v="2018-11-30T00:00:00"/>
    <d v="1999-12-30T00:00:00"/>
    <d v="2018-11-30T00:00:00"/>
    <m/>
    <x v="0"/>
    <x v="0"/>
  </r>
  <r>
    <s v="MRWSH020937"/>
    <x v="2"/>
    <x v="4"/>
    <d v="2018-11-30T00:00:00"/>
    <d v="2018-12-31T00:00:00"/>
    <d v="2018-12-31T00:00:00"/>
    <m/>
    <x v="1"/>
    <x v="2"/>
  </r>
  <r>
    <s v="MRWSH020946"/>
    <x v="2"/>
    <x v="4"/>
    <d v="2018-11-30T00:00:00"/>
    <d v="2018-12-31T00:00:00"/>
    <d v="2018-11-07T00:00:00"/>
    <d v="2018-11-07T00:00:00"/>
    <x v="0"/>
    <x v="1"/>
  </r>
  <r>
    <s v="MRWSH020950"/>
    <x v="2"/>
    <x v="4"/>
    <d v="2018-11-30T00:00:00"/>
    <d v="2018-05-24T00:00:00"/>
    <d v="2018-11-28T00:00:00"/>
    <d v="2018-11-28T00:00:00"/>
    <x v="0"/>
    <x v="1"/>
  </r>
  <r>
    <s v="MRWSH020954"/>
    <x v="2"/>
    <x v="4"/>
    <d v="2018-11-30T00:00:00"/>
    <d v="2018-06-01T00:00:00"/>
    <d v="2018-11-15T00:00:00"/>
    <d v="2018-11-15T00:00:00"/>
    <x v="0"/>
    <x v="1"/>
  </r>
  <r>
    <s v="MRWSH020957"/>
    <x v="2"/>
    <x v="4"/>
    <d v="2018-11-30T00:00:00"/>
    <d v="2018-12-31T00:00:00"/>
    <d v="2018-11-26T00:00:00"/>
    <d v="2018-11-26T00:00:00"/>
    <x v="0"/>
    <x v="1"/>
  </r>
  <r>
    <s v="MRWSH020983"/>
    <x v="2"/>
    <x v="4"/>
    <d v="2018-11-30T00:00:00"/>
    <d v="2018-12-31T00:00:00"/>
    <d v="2018-12-31T00:00:00"/>
    <m/>
    <x v="1"/>
    <x v="2"/>
  </r>
  <r>
    <s v="MRWSH021030"/>
    <x v="2"/>
    <x v="4"/>
    <d v="2018-11-30T00:00:00"/>
    <d v="2018-12-31T00:00:00"/>
    <d v="2018-12-31T00:00:00"/>
    <m/>
    <x v="1"/>
    <x v="2"/>
  </r>
  <r>
    <s v="MRWSH021039"/>
    <x v="2"/>
    <x v="4"/>
    <d v="2018-11-30T00:00:00"/>
    <d v="2018-12-31T00:00:00"/>
    <d v="2018-11-21T00:00:00"/>
    <d v="2018-11-21T00:00:00"/>
    <x v="0"/>
    <x v="1"/>
  </r>
  <r>
    <s v="MRWSH021065"/>
    <x v="2"/>
    <x v="4"/>
    <d v="2018-11-30T00:00:00"/>
    <d v="2018-12-31T00:00:00"/>
    <d v="2018-11-08T00:00:00"/>
    <d v="2018-11-08T00:00:00"/>
    <x v="0"/>
    <x v="1"/>
  </r>
  <r>
    <s v="MRSTX033329"/>
    <x v="0"/>
    <x v="4"/>
    <d v="2018-11-30T00:00:00"/>
    <d v="2018-11-30T00:00:00"/>
    <d v="2018-11-30T00:00:00"/>
    <m/>
    <x v="0"/>
    <x v="0"/>
  </r>
  <r>
    <s v="MRSTX033358"/>
    <x v="0"/>
    <x v="4"/>
    <d v="2018-11-30T00:00:00"/>
    <d v="2018-11-30T00:00:00"/>
    <d v="2018-11-30T00:00:00"/>
    <m/>
    <x v="0"/>
    <x v="0"/>
  </r>
  <r>
    <s v="MRSTX033375"/>
    <x v="0"/>
    <x v="4"/>
    <d v="2018-11-28T00:00:00"/>
    <d v="2018-11-28T00:00:00"/>
    <d v="2018-11-16T00:00:00"/>
    <d v="2018-11-16T00:00:00"/>
    <x v="0"/>
    <x v="1"/>
  </r>
  <r>
    <s v="MRSTX033473"/>
    <x v="0"/>
    <x v="4"/>
    <d v="2018-11-15T00:00:00"/>
    <d v="2018-11-15T00:00:00"/>
    <d v="2018-11-15T00:00:00"/>
    <d v="2018-11-15T00:00:00"/>
    <x v="0"/>
    <x v="1"/>
  </r>
  <r>
    <s v="MRSTX033491"/>
    <x v="0"/>
    <x v="4"/>
    <d v="2018-11-30T00:00:00"/>
    <d v="2018-12-31T00:00:00"/>
    <d v="2018-12-31T00:00:00"/>
    <m/>
    <x v="1"/>
    <x v="2"/>
  </r>
  <r>
    <s v="MRSTX033501"/>
    <x v="0"/>
    <x v="4"/>
    <d v="2018-11-28T00:00:00"/>
    <d v="2018-11-28T00:00:00"/>
    <d v="2018-11-21T00:00:00"/>
    <d v="2018-11-21T00:00:00"/>
    <x v="0"/>
    <x v="1"/>
  </r>
  <r>
    <s v="MRSTX033507"/>
    <x v="0"/>
    <x v="4"/>
    <d v="2018-11-30T00:00:00"/>
    <d v="2018-10-31T00:00:00"/>
    <d v="2018-11-20T00:00:00"/>
    <d v="2018-11-20T00:00:00"/>
    <x v="0"/>
    <x v="1"/>
  </r>
  <r>
    <s v="MRSTX033510"/>
    <x v="0"/>
    <x v="4"/>
    <d v="2018-11-28T00:00:00"/>
    <d v="2018-12-31T00:00:00"/>
    <d v="2018-12-31T00:00:00"/>
    <m/>
    <x v="1"/>
    <x v="2"/>
  </r>
  <r>
    <s v="MRSTX033522"/>
    <x v="0"/>
    <x v="4"/>
    <d v="2018-11-30T00:00:00"/>
    <d v="2018-12-31T00:00:00"/>
    <d v="2018-12-31T00:00:00"/>
    <m/>
    <x v="1"/>
    <x v="2"/>
  </r>
  <r>
    <s v="MRSTX033526"/>
    <x v="0"/>
    <x v="4"/>
    <d v="2018-11-30T00:00:00"/>
    <d v="2018-11-30T00:00:00"/>
    <d v="2018-11-21T00:00:00"/>
    <d v="2018-11-21T00:00:00"/>
    <x v="0"/>
    <x v="1"/>
  </r>
  <r>
    <s v="MRSTX033531"/>
    <x v="0"/>
    <x v="4"/>
    <d v="2018-11-28T00:00:00"/>
    <d v="2018-11-28T00:00:00"/>
    <d v="2018-11-28T00:00:00"/>
    <m/>
    <x v="0"/>
    <x v="0"/>
  </r>
  <r>
    <s v="MRSTX033539"/>
    <x v="0"/>
    <x v="4"/>
    <d v="2018-11-30T00:00:00"/>
    <d v="2018-11-30T00:00:00"/>
    <d v="2018-11-30T00:00:00"/>
    <m/>
    <x v="0"/>
    <x v="0"/>
  </r>
  <r>
    <s v="MRSTX033544"/>
    <x v="0"/>
    <x v="4"/>
    <d v="2018-11-28T00:00:00"/>
    <d v="2018-12-31T00:00:00"/>
    <d v="2018-12-31T00:00:00"/>
    <m/>
    <x v="1"/>
    <x v="2"/>
  </r>
  <r>
    <s v="MRSTX033548"/>
    <x v="0"/>
    <x v="4"/>
    <d v="2018-11-30T00:00:00"/>
    <d v="2018-11-30T00:00:00"/>
    <d v="2018-11-30T00:00:00"/>
    <m/>
    <x v="0"/>
    <x v="0"/>
  </r>
  <r>
    <s v="MRSTX033570"/>
    <x v="0"/>
    <x v="4"/>
    <d v="2018-11-30T00:00:00"/>
    <d v="2018-11-30T00:00:00"/>
    <d v="2018-11-26T00:00:00"/>
    <d v="2018-11-26T00:00:00"/>
    <x v="0"/>
    <x v="1"/>
  </r>
  <r>
    <s v="MRSTX033572"/>
    <x v="0"/>
    <x v="4"/>
    <d v="2018-11-15T00:00:00"/>
    <d v="2018-11-15T00:00:00"/>
    <d v="2018-11-13T00:00:00"/>
    <d v="2018-11-13T00:00:00"/>
    <x v="0"/>
    <x v="1"/>
  </r>
  <r>
    <s v="MRSTX033573"/>
    <x v="0"/>
    <x v="4"/>
    <d v="2018-11-28T00:00:00"/>
    <d v="2018-11-28T00:00:00"/>
    <d v="2018-11-21T00:00:00"/>
    <d v="2018-11-21T00:00:00"/>
    <x v="0"/>
    <x v="1"/>
  </r>
  <r>
    <s v="MRSTX033577"/>
    <x v="0"/>
    <x v="4"/>
    <d v="2018-11-30T00:00:00"/>
    <d v="2018-12-31T00:00:00"/>
    <d v="2018-12-31T00:00:00"/>
    <m/>
    <x v="1"/>
    <x v="2"/>
  </r>
  <r>
    <s v="MRSTX033578"/>
    <x v="0"/>
    <x v="4"/>
    <d v="2018-11-15T00:00:00"/>
    <d v="2018-11-15T00:00:00"/>
    <d v="2018-11-12T00:00:00"/>
    <d v="2018-11-12T00:00:00"/>
    <x v="0"/>
    <x v="1"/>
  </r>
  <r>
    <s v="MRSTX033584"/>
    <x v="0"/>
    <x v="4"/>
    <d v="2018-11-28T00:00:00"/>
    <d v="2018-12-31T00:00:00"/>
    <d v="2018-12-31T00:00:00"/>
    <m/>
    <x v="1"/>
    <x v="2"/>
  </r>
  <r>
    <s v="MRSTX033596"/>
    <x v="0"/>
    <x v="4"/>
    <d v="2018-11-30T00:00:00"/>
    <d v="2018-11-30T00:00:00"/>
    <d v="2018-11-30T00:00:00"/>
    <m/>
    <x v="0"/>
    <x v="0"/>
  </r>
  <r>
    <s v="MRSTX033604"/>
    <x v="0"/>
    <x v="4"/>
    <d v="2018-11-30T00:00:00"/>
    <d v="2018-11-30T00:00:00"/>
    <d v="2018-11-30T00:00:00"/>
    <m/>
    <x v="0"/>
    <x v="0"/>
  </r>
  <r>
    <s v="MRNTX025417"/>
    <x v="1"/>
    <x v="4"/>
    <d v="2018-11-27T00:00:00"/>
    <d v="1999-12-30T00:00:00"/>
    <d v="2018-12-31T00:00:00"/>
    <m/>
    <x v="1"/>
    <x v="5"/>
  </r>
  <r>
    <s v="MRNTX025542"/>
    <x v="1"/>
    <x v="4"/>
    <d v="2018-11-30T00:00:00"/>
    <d v="1999-12-30T00:00:00"/>
    <d v="2019-12-30T00:00:00"/>
    <m/>
    <x v="1"/>
    <x v="5"/>
  </r>
  <r>
    <s v="MRNTX025579"/>
    <x v="1"/>
    <x v="4"/>
    <d v="2018-11-15T00:00:00"/>
    <d v="1999-12-30T00:00:00"/>
    <d v="2018-12-10T00:00:00"/>
    <m/>
    <x v="1"/>
    <x v="5"/>
  </r>
  <r>
    <s v="MRNTX025604"/>
    <x v="1"/>
    <x v="4"/>
    <d v="2018-11-15T00:00:00"/>
    <d v="1999-12-30T00:00:00"/>
    <d v="2018-12-10T00:00:00"/>
    <m/>
    <x v="1"/>
    <x v="5"/>
  </r>
  <r>
    <s v="MRNTX029196"/>
    <x v="1"/>
    <x v="4"/>
    <d v="2018-11-26T00:00:00"/>
    <d v="2018-07-05T00:00:00"/>
    <d v="2018-12-31T00:00:00"/>
    <m/>
    <x v="1"/>
    <x v="5"/>
  </r>
  <r>
    <s v="MRNTX029198"/>
    <x v="1"/>
    <x v="4"/>
    <d v="2018-11-22T00:00:00"/>
    <d v="1999-12-30T00:00:00"/>
    <d v="2018-12-18T00:00:00"/>
    <m/>
    <x v="1"/>
    <x v="5"/>
  </r>
  <r>
    <s v="MRNTX029208"/>
    <x v="1"/>
    <x v="4"/>
    <d v="2018-11-30T00:00:00"/>
    <d v="1999-12-30T00:00:00"/>
    <d v="2018-12-17T00:00:00"/>
    <m/>
    <x v="1"/>
    <x v="5"/>
  </r>
  <r>
    <s v="MRNTX029210"/>
    <x v="1"/>
    <x v="4"/>
    <d v="2018-11-22T00:00:00"/>
    <d v="1999-12-30T00:00:00"/>
    <d v="2018-12-18T00:00:00"/>
    <m/>
    <x v="1"/>
    <x v="5"/>
  </r>
  <r>
    <s v="MRNTX029213"/>
    <x v="1"/>
    <x v="4"/>
    <d v="2018-11-17T00:00:00"/>
    <d v="2018-07-05T00:00:00"/>
    <d v="2018-11-26T00:00:00"/>
    <d v="2018-11-26T00:00:00"/>
    <x v="0"/>
    <x v="1"/>
  </r>
  <r>
    <s v="MRNTX029223"/>
    <x v="1"/>
    <x v="4"/>
    <d v="2018-11-12T00:00:00"/>
    <d v="1999-12-30T00:00:00"/>
    <d v="2018-11-30T00:00:00"/>
    <m/>
    <x v="1"/>
    <x v="5"/>
  </r>
  <r>
    <s v="MRNTX029233"/>
    <x v="1"/>
    <x v="4"/>
    <d v="2018-11-28T00:00:00"/>
    <d v="2018-06-14T00:00:00"/>
    <d v="2018-12-18T00:00:00"/>
    <m/>
    <x v="1"/>
    <x v="5"/>
  </r>
  <r>
    <s v="MRNTX029235"/>
    <x v="1"/>
    <x v="4"/>
    <d v="2018-11-26T00:00:00"/>
    <d v="2018-11-12T00:00:00"/>
    <d v="2018-12-18T00:00:00"/>
    <m/>
    <x v="1"/>
    <x v="5"/>
  </r>
  <r>
    <s v="MRNTX029288"/>
    <x v="1"/>
    <x v="4"/>
    <d v="2018-11-22T00:00:00"/>
    <d v="1999-12-30T00:00:00"/>
    <d v="2018-12-26T00:00:00"/>
    <m/>
    <x v="1"/>
    <x v="5"/>
  </r>
  <r>
    <s v="MRNTX029304"/>
    <x v="1"/>
    <x v="4"/>
    <d v="2018-11-12T00:00:00"/>
    <d v="1999-12-30T00:00:00"/>
    <d v="2018-11-30T00:00:00"/>
    <m/>
    <x v="1"/>
    <x v="5"/>
  </r>
  <r>
    <s v="MRNTX029308"/>
    <x v="1"/>
    <x v="4"/>
    <d v="2018-11-19T00:00:00"/>
    <d v="1999-12-30T00:00:00"/>
    <d v="2018-11-29T00:00:00"/>
    <d v="2018-11-29T00:00:00"/>
    <x v="0"/>
    <x v="1"/>
  </r>
  <r>
    <s v="MRNTX033041"/>
    <x v="1"/>
    <x v="4"/>
    <d v="2018-11-25T00:00:00"/>
    <d v="1999-12-30T00:00:00"/>
    <d v="2018-11-30T00:00:00"/>
    <m/>
    <x v="0"/>
    <x v="0"/>
  </r>
  <r>
    <s v="MRNTX033050"/>
    <x v="1"/>
    <x v="4"/>
    <d v="2018-11-26T00:00:00"/>
    <d v="1999-12-30T00:00:00"/>
    <d v="2018-12-03T00:00:00"/>
    <m/>
    <x v="0"/>
    <x v="0"/>
  </r>
  <r>
    <s v="MRNTX033058"/>
    <x v="1"/>
    <x v="4"/>
    <d v="2018-11-30T00:00:00"/>
    <d v="1999-12-30T00:00:00"/>
    <d v="2018-12-26T00:00:00"/>
    <m/>
    <x v="1"/>
    <x v="5"/>
  </r>
  <r>
    <s v="MRNTX033077"/>
    <x v="1"/>
    <x v="4"/>
    <d v="2018-11-14T00:00:00"/>
    <d v="1999-12-30T00:00:00"/>
    <d v="2018-12-10T00:00:00"/>
    <m/>
    <x v="1"/>
    <x v="5"/>
  </r>
  <r>
    <s v="MRNTX033114"/>
    <x v="1"/>
    <x v="4"/>
    <d v="2018-11-30T00:00:00"/>
    <d v="1999-12-30T00:00:00"/>
    <d v="2018-12-31T00:00:00"/>
    <m/>
    <x v="1"/>
    <x v="5"/>
  </r>
  <r>
    <s v="MRNTX033119"/>
    <x v="1"/>
    <x v="4"/>
    <d v="2018-11-22T00:00:00"/>
    <d v="2018-07-12T00:00:00"/>
    <d v="2019-02-28T00:00:00"/>
    <m/>
    <x v="1"/>
    <x v="5"/>
  </r>
  <r>
    <s v="MRNTX033129"/>
    <x v="1"/>
    <x v="4"/>
    <d v="2018-11-17T00:00:00"/>
    <d v="1999-12-30T00:00:00"/>
    <d v="2018-12-10T00:00:00"/>
    <m/>
    <x v="1"/>
    <x v="5"/>
  </r>
  <r>
    <s v="MRNTX033136"/>
    <x v="1"/>
    <x v="4"/>
    <d v="2018-11-22T00:00:00"/>
    <d v="1999-12-30T00:00:00"/>
    <d v="2018-12-11T00:00:00"/>
    <m/>
    <x v="1"/>
    <x v="5"/>
  </r>
  <r>
    <s v="MRNTX033146"/>
    <x v="1"/>
    <x v="4"/>
    <d v="2018-11-14T00:00:00"/>
    <d v="1999-12-30T00:00:00"/>
    <d v="2018-11-29T00:00:00"/>
    <d v="2018-11-29T00:00:00"/>
    <x v="1"/>
    <x v="1"/>
  </r>
  <r>
    <s v="MRNTX033149"/>
    <x v="1"/>
    <x v="4"/>
    <d v="2018-11-22T00:00:00"/>
    <d v="2018-11-21T00:00:00"/>
    <d v="2018-11-29T00:00:00"/>
    <d v="2018-11-29T00:00:00"/>
    <x v="0"/>
    <x v="1"/>
  </r>
  <r>
    <s v="MRNTX033152"/>
    <x v="1"/>
    <x v="4"/>
    <d v="2018-11-11T00:00:00"/>
    <d v="1999-12-30T00:00:00"/>
    <d v="2018-11-02T00:00:00"/>
    <d v="2018-11-02T00:00:00"/>
    <x v="0"/>
    <x v="1"/>
  </r>
  <r>
    <s v="MRNTX033161"/>
    <x v="1"/>
    <x v="4"/>
    <d v="2018-11-15T00:00:00"/>
    <d v="1999-12-30T00:00:00"/>
    <d v="2018-11-30T00:00:00"/>
    <m/>
    <x v="1"/>
    <x v="5"/>
  </r>
  <r>
    <s v="MRNTX033173"/>
    <x v="1"/>
    <x v="4"/>
    <d v="2018-11-22T00:00:00"/>
    <d v="1999-12-30T00:00:00"/>
    <d v="2018-12-11T00:00:00"/>
    <m/>
    <x v="1"/>
    <x v="5"/>
  </r>
  <r>
    <s v="MRANM014675"/>
    <x v="3"/>
    <x v="4"/>
    <d v="2018-11-30T00:00:00"/>
    <d v="1999-12-30T00:00:00"/>
    <d v="2018-11-30T00:00:00"/>
    <m/>
    <x v="0"/>
    <x v="0"/>
  </r>
  <r>
    <s v="MRANM014679"/>
    <x v="3"/>
    <x v="4"/>
    <d v="2018-11-30T00:00:00"/>
    <d v="1999-12-30T00:00:00"/>
    <d v="2018-11-07T00:00:00"/>
    <d v="2018-11-07T00:00:00"/>
    <x v="0"/>
    <x v="1"/>
  </r>
  <r>
    <s v="MRNTX033259"/>
    <x v="1"/>
    <x v="4"/>
    <d v="2018-11-22T00:00:00"/>
    <d v="2018-07-12T00:00:00"/>
    <d v="2019-02-28T00:00:00"/>
    <m/>
    <x v="1"/>
    <x v="5"/>
  </r>
  <r>
    <s v="MRNTX033276"/>
    <x v="1"/>
    <x v="4"/>
    <d v="2018-11-14T00:00:00"/>
    <d v="1999-12-30T00:00:00"/>
    <d v="2018-12-10T00:00:00"/>
    <m/>
    <x v="1"/>
    <x v="5"/>
  </r>
  <r>
    <s v="MRNTX033307"/>
    <x v="1"/>
    <x v="4"/>
    <d v="2018-11-18T00:00:00"/>
    <d v="1999-12-30T00:00:00"/>
    <d v="2018-12-10T00:00:00"/>
    <m/>
    <x v="1"/>
    <x v="5"/>
  </r>
  <r>
    <s v="MRNTX033309"/>
    <x v="1"/>
    <x v="4"/>
    <d v="2018-11-08T00:00:00"/>
    <d v="2018-10-23T00:00:00"/>
    <d v="2018-11-26T00:00:00"/>
    <d v="2018-11-26T00:00:00"/>
    <x v="1"/>
    <x v="1"/>
  </r>
  <r>
    <s v="MRNTX033319"/>
    <x v="1"/>
    <x v="4"/>
    <d v="2018-11-28T00:00:00"/>
    <d v="2018-11-25T00:00:00"/>
    <d v="2018-11-30T00:00:00"/>
    <m/>
    <x v="0"/>
    <x v="0"/>
  </r>
  <r>
    <s v="MRSTX011100"/>
    <x v="0"/>
    <x v="4"/>
    <d v="2018-11-30T00:00:00"/>
    <d v="2018-11-30T00:00:00"/>
    <d v="2018-11-15T00:00:00"/>
    <d v="2018-11-15T00:00:00"/>
    <x v="0"/>
    <x v="1"/>
  </r>
  <r>
    <s v="MRSTX011261"/>
    <x v="0"/>
    <x v="4"/>
    <d v="2018-11-30T00:00:00"/>
    <d v="2018-11-30T00:00:00"/>
    <d v="2018-11-27T00:00:00"/>
    <d v="2018-11-27T00:00:00"/>
    <x v="0"/>
    <x v="1"/>
  </r>
  <r>
    <s v="MRSTX014549"/>
    <x v="0"/>
    <x v="4"/>
    <d v="2018-11-30T00:00:00"/>
    <d v="2018-11-30T00:00:00"/>
    <d v="2018-11-15T00:00:00"/>
    <d v="2018-11-15T00:00:00"/>
    <x v="0"/>
    <x v="1"/>
  </r>
  <r>
    <s v="MRSTX014658"/>
    <x v="0"/>
    <x v="4"/>
    <d v="2018-11-30T00:00:00"/>
    <d v="2018-11-30T00:00:00"/>
    <d v="2018-12-19T00:00:00"/>
    <m/>
    <x v="1"/>
    <x v="5"/>
  </r>
  <r>
    <s v="MRSTX015752"/>
    <x v="0"/>
    <x v="4"/>
    <d v="2018-11-30T00:00:00"/>
    <d v="2018-11-30T00:00:00"/>
    <d v="2018-12-19T00:00:00"/>
    <m/>
    <x v="1"/>
    <x v="5"/>
  </r>
  <r>
    <s v="MRSTX035754"/>
    <x v="0"/>
    <x v="4"/>
    <d v="2018-11-28T00:00:00"/>
    <d v="2018-11-28T00:00:00"/>
    <d v="2018-11-15T00:00:00"/>
    <d v="2018-11-15T00:00:00"/>
    <x v="0"/>
    <x v="1"/>
  </r>
  <r>
    <s v="MRSTX035793"/>
    <x v="0"/>
    <x v="4"/>
    <d v="2018-11-30T00:00:00"/>
    <d v="2018-12-31T00:00:00"/>
    <d v="2018-12-31T00:00:00"/>
    <m/>
    <x v="1"/>
    <x v="2"/>
  </r>
  <r>
    <s v="MRANM017211"/>
    <x v="3"/>
    <x v="4"/>
    <d v="2018-11-30T00:00:00"/>
    <d v="1999-12-30T00:00:00"/>
    <d v="2018-11-30T00:00:00"/>
    <m/>
    <x v="0"/>
    <x v="0"/>
  </r>
  <r>
    <s v="MRANM017281"/>
    <x v="3"/>
    <x v="4"/>
    <d v="2018-11-30T00:00:00"/>
    <d v="1999-12-30T00:00:00"/>
    <d v="2018-11-15T00:00:00"/>
    <d v="2018-11-15T00:00:00"/>
    <x v="0"/>
    <x v="1"/>
  </r>
  <r>
    <s v="MRNTX022068"/>
    <x v="1"/>
    <x v="4"/>
    <d v="2018-11-15T00:00:00"/>
    <d v="1999-12-30T00:00:00"/>
    <d v="2018-12-10T00:00:00"/>
    <m/>
    <x v="1"/>
    <x v="5"/>
  </r>
  <r>
    <s v="MRNTX031609"/>
    <x v="1"/>
    <x v="4"/>
    <d v="2018-11-16T00:00:00"/>
    <d v="2018-07-12T00:00:00"/>
    <d v="2018-11-05T00:00:00"/>
    <d v="2018-11-05T00:00:00"/>
    <x v="0"/>
    <x v="1"/>
  </r>
  <r>
    <s v="MRNTX031631"/>
    <x v="1"/>
    <x v="4"/>
    <d v="2018-11-26T00:00:00"/>
    <d v="2018-11-18T00:00:00"/>
    <d v="2018-12-28T00:00:00"/>
    <m/>
    <x v="1"/>
    <x v="5"/>
  </r>
  <r>
    <s v="MRNTX031650"/>
    <x v="1"/>
    <x v="4"/>
    <d v="2018-11-22T00:00:00"/>
    <d v="2018-11-19T00:00:00"/>
    <d v="2018-12-28T00:00:00"/>
    <m/>
    <x v="1"/>
    <x v="5"/>
  </r>
  <r>
    <s v="MRNTX031660"/>
    <x v="1"/>
    <x v="4"/>
    <d v="2018-11-13T00:00:00"/>
    <d v="2018-08-09T00:00:00"/>
    <d v="2018-11-28T00:00:00"/>
    <d v="2018-11-28T00:00:00"/>
    <x v="1"/>
    <x v="1"/>
  </r>
  <r>
    <s v="MRNTX031687"/>
    <x v="1"/>
    <x v="4"/>
    <d v="2018-11-26T00:00:00"/>
    <d v="1999-12-30T00:00:00"/>
    <d v="2018-12-07T00:00:00"/>
    <m/>
    <x v="0"/>
    <x v="0"/>
  </r>
  <r>
    <s v="MRNTX031699"/>
    <x v="1"/>
    <x v="4"/>
    <d v="2018-11-14T00:00:00"/>
    <d v="1999-12-30T00:00:00"/>
    <d v="2018-11-06T00:00:00"/>
    <d v="2018-11-06T00:00:00"/>
    <x v="0"/>
    <x v="1"/>
  </r>
  <r>
    <s v="MRNTX031716"/>
    <x v="1"/>
    <x v="4"/>
    <d v="2018-11-13T00:00:00"/>
    <d v="2018-08-09T00:00:00"/>
    <d v="2018-11-28T00:00:00"/>
    <d v="2018-11-28T00:00:00"/>
    <x v="1"/>
    <x v="1"/>
  </r>
  <r>
    <s v="MRNTX031725"/>
    <x v="1"/>
    <x v="4"/>
    <d v="2018-11-26T00:00:00"/>
    <d v="1999-12-30T00:00:00"/>
    <d v="2018-12-05T00:00:00"/>
    <m/>
    <x v="0"/>
    <x v="0"/>
  </r>
  <r>
    <s v="MRNTX031732"/>
    <x v="1"/>
    <x v="4"/>
    <d v="2018-11-13T00:00:00"/>
    <d v="1999-12-30T00:00:00"/>
    <d v="2018-11-29T00:00:00"/>
    <d v="2018-11-29T00:00:00"/>
    <x v="1"/>
    <x v="1"/>
  </r>
  <r>
    <s v="MRNTX031745"/>
    <x v="1"/>
    <x v="4"/>
    <d v="2018-11-22T00:00:00"/>
    <d v="2018-07-05T00:00:00"/>
    <d v="2018-12-10T00:00:00"/>
    <m/>
    <x v="1"/>
    <x v="5"/>
  </r>
  <r>
    <s v="MRSTX035830"/>
    <x v="0"/>
    <x v="4"/>
    <d v="2018-11-30T00:00:00"/>
    <d v="2018-12-31T00:00:00"/>
    <d v="2018-12-31T00:00:00"/>
    <m/>
    <x v="1"/>
    <x v="2"/>
  </r>
  <r>
    <s v="MRSTX035867"/>
    <x v="0"/>
    <x v="4"/>
    <d v="2018-11-30T00:00:00"/>
    <d v="2018-12-31T00:00:00"/>
    <d v="2018-12-31T00:00:00"/>
    <m/>
    <x v="1"/>
    <x v="2"/>
  </r>
  <r>
    <s v="MRSTX035919"/>
    <x v="0"/>
    <x v="4"/>
    <d v="2018-11-28T00:00:00"/>
    <d v="2018-12-31T00:00:00"/>
    <d v="2018-12-31T00:00:00"/>
    <m/>
    <x v="1"/>
    <x v="2"/>
  </r>
  <r>
    <s v="MRSTX035921"/>
    <x v="0"/>
    <x v="4"/>
    <d v="2018-11-28T00:00:00"/>
    <d v="2018-11-28T00:00:00"/>
    <d v="2018-11-15T00:00:00"/>
    <d v="2018-11-15T00:00:00"/>
    <x v="0"/>
    <x v="1"/>
  </r>
  <r>
    <s v="MRWSH021088"/>
    <x v="2"/>
    <x v="4"/>
    <d v="2018-11-30T00:00:00"/>
    <d v="1999-12-30T00:00:00"/>
    <d v="2018-11-26T00:00:00"/>
    <d v="2018-11-26T00:00:00"/>
    <x v="0"/>
    <x v="1"/>
  </r>
  <r>
    <s v="MRWSH021155"/>
    <x v="2"/>
    <x v="4"/>
    <d v="2018-11-30T00:00:00"/>
    <d v="2018-11-02T00:00:00"/>
    <d v="2018-12-31T00:00:00"/>
    <m/>
    <x v="1"/>
    <x v="5"/>
  </r>
  <r>
    <s v="MRWSH021899"/>
    <x v="2"/>
    <x v="4"/>
    <d v="2018-11-30T00:00:00"/>
    <d v="2018-12-31T00:00:00"/>
    <d v="2018-12-31T00:00:00"/>
    <m/>
    <x v="1"/>
    <x v="2"/>
  </r>
  <r>
    <s v="MRWSH021932"/>
    <x v="2"/>
    <x v="4"/>
    <d v="2018-11-30T00:00:00"/>
    <d v="2018-12-02T00:00:00"/>
    <d v="2018-11-27T00:00:00"/>
    <d v="2018-11-27T00:00:00"/>
    <x v="0"/>
    <x v="1"/>
  </r>
  <r>
    <s v="MRWSH021936"/>
    <x v="2"/>
    <x v="4"/>
    <d v="2018-11-30T00:00:00"/>
    <d v="2018-12-31T00:00:00"/>
    <d v="2018-12-31T00:00:00"/>
    <m/>
    <x v="1"/>
    <x v="2"/>
  </r>
  <r>
    <s v="MRWSH021966"/>
    <x v="2"/>
    <x v="4"/>
    <d v="2018-11-30T00:00:00"/>
    <d v="2018-08-11T00:00:00"/>
    <d v="2018-12-31T00:00:00"/>
    <m/>
    <x v="1"/>
    <x v="5"/>
  </r>
  <r>
    <s v="MRWSH021971"/>
    <x v="2"/>
    <x v="4"/>
    <d v="2018-11-30T00:00:00"/>
    <d v="2018-08-02T00:00:00"/>
    <d v="2018-12-31T00:00:00"/>
    <m/>
    <x v="1"/>
    <x v="5"/>
  </r>
  <r>
    <s v="MRWSH021973"/>
    <x v="2"/>
    <x v="4"/>
    <d v="2018-11-30T00:00:00"/>
    <d v="2018-12-31T00:00:00"/>
    <d v="2018-12-31T00:00:00"/>
    <m/>
    <x v="1"/>
    <x v="2"/>
  </r>
  <r>
    <s v="MRWSH021988"/>
    <x v="2"/>
    <x v="4"/>
    <d v="2018-11-30T00:00:00"/>
    <d v="2018-12-31T00:00:00"/>
    <d v="2018-11-14T00:00:00"/>
    <d v="2018-11-14T00:00:00"/>
    <x v="0"/>
    <x v="1"/>
  </r>
  <r>
    <s v="MRNTX031786"/>
    <x v="1"/>
    <x v="4"/>
    <d v="2018-11-26T00:00:00"/>
    <d v="1999-12-30T00:00:00"/>
    <d v="2019-02-28T00:00:00"/>
    <m/>
    <x v="1"/>
    <x v="5"/>
  </r>
  <r>
    <s v="MRNTX031876"/>
    <x v="1"/>
    <x v="4"/>
    <d v="2018-11-11T00:00:00"/>
    <d v="2018-06-28T00:00:00"/>
    <d v="2018-11-19T00:00:00"/>
    <d v="2018-11-19T00:00:00"/>
    <x v="0"/>
    <x v="1"/>
  </r>
  <r>
    <s v="MRNTX031894"/>
    <x v="1"/>
    <x v="4"/>
    <d v="2018-11-13T00:00:00"/>
    <d v="1999-12-30T00:00:00"/>
    <d v="2018-11-29T00:00:00"/>
    <d v="2018-11-29T00:00:00"/>
    <x v="1"/>
    <x v="1"/>
  </r>
  <r>
    <s v="MRNTX031920"/>
    <x v="1"/>
    <x v="4"/>
    <d v="2018-11-30T00:00:00"/>
    <d v="2018-07-05T00:00:00"/>
    <d v="2018-12-31T00:00:00"/>
    <m/>
    <x v="1"/>
    <x v="5"/>
  </r>
  <r>
    <s v="MRSTX033625"/>
    <x v="0"/>
    <x v="4"/>
    <d v="2018-11-30T00:00:00"/>
    <d v="2018-11-30T00:00:00"/>
    <d v="2018-11-30T00:00:00"/>
    <m/>
    <x v="0"/>
    <x v="0"/>
  </r>
  <r>
    <s v="MRWSH022032"/>
    <x v="2"/>
    <x v="4"/>
    <d v="2018-11-30T00:00:00"/>
    <d v="2018-07-05T00:00:00"/>
    <d v="2018-12-31T00:00:00"/>
    <m/>
    <x v="1"/>
    <x v="5"/>
  </r>
  <r>
    <s v="MRWSH022056"/>
    <x v="2"/>
    <x v="4"/>
    <d v="2018-11-30T00:00:00"/>
    <d v="2018-12-31T00:00:00"/>
    <d v="2018-11-30T00:00:00"/>
    <m/>
    <x v="0"/>
    <x v="3"/>
  </r>
  <r>
    <s v="MRWSH022072"/>
    <x v="2"/>
    <x v="4"/>
    <d v="2018-11-30T00:00:00"/>
    <d v="2018-12-31T00:00:00"/>
    <d v="2018-11-30T00:00:00"/>
    <m/>
    <x v="0"/>
    <x v="3"/>
  </r>
  <r>
    <s v="MRWSH022089"/>
    <x v="2"/>
    <x v="4"/>
    <d v="2018-11-30T00:00:00"/>
    <d v="2018-12-31T00:00:00"/>
    <d v="2018-11-23T00:00:00"/>
    <d v="2018-11-23T00:00:00"/>
    <x v="0"/>
    <x v="1"/>
  </r>
  <r>
    <s v="MRWSH022091"/>
    <x v="2"/>
    <x v="4"/>
    <d v="2018-11-30T00:00:00"/>
    <d v="1999-12-30T00:00:00"/>
    <d v="2018-11-27T00:00:00"/>
    <d v="2018-11-27T00:00:00"/>
    <x v="0"/>
    <x v="1"/>
  </r>
  <r>
    <s v="MRWSH022107"/>
    <x v="2"/>
    <x v="4"/>
    <d v="2018-11-30T00:00:00"/>
    <d v="2018-12-31T00:00:00"/>
    <d v="2018-11-30T00:00:00"/>
    <m/>
    <x v="0"/>
    <x v="3"/>
  </r>
  <r>
    <s v="MRWSH022118"/>
    <x v="2"/>
    <x v="4"/>
    <d v="2018-11-30T00:00:00"/>
    <d v="2018-12-31T00:00:00"/>
    <d v="2018-12-31T00:00:00"/>
    <m/>
    <x v="1"/>
    <x v="2"/>
  </r>
  <r>
    <s v="MRWSH022128"/>
    <x v="2"/>
    <x v="4"/>
    <d v="2018-11-30T00:00:00"/>
    <d v="2018-09-01T00:00:00"/>
    <d v="2018-11-30T00:00:00"/>
    <m/>
    <x v="0"/>
    <x v="0"/>
  </r>
  <r>
    <s v="MRWSH022134"/>
    <x v="2"/>
    <x v="4"/>
    <d v="2018-11-30T00:00:00"/>
    <d v="2018-12-31T00:00:00"/>
    <d v="2018-11-30T00:00:00"/>
    <m/>
    <x v="0"/>
    <x v="3"/>
  </r>
  <r>
    <s v="MRWSH022179"/>
    <x v="2"/>
    <x v="4"/>
    <d v="2018-11-30T00:00:00"/>
    <d v="1999-12-30T00:00:00"/>
    <d v="2018-11-23T00:00:00"/>
    <d v="2018-11-23T00:00:00"/>
    <x v="0"/>
    <x v="1"/>
  </r>
  <r>
    <s v="MRWSH022221"/>
    <x v="2"/>
    <x v="4"/>
    <d v="2018-11-30T00:00:00"/>
    <d v="2018-06-01T00:00:00"/>
    <d v="2018-11-20T00:00:00"/>
    <d v="2018-11-20T00:00:00"/>
    <x v="0"/>
    <x v="1"/>
  </r>
  <r>
    <s v="MRWSH022240"/>
    <x v="2"/>
    <x v="4"/>
    <d v="2018-11-30T00:00:00"/>
    <d v="1999-12-30T00:00:00"/>
    <d v="2018-11-23T00:00:00"/>
    <d v="2018-11-23T00:00:00"/>
    <x v="0"/>
    <x v="1"/>
  </r>
  <r>
    <s v="MRWSH022242"/>
    <x v="2"/>
    <x v="4"/>
    <d v="2018-11-30T00:00:00"/>
    <d v="2018-09-01T00:00:00"/>
    <d v="2018-11-30T00:00:00"/>
    <m/>
    <x v="0"/>
    <x v="0"/>
  </r>
  <r>
    <s v="MRWSH022276"/>
    <x v="2"/>
    <x v="4"/>
    <d v="2018-11-30T00:00:00"/>
    <d v="2018-12-31T00:00:00"/>
    <d v="2018-12-31T00:00:00"/>
    <m/>
    <x v="1"/>
    <x v="2"/>
  </r>
  <r>
    <s v="MRWSH022281"/>
    <x v="2"/>
    <x v="4"/>
    <d v="2018-11-30T00:00:00"/>
    <d v="2018-12-31T00:00:00"/>
    <d v="2018-12-31T00:00:00"/>
    <m/>
    <x v="1"/>
    <x v="2"/>
  </r>
  <r>
    <s v="MRWSH022296"/>
    <x v="2"/>
    <x v="4"/>
    <d v="2018-11-30T00:00:00"/>
    <d v="1999-12-30T00:00:00"/>
    <d v="2018-11-30T00:00:00"/>
    <m/>
    <x v="0"/>
    <x v="0"/>
  </r>
  <r>
    <s v="MRWSH022300"/>
    <x v="2"/>
    <x v="4"/>
    <d v="2018-11-30T00:00:00"/>
    <d v="1999-12-30T00:00:00"/>
    <d v="2018-11-30T00:00:00"/>
    <m/>
    <x v="0"/>
    <x v="0"/>
  </r>
  <r>
    <s v="MRSTX033656"/>
    <x v="0"/>
    <x v="4"/>
    <d v="2018-11-30T00:00:00"/>
    <d v="2018-11-30T00:00:00"/>
    <d v="2018-11-30T00:00:00"/>
    <m/>
    <x v="0"/>
    <x v="0"/>
  </r>
  <r>
    <s v="MRSTX033676"/>
    <x v="0"/>
    <x v="4"/>
    <d v="2018-11-15T00:00:00"/>
    <d v="2018-11-15T00:00:00"/>
    <d v="2018-11-13T00:00:00"/>
    <d v="2018-11-13T00:00:00"/>
    <x v="0"/>
    <x v="1"/>
  </r>
  <r>
    <s v="MRSTX033681"/>
    <x v="0"/>
    <x v="4"/>
    <d v="2018-11-30T00:00:00"/>
    <d v="2018-11-30T00:00:00"/>
    <d v="2018-11-30T00:00:00"/>
    <m/>
    <x v="0"/>
    <x v="0"/>
  </r>
  <r>
    <s v="MRSTX033684"/>
    <x v="0"/>
    <x v="4"/>
    <d v="2018-11-28T00:00:00"/>
    <d v="2018-11-28T00:00:00"/>
    <d v="2018-11-28T00:00:00"/>
    <m/>
    <x v="0"/>
    <x v="0"/>
  </r>
  <r>
    <s v="MRSTX033685"/>
    <x v="0"/>
    <x v="4"/>
    <d v="2018-11-30T00:00:00"/>
    <d v="2018-12-31T00:00:00"/>
    <d v="2018-12-31T00:00:00"/>
    <m/>
    <x v="1"/>
    <x v="2"/>
  </r>
  <r>
    <s v="MRSTX033695"/>
    <x v="0"/>
    <x v="4"/>
    <d v="2018-11-30T00:00:00"/>
    <d v="2018-11-30T00:00:00"/>
    <d v="2018-11-30T00:00:00"/>
    <m/>
    <x v="0"/>
    <x v="0"/>
  </r>
  <r>
    <s v="MRSTX033697"/>
    <x v="0"/>
    <x v="4"/>
    <d v="2018-11-28T00:00:00"/>
    <d v="2018-11-28T00:00:00"/>
    <d v="2018-11-28T00:00:00"/>
    <m/>
    <x v="0"/>
    <x v="0"/>
  </r>
  <r>
    <s v="MRSTX033705"/>
    <x v="0"/>
    <x v="4"/>
    <d v="2018-11-30T00:00:00"/>
    <d v="2018-12-31T00:00:00"/>
    <d v="2018-12-31T00:00:00"/>
    <m/>
    <x v="1"/>
    <x v="2"/>
  </r>
  <r>
    <s v="MRSTX033706"/>
    <x v="0"/>
    <x v="4"/>
    <d v="2018-11-28T00:00:00"/>
    <d v="2018-11-28T00:00:00"/>
    <d v="2018-11-27T00:00:00"/>
    <d v="2018-11-27T00:00:00"/>
    <x v="0"/>
    <x v="1"/>
  </r>
  <r>
    <s v="MRSTX033749"/>
    <x v="0"/>
    <x v="4"/>
    <d v="2018-11-30T00:00:00"/>
    <d v="2018-11-30T00:00:00"/>
    <d v="2018-11-30T00:00:00"/>
    <m/>
    <x v="0"/>
    <x v="0"/>
  </r>
  <r>
    <s v="MRSTX033758"/>
    <x v="0"/>
    <x v="4"/>
    <d v="2018-11-30T00:00:00"/>
    <d v="2018-12-31T00:00:00"/>
    <d v="2018-12-31T00:00:00"/>
    <m/>
    <x v="1"/>
    <x v="2"/>
  </r>
  <r>
    <s v="MRSTX033762"/>
    <x v="0"/>
    <x v="4"/>
    <d v="2018-11-15T00:00:00"/>
    <d v="2018-11-15T00:00:00"/>
    <d v="2018-11-13T00:00:00"/>
    <d v="2018-11-13T00:00:00"/>
    <x v="0"/>
    <x v="1"/>
  </r>
  <r>
    <s v="MRSTX033773"/>
    <x v="0"/>
    <x v="4"/>
    <d v="2018-11-30T00:00:00"/>
    <d v="2018-11-30T00:00:00"/>
    <d v="2018-11-12T00:00:00"/>
    <d v="2018-11-12T00:00:00"/>
    <x v="0"/>
    <x v="1"/>
  </r>
  <r>
    <s v="MRSTX033782"/>
    <x v="0"/>
    <x v="4"/>
    <d v="2018-11-28T00:00:00"/>
    <d v="2018-12-31T00:00:00"/>
    <d v="2018-12-31T00:00:00"/>
    <m/>
    <x v="1"/>
    <x v="2"/>
  </r>
  <r>
    <s v="MRSTX033792"/>
    <x v="0"/>
    <x v="4"/>
    <d v="2018-11-30T00:00:00"/>
    <d v="2018-11-30T00:00:00"/>
    <d v="2018-11-19T00:00:00"/>
    <d v="2018-11-19T00:00:00"/>
    <x v="0"/>
    <x v="1"/>
  </r>
  <r>
    <s v="MRSTX033797"/>
    <x v="0"/>
    <x v="4"/>
    <d v="2018-11-15T00:00:00"/>
    <d v="2018-11-15T00:00:00"/>
    <d v="2018-11-06T00:00:00"/>
    <d v="2018-11-06T00:00:00"/>
    <x v="0"/>
    <x v="1"/>
  </r>
  <r>
    <s v="MRSTX033801"/>
    <x v="0"/>
    <x v="4"/>
    <d v="2018-11-30T00:00:00"/>
    <d v="2018-11-30T00:00:00"/>
    <d v="2018-11-30T00:00:00"/>
    <m/>
    <x v="0"/>
    <x v="0"/>
  </r>
  <r>
    <s v="MRSTX033855"/>
    <x v="0"/>
    <x v="4"/>
    <d v="2018-11-28T00:00:00"/>
    <d v="2018-11-28T00:00:00"/>
    <d v="2018-11-28T00:00:00"/>
    <m/>
    <x v="0"/>
    <x v="0"/>
  </r>
  <r>
    <s v="MRSTX033868"/>
    <x v="0"/>
    <x v="4"/>
    <d v="2018-11-28T00:00:00"/>
    <d v="2018-11-28T00:00:00"/>
    <d v="2018-11-27T00:00:00"/>
    <d v="2018-11-27T00:00:00"/>
    <x v="0"/>
    <x v="1"/>
  </r>
  <r>
    <s v="MRSTX033878"/>
    <x v="0"/>
    <x v="4"/>
    <d v="2018-11-28T00:00:00"/>
    <d v="2018-11-28T00:00:00"/>
    <d v="2018-11-28T00:00:00"/>
    <m/>
    <x v="0"/>
    <x v="0"/>
  </r>
  <r>
    <s v="MRSTX033885"/>
    <x v="0"/>
    <x v="4"/>
    <d v="2018-11-28T00:00:00"/>
    <d v="2018-11-28T00:00:00"/>
    <d v="2018-11-21T00:00:00"/>
    <d v="2018-11-21T00:00:00"/>
    <x v="0"/>
    <x v="1"/>
  </r>
  <r>
    <s v="MRSTX033899"/>
    <x v="0"/>
    <x v="4"/>
    <d v="2018-11-28T00:00:00"/>
    <d v="2018-11-28T00:00:00"/>
    <d v="2018-11-28T00:00:00"/>
    <m/>
    <x v="0"/>
    <x v="0"/>
  </r>
  <r>
    <s v="MRSTX033907"/>
    <x v="0"/>
    <x v="4"/>
    <d v="2018-11-30T00:00:00"/>
    <d v="2018-11-30T00:00:00"/>
    <d v="2018-11-30T00:00:00"/>
    <m/>
    <x v="0"/>
    <x v="0"/>
  </r>
  <r>
    <s v="MRNTX030242"/>
    <x v="1"/>
    <x v="4"/>
    <d v="2018-11-14T00:00:00"/>
    <d v="1999-12-30T00:00:00"/>
    <d v="2018-11-08T00:00:00"/>
    <d v="2018-11-08T00:00:00"/>
    <x v="0"/>
    <x v="1"/>
  </r>
  <r>
    <s v="MRNTX030321"/>
    <x v="1"/>
    <x v="4"/>
    <d v="2018-11-08T00:00:00"/>
    <d v="2018-10-23T00:00:00"/>
    <d v="2018-11-22T00:00:00"/>
    <d v="2018-11-22T00:00:00"/>
    <x v="0"/>
    <x v="1"/>
  </r>
  <r>
    <s v="MRNTX030329"/>
    <x v="1"/>
    <x v="4"/>
    <d v="2018-11-22T00:00:00"/>
    <d v="2018-07-05T00:00:00"/>
    <d v="2018-12-10T00:00:00"/>
    <m/>
    <x v="1"/>
    <x v="5"/>
  </r>
  <r>
    <s v="MRNTX030346"/>
    <x v="1"/>
    <x v="4"/>
    <d v="2018-11-26T00:00:00"/>
    <d v="2018-11-12T00:00:00"/>
    <d v="2018-12-07T00:00:00"/>
    <m/>
    <x v="0"/>
    <x v="0"/>
  </r>
  <r>
    <s v="MRNTX030413"/>
    <x v="1"/>
    <x v="4"/>
    <d v="2018-11-12T00:00:00"/>
    <d v="1999-12-30T00:00:00"/>
    <d v="2018-12-10T00:00:00"/>
    <m/>
    <x v="1"/>
    <x v="5"/>
  </r>
  <r>
    <s v="MRNTX030503"/>
    <x v="1"/>
    <x v="4"/>
    <d v="2018-11-26T00:00:00"/>
    <d v="1999-12-30T00:00:00"/>
    <d v="2019-02-28T00:00:00"/>
    <m/>
    <x v="1"/>
    <x v="5"/>
  </r>
  <r>
    <s v="MRNTX030562"/>
    <x v="1"/>
    <x v="4"/>
    <d v="2018-11-13T00:00:00"/>
    <d v="1999-12-30T00:00:00"/>
    <d v="2018-11-29T00:00:00"/>
    <d v="2018-11-29T00:00:00"/>
    <x v="1"/>
    <x v="1"/>
  </r>
  <r>
    <s v="MRNTX030611"/>
    <x v="1"/>
    <x v="4"/>
    <d v="2018-11-26T00:00:00"/>
    <d v="1999-12-30T00:00:00"/>
    <d v="2018-12-10T00:00:00"/>
    <m/>
    <x v="0"/>
    <x v="0"/>
  </r>
  <r>
    <s v="MRNTX033638"/>
    <x v="1"/>
    <x v="4"/>
    <d v="2018-11-30T00:00:00"/>
    <d v="1999-12-30T00:00:00"/>
    <d v="2018-12-26T00:00:00"/>
    <m/>
    <x v="1"/>
    <x v="5"/>
  </r>
  <r>
    <s v="MRNTX033654"/>
    <x v="1"/>
    <x v="4"/>
    <d v="2018-11-30T00:00:00"/>
    <d v="2018-10-23T00:00:00"/>
    <d v="2018-11-19T00:00:00"/>
    <d v="2018-11-19T00:00:00"/>
    <x v="0"/>
    <x v="1"/>
  </r>
  <r>
    <s v="MRNTX033713"/>
    <x v="1"/>
    <x v="4"/>
    <d v="2018-11-11T00:00:00"/>
    <d v="1999-12-30T00:00:00"/>
    <d v="2018-11-05T00:00:00"/>
    <d v="2018-11-05T00:00:00"/>
    <x v="0"/>
    <x v="1"/>
  </r>
  <r>
    <s v="MRNTX033753"/>
    <x v="1"/>
    <x v="4"/>
    <d v="2018-11-14T00:00:00"/>
    <d v="1999-12-30T00:00:00"/>
    <d v="2018-11-29T00:00:00"/>
    <d v="2018-11-29T00:00:00"/>
    <x v="1"/>
    <x v="1"/>
  </r>
  <r>
    <s v="MRNTX033778"/>
    <x v="1"/>
    <x v="4"/>
    <d v="2018-11-22T00:00:00"/>
    <d v="2018-07-12T00:00:00"/>
    <d v="2019-02-28T00:00:00"/>
    <m/>
    <x v="1"/>
    <x v="5"/>
  </r>
  <r>
    <s v="MRNTX033784"/>
    <x v="1"/>
    <x v="4"/>
    <d v="2018-11-14T00:00:00"/>
    <d v="1999-12-30T00:00:00"/>
    <d v="2018-12-10T00:00:00"/>
    <m/>
    <x v="1"/>
    <x v="5"/>
  </r>
  <r>
    <s v="MRNTX033790"/>
    <x v="1"/>
    <x v="4"/>
    <d v="2018-11-30T00:00:00"/>
    <d v="1999-12-30T00:00:00"/>
    <d v="2018-11-09T00:00:00"/>
    <d v="2018-11-09T00:00:00"/>
    <x v="0"/>
    <x v="1"/>
  </r>
  <r>
    <s v="MRNTX033805"/>
    <x v="1"/>
    <x v="4"/>
    <d v="2018-11-22T00:00:00"/>
    <d v="1999-12-30T00:00:00"/>
    <d v="2018-12-11T00:00:00"/>
    <m/>
    <x v="1"/>
    <x v="5"/>
  </r>
  <r>
    <s v="MRNTX033806"/>
    <x v="1"/>
    <x v="4"/>
    <d v="2018-11-17T00:00:00"/>
    <d v="1999-12-30T00:00:00"/>
    <d v="2018-12-10T00:00:00"/>
    <m/>
    <x v="1"/>
    <x v="5"/>
  </r>
  <r>
    <s v="MRNTX033826"/>
    <x v="1"/>
    <x v="4"/>
    <d v="2018-11-08T00:00:00"/>
    <d v="2018-10-23T00:00:00"/>
    <d v="2018-11-26T00:00:00"/>
    <d v="2018-11-26T00:00:00"/>
    <x v="1"/>
    <x v="1"/>
  </r>
  <r>
    <s v="MRNTX033830"/>
    <x v="1"/>
    <x v="4"/>
    <d v="2018-11-15T00:00:00"/>
    <d v="1999-12-30T00:00:00"/>
    <d v="2018-11-30T00:00:00"/>
    <m/>
    <x v="1"/>
    <x v="5"/>
  </r>
  <r>
    <s v="MRNTX033851"/>
    <x v="1"/>
    <x v="4"/>
    <d v="2018-11-17T00:00:00"/>
    <d v="2018-07-26T00:00:00"/>
    <d v="2018-12-10T00:00:00"/>
    <m/>
    <x v="1"/>
    <x v="5"/>
  </r>
  <r>
    <s v="MRNTX033854"/>
    <x v="1"/>
    <x v="4"/>
    <d v="2018-11-17T00:00:00"/>
    <d v="2018-07-26T00:00:00"/>
    <d v="2018-12-10T00:00:00"/>
    <m/>
    <x v="1"/>
    <x v="5"/>
  </r>
  <r>
    <s v="MRNTX033879"/>
    <x v="1"/>
    <x v="4"/>
    <d v="2018-11-17T00:00:00"/>
    <d v="2018-07-26T00:00:00"/>
    <d v="2018-12-10T00:00:00"/>
    <m/>
    <x v="1"/>
    <x v="5"/>
  </r>
  <r>
    <s v="MRNTX033900"/>
    <x v="1"/>
    <x v="4"/>
    <d v="2018-11-22T00:00:00"/>
    <d v="1999-12-30T00:00:00"/>
    <d v="2018-12-24T00:00:00"/>
    <m/>
    <x v="1"/>
    <x v="5"/>
  </r>
  <r>
    <s v="MRWSH015418"/>
    <x v="2"/>
    <x v="4"/>
    <d v="2018-11-30T00:00:00"/>
    <d v="1999-12-30T00:00:00"/>
    <d v="2018-12-31T00:00:00"/>
    <m/>
    <x v="1"/>
    <x v="5"/>
  </r>
  <r>
    <s v="MRWSH015428"/>
    <x v="2"/>
    <x v="4"/>
    <d v="2018-11-30T00:00:00"/>
    <d v="2018-03-11T00:00:00"/>
    <d v="2018-11-10T00:00:00"/>
    <d v="2018-11-10T00:00:00"/>
    <x v="0"/>
    <x v="1"/>
  </r>
  <r>
    <s v="MRWSH015536"/>
    <x v="2"/>
    <x v="4"/>
    <d v="2018-11-30T00:00:00"/>
    <d v="2018-12-02T00:00:00"/>
    <d v="2018-11-30T00:00:00"/>
    <m/>
    <x v="0"/>
    <x v="0"/>
  </r>
  <r>
    <s v="MRANM019655"/>
    <x v="3"/>
    <x v="4"/>
    <d v="2018-11-30T00:00:00"/>
    <d v="1999-12-30T00:00:00"/>
    <d v="2018-12-31T00:00:00"/>
    <m/>
    <x v="1"/>
    <x v="5"/>
  </r>
  <r>
    <s v="MRANM019680"/>
    <x v="3"/>
    <x v="4"/>
    <d v="2018-11-30T00:00:00"/>
    <d v="1999-12-30T00:00:00"/>
    <d v="2018-11-05T00:00:00"/>
    <d v="2018-11-05T00:00:00"/>
    <x v="0"/>
    <x v="1"/>
  </r>
  <r>
    <s v="MRANM019728"/>
    <x v="3"/>
    <x v="4"/>
    <d v="2018-11-30T00:00:00"/>
    <d v="1999-12-30T00:00:00"/>
    <d v="2018-11-30T00:00:00"/>
    <m/>
    <x v="0"/>
    <x v="0"/>
  </r>
  <r>
    <s v="MRANM020098"/>
    <x v="3"/>
    <x v="4"/>
    <d v="2018-11-01T00:00:00"/>
    <d v="1999-12-30T00:00:00"/>
    <d v="2018-11-01T00:00:00"/>
    <d v="2018-11-01T00:00:00"/>
    <x v="0"/>
    <x v="1"/>
  </r>
  <r>
    <s v="MRANM020125"/>
    <x v="3"/>
    <x v="4"/>
    <d v="2018-11-30T00:00:00"/>
    <d v="1999-12-30T00:00:00"/>
    <d v="2018-11-06T00:00:00"/>
    <d v="2018-11-06T00:00:00"/>
    <x v="0"/>
    <x v="1"/>
  </r>
  <r>
    <s v="MRANM020127"/>
    <x v="3"/>
    <x v="4"/>
    <d v="2018-11-01T00:00:00"/>
    <d v="1999-12-30T00:00:00"/>
    <d v="2018-11-01T00:00:00"/>
    <d v="2018-11-01T00:00:00"/>
    <x v="0"/>
    <x v="1"/>
  </r>
  <r>
    <s v="MRANM020147"/>
    <x v="3"/>
    <x v="4"/>
    <d v="2018-11-30T00:00:00"/>
    <d v="1999-12-30T00:00:00"/>
    <d v="2018-11-06T00:00:00"/>
    <d v="2018-11-06T00:00:00"/>
    <x v="0"/>
    <x v="1"/>
  </r>
  <r>
    <s v="MRANM020159"/>
    <x v="3"/>
    <x v="4"/>
    <d v="2018-11-30T00:00:00"/>
    <d v="1999-12-30T00:00:00"/>
    <d v="2018-11-06T00:00:00"/>
    <d v="2018-11-06T00:00:00"/>
    <x v="0"/>
    <x v="1"/>
  </r>
  <r>
    <s v="MRANM020167"/>
    <x v="3"/>
    <x v="4"/>
    <d v="2018-11-30T00:00:00"/>
    <d v="1999-12-30T00:00:00"/>
    <d v="2018-11-30T00:00:00"/>
    <m/>
    <x v="0"/>
    <x v="0"/>
  </r>
  <r>
    <s v="MRANM020194"/>
    <x v="3"/>
    <x v="4"/>
    <d v="2018-11-30T00:00:00"/>
    <d v="1999-12-30T00:00:00"/>
    <d v="2018-11-06T00:00:00"/>
    <d v="2018-11-06T00:00:00"/>
    <x v="0"/>
    <x v="1"/>
  </r>
  <r>
    <s v="MRANM020204"/>
    <x v="3"/>
    <x v="4"/>
    <d v="2018-11-30T00:00:00"/>
    <d v="1999-12-30T00:00:00"/>
    <d v="2018-11-30T00:00:00"/>
    <m/>
    <x v="0"/>
    <x v="0"/>
  </r>
  <r>
    <s v="MRANM020339"/>
    <x v="3"/>
    <x v="4"/>
    <d v="2018-11-01T00:00:00"/>
    <d v="1999-12-30T00:00:00"/>
    <d v="2018-11-01T00:00:00"/>
    <d v="2018-11-01T00:00:00"/>
    <x v="0"/>
    <x v="1"/>
  </r>
  <r>
    <s v="MRANM020348"/>
    <x v="3"/>
    <x v="4"/>
    <d v="2018-11-01T00:00:00"/>
    <d v="1999-12-30T00:00:00"/>
    <d v="2018-11-01T00:00:00"/>
    <d v="2018-11-01T00:00:00"/>
    <x v="0"/>
    <x v="1"/>
  </r>
  <r>
    <s v="MRANM020349"/>
    <x v="3"/>
    <x v="4"/>
    <d v="2018-11-30T00:00:00"/>
    <d v="1999-12-30T00:00:00"/>
    <d v="2018-11-06T00:00:00"/>
    <d v="2018-11-06T00:00:00"/>
    <x v="0"/>
    <x v="1"/>
  </r>
  <r>
    <s v="MRANM020354"/>
    <x v="3"/>
    <x v="4"/>
    <d v="2018-11-30T00:00:00"/>
    <d v="1999-12-30T00:00:00"/>
    <d v="2018-11-16T00:00:00"/>
    <d v="2018-11-16T00:00:00"/>
    <x v="0"/>
    <x v="1"/>
  </r>
  <r>
    <s v="MRANM020356"/>
    <x v="3"/>
    <x v="4"/>
    <d v="2018-11-01T00:00:00"/>
    <d v="1999-12-30T00:00:00"/>
    <d v="2018-11-01T00:00:00"/>
    <d v="2018-11-01T00:00:00"/>
    <x v="0"/>
    <x v="1"/>
  </r>
  <r>
    <s v="MRANM020368"/>
    <x v="3"/>
    <x v="4"/>
    <d v="2018-11-01T00:00:00"/>
    <d v="1999-12-30T00:00:00"/>
    <d v="2018-11-01T00:00:00"/>
    <d v="2018-11-01T00:00:00"/>
    <x v="0"/>
    <x v="1"/>
  </r>
  <r>
    <s v="MRNTX033925"/>
    <x v="1"/>
    <x v="4"/>
    <d v="2018-11-26T00:00:00"/>
    <d v="2018-06-21T00:00:00"/>
    <d v="2018-12-18T00:00:00"/>
    <m/>
    <x v="1"/>
    <x v="5"/>
  </r>
  <r>
    <s v="MRNTX033937"/>
    <x v="1"/>
    <x v="4"/>
    <d v="2018-11-17T00:00:00"/>
    <d v="2018-07-26T00:00:00"/>
    <d v="2018-12-10T00:00:00"/>
    <m/>
    <x v="1"/>
    <x v="5"/>
  </r>
  <r>
    <s v="MRSTX036191"/>
    <x v="0"/>
    <x v="4"/>
    <d v="2018-11-28T00:00:00"/>
    <d v="2018-12-31T00:00:00"/>
    <d v="2018-12-31T00:00:00"/>
    <m/>
    <x v="1"/>
    <x v="2"/>
  </r>
  <r>
    <s v="MRSTX036201"/>
    <x v="0"/>
    <x v="4"/>
    <d v="2018-11-30T00:00:00"/>
    <d v="2018-11-30T00:00:00"/>
    <d v="2018-11-30T00:00:00"/>
    <m/>
    <x v="0"/>
    <x v="0"/>
  </r>
  <r>
    <s v="MRSTX036230"/>
    <x v="0"/>
    <x v="4"/>
    <d v="2018-11-30T00:00:00"/>
    <d v="2018-12-31T00:00:00"/>
    <d v="2018-12-31T00:00:00"/>
    <m/>
    <x v="1"/>
    <x v="2"/>
  </r>
  <r>
    <s v="MRSTX036250"/>
    <x v="0"/>
    <x v="4"/>
    <d v="2018-11-30T00:00:00"/>
    <d v="2018-11-30T00:00:00"/>
    <d v="2018-11-30T00:00:00"/>
    <m/>
    <x v="0"/>
    <x v="0"/>
  </r>
  <r>
    <s v="MRSTX036258"/>
    <x v="0"/>
    <x v="4"/>
    <d v="2018-11-30T00:00:00"/>
    <d v="2018-11-30T00:00:00"/>
    <d v="2018-11-30T00:00:00"/>
    <m/>
    <x v="0"/>
    <x v="0"/>
  </r>
  <r>
    <s v="MRSTX036262"/>
    <x v="0"/>
    <x v="4"/>
    <d v="2018-11-30T00:00:00"/>
    <d v="2018-11-30T00:00:00"/>
    <d v="2018-11-26T00:00:00"/>
    <d v="2018-11-26T00:00:00"/>
    <x v="0"/>
    <x v="1"/>
  </r>
  <r>
    <s v="MRSTX036288"/>
    <x v="0"/>
    <x v="4"/>
    <d v="2018-11-30T00:00:00"/>
    <d v="2018-11-30T00:00:00"/>
    <d v="2018-11-30T00:00:00"/>
    <m/>
    <x v="0"/>
    <x v="0"/>
  </r>
  <r>
    <s v="MRSTX036314"/>
    <x v="0"/>
    <x v="4"/>
    <d v="2018-11-15T00:00:00"/>
    <d v="2018-11-15T00:00:00"/>
    <d v="2018-11-13T00:00:00"/>
    <d v="2018-11-13T00:00:00"/>
    <x v="0"/>
    <x v="1"/>
  </r>
  <r>
    <s v="MRANM020383"/>
    <x v="3"/>
    <x v="4"/>
    <d v="2018-11-30T00:00:00"/>
    <d v="1999-12-30T00:00:00"/>
    <d v="2018-11-30T00:00:00"/>
    <m/>
    <x v="0"/>
    <x v="0"/>
  </r>
  <r>
    <s v="MRANM020413"/>
    <x v="3"/>
    <x v="4"/>
    <d v="2018-11-30T00:00:00"/>
    <d v="1999-12-30T00:00:00"/>
    <d v="2018-11-07T00:00:00"/>
    <d v="2018-11-07T00:00:00"/>
    <x v="0"/>
    <x v="1"/>
  </r>
  <r>
    <s v="MRANM020416"/>
    <x v="3"/>
    <x v="4"/>
    <d v="2018-11-01T00:00:00"/>
    <d v="1999-12-30T00:00:00"/>
    <d v="2018-11-01T00:00:00"/>
    <d v="2018-11-01T00:00:00"/>
    <x v="0"/>
    <x v="1"/>
  </r>
  <r>
    <s v="MRANM020422"/>
    <x v="3"/>
    <x v="4"/>
    <d v="2018-11-01T00:00:00"/>
    <d v="1999-12-30T00:00:00"/>
    <d v="2018-11-01T00:00:00"/>
    <d v="2018-11-01T00:00:00"/>
    <x v="0"/>
    <x v="1"/>
  </r>
  <r>
    <s v="MRANM020456"/>
    <x v="3"/>
    <x v="4"/>
    <d v="2018-11-30T00:00:00"/>
    <d v="1999-12-30T00:00:00"/>
    <d v="2018-11-06T00:00:00"/>
    <d v="2018-11-06T00:00:00"/>
    <x v="0"/>
    <x v="1"/>
  </r>
  <r>
    <s v="MRANM020457"/>
    <x v="3"/>
    <x v="4"/>
    <d v="2018-11-30T00:00:00"/>
    <d v="1999-12-30T00:00:00"/>
    <d v="2018-12-31T00:00:00"/>
    <m/>
    <x v="1"/>
    <x v="5"/>
  </r>
  <r>
    <s v="MRANM020461"/>
    <x v="3"/>
    <x v="4"/>
    <d v="2018-11-01T00:00:00"/>
    <d v="1999-12-30T00:00:00"/>
    <d v="2018-11-01T00:00:00"/>
    <d v="2018-11-01T00:00:00"/>
    <x v="0"/>
    <x v="1"/>
  </r>
  <r>
    <s v="MRANM020464"/>
    <x v="3"/>
    <x v="4"/>
    <d v="2018-11-01T00:00:00"/>
    <d v="1999-12-30T00:00:00"/>
    <d v="2018-11-01T00:00:00"/>
    <d v="2018-11-01T00:00:00"/>
    <x v="0"/>
    <x v="1"/>
  </r>
  <r>
    <s v="MRANM020477"/>
    <x v="3"/>
    <x v="4"/>
    <d v="2018-11-30T00:00:00"/>
    <d v="1999-12-30T00:00:00"/>
    <d v="2018-12-31T00:00:00"/>
    <m/>
    <x v="1"/>
    <x v="5"/>
  </r>
  <r>
    <s v="MRANM020504"/>
    <x v="3"/>
    <x v="4"/>
    <d v="2018-11-30T00:00:00"/>
    <d v="1999-12-30T00:00:00"/>
    <d v="2018-11-16T00:00:00"/>
    <d v="2018-11-16T00:00:00"/>
    <x v="0"/>
    <x v="1"/>
  </r>
  <r>
    <s v="MRANM020529"/>
    <x v="3"/>
    <x v="4"/>
    <d v="2018-11-30T00:00:00"/>
    <d v="1999-12-30T00:00:00"/>
    <d v="2018-11-30T00:00:00"/>
    <m/>
    <x v="0"/>
    <x v="0"/>
  </r>
  <r>
    <s v="MRANM020532"/>
    <x v="3"/>
    <x v="4"/>
    <d v="2018-11-30T00:00:00"/>
    <d v="1999-12-30T00:00:00"/>
    <d v="2018-11-06T00:00:00"/>
    <d v="2018-11-06T00:00:00"/>
    <x v="0"/>
    <x v="1"/>
  </r>
  <r>
    <s v="MRNTX023510"/>
    <x v="1"/>
    <x v="4"/>
    <d v="2018-11-30T00:00:00"/>
    <d v="1999-12-30T00:00:00"/>
    <d v="2019-05-24T00:00:00"/>
    <m/>
    <x v="1"/>
    <x v="5"/>
  </r>
  <r>
    <s v="MRNTX024478"/>
    <x v="1"/>
    <x v="4"/>
    <d v="2018-11-30T00:00:00"/>
    <d v="1999-12-30T00:00:00"/>
    <d v="2018-11-26T00:00:00"/>
    <d v="2018-11-26T00:00:00"/>
    <x v="0"/>
    <x v="1"/>
  </r>
  <r>
    <s v="MRNTX031950"/>
    <x v="1"/>
    <x v="4"/>
    <d v="2018-11-29T00:00:00"/>
    <d v="1999-12-30T00:00:00"/>
    <d v="2018-12-05T00:00:00"/>
    <m/>
    <x v="0"/>
    <x v="0"/>
  </r>
  <r>
    <s v="MRNTX031975"/>
    <x v="1"/>
    <x v="4"/>
    <d v="2018-11-19T00:00:00"/>
    <d v="1999-12-30T00:00:00"/>
    <d v="2018-12-10T00:00:00"/>
    <m/>
    <x v="1"/>
    <x v="5"/>
  </r>
  <r>
    <s v="MRNTX031979"/>
    <x v="1"/>
    <x v="4"/>
    <d v="2018-11-21T00:00:00"/>
    <d v="1999-12-30T00:00:00"/>
    <d v="2018-11-30T00:00:00"/>
    <m/>
    <x v="0"/>
    <x v="0"/>
  </r>
  <r>
    <s v="MRNTX032050"/>
    <x v="1"/>
    <x v="4"/>
    <d v="2018-11-27T00:00:00"/>
    <d v="2018-07-12T00:00:00"/>
    <d v="2018-12-03T00:00:00"/>
    <m/>
    <x v="0"/>
    <x v="0"/>
  </r>
  <r>
    <s v="MRNTX032113"/>
    <x v="1"/>
    <x v="4"/>
    <d v="2018-11-14T00:00:00"/>
    <d v="2018-10-23T00:00:00"/>
    <d v="2018-11-13T00:00:00"/>
    <d v="2018-11-13T00:00:00"/>
    <x v="0"/>
    <x v="1"/>
  </r>
  <r>
    <s v="MRNTX032117"/>
    <x v="1"/>
    <x v="4"/>
    <d v="2018-11-13T00:00:00"/>
    <d v="1999-12-30T00:00:00"/>
    <d v="2018-11-29T00:00:00"/>
    <d v="2018-11-29T00:00:00"/>
    <x v="1"/>
    <x v="1"/>
  </r>
  <r>
    <s v="MRSTX036335"/>
    <x v="0"/>
    <x v="4"/>
    <d v="2018-11-28T00:00:00"/>
    <d v="2018-12-31T00:00:00"/>
    <d v="2018-12-31T00:00:00"/>
    <m/>
    <x v="1"/>
    <x v="2"/>
  </r>
  <r>
    <s v="MRSTX036359"/>
    <x v="0"/>
    <x v="4"/>
    <d v="2018-11-30T00:00:00"/>
    <d v="2018-12-31T00:00:00"/>
    <d v="2018-12-31T00:00:00"/>
    <m/>
    <x v="1"/>
    <x v="2"/>
  </r>
  <r>
    <s v="MRSTX036369"/>
    <x v="0"/>
    <x v="4"/>
    <d v="2018-11-28T00:00:00"/>
    <d v="2018-11-28T00:00:00"/>
    <d v="2018-11-15T00:00:00"/>
    <d v="2018-11-15T00:00:00"/>
    <x v="0"/>
    <x v="1"/>
  </r>
  <r>
    <s v="MRSTX036372"/>
    <x v="0"/>
    <x v="4"/>
    <d v="2018-11-30T00:00:00"/>
    <d v="2018-12-31T00:00:00"/>
    <d v="2018-12-31T00:00:00"/>
    <m/>
    <x v="1"/>
    <x v="2"/>
  </r>
  <r>
    <s v="MRSTX036379"/>
    <x v="0"/>
    <x v="4"/>
    <d v="2018-11-28T00:00:00"/>
    <d v="2018-11-28T00:00:00"/>
    <d v="2018-11-15T00:00:00"/>
    <d v="2018-11-15T00:00:00"/>
    <x v="0"/>
    <x v="1"/>
  </r>
  <r>
    <s v="MRSTX036387"/>
    <x v="0"/>
    <x v="4"/>
    <d v="2018-11-28T00:00:00"/>
    <d v="2018-12-31T00:00:00"/>
    <d v="2018-12-31T00:00:00"/>
    <m/>
    <x v="1"/>
    <x v="2"/>
  </r>
  <r>
    <s v="MRWSH022861"/>
    <x v="2"/>
    <x v="4"/>
    <d v="2018-11-30T00:00:00"/>
    <d v="2018-12-31T00:00:00"/>
    <d v="2018-11-23T00:00:00"/>
    <d v="2018-11-23T00:00:00"/>
    <x v="0"/>
    <x v="1"/>
  </r>
  <r>
    <s v="MRWSH022874"/>
    <x v="2"/>
    <x v="4"/>
    <d v="2018-11-30T00:00:00"/>
    <d v="2018-12-31T00:00:00"/>
    <d v="2018-11-26T00:00:00"/>
    <d v="2018-11-26T00:00:00"/>
    <x v="0"/>
    <x v="1"/>
  </r>
  <r>
    <s v="MRWSH022878"/>
    <x v="2"/>
    <x v="4"/>
    <d v="2018-11-30T00:00:00"/>
    <d v="2018-12-31T00:00:00"/>
    <d v="2018-11-13T00:00:00"/>
    <d v="2018-11-13T00:00:00"/>
    <x v="0"/>
    <x v="1"/>
  </r>
  <r>
    <s v="MRWSH022880"/>
    <x v="2"/>
    <x v="4"/>
    <d v="2018-11-30T00:00:00"/>
    <d v="2018-06-25T00:00:00"/>
    <d v="2018-12-31T00:00:00"/>
    <m/>
    <x v="1"/>
    <x v="5"/>
  </r>
  <r>
    <s v="MRWSH022891"/>
    <x v="2"/>
    <x v="4"/>
    <d v="2018-11-30T00:00:00"/>
    <d v="2018-05-03T00:00:00"/>
    <d v="2018-12-31T00:00:00"/>
    <m/>
    <x v="1"/>
    <x v="5"/>
  </r>
  <r>
    <s v="MRWSH022892"/>
    <x v="2"/>
    <x v="4"/>
    <d v="2018-11-30T00:00:00"/>
    <d v="2018-12-31T00:00:00"/>
    <d v="2018-12-31T00:00:00"/>
    <m/>
    <x v="1"/>
    <x v="2"/>
  </r>
  <r>
    <s v="MRWSH022905"/>
    <x v="2"/>
    <x v="4"/>
    <d v="2018-11-30T00:00:00"/>
    <d v="2018-07-07T00:00:00"/>
    <d v="2018-11-05T00:00:00"/>
    <d v="2018-11-05T00:00:00"/>
    <x v="0"/>
    <x v="1"/>
  </r>
  <r>
    <s v="MRWSH022936"/>
    <x v="2"/>
    <x v="4"/>
    <d v="2018-11-30T00:00:00"/>
    <d v="2018-10-02T00:00:00"/>
    <d v="2018-11-06T00:00:00"/>
    <d v="2018-11-06T00:00:00"/>
    <x v="0"/>
    <x v="1"/>
  </r>
  <r>
    <s v="MRWSH022972"/>
    <x v="2"/>
    <x v="4"/>
    <d v="2018-11-30T00:00:00"/>
    <d v="2018-12-31T00:00:00"/>
    <d v="2018-11-27T00:00:00"/>
    <d v="2018-11-27T00:00:00"/>
    <x v="0"/>
    <x v="1"/>
  </r>
  <r>
    <s v="MRWSH022973"/>
    <x v="2"/>
    <x v="4"/>
    <d v="2018-11-30T00:00:00"/>
    <d v="2018-05-24T00:00:00"/>
    <d v="2018-11-30T00:00:00"/>
    <m/>
    <x v="0"/>
    <x v="0"/>
  </r>
  <r>
    <s v="MRWSH022984"/>
    <x v="2"/>
    <x v="4"/>
    <d v="2018-11-30T00:00:00"/>
    <d v="2018-12-31T00:00:00"/>
    <d v="2018-11-26T00:00:00"/>
    <d v="2018-11-26T00:00:00"/>
    <x v="0"/>
    <x v="1"/>
  </r>
  <r>
    <s v="MRWSH023006"/>
    <x v="2"/>
    <x v="4"/>
    <d v="2018-11-30T00:00:00"/>
    <d v="2018-07-07T00:00:00"/>
    <d v="2018-11-26T00:00:00"/>
    <d v="2018-11-26T00:00:00"/>
    <x v="0"/>
    <x v="1"/>
  </r>
  <r>
    <s v="MRNTX032135"/>
    <x v="1"/>
    <x v="4"/>
    <d v="2018-11-18T00:00:00"/>
    <d v="2018-11-17T00:00:00"/>
    <d v="2018-11-30T00:00:00"/>
    <m/>
    <x v="0"/>
    <x v="0"/>
  </r>
  <r>
    <s v="MRNTX032152"/>
    <x v="1"/>
    <x v="4"/>
    <d v="2018-11-30T00:00:00"/>
    <d v="2018-07-05T00:00:00"/>
    <d v="2018-12-31T00:00:00"/>
    <m/>
    <x v="1"/>
    <x v="5"/>
  </r>
  <r>
    <s v="MRNTX032159"/>
    <x v="1"/>
    <x v="4"/>
    <d v="2018-11-29T00:00:00"/>
    <d v="1999-12-30T00:00:00"/>
    <d v="2018-12-05T00:00:00"/>
    <m/>
    <x v="0"/>
    <x v="0"/>
  </r>
  <r>
    <s v="MRNTX032172"/>
    <x v="1"/>
    <x v="4"/>
    <d v="2018-11-30T00:00:00"/>
    <d v="2018-10-23T00:00:00"/>
    <d v="2018-11-05T00:00:00"/>
    <d v="2018-11-05T00:00:00"/>
    <x v="0"/>
    <x v="1"/>
  </r>
  <r>
    <s v="MRNTX032187"/>
    <x v="1"/>
    <x v="4"/>
    <d v="2018-11-14T00:00:00"/>
    <d v="1999-12-30T00:00:00"/>
    <d v="2018-11-20T00:00:00"/>
    <d v="2018-11-20T00:00:00"/>
    <x v="0"/>
    <x v="1"/>
  </r>
  <r>
    <s v="MRNTX032197"/>
    <x v="1"/>
    <x v="4"/>
    <d v="2018-11-29T00:00:00"/>
    <d v="1999-12-30T00:00:00"/>
    <d v="2018-12-10T00:00:00"/>
    <m/>
    <x v="0"/>
    <x v="0"/>
  </r>
  <r>
    <s v="MRNTX032200"/>
    <x v="1"/>
    <x v="4"/>
    <d v="2018-11-29T00:00:00"/>
    <d v="1999-12-30T00:00:00"/>
    <d v="2018-12-10T00:00:00"/>
    <m/>
    <x v="0"/>
    <x v="0"/>
  </r>
  <r>
    <s v="MRNTX032201"/>
    <x v="1"/>
    <x v="4"/>
    <d v="2018-11-23T00:00:00"/>
    <d v="1999-12-30T00:00:00"/>
    <d v="2018-12-11T00:00:00"/>
    <m/>
    <x v="1"/>
    <x v="5"/>
  </r>
  <r>
    <s v="MRNTX032206"/>
    <x v="1"/>
    <x v="4"/>
    <d v="2018-11-28T00:00:00"/>
    <d v="2018-07-05T00:00:00"/>
    <d v="2018-12-07T00:00:00"/>
    <m/>
    <x v="0"/>
    <x v="0"/>
  </r>
  <r>
    <s v="MRNTX032210"/>
    <x v="1"/>
    <x v="4"/>
    <d v="2018-11-24T00:00:00"/>
    <d v="1999-12-30T00:00:00"/>
    <d v="2018-12-11T00:00:00"/>
    <m/>
    <x v="1"/>
    <x v="5"/>
  </r>
  <r>
    <s v="MRNTX032211"/>
    <x v="1"/>
    <x v="4"/>
    <d v="2018-11-25T00:00:00"/>
    <d v="2018-11-12T00:00:00"/>
    <d v="2018-12-26T00:00:00"/>
    <m/>
    <x v="1"/>
    <x v="5"/>
  </r>
  <r>
    <s v="MRNTX032226"/>
    <x v="1"/>
    <x v="4"/>
    <d v="2018-11-30T00:00:00"/>
    <d v="1999-12-30T00:00:00"/>
    <d v="2019-12-30T00:00:00"/>
    <m/>
    <x v="1"/>
    <x v="5"/>
  </r>
  <r>
    <s v="MRNTX032230"/>
    <x v="1"/>
    <x v="4"/>
    <d v="2018-11-28T00:00:00"/>
    <d v="2018-07-05T00:00:00"/>
    <d v="2018-12-07T00:00:00"/>
    <m/>
    <x v="0"/>
    <x v="0"/>
  </r>
  <r>
    <s v="MRNTX032244"/>
    <x v="1"/>
    <x v="4"/>
    <d v="2018-11-23T00:00:00"/>
    <d v="1999-12-30T00:00:00"/>
    <d v="2018-12-11T00:00:00"/>
    <m/>
    <x v="1"/>
    <x v="5"/>
  </r>
  <r>
    <s v="MRNTX032246"/>
    <x v="1"/>
    <x v="4"/>
    <d v="2018-11-26T00:00:00"/>
    <d v="2018-06-21T00:00:00"/>
    <d v="2018-12-18T00:00:00"/>
    <m/>
    <x v="1"/>
    <x v="5"/>
  </r>
  <r>
    <s v="MRNTX032250"/>
    <x v="1"/>
    <x v="4"/>
    <d v="2018-11-23T00:00:00"/>
    <d v="1999-12-30T00:00:00"/>
    <d v="2018-12-11T00:00:00"/>
    <m/>
    <x v="1"/>
    <x v="5"/>
  </r>
  <r>
    <s v="MRSTX033916"/>
    <x v="0"/>
    <x v="4"/>
    <d v="2018-11-30T00:00:00"/>
    <d v="2018-11-30T00:00:00"/>
    <d v="2018-11-30T00:00:00"/>
    <m/>
    <x v="0"/>
    <x v="0"/>
  </r>
  <r>
    <s v="MRSTX033926"/>
    <x v="0"/>
    <x v="4"/>
    <d v="2018-11-30T00:00:00"/>
    <d v="2018-11-30T00:00:00"/>
    <d v="2018-11-30T00:00:00"/>
    <m/>
    <x v="0"/>
    <x v="0"/>
  </r>
  <r>
    <s v="MRSTX033928"/>
    <x v="0"/>
    <x v="4"/>
    <d v="2018-11-30T00:00:00"/>
    <d v="2018-11-30T00:00:00"/>
    <d v="2018-11-19T00:00:00"/>
    <d v="2018-11-19T00:00:00"/>
    <x v="0"/>
    <x v="1"/>
  </r>
  <r>
    <s v="MRSTX033933"/>
    <x v="0"/>
    <x v="4"/>
    <d v="2018-11-30T00:00:00"/>
    <d v="2018-11-30T00:00:00"/>
    <d v="2018-11-16T00:00:00"/>
    <d v="2018-11-16T00:00:00"/>
    <x v="0"/>
    <x v="1"/>
  </r>
  <r>
    <s v="MRSTX033970"/>
    <x v="0"/>
    <x v="4"/>
    <d v="2018-11-30T00:00:00"/>
    <d v="2018-12-31T00:00:00"/>
    <d v="2018-12-31T00:00:00"/>
    <m/>
    <x v="1"/>
    <x v="2"/>
  </r>
  <r>
    <s v="MRWSH023045"/>
    <x v="2"/>
    <x v="4"/>
    <d v="2018-11-30T00:00:00"/>
    <d v="2018-12-31T00:00:00"/>
    <d v="2018-11-26T00:00:00"/>
    <d v="2018-11-26T00:00:00"/>
    <x v="0"/>
    <x v="1"/>
  </r>
  <r>
    <s v="MRWSH023048"/>
    <x v="2"/>
    <x v="4"/>
    <d v="2018-11-30T00:00:00"/>
    <d v="2018-12-31T00:00:00"/>
    <d v="2018-11-27T00:00:00"/>
    <d v="2018-11-27T00:00:00"/>
    <x v="0"/>
    <x v="1"/>
  </r>
  <r>
    <s v="MRWSH023088"/>
    <x v="2"/>
    <x v="4"/>
    <d v="2018-11-30T00:00:00"/>
    <d v="2018-07-07T00:00:00"/>
    <d v="2018-11-12T00:00:00"/>
    <d v="2018-11-12T00:00:00"/>
    <x v="0"/>
    <x v="1"/>
  </r>
  <r>
    <s v="MRWSH023099"/>
    <x v="2"/>
    <x v="4"/>
    <d v="2018-11-30T00:00:00"/>
    <d v="2018-10-02T00:00:00"/>
    <d v="2018-12-31T00:00:00"/>
    <m/>
    <x v="1"/>
    <x v="5"/>
  </r>
  <r>
    <s v="MRWSH023148"/>
    <x v="2"/>
    <x v="4"/>
    <d v="2018-11-30T00:00:00"/>
    <d v="2018-07-07T00:00:00"/>
    <d v="2018-11-12T00:00:00"/>
    <d v="2018-11-12T00:00:00"/>
    <x v="0"/>
    <x v="1"/>
  </r>
  <r>
    <s v="MRWSH024471"/>
    <x v="2"/>
    <x v="4"/>
    <d v="2018-11-30T00:00:00"/>
    <d v="2018-11-02T00:00:00"/>
    <d v="2018-11-26T00:00:00"/>
    <d v="2018-11-26T00:00:00"/>
    <x v="0"/>
    <x v="1"/>
  </r>
  <r>
    <s v="MRWSH024472"/>
    <x v="2"/>
    <x v="4"/>
    <d v="2018-11-30T00:00:00"/>
    <d v="2018-07-20T00:00:00"/>
    <d v="2018-12-31T00:00:00"/>
    <m/>
    <x v="1"/>
    <x v="5"/>
  </r>
  <r>
    <s v="MRWSH024476"/>
    <x v="2"/>
    <x v="4"/>
    <d v="2018-11-30T00:00:00"/>
    <d v="2018-11-02T00:00:00"/>
    <d v="2018-12-31T00:00:00"/>
    <m/>
    <x v="1"/>
    <x v="5"/>
  </r>
  <r>
    <s v="MRWSH024478"/>
    <x v="2"/>
    <x v="4"/>
    <d v="2018-11-30T00:00:00"/>
    <d v="2018-07-20T00:00:00"/>
    <d v="2018-11-26T00:00:00"/>
    <d v="2018-11-26T00:00:00"/>
    <x v="0"/>
    <x v="1"/>
  </r>
  <r>
    <s v="MRWSH024479"/>
    <x v="2"/>
    <x v="4"/>
    <d v="2018-11-30T00:00:00"/>
    <d v="2018-11-02T00:00:00"/>
    <d v="2018-11-28T00:00:00"/>
    <d v="2018-11-28T00:00:00"/>
    <x v="0"/>
    <x v="1"/>
  </r>
  <r>
    <s v="MRWSH024485"/>
    <x v="2"/>
    <x v="4"/>
    <d v="2018-11-30T00:00:00"/>
    <d v="2018-10-02T00:00:00"/>
    <d v="2018-12-31T00:00:00"/>
    <m/>
    <x v="1"/>
    <x v="5"/>
  </r>
  <r>
    <s v="MRWSH024494"/>
    <x v="2"/>
    <x v="4"/>
    <d v="2018-11-30T00:00:00"/>
    <d v="2018-07-07T00:00:00"/>
    <d v="2018-12-31T00:00:00"/>
    <m/>
    <x v="1"/>
    <x v="5"/>
  </r>
  <r>
    <s v="MRWSH024505"/>
    <x v="2"/>
    <x v="4"/>
    <d v="2018-11-30T00:00:00"/>
    <d v="2018-06-26T00:00:00"/>
    <d v="2018-12-31T00:00:00"/>
    <m/>
    <x v="1"/>
    <x v="5"/>
  </r>
  <r>
    <s v="MRWSH024511"/>
    <x v="2"/>
    <x v="4"/>
    <d v="2018-11-30T00:00:00"/>
    <d v="2018-07-20T00:00:00"/>
    <d v="2018-11-26T00:00:00"/>
    <d v="2018-11-26T00:00:00"/>
    <x v="0"/>
    <x v="1"/>
  </r>
  <r>
    <s v="MRWSH024516"/>
    <x v="2"/>
    <x v="4"/>
    <d v="2018-11-30T00:00:00"/>
    <d v="2018-07-30T00:00:00"/>
    <d v="2018-12-31T00:00:00"/>
    <m/>
    <x v="1"/>
    <x v="5"/>
  </r>
  <r>
    <s v="MRWSH024525"/>
    <x v="2"/>
    <x v="4"/>
    <d v="2018-11-30T00:00:00"/>
    <d v="2018-07-30T00:00:00"/>
    <d v="2018-12-31T00:00:00"/>
    <m/>
    <x v="1"/>
    <x v="5"/>
  </r>
  <r>
    <s v="MRWSH024531"/>
    <x v="2"/>
    <x v="4"/>
    <d v="2018-11-30T00:00:00"/>
    <d v="2018-10-01T00:00:00"/>
    <d v="2018-11-26T00:00:00"/>
    <d v="2018-11-26T00:00:00"/>
    <x v="0"/>
    <x v="1"/>
  </r>
  <r>
    <s v="MRWSH024533"/>
    <x v="2"/>
    <x v="4"/>
    <d v="2018-11-30T00:00:00"/>
    <d v="2018-11-02T00:00:00"/>
    <d v="2018-12-31T00:00:00"/>
    <m/>
    <x v="1"/>
    <x v="5"/>
  </r>
  <r>
    <s v="MRWSH024536"/>
    <x v="2"/>
    <x v="4"/>
    <d v="2018-11-30T00:00:00"/>
    <d v="2018-12-25T00:00:00"/>
    <d v="2018-11-05T00:00:00"/>
    <d v="2018-11-05T00:00:00"/>
    <x v="0"/>
    <x v="1"/>
  </r>
  <r>
    <s v="MRWSH024538"/>
    <x v="2"/>
    <x v="4"/>
    <d v="2018-11-30T00:00:00"/>
    <d v="2018-07-13T00:00:00"/>
    <d v="2018-11-30T00:00:00"/>
    <m/>
    <x v="0"/>
    <x v="0"/>
  </r>
  <r>
    <s v="MRWSH024540"/>
    <x v="2"/>
    <x v="4"/>
    <d v="2018-11-30T00:00:00"/>
    <d v="2018-07-07T00:00:00"/>
    <d v="2018-11-23T00:00:00"/>
    <d v="2018-11-23T00:00:00"/>
    <x v="0"/>
    <x v="1"/>
  </r>
  <r>
    <s v="MRWSH024544"/>
    <x v="2"/>
    <x v="4"/>
    <d v="2018-11-30T00:00:00"/>
    <d v="2018-11-02T00:00:00"/>
    <d v="2018-11-26T00:00:00"/>
    <d v="2018-11-26T00:00:00"/>
    <x v="0"/>
    <x v="1"/>
  </r>
  <r>
    <s v="MRWSH024551"/>
    <x v="2"/>
    <x v="4"/>
    <d v="2018-11-30T00:00:00"/>
    <d v="2018-11-02T00:00:00"/>
    <d v="2018-12-31T00:00:00"/>
    <m/>
    <x v="1"/>
    <x v="5"/>
  </r>
  <r>
    <s v="MRWSH024555"/>
    <x v="2"/>
    <x v="4"/>
    <d v="2018-11-30T00:00:00"/>
    <d v="2018-07-13T00:00:00"/>
    <d v="2018-11-09T00:00:00"/>
    <d v="2018-11-09T00:00:00"/>
    <x v="0"/>
    <x v="1"/>
  </r>
  <r>
    <s v="MRWSH024570"/>
    <x v="2"/>
    <x v="4"/>
    <d v="2018-11-30T00:00:00"/>
    <d v="2018-10-01T00:00:00"/>
    <d v="2018-11-26T00:00:00"/>
    <d v="2018-11-26T00:00:00"/>
    <x v="0"/>
    <x v="1"/>
  </r>
  <r>
    <s v="MRNTX030632"/>
    <x v="1"/>
    <x v="4"/>
    <d v="2018-11-30T00:00:00"/>
    <d v="1999-12-30T00:00:00"/>
    <d v="2019-12-30T00:00:00"/>
    <m/>
    <x v="1"/>
    <x v="5"/>
  </r>
  <r>
    <s v="MRNTX030649"/>
    <x v="1"/>
    <x v="4"/>
    <d v="2018-11-26T00:00:00"/>
    <d v="1999-12-30T00:00:00"/>
    <d v="2018-12-05T00:00:00"/>
    <m/>
    <x v="0"/>
    <x v="0"/>
  </r>
  <r>
    <s v="MRANM006705"/>
    <x v="3"/>
    <x v="4"/>
    <d v="2018-11-30T00:00:00"/>
    <d v="2016-07-31T00:00:00"/>
    <d v="2018-11-07T00:00:00"/>
    <d v="2018-11-07T00:00:00"/>
    <x v="0"/>
    <x v="1"/>
  </r>
  <r>
    <s v="MRSTX033996"/>
    <x v="0"/>
    <x v="4"/>
    <d v="2018-11-15T00:00:00"/>
    <d v="2018-11-15T00:00:00"/>
    <d v="2018-11-19T00:00:00"/>
    <d v="2018-11-19T00:00:00"/>
    <x v="0"/>
    <x v="1"/>
  </r>
  <r>
    <s v="MRSTX033999"/>
    <x v="0"/>
    <x v="4"/>
    <d v="2018-11-15T00:00:00"/>
    <d v="2018-11-15T00:00:00"/>
    <d v="2018-11-12T00:00:00"/>
    <d v="2018-11-12T00:00:00"/>
    <x v="0"/>
    <x v="1"/>
  </r>
  <r>
    <s v="MRSTX034020"/>
    <x v="0"/>
    <x v="4"/>
    <d v="2018-11-28T00:00:00"/>
    <d v="2018-11-28T00:00:00"/>
    <d v="2018-11-28T00:00:00"/>
    <m/>
    <x v="0"/>
    <x v="0"/>
  </r>
  <r>
    <s v="MRSTX034023"/>
    <x v="0"/>
    <x v="4"/>
    <d v="2018-11-28T00:00:00"/>
    <d v="2018-11-28T00:00:00"/>
    <d v="2018-11-28T00:00:00"/>
    <m/>
    <x v="0"/>
    <x v="0"/>
  </r>
  <r>
    <s v="MRSTX034047"/>
    <x v="0"/>
    <x v="4"/>
    <d v="2018-11-30T00:00:00"/>
    <d v="2018-10-31T00:00:00"/>
    <d v="2018-11-20T00:00:00"/>
    <d v="2018-11-20T00:00:00"/>
    <x v="0"/>
    <x v="1"/>
  </r>
  <r>
    <s v="MRSTX034111"/>
    <x v="0"/>
    <x v="4"/>
    <d v="2018-11-28T00:00:00"/>
    <d v="2018-12-31T00:00:00"/>
    <d v="2018-12-31T00:00:00"/>
    <m/>
    <x v="1"/>
    <x v="2"/>
  </r>
  <r>
    <s v="MRSTX034112"/>
    <x v="0"/>
    <x v="4"/>
    <d v="2018-11-30T00:00:00"/>
    <d v="2018-12-31T00:00:00"/>
    <d v="2018-12-31T00:00:00"/>
    <m/>
    <x v="1"/>
    <x v="2"/>
  </r>
  <r>
    <s v="MRSTX034116"/>
    <x v="0"/>
    <x v="4"/>
    <d v="2018-11-30T00:00:00"/>
    <d v="2018-11-30T00:00:00"/>
    <d v="2018-11-30T00:00:00"/>
    <m/>
    <x v="0"/>
    <x v="0"/>
  </r>
  <r>
    <s v="MRSTX034119"/>
    <x v="0"/>
    <x v="4"/>
    <d v="2018-11-30T00:00:00"/>
    <d v="2018-12-31T00:00:00"/>
    <d v="2018-12-31T00:00:00"/>
    <m/>
    <x v="1"/>
    <x v="2"/>
  </r>
  <r>
    <s v="MRSTX034122"/>
    <x v="0"/>
    <x v="4"/>
    <d v="2018-11-30T00:00:00"/>
    <d v="2018-11-30T00:00:00"/>
    <d v="2018-11-30T00:00:00"/>
    <m/>
    <x v="0"/>
    <x v="0"/>
  </r>
  <r>
    <s v="MRSTX034162"/>
    <x v="0"/>
    <x v="4"/>
    <d v="2018-11-30T00:00:00"/>
    <d v="2018-12-31T00:00:00"/>
    <d v="2018-12-31T00:00:00"/>
    <m/>
    <x v="1"/>
    <x v="2"/>
  </r>
  <r>
    <s v="MRSTX034166"/>
    <x v="0"/>
    <x v="4"/>
    <d v="2018-11-28T00:00:00"/>
    <d v="2018-12-31T00:00:00"/>
    <d v="2018-12-31T00:00:00"/>
    <m/>
    <x v="1"/>
    <x v="2"/>
  </r>
  <r>
    <s v="MRSTX034178"/>
    <x v="0"/>
    <x v="4"/>
    <d v="2018-11-30T00:00:00"/>
    <d v="2018-11-30T00:00:00"/>
    <d v="2018-11-30T00:00:00"/>
    <m/>
    <x v="0"/>
    <x v="0"/>
  </r>
  <r>
    <s v="MRSTX034199"/>
    <x v="0"/>
    <x v="4"/>
    <d v="2018-11-28T00:00:00"/>
    <d v="2018-11-28T00:00:00"/>
    <d v="2018-11-26T00:00:00"/>
    <d v="2018-11-26T00:00:00"/>
    <x v="0"/>
    <x v="1"/>
  </r>
  <r>
    <s v="MRSTX034212"/>
    <x v="0"/>
    <x v="4"/>
    <d v="2018-11-30T00:00:00"/>
    <d v="2018-11-30T00:00:00"/>
    <d v="2018-11-21T00:00:00"/>
    <d v="2018-11-21T00:00:00"/>
    <x v="0"/>
    <x v="1"/>
  </r>
  <r>
    <s v="MRSTX034223"/>
    <x v="0"/>
    <x v="4"/>
    <d v="2018-11-30T00:00:00"/>
    <d v="2018-11-30T00:00:00"/>
    <d v="2018-11-12T00:00:00"/>
    <d v="2018-11-12T00:00:00"/>
    <x v="0"/>
    <x v="1"/>
  </r>
  <r>
    <s v="MRWSH015836"/>
    <x v="2"/>
    <x v="4"/>
    <d v="2018-11-30T00:00:00"/>
    <d v="2018-06-04T00:00:00"/>
    <d v="2018-11-15T00:00:00"/>
    <d v="2018-11-15T00:00:00"/>
    <x v="0"/>
    <x v="1"/>
  </r>
  <r>
    <s v="MRNTX030703"/>
    <x v="1"/>
    <x v="4"/>
    <d v="2018-11-30T00:00:00"/>
    <d v="1999-12-30T00:00:00"/>
    <d v="2019-12-30T00:00:00"/>
    <m/>
    <x v="1"/>
    <x v="5"/>
  </r>
  <r>
    <s v="MRNTX030705"/>
    <x v="1"/>
    <x v="4"/>
    <d v="2018-11-30T00:00:00"/>
    <d v="1999-12-30T00:00:00"/>
    <d v="2019-12-30T00:00:00"/>
    <m/>
    <x v="1"/>
    <x v="5"/>
  </r>
  <r>
    <s v="MRNTX030713"/>
    <x v="1"/>
    <x v="4"/>
    <d v="2018-11-17T00:00:00"/>
    <d v="2018-07-12T00:00:00"/>
    <d v="2018-11-29T00:00:00"/>
    <d v="2018-11-29T00:00:00"/>
    <x v="0"/>
    <x v="1"/>
  </r>
  <r>
    <s v="MRNTX030800"/>
    <x v="1"/>
    <x v="4"/>
    <d v="2018-11-19T00:00:00"/>
    <d v="1999-12-30T00:00:00"/>
    <d v="2018-12-10T00:00:00"/>
    <m/>
    <x v="1"/>
    <x v="5"/>
  </r>
  <r>
    <s v="MRNTX030826"/>
    <x v="1"/>
    <x v="4"/>
    <d v="2018-11-26T00:00:00"/>
    <d v="1999-12-30T00:00:00"/>
    <d v="2018-12-10T00:00:00"/>
    <m/>
    <x v="0"/>
    <x v="0"/>
  </r>
  <r>
    <s v="MRNTX030838"/>
    <x v="1"/>
    <x v="4"/>
    <d v="2018-11-12T00:00:00"/>
    <d v="2018-10-23T00:00:00"/>
    <d v="2018-11-29T00:00:00"/>
    <d v="2018-11-29T00:00:00"/>
    <x v="1"/>
    <x v="1"/>
  </r>
  <r>
    <s v="MRNTX030840"/>
    <x v="1"/>
    <x v="4"/>
    <d v="2018-11-26T00:00:00"/>
    <d v="2018-11-26T00:00:00"/>
    <d v="2018-12-28T00:00:00"/>
    <m/>
    <x v="1"/>
    <x v="5"/>
  </r>
  <r>
    <s v="MRNTX030851"/>
    <x v="1"/>
    <x v="4"/>
    <d v="2018-11-20T00:00:00"/>
    <d v="2018-11-27T00:00:00"/>
    <d v="2018-11-07T00:00:00"/>
    <d v="2018-11-07T00:00:00"/>
    <x v="0"/>
    <x v="1"/>
  </r>
  <r>
    <s v="MRNTX030864"/>
    <x v="1"/>
    <x v="4"/>
    <d v="2018-11-30T00:00:00"/>
    <d v="2018-10-23T00:00:00"/>
    <d v="2018-12-31T00:00:00"/>
    <m/>
    <x v="1"/>
    <x v="5"/>
  </r>
  <r>
    <s v="MRNTX030868"/>
    <x v="1"/>
    <x v="4"/>
    <d v="2018-11-26T00:00:00"/>
    <d v="2018-11-28T00:00:00"/>
    <d v="2018-11-26T00:00:00"/>
    <d v="2018-11-26T00:00:00"/>
    <x v="0"/>
    <x v="1"/>
  </r>
  <r>
    <s v="MRNTX030877"/>
    <x v="1"/>
    <x v="4"/>
    <d v="2018-11-26T00:00:00"/>
    <d v="1999-12-30T00:00:00"/>
    <d v="2018-12-05T00:00:00"/>
    <m/>
    <x v="0"/>
    <x v="0"/>
  </r>
  <r>
    <s v="MRNTX030880"/>
    <x v="1"/>
    <x v="4"/>
    <d v="2018-11-14T00:00:00"/>
    <d v="1999-12-30T00:00:00"/>
    <d v="2018-11-15T00:00:00"/>
    <d v="2018-11-15T00:00:00"/>
    <x v="0"/>
    <x v="1"/>
  </r>
  <r>
    <s v="MRNTX030893"/>
    <x v="1"/>
    <x v="4"/>
    <d v="2018-11-27T00:00:00"/>
    <d v="2018-11-29T00:00:00"/>
    <d v="2018-11-28T00:00:00"/>
    <d v="2018-11-28T00:00:00"/>
    <x v="0"/>
    <x v="1"/>
  </r>
  <r>
    <s v="MRNTX030896"/>
    <x v="1"/>
    <x v="4"/>
    <d v="2018-11-17T00:00:00"/>
    <d v="2018-07-12T00:00:00"/>
    <d v="2018-11-29T00:00:00"/>
    <d v="2018-11-29T00:00:00"/>
    <x v="0"/>
    <x v="1"/>
  </r>
  <r>
    <s v="MRNTX030897"/>
    <x v="1"/>
    <x v="4"/>
    <d v="2018-11-13T00:00:00"/>
    <d v="2018-08-09T00:00:00"/>
    <d v="2018-11-28T00:00:00"/>
    <d v="2018-11-28T00:00:00"/>
    <x v="1"/>
    <x v="1"/>
  </r>
  <r>
    <s v="MRNTX033955"/>
    <x v="1"/>
    <x v="4"/>
    <d v="2018-11-22T00:00:00"/>
    <d v="1999-12-30T00:00:00"/>
    <d v="2018-12-24T00:00:00"/>
    <m/>
    <x v="1"/>
    <x v="5"/>
  </r>
  <r>
    <s v="MRNTX033973"/>
    <x v="1"/>
    <x v="4"/>
    <d v="2018-11-25T00:00:00"/>
    <d v="1999-12-30T00:00:00"/>
    <d v="2018-11-30T00:00:00"/>
    <m/>
    <x v="0"/>
    <x v="0"/>
  </r>
  <r>
    <s v="MRNTX034083"/>
    <x v="1"/>
    <x v="4"/>
    <d v="2018-11-29T00:00:00"/>
    <d v="1999-12-30T00:00:00"/>
    <d v="2018-12-31T00:00:00"/>
    <m/>
    <x v="1"/>
    <x v="5"/>
  </r>
  <r>
    <s v="MRNTX035481"/>
    <x v="1"/>
    <x v="4"/>
    <d v="2018-11-24T00:00:00"/>
    <d v="1999-12-30T00:00:00"/>
    <d v="2018-11-20T00:00:00"/>
    <d v="2018-11-20T00:00:00"/>
    <x v="0"/>
    <x v="1"/>
  </r>
  <r>
    <s v="MRNTX035672"/>
    <x v="1"/>
    <x v="4"/>
    <d v="2018-11-26T00:00:00"/>
    <d v="2018-07-05T00:00:00"/>
    <d v="2018-12-18T00:00:00"/>
    <m/>
    <x v="1"/>
    <x v="5"/>
  </r>
  <r>
    <s v="MRNTX035866"/>
    <x v="1"/>
    <x v="4"/>
    <d v="2018-11-22T00:00:00"/>
    <d v="1999-12-30T00:00:00"/>
    <d v="2018-11-30T00:00:00"/>
    <m/>
    <x v="0"/>
    <x v="0"/>
  </r>
  <r>
    <s v="MRNTX035966"/>
    <x v="1"/>
    <x v="4"/>
    <d v="2018-11-26T00:00:00"/>
    <d v="2018-07-05T00:00:00"/>
    <d v="2018-12-05T00:00:00"/>
    <m/>
    <x v="0"/>
    <x v="0"/>
  </r>
  <r>
    <s v="MRNTX035967"/>
    <x v="1"/>
    <x v="4"/>
    <d v="2018-11-23T00:00:00"/>
    <d v="2018-07-05T00:00:00"/>
    <d v="2018-11-30T00:00:00"/>
    <m/>
    <x v="0"/>
    <x v="0"/>
  </r>
  <r>
    <s v="MRNTX035970"/>
    <x v="1"/>
    <x v="4"/>
    <d v="2018-11-29T00:00:00"/>
    <d v="1999-12-30T00:00:00"/>
    <d v="2018-11-26T00:00:00"/>
    <d v="2018-11-26T00:00:00"/>
    <x v="0"/>
    <x v="1"/>
  </r>
  <r>
    <s v="MRNTX035972"/>
    <x v="1"/>
    <x v="4"/>
    <d v="2018-11-24T00:00:00"/>
    <d v="1999-12-30T00:00:00"/>
    <d v="2018-11-29T00:00:00"/>
    <d v="2018-11-29T00:00:00"/>
    <x v="0"/>
    <x v="1"/>
  </r>
  <r>
    <s v="MRNTX035973"/>
    <x v="1"/>
    <x v="4"/>
    <d v="2018-11-26T00:00:00"/>
    <d v="1999-12-30T00:00:00"/>
    <d v="2018-12-11T00:00:00"/>
    <m/>
    <x v="1"/>
    <x v="5"/>
  </r>
  <r>
    <s v="MRNTX035977"/>
    <x v="1"/>
    <x v="4"/>
    <d v="2018-11-25T00:00:00"/>
    <d v="1999-12-30T00:00:00"/>
    <d v="2018-11-20T00:00:00"/>
    <d v="2018-11-20T00:00:00"/>
    <x v="0"/>
    <x v="1"/>
  </r>
  <r>
    <s v="MRNTX035978"/>
    <x v="1"/>
    <x v="4"/>
    <d v="2018-11-26T00:00:00"/>
    <d v="1999-12-30T00:00:00"/>
    <d v="2018-12-31T00:00:00"/>
    <m/>
    <x v="1"/>
    <x v="5"/>
  </r>
  <r>
    <s v="MRNTX035982"/>
    <x v="1"/>
    <x v="4"/>
    <d v="2018-11-22T00:00:00"/>
    <d v="1999-12-30T00:00:00"/>
    <d v="2018-11-29T00:00:00"/>
    <d v="2018-11-29T00:00:00"/>
    <x v="0"/>
    <x v="1"/>
  </r>
  <r>
    <s v="MRNTX035984"/>
    <x v="1"/>
    <x v="4"/>
    <d v="2018-11-26T00:00:00"/>
    <d v="2018-06-07T00:00:00"/>
    <d v="2018-12-11T00:00:00"/>
    <m/>
    <x v="1"/>
    <x v="5"/>
  </r>
  <r>
    <s v="MRNTX035988"/>
    <x v="1"/>
    <x v="4"/>
    <d v="2018-11-29T00:00:00"/>
    <d v="1999-12-30T00:00:00"/>
    <d v="2018-11-20T00:00:00"/>
    <d v="2018-11-20T00:00:00"/>
    <x v="0"/>
    <x v="1"/>
  </r>
  <r>
    <s v="MRNTX035990"/>
    <x v="1"/>
    <x v="4"/>
    <d v="2018-11-14T00:00:00"/>
    <d v="2018-07-05T00:00:00"/>
    <d v="2018-11-20T00:00:00"/>
    <d v="2018-11-20T00:00:00"/>
    <x v="0"/>
    <x v="1"/>
  </r>
  <r>
    <s v="MRNTX035993"/>
    <x v="1"/>
    <x v="4"/>
    <d v="2018-11-23T00:00:00"/>
    <d v="2018-08-09T00:00:00"/>
    <d v="2018-12-31T00:00:00"/>
    <m/>
    <x v="1"/>
    <x v="5"/>
  </r>
  <r>
    <s v="MRNTX035995"/>
    <x v="1"/>
    <x v="4"/>
    <d v="2018-11-29T00:00:00"/>
    <d v="2018-07-19T00:00:00"/>
    <d v="2018-11-30T00:00:00"/>
    <m/>
    <x v="0"/>
    <x v="0"/>
  </r>
  <r>
    <s v="MRNTX035997"/>
    <x v="1"/>
    <x v="4"/>
    <d v="2018-11-29T00:00:00"/>
    <d v="1999-12-30T00:00:00"/>
    <d v="2018-12-17T00:00:00"/>
    <m/>
    <x v="1"/>
    <x v="5"/>
  </r>
  <r>
    <s v="MRNTX036002"/>
    <x v="1"/>
    <x v="4"/>
    <d v="2018-11-30T00:00:00"/>
    <d v="1999-12-30T00:00:00"/>
    <d v="2019-12-30T00:00:00"/>
    <m/>
    <x v="1"/>
    <x v="5"/>
  </r>
  <r>
    <s v="MRNTX036007"/>
    <x v="1"/>
    <x v="4"/>
    <d v="2018-11-10T00:00:00"/>
    <d v="1999-12-30T00:00:00"/>
    <d v="2018-11-30T00:00:00"/>
    <m/>
    <x v="1"/>
    <x v="5"/>
  </r>
  <r>
    <s v="MRNTX036011"/>
    <x v="1"/>
    <x v="4"/>
    <d v="2018-11-29T00:00:00"/>
    <d v="1999-12-30T00:00:00"/>
    <d v="2018-12-17T00:00:00"/>
    <m/>
    <x v="1"/>
    <x v="5"/>
  </r>
  <r>
    <s v="MRNTX036022"/>
    <x v="1"/>
    <x v="4"/>
    <d v="2018-11-30T00:00:00"/>
    <d v="1999-12-30T00:00:00"/>
    <d v="2019-12-30T00:00:00"/>
    <m/>
    <x v="1"/>
    <x v="5"/>
  </r>
  <r>
    <s v="MRNTX036041"/>
    <x v="1"/>
    <x v="4"/>
    <d v="2018-11-29T00:00:00"/>
    <d v="2018-07-19T00:00:00"/>
    <d v="2018-11-30T00:00:00"/>
    <m/>
    <x v="0"/>
    <x v="0"/>
  </r>
  <r>
    <s v="MRNTX036047"/>
    <x v="1"/>
    <x v="4"/>
    <d v="2018-11-23T00:00:00"/>
    <d v="2018-08-09T00:00:00"/>
    <d v="2018-12-31T00:00:00"/>
    <m/>
    <x v="1"/>
    <x v="5"/>
  </r>
  <r>
    <s v="MRNTX036055"/>
    <x v="1"/>
    <x v="4"/>
    <d v="2018-11-29T00:00:00"/>
    <d v="1999-12-30T00:00:00"/>
    <d v="2018-12-10T00:00:00"/>
    <m/>
    <x v="0"/>
    <x v="0"/>
  </r>
  <r>
    <s v="MRNTX036056"/>
    <x v="1"/>
    <x v="4"/>
    <d v="2018-11-29T00:00:00"/>
    <d v="1999-12-30T00:00:00"/>
    <d v="2018-12-17T00:00:00"/>
    <m/>
    <x v="1"/>
    <x v="5"/>
  </r>
  <r>
    <s v="MRNTX036077"/>
    <x v="1"/>
    <x v="4"/>
    <d v="2018-11-26T00:00:00"/>
    <d v="1999-12-30T00:00:00"/>
    <d v="2018-12-31T00:00:00"/>
    <m/>
    <x v="1"/>
    <x v="5"/>
  </r>
  <r>
    <s v="MRNTX036084"/>
    <x v="1"/>
    <x v="4"/>
    <d v="2018-11-23T00:00:00"/>
    <d v="1999-12-30T00:00:00"/>
    <d v="2018-11-08T00:00:00"/>
    <d v="2018-11-08T00:00:00"/>
    <x v="0"/>
    <x v="1"/>
  </r>
  <r>
    <s v="MRNTX036088"/>
    <x v="1"/>
    <x v="4"/>
    <d v="2018-11-30T00:00:00"/>
    <d v="2018-07-05T00:00:00"/>
    <d v="2018-11-02T00:00:00"/>
    <d v="2018-11-02T00:00:00"/>
    <x v="0"/>
    <x v="1"/>
  </r>
  <r>
    <s v="MRNTX036092"/>
    <x v="1"/>
    <x v="4"/>
    <d v="2018-11-29T00:00:00"/>
    <d v="1999-12-30T00:00:00"/>
    <d v="2018-12-10T00:00:00"/>
    <m/>
    <x v="0"/>
    <x v="0"/>
  </r>
  <r>
    <s v="MRNTX036104"/>
    <x v="1"/>
    <x v="4"/>
    <d v="2018-11-10T00:00:00"/>
    <d v="1999-12-30T00:00:00"/>
    <d v="2018-11-30T00:00:00"/>
    <m/>
    <x v="1"/>
    <x v="5"/>
  </r>
  <r>
    <s v="MRNTX036107"/>
    <x v="1"/>
    <x v="4"/>
    <d v="2018-11-23T00:00:00"/>
    <d v="1999-12-30T00:00:00"/>
    <d v="2018-11-08T00:00:00"/>
    <d v="2018-11-08T00:00:00"/>
    <x v="0"/>
    <x v="1"/>
  </r>
  <r>
    <s v="MRNTX036108"/>
    <x v="1"/>
    <x v="4"/>
    <d v="2018-11-29T00:00:00"/>
    <d v="1999-12-30T00:00:00"/>
    <d v="2018-12-17T00:00:00"/>
    <m/>
    <x v="1"/>
    <x v="5"/>
  </r>
  <r>
    <s v="MRNTX036111"/>
    <x v="1"/>
    <x v="4"/>
    <d v="2018-11-10T00:00:00"/>
    <d v="1999-12-30T00:00:00"/>
    <d v="2018-11-08T00:00:00"/>
    <d v="2018-11-08T00:00:00"/>
    <x v="0"/>
    <x v="1"/>
  </r>
  <r>
    <s v="MRNTX036130"/>
    <x v="1"/>
    <x v="4"/>
    <d v="2018-11-27T00:00:00"/>
    <d v="1999-12-30T00:00:00"/>
    <d v="2018-12-18T00:00:00"/>
    <m/>
    <x v="1"/>
    <x v="5"/>
  </r>
  <r>
    <s v="MRNTX036144"/>
    <x v="1"/>
    <x v="4"/>
    <d v="2018-11-23T00:00:00"/>
    <d v="1999-12-30T00:00:00"/>
    <d v="2018-12-11T00:00:00"/>
    <m/>
    <x v="1"/>
    <x v="5"/>
  </r>
  <r>
    <s v="MRNTX036151"/>
    <x v="1"/>
    <x v="4"/>
    <d v="2018-11-22T00:00:00"/>
    <d v="1999-12-30T00:00:00"/>
    <d v="2018-12-26T00:00:00"/>
    <m/>
    <x v="1"/>
    <x v="5"/>
  </r>
  <r>
    <s v="MRNTX036158"/>
    <x v="1"/>
    <x v="4"/>
    <d v="2018-11-28T00:00:00"/>
    <d v="2018-07-05T00:00:00"/>
    <d v="2018-12-07T00:00:00"/>
    <m/>
    <x v="0"/>
    <x v="0"/>
  </r>
  <r>
    <s v="MRNTX036165"/>
    <x v="1"/>
    <x v="4"/>
    <d v="2018-11-22T00:00:00"/>
    <d v="1999-12-30T00:00:00"/>
    <d v="2018-12-11T00:00:00"/>
    <m/>
    <x v="1"/>
    <x v="5"/>
  </r>
  <r>
    <s v="MRNTX036166"/>
    <x v="1"/>
    <x v="4"/>
    <d v="2018-11-12T00:00:00"/>
    <d v="1999-12-30T00:00:00"/>
    <d v="2018-11-30T00:00:00"/>
    <m/>
    <x v="1"/>
    <x v="5"/>
  </r>
  <r>
    <s v="MRNTX036178"/>
    <x v="1"/>
    <x v="4"/>
    <d v="2018-11-25T00:00:00"/>
    <d v="2018-11-12T00:00:00"/>
    <d v="2018-12-26T00:00:00"/>
    <m/>
    <x v="1"/>
    <x v="5"/>
  </r>
  <r>
    <s v="MRNTX036179"/>
    <x v="1"/>
    <x v="4"/>
    <d v="2018-11-22T00:00:00"/>
    <d v="2018-06-18T00:00:00"/>
    <d v="2018-12-07T00:00:00"/>
    <m/>
    <x v="1"/>
    <x v="5"/>
  </r>
  <r>
    <s v="MRNTX036181"/>
    <x v="1"/>
    <x v="4"/>
    <d v="2018-11-26T00:00:00"/>
    <d v="2018-11-12T00:00:00"/>
    <d v="2018-12-18T00:00:00"/>
    <m/>
    <x v="1"/>
    <x v="5"/>
  </r>
  <r>
    <s v="MRNTX036182"/>
    <x v="1"/>
    <x v="4"/>
    <d v="2018-11-29T00:00:00"/>
    <d v="2018-07-26T00:00:00"/>
    <d v="2018-12-31T00:00:00"/>
    <m/>
    <x v="1"/>
    <x v="5"/>
  </r>
  <r>
    <s v="MRNTX036192"/>
    <x v="1"/>
    <x v="4"/>
    <d v="2018-11-22T00:00:00"/>
    <d v="1999-12-30T00:00:00"/>
    <d v="2018-12-26T00:00:00"/>
    <m/>
    <x v="1"/>
    <x v="5"/>
  </r>
  <r>
    <s v="MRNTX036196"/>
    <x v="1"/>
    <x v="4"/>
    <d v="2018-11-26T00:00:00"/>
    <d v="1999-12-30T00:00:00"/>
    <d v="2018-12-18T00:00:00"/>
    <m/>
    <x v="1"/>
    <x v="5"/>
  </r>
  <r>
    <s v="MRNTX029317"/>
    <x v="1"/>
    <x v="4"/>
    <d v="2018-11-30T00:00:00"/>
    <d v="1999-12-30T00:00:00"/>
    <d v="2018-12-17T00:00:00"/>
    <m/>
    <x v="1"/>
    <x v="5"/>
  </r>
  <r>
    <s v="MRNTX029328"/>
    <x v="1"/>
    <x v="4"/>
    <d v="2018-11-30T00:00:00"/>
    <d v="1999-12-30T00:00:00"/>
    <d v="2018-12-17T00:00:00"/>
    <m/>
    <x v="1"/>
    <x v="5"/>
  </r>
  <r>
    <s v="MRNTX029337"/>
    <x v="1"/>
    <x v="4"/>
    <d v="2018-11-29T00:00:00"/>
    <d v="1999-12-30T00:00:00"/>
    <d v="2018-12-17T00:00:00"/>
    <m/>
    <x v="1"/>
    <x v="5"/>
  </r>
  <r>
    <s v="MRNTX029342"/>
    <x v="1"/>
    <x v="4"/>
    <d v="2018-11-23T00:00:00"/>
    <d v="1999-12-30T00:00:00"/>
    <d v="2018-12-11T00:00:00"/>
    <m/>
    <x v="1"/>
    <x v="5"/>
  </r>
  <r>
    <s v="MRNTX029343"/>
    <x v="1"/>
    <x v="4"/>
    <d v="2018-11-22T00:00:00"/>
    <d v="1999-12-30T00:00:00"/>
    <d v="2018-11-26T00:00:00"/>
    <d v="2018-11-26T00:00:00"/>
    <x v="0"/>
    <x v="1"/>
  </r>
  <r>
    <s v="MRNTX029345"/>
    <x v="1"/>
    <x v="4"/>
    <d v="2018-11-24T00:00:00"/>
    <d v="1999-12-30T00:00:00"/>
    <d v="2018-12-05T00:00:00"/>
    <m/>
    <x v="0"/>
    <x v="0"/>
  </r>
  <r>
    <s v="MRNTX029360"/>
    <x v="1"/>
    <x v="4"/>
    <d v="2018-11-27T00:00:00"/>
    <d v="1999-12-30T00:00:00"/>
    <d v="2018-12-18T00:00:00"/>
    <m/>
    <x v="1"/>
    <x v="5"/>
  </r>
  <r>
    <s v="MRNTX029366"/>
    <x v="1"/>
    <x v="4"/>
    <d v="2018-11-14T00:00:00"/>
    <d v="2018-08-09T00:00:00"/>
    <d v="2018-11-12T00:00:00"/>
    <d v="2018-11-12T00:00:00"/>
    <x v="0"/>
    <x v="1"/>
  </r>
  <r>
    <s v="MRNTX029372"/>
    <x v="1"/>
    <x v="4"/>
    <d v="2018-11-22T00:00:00"/>
    <d v="2018-07-12T00:00:00"/>
    <d v="2018-12-26T00:00:00"/>
    <m/>
    <x v="1"/>
    <x v="5"/>
  </r>
  <r>
    <s v="MRNTX029377"/>
    <x v="1"/>
    <x v="4"/>
    <d v="2018-11-11T00:00:00"/>
    <d v="2018-10-23T00:00:00"/>
    <d v="2018-11-13T00:00:00"/>
    <d v="2018-11-13T00:00:00"/>
    <x v="0"/>
    <x v="1"/>
  </r>
  <r>
    <s v="MRNTX029385"/>
    <x v="1"/>
    <x v="4"/>
    <d v="2018-11-14T00:00:00"/>
    <d v="2018-08-09T00:00:00"/>
    <d v="2018-11-08T00:00:00"/>
    <d v="2018-11-08T00:00:00"/>
    <x v="0"/>
    <x v="1"/>
  </r>
  <r>
    <s v="MRNTX029387"/>
    <x v="1"/>
    <x v="4"/>
    <d v="2018-11-22T00:00:00"/>
    <d v="2018-08-10T00:00:00"/>
    <d v="2018-12-03T00:00:00"/>
    <m/>
    <x v="0"/>
    <x v="0"/>
  </r>
  <r>
    <s v="MRNTX029390"/>
    <x v="1"/>
    <x v="4"/>
    <d v="2018-11-23T00:00:00"/>
    <d v="1999-12-30T00:00:00"/>
    <d v="2018-11-23T00:00:00"/>
    <d v="2018-11-23T00:00:00"/>
    <x v="0"/>
    <x v="1"/>
  </r>
  <r>
    <s v="MRNTX029397"/>
    <x v="1"/>
    <x v="4"/>
    <d v="2018-11-08T00:00:00"/>
    <d v="2018-07-30T00:00:00"/>
    <d v="2018-11-19T00:00:00"/>
    <d v="2018-11-19T00:00:00"/>
    <x v="0"/>
    <x v="1"/>
  </r>
  <r>
    <s v="MRNTX029401"/>
    <x v="1"/>
    <x v="4"/>
    <d v="2018-11-22T00:00:00"/>
    <d v="2018-08-10T00:00:00"/>
    <d v="2018-12-03T00:00:00"/>
    <m/>
    <x v="0"/>
    <x v="0"/>
  </r>
  <r>
    <s v="MRNTX029405"/>
    <x v="1"/>
    <x v="4"/>
    <d v="2018-11-22T00:00:00"/>
    <d v="1999-12-30T00:00:00"/>
    <d v="2018-12-05T00:00:00"/>
    <m/>
    <x v="0"/>
    <x v="0"/>
  </r>
  <r>
    <s v="MRNTX029407"/>
    <x v="1"/>
    <x v="4"/>
    <d v="2018-11-08T00:00:00"/>
    <d v="2018-11-10T00:00:00"/>
    <d v="2018-11-19T00:00:00"/>
    <d v="2018-11-19T00:00:00"/>
    <x v="0"/>
    <x v="1"/>
  </r>
  <r>
    <s v="MRNTX029436"/>
    <x v="1"/>
    <x v="4"/>
    <d v="2018-11-12T00:00:00"/>
    <d v="1999-12-30T00:00:00"/>
    <d v="2018-11-30T00:00:00"/>
    <m/>
    <x v="1"/>
    <x v="5"/>
  </r>
  <r>
    <s v="MRNTX029440"/>
    <x v="1"/>
    <x v="4"/>
    <d v="2018-11-23T00:00:00"/>
    <d v="1999-12-30T00:00:00"/>
    <d v="2018-11-26T00:00:00"/>
    <d v="2018-11-26T00:00:00"/>
    <x v="0"/>
    <x v="1"/>
  </r>
  <r>
    <s v="MRNTX029441"/>
    <x v="1"/>
    <x v="4"/>
    <d v="2018-11-29T00:00:00"/>
    <d v="1999-12-30T00:00:00"/>
    <d v="2018-12-18T00:00:00"/>
    <m/>
    <x v="1"/>
    <x v="5"/>
  </r>
  <r>
    <s v="MRNTX029444"/>
    <x v="1"/>
    <x v="4"/>
    <d v="2018-11-24T00:00:00"/>
    <d v="2018-06-14T00:00:00"/>
    <d v="2018-12-03T00:00:00"/>
    <m/>
    <x v="0"/>
    <x v="0"/>
  </r>
  <r>
    <s v="MRNTX029460"/>
    <x v="1"/>
    <x v="4"/>
    <d v="2018-11-22T00:00:00"/>
    <d v="2018-07-12T00:00:00"/>
    <d v="2018-12-26T00:00:00"/>
    <m/>
    <x v="1"/>
    <x v="5"/>
  </r>
  <r>
    <s v="MRNTX029461"/>
    <x v="1"/>
    <x v="4"/>
    <d v="2018-11-22T00:00:00"/>
    <d v="1999-12-30T00:00:00"/>
    <d v="2018-12-03T00:00:00"/>
    <m/>
    <x v="0"/>
    <x v="0"/>
  </r>
  <r>
    <s v="MRNTX029463"/>
    <x v="1"/>
    <x v="4"/>
    <d v="2018-11-24T00:00:00"/>
    <d v="1999-12-30T00:00:00"/>
    <d v="2018-12-05T00:00:00"/>
    <m/>
    <x v="0"/>
    <x v="0"/>
  </r>
  <r>
    <s v="MRNTX029473"/>
    <x v="1"/>
    <x v="4"/>
    <d v="2018-11-22T00:00:00"/>
    <d v="1999-12-30T00:00:00"/>
    <d v="2018-12-18T00:00:00"/>
    <m/>
    <x v="1"/>
    <x v="5"/>
  </r>
  <r>
    <s v="MRNTX029504"/>
    <x v="1"/>
    <x v="4"/>
    <d v="2018-11-22T00:00:00"/>
    <d v="1999-12-30T00:00:00"/>
    <d v="2018-12-03T00:00:00"/>
    <m/>
    <x v="0"/>
    <x v="0"/>
  </r>
  <r>
    <s v="MRNTX029505"/>
    <x v="1"/>
    <x v="4"/>
    <d v="2018-11-22T00:00:00"/>
    <d v="1999-12-30T00:00:00"/>
    <d v="2018-11-30T00:00:00"/>
    <m/>
    <x v="0"/>
    <x v="0"/>
  </r>
  <r>
    <s v="MRNTX029522"/>
    <x v="1"/>
    <x v="4"/>
    <d v="2018-11-08T00:00:00"/>
    <d v="2018-11-10T00:00:00"/>
    <d v="2018-11-19T00:00:00"/>
    <d v="2018-11-19T00:00:00"/>
    <x v="0"/>
    <x v="1"/>
  </r>
  <r>
    <s v="MRNTX029534"/>
    <x v="1"/>
    <x v="4"/>
    <d v="2018-11-22T00:00:00"/>
    <d v="1999-12-30T00:00:00"/>
    <d v="2018-12-05T00:00:00"/>
    <m/>
    <x v="0"/>
    <x v="0"/>
  </r>
  <r>
    <s v="MRNTX029597"/>
    <x v="1"/>
    <x v="4"/>
    <d v="2018-11-19T00:00:00"/>
    <d v="1999-12-30T00:00:00"/>
    <d v="2018-11-29T00:00:00"/>
    <d v="2018-11-29T00:00:00"/>
    <x v="0"/>
    <x v="1"/>
  </r>
  <r>
    <s v="MRNTX029600"/>
    <x v="1"/>
    <x v="4"/>
    <d v="2018-11-26T00:00:00"/>
    <d v="2018-06-14T00:00:00"/>
    <d v="2018-12-03T00:00:00"/>
    <m/>
    <x v="0"/>
    <x v="0"/>
  </r>
  <r>
    <s v="MRNTX029601"/>
    <x v="1"/>
    <x v="4"/>
    <d v="2018-11-17T00:00:00"/>
    <d v="2018-07-05T00:00:00"/>
    <d v="2018-11-20T00:00:00"/>
    <d v="2018-11-20T00:00:00"/>
    <x v="0"/>
    <x v="1"/>
  </r>
  <r>
    <s v="MRNTX029603"/>
    <x v="1"/>
    <x v="4"/>
    <d v="2018-11-11T00:00:00"/>
    <d v="2018-10-23T00:00:00"/>
    <d v="2018-11-29T00:00:00"/>
    <d v="2018-11-29T00:00:00"/>
    <x v="1"/>
    <x v="1"/>
  </r>
  <r>
    <s v="MRNTX029610"/>
    <x v="1"/>
    <x v="4"/>
    <d v="2018-11-08T00:00:00"/>
    <d v="2018-06-14T00:00:00"/>
    <d v="2018-11-05T00:00:00"/>
    <d v="2018-11-05T00:00:00"/>
    <x v="0"/>
    <x v="1"/>
  </r>
  <r>
    <s v="MRNTX029614"/>
    <x v="1"/>
    <x v="4"/>
    <d v="2018-11-28T00:00:00"/>
    <d v="2018-06-14T00:00:00"/>
    <d v="2018-12-18T00:00:00"/>
    <m/>
    <x v="1"/>
    <x v="5"/>
  </r>
  <r>
    <s v="MRNTX029662"/>
    <x v="1"/>
    <x v="4"/>
    <d v="2018-11-22T00:00:00"/>
    <d v="1999-12-30T00:00:00"/>
    <d v="2018-11-29T00:00:00"/>
    <d v="2018-11-29T00:00:00"/>
    <x v="0"/>
    <x v="1"/>
  </r>
  <r>
    <s v="MRNTX029667"/>
    <x v="1"/>
    <x v="4"/>
    <d v="2018-11-22T00:00:00"/>
    <d v="2018-08-10T00:00:00"/>
    <d v="2018-12-03T00:00:00"/>
    <m/>
    <x v="0"/>
    <x v="0"/>
  </r>
  <r>
    <s v="MRNTX029678"/>
    <x v="1"/>
    <x v="4"/>
    <d v="2018-11-24T00:00:00"/>
    <d v="1999-12-30T00:00:00"/>
    <d v="2018-12-05T00:00:00"/>
    <m/>
    <x v="0"/>
    <x v="0"/>
  </r>
  <r>
    <s v="MRNTX029680"/>
    <x v="1"/>
    <x v="4"/>
    <d v="2018-11-24T00:00:00"/>
    <d v="1999-12-30T00:00:00"/>
    <d v="2018-12-05T00:00:00"/>
    <m/>
    <x v="0"/>
    <x v="0"/>
  </r>
  <r>
    <s v="MRNTX029681"/>
    <x v="1"/>
    <x v="4"/>
    <d v="2018-11-22T00:00:00"/>
    <d v="1999-12-30T00:00:00"/>
    <d v="2018-11-15T00:00:00"/>
    <d v="2018-11-15T00:00:00"/>
    <x v="0"/>
    <x v="1"/>
  </r>
  <r>
    <s v="MRNTX029683"/>
    <x v="1"/>
    <x v="4"/>
    <d v="2018-11-29T00:00:00"/>
    <d v="1999-12-30T00:00:00"/>
    <d v="2018-12-17T00:00:00"/>
    <m/>
    <x v="1"/>
    <x v="5"/>
  </r>
  <r>
    <s v="MRNTX029685"/>
    <x v="1"/>
    <x v="4"/>
    <d v="2018-11-18T00:00:00"/>
    <d v="1999-12-30T00:00:00"/>
    <d v="2018-11-23T00:00:00"/>
    <d v="2018-11-23T00:00:00"/>
    <x v="0"/>
    <x v="1"/>
  </r>
  <r>
    <s v="MRNTX029686"/>
    <x v="1"/>
    <x v="4"/>
    <d v="2018-11-18T00:00:00"/>
    <d v="1999-12-30T00:00:00"/>
    <d v="2018-11-23T00:00:00"/>
    <d v="2018-11-23T00:00:00"/>
    <x v="0"/>
    <x v="1"/>
  </r>
  <r>
    <s v="MRNTX029688"/>
    <x v="1"/>
    <x v="4"/>
    <d v="2018-11-10T00:00:00"/>
    <d v="2018-07-30T00:00:00"/>
    <d v="2018-11-19T00:00:00"/>
    <d v="2018-11-19T00:00:00"/>
    <x v="0"/>
    <x v="1"/>
  </r>
  <r>
    <s v="MRNTX029694"/>
    <x v="1"/>
    <x v="4"/>
    <d v="2018-11-22T00:00:00"/>
    <d v="1999-12-30T00:00:00"/>
    <d v="2018-12-03T00:00:00"/>
    <m/>
    <x v="0"/>
    <x v="0"/>
  </r>
  <r>
    <s v="MRNTX029701"/>
    <x v="1"/>
    <x v="4"/>
    <d v="2018-11-22T00:00:00"/>
    <d v="1999-12-30T00:00:00"/>
    <d v="2018-12-18T00:00:00"/>
    <m/>
    <x v="1"/>
    <x v="5"/>
  </r>
  <r>
    <s v="MRNTX029715"/>
    <x v="1"/>
    <x v="4"/>
    <d v="2018-11-11T00:00:00"/>
    <d v="2018-10-23T00:00:00"/>
    <d v="2018-11-29T00:00:00"/>
    <d v="2018-11-29T00:00:00"/>
    <x v="1"/>
    <x v="1"/>
  </r>
  <r>
    <s v="MRNTX030215"/>
    <x v="1"/>
    <x v="4"/>
    <d v="2018-11-10T00:00:00"/>
    <d v="2018-07-30T00:00:00"/>
    <d v="2018-11-19T00:00:00"/>
    <d v="2018-11-19T00:00:00"/>
    <x v="0"/>
    <x v="1"/>
  </r>
  <r>
    <s v="MRNTX033332"/>
    <x v="1"/>
    <x v="4"/>
    <d v="2018-11-30T00:00:00"/>
    <d v="1999-12-30T00:00:00"/>
    <d v="2018-11-02T00:00:00"/>
    <d v="2018-11-02T00:00:00"/>
    <x v="0"/>
    <x v="1"/>
  </r>
  <r>
    <s v="MRNTX033369"/>
    <x v="1"/>
    <x v="4"/>
    <d v="2018-11-14T00:00:00"/>
    <d v="1999-12-30T00:00:00"/>
    <d v="2018-12-10T00:00:00"/>
    <m/>
    <x v="1"/>
    <x v="5"/>
  </r>
  <r>
    <s v="MRNTX033372"/>
    <x v="1"/>
    <x v="4"/>
    <d v="2018-11-11T00:00:00"/>
    <d v="1999-12-30T00:00:00"/>
    <d v="2018-11-02T00:00:00"/>
    <d v="2018-11-02T00:00:00"/>
    <x v="0"/>
    <x v="1"/>
  </r>
  <r>
    <s v="MRNTX033377"/>
    <x v="1"/>
    <x v="4"/>
    <d v="2018-11-14T00:00:00"/>
    <d v="1999-12-30T00:00:00"/>
    <d v="2018-11-29T00:00:00"/>
    <d v="2018-11-29T00:00:00"/>
    <x v="1"/>
    <x v="1"/>
  </r>
  <r>
    <s v="MRNTX033388"/>
    <x v="1"/>
    <x v="4"/>
    <d v="2018-11-22T00:00:00"/>
    <d v="2018-07-12T00:00:00"/>
    <d v="2019-02-28T00:00:00"/>
    <m/>
    <x v="1"/>
    <x v="5"/>
  </r>
  <r>
    <s v="MRNTX033394"/>
    <x v="1"/>
    <x v="4"/>
    <d v="2018-11-21T00:00:00"/>
    <d v="1999-12-30T00:00:00"/>
    <d v="2018-11-30T00:00:00"/>
    <m/>
    <x v="0"/>
    <x v="0"/>
  </r>
  <r>
    <s v="MRNTX033402"/>
    <x v="1"/>
    <x v="4"/>
    <d v="2018-11-26T00:00:00"/>
    <d v="1999-12-30T00:00:00"/>
    <d v="2018-11-29T00:00:00"/>
    <d v="2018-11-29T00:00:00"/>
    <x v="0"/>
    <x v="1"/>
  </r>
  <r>
    <s v="MRNTX033409"/>
    <x v="1"/>
    <x v="4"/>
    <d v="2018-11-30T00:00:00"/>
    <d v="1999-12-30T00:00:00"/>
    <d v="2018-12-26T00:00:00"/>
    <m/>
    <x v="1"/>
    <x v="5"/>
  </r>
  <r>
    <s v="MRNTX033411"/>
    <x v="1"/>
    <x v="4"/>
    <d v="2018-11-30T00:00:00"/>
    <d v="1999-12-30T00:00:00"/>
    <d v="2018-11-02T00:00:00"/>
    <d v="2018-11-02T00:00:00"/>
    <x v="0"/>
    <x v="1"/>
  </r>
  <r>
    <s v="MRNTX033419"/>
    <x v="1"/>
    <x v="4"/>
    <d v="2018-11-30T00:00:00"/>
    <d v="1999-12-30T00:00:00"/>
    <d v="2018-12-10T00:00:00"/>
    <m/>
    <x v="0"/>
    <x v="0"/>
  </r>
  <r>
    <s v="MRNTX033429"/>
    <x v="1"/>
    <x v="4"/>
    <d v="2018-11-30T00:00:00"/>
    <d v="1999-12-30T00:00:00"/>
    <d v="2018-12-10T00:00:00"/>
    <m/>
    <x v="0"/>
    <x v="0"/>
  </r>
  <r>
    <s v="MRNTX033507"/>
    <x v="1"/>
    <x v="4"/>
    <d v="2018-11-17T00:00:00"/>
    <d v="1999-12-30T00:00:00"/>
    <d v="2018-12-10T00:00:00"/>
    <m/>
    <x v="1"/>
    <x v="5"/>
  </r>
  <r>
    <s v="MRNTX033510"/>
    <x v="1"/>
    <x v="4"/>
    <d v="2018-11-08T00:00:00"/>
    <d v="2018-10-23T00:00:00"/>
    <d v="2018-11-26T00:00:00"/>
    <d v="2018-11-26T00:00:00"/>
    <x v="1"/>
    <x v="1"/>
  </r>
  <r>
    <s v="MRNTX033523"/>
    <x v="1"/>
    <x v="4"/>
    <d v="2018-11-30T00:00:00"/>
    <d v="1999-12-30T00:00:00"/>
    <d v="2018-11-06T00:00:00"/>
    <d v="2018-11-06T00:00:00"/>
    <x v="0"/>
    <x v="1"/>
  </r>
  <r>
    <s v="MRNTX033541"/>
    <x v="1"/>
    <x v="4"/>
    <d v="2018-11-11T00:00:00"/>
    <d v="1999-12-30T00:00:00"/>
    <d v="2018-11-06T00:00:00"/>
    <d v="2018-11-06T00:00:00"/>
    <x v="0"/>
    <x v="1"/>
  </r>
  <r>
    <s v="MRWSH017714"/>
    <x v="2"/>
    <x v="4"/>
    <d v="2018-11-30T00:00:00"/>
    <d v="2018-07-16T00:00:00"/>
    <d v="2018-11-15T00:00:00"/>
    <d v="2018-11-15T00:00:00"/>
    <x v="0"/>
    <x v="1"/>
  </r>
  <r>
    <s v="MRWSH019909"/>
    <x v="2"/>
    <x v="4"/>
    <d v="2018-11-30T00:00:00"/>
    <d v="2018-11-02T00:00:00"/>
    <d v="2018-11-26T00:00:00"/>
    <d v="2018-11-26T00:00:00"/>
    <x v="0"/>
    <x v="1"/>
  </r>
  <r>
    <s v="MRWSH019922"/>
    <x v="2"/>
    <x v="4"/>
    <d v="2018-11-30T00:00:00"/>
    <d v="2018-12-31T00:00:00"/>
    <d v="2018-12-31T00:00:00"/>
    <m/>
    <x v="1"/>
    <x v="2"/>
  </r>
  <r>
    <s v="MRWSH019933"/>
    <x v="2"/>
    <x v="4"/>
    <d v="2018-11-30T00:00:00"/>
    <d v="2018-12-31T00:00:00"/>
    <d v="2018-12-31T00:00:00"/>
    <m/>
    <x v="1"/>
    <x v="2"/>
  </r>
  <r>
    <s v="MRWSH019936"/>
    <x v="2"/>
    <x v="4"/>
    <d v="2018-11-30T00:00:00"/>
    <d v="2018-11-02T00:00:00"/>
    <d v="2018-12-31T00:00:00"/>
    <m/>
    <x v="1"/>
    <x v="5"/>
  </r>
  <r>
    <s v="MRWSH019939"/>
    <x v="2"/>
    <x v="4"/>
    <d v="2018-11-30T00:00:00"/>
    <d v="2018-12-31T00:00:00"/>
    <d v="2018-11-23T00:00:00"/>
    <d v="2018-11-23T00:00:00"/>
    <x v="0"/>
    <x v="1"/>
  </r>
  <r>
    <s v="MRWSH019940"/>
    <x v="2"/>
    <x v="4"/>
    <d v="2018-11-30T00:00:00"/>
    <d v="2018-07-05T00:00:00"/>
    <d v="2018-12-31T00:00:00"/>
    <m/>
    <x v="1"/>
    <x v="5"/>
  </r>
  <r>
    <s v="MRSTX025793"/>
    <x v="0"/>
    <x v="4"/>
    <d v="2018-11-28T00:00:00"/>
    <d v="2018-12-31T00:00:00"/>
    <d v="2018-12-31T00:00:00"/>
    <m/>
    <x v="1"/>
    <x v="2"/>
  </r>
  <r>
    <s v="MRSTX025806"/>
    <x v="0"/>
    <x v="4"/>
    <d v="2018-11-28T00:00:00"/>
    <d v="2018-12-31T00:00:00"/>
    <d v="2018-12-31T00:00:00"/>
    <m/>
    <x v="1"/>
    <x v="2"/>
  </r>
  <r>
    <s v="MRSTX036395"/>
    <x v="0"/>
    <x v="4"/>
    <d v="2018-11-28T00:00:00"/>
    <d v="2018-12-31T00:00:00"/>
    <d v="2018-12-31T00:00:00"/>
    <m/>
    <x v="1"/>
    <x v="2"/>
  </r>
  <r>
    <s v="MRSTX036404"/>
    <x v="0"/>
    <x v="4"/>
    <d v="2018-11-28T00:00:00"/>
    <d v="2018-12-31T00:00:00"/>
    <d v="2018-12-31T00:00:00"/>
    <m/>
    <x v="1"/>
    <x v="2"/>
  </r>
  <r>
    <s v="MRSTX036421"/>
    <x v="0"/>
    <x v="4"/>
    <d v="2018-11-30T00:00:00"/>
    <d v="2018-11-30T00:00:00"/>
    <d v="2018-11-20T00:00:00"/>
    <d v="2018-11-20T00:00:00"/>
    <x v="0"/>
    <x v="1"/>
  </r>
  <r>
    <s v="MRSTX036438"/>
    <x v="0"/>
    <x v="4"/>
    <d v="2018-11-30T00:00:00"/>
    <d v="2018-11-30T00:00:00"/>
    <d v="2018-11-26T00:00:00"/>
    <d v="2018-11-26T00:00:00"/>
    <x v="0"/>
    <x v="1"/>
  </r>
  <r>
    <s v="MRSTX036460"/>
    <x v="0"/>
    <x v="4"/>
    <d v="2018-11-30T00:00:00"/>
    <d v="2018-11-30T00:00:00"/>
    <d v="2018-11-09T00:00:00"/>
    <d v="2018-11-09T00:00:00"/>
    <x v="0"/>
    <x v="1"/>
  </r>
  <r>
    <s v="MRSTX036475"/>
    <x v="0"/>
    <x v="4"/>
    <d v="2018-11-28T00:00:00"/>
    <d v="2018-12-31T00:00:00"/>
    <d v="2018-12-31T00:00:00"/>
    <m/>
    <x v="1"/>
    <x v="2"/>
  </r>
  <r>
    <s v="MRSTX036508"/>
    <x v="0"/>
    <x v="4"/>
    <d v="2018-11-30T00:00:00"/>
    <d v="2018-11-30T00:00:00"/>
    <d v="2018-11-16T00:00:00"/>
    <d v="2018-11-16T00:00:00"/>
    <x v="0"/>
    <x v="1"/>
  </r>
  <r>
    <s v="MRSTX036509"/>
    <x v="0"/>
    <x v="4"/>
    <d v="2018-11-30T00:00:00"/>
    <d v="2018-11-30T00:00:00"/>
    <d v="2018-11-16T00:00:00"/>
    <d v="2018-11-16T00:00:00"/>
    <x v="0"/>
    <x v="1"/>
  </r>
  <r>
    <s v="MRSTX036516"/>
    <x v="0"/>
    <x v="4"/>
    <d v="2018-11-30T00:00:00"/>
    <d v="2018-11-30T00:00:00"/>
    <d v="2018-11-19T00:00:00"/>
    <d v="2018-11-19T00:00:00"/>
    <x v="0"/>
    <x v="1"/>
  </r>
  <r>
    <s v="MRSTX036552"/>
    <x v="0"/>
    <x v="4"/>
    <d v="2018-11-28T00:00:00"/>
    <d v="2018-12-31T00:00:00"/>
    <d v="2018-12-31T00:00:00"/>
    <m/>
    <x v="1"/>
    <x v="2"/>
  </r>
  <r>
    <s v="MRSTX036632"/>
    <x v="0"/>
    <x v="4"/>
    <d v="2018-11-30T00:00:00"/>
    <d v="2018-11-30T00:00:00"/>
    <d v="2018-11-14T00:00:00"/>
    <d v="2018-11-14T00:00:00"/>
    <x v="0"/>
    <x v="1"/>
  </r>
  <r>
    <s v="MRSTX036637"/>
    <x v="0"/>
    <x v="4"/>
    <d v="2018-11-30T00:00:00"/>
    <d v="2018-12-31T00:00:00"/>
    <d v="2018-12-31T00:00:00"/>
    <m/>
    <x v="1"/>
    <x v="2"/>
  </r>
  <r>
    <s v="MRSTX036640"/>
    <x v="0"/>
    <x v="4"/>
    <d v="2018-11-28T00:00:00"/>
    <d v="2018-11-28T00:00:00"/>
    <d v="2018-11-28T00:00:00"/>
    <m/>
    <x v="0"/>
    <x v="0"/>
  </r>
  <r>
    <s v="MRSTX036652"/>
    <x v="0"/>
    <x v="4"/>
    <d v="2018-11-28T00:00:00"/>
    <d v="2018-12-31T00:00:00"/>
    <d v="2018-12-31T00:00:00"/>
    <m/>
    <x v="1"/>
    <x v="2"/>
  </r>
  <r>
    <s v="MRNTX033549"/>
    <x v="1"/>
    <x v="4"/>
    <d v="2018-11-21T00:00:00"/>
    <d v="1999-12-30T00:00:00"/>
    <d v="2018-11-30T00:00:00"/>
    <m/>
    <x v="0"/>
    <x v="0"/>
  </r>
  <r>
    <s v="MRNTX033554"/>
    <x v="1"/>
    <x v="4"/>
    <d v="2018-11-14T00:00:00"/>
    <d v="1999-12-30T00:00:00"/>
    <d v="2018-11-29T00:00:00"/>
    <d v="2018-11-29T00:00:00"/>
    <x v="1"/>
    <x v="1"/>
  </r>
  <r>
    <s v="MRNTX033589"/>
    <x v="1"/>
    <x v="4"/>
    <d v="2018-11-08T00:00:00"/>
    <d v="2018-10-23T00:00:00"/>
    <d v="2018-11-26T00:00:00"/>
    <d v="2018-11-26T00:00:00"/>
    <x v="1"/>
    <x v="1"/>
  </r>
  <r>
    <s v="MRNTX033629"/>
    <x v="1"/>
    <x v="4"/>
    <d v="2018-11-15T00:00:00"/>
    <d v="1999-12-30T00:00:00"/>
    <d v="2018-11-30T00:00:00"/>
    <m/>
    <x v="1"/>
    <x v="5"/>
  </r>
  <r>
    <s v="MRSTX036052"/>
    <x v="0"/>
    <x v="4"/>
    <d v="2018-11-30T00:00:00"/>
    <d v="2018-12-31T00:00:00"/>
    <d v="2018-12-31T00:00:00"/>
    <m/>
    <x v="1"/>
    <x v="2"/>
  </r>
  <r>
    <s v="MRSTX036062"/>
    <x v="0"/>
    <x v="4"/>
    <d v="2018-11-09T00:00:00"/>
    <d v="2018-10-31T00:00:00"/>
    <d v="2018-11-21T00:00:00"/>
    <d v="2018-11-21T00:00:00"/>
    <x v="0"/>
    <x v="1"/>
  </r>
  <r>
    <s v="MRSTX036074"/>
    <x v="0"/>
    <x v="4"/>
    <d v="2018-11-30T00:00:00"/>
    <d v="2018-11-30T00:00:00"/>
    <d v="2018-11-30T00:00:00"/>
    <m/>
    <x v="0"/>
    <x v="0"/>
  </r>
  <r>
    <s v="MRSTX036090"/>
    <x v="0"/>
    <x v="4"/>
    <d v="2018-11-30T00:00:00"/>
    <d v="2018-12-31T00:00:00"/>
    <d v="2018-12-31T00:00:00"/>
    <m/>
    <x v="1"/>
    <x v="2"/>
  </r>
  <r>
    <s v="MRSTX036095"/>
    <x v="0"/>
    <x v="4"/>
    <d v="2018-11-30T00:00:00"/>
    <d v="2018-11-30T00:00:00"/>
    <d v="2018-11-30T00:00:00"/>
    <m/>
    <x v="0"/>
    <x v="0"/>
  </r>
  <r>
    <s v="MRSTX036117"/>
    <x v="0"/>
    <x v="4"/>
    <d v="2018-11-30T00:00:00"/>
    <d v="2018-11-30T00:00:00"/>
    <d v="2018-11-30T00:00:00"/>
    <m/>
    <x v="0"/>
    <x v="0"/>
  </r>
  <r>
    <s v="MRNTX011255"/>
    <x v="1"/>
    <x v="4"/>
    <d v="2018-11-15T00:00:00"/>
    <d v="1999-12-30T00:00:00"/>
    <d v="2018-12-10T00:00:00"/>
    <m/>
    <x v="1"/>
    <x v="5"/>
  </r>
  <r>
    <s v="MRNTX024603"/>
    <x v="1"/>
    <x v="4"/>
    <d v="2018-11-28T00:00:00"/>
    <d v="1999-12-30T00:00:00"/>
    <d v="2018-12-18T00:00:00"/>
    <m/>
    <x v="1"/>
    <x v="5"/>
  </r>
  <r>
    <s v="MRNTX024666"/>
    <x v="1"/>
    <x v="4"/>
    <d v="2018-11-26T00:00:00"/>
    <d v="1999-12-30T00:00:00"/>
    <d v="2018-12-26T00:00:00"/>
    <m/>
    <x v="1"/>
    <x v="5"/>
  </r>
  <r>
    <s v="MRNTX032293"/>
    <x v="1"/>
    <x v="4"/>
    <d v="2018-11-22T00:00:00"/>
    <d v="2018-07-05T00:00:00"/>
    <d v="2018-12-10T00:00:00"/>
    <m/>
    <x v="1"/>
    <x v="5"/>
  </r>
  <r>
    <s v="MRNTX032300"/>
    <x v="1"/>
    <x v="4"/>
    <d v="2018-11-26T00:00:00"/>
    <d v="1999-12-30T00:00:00"/>
    <d v="2018-12-05T00:00:00"/>
    <m/>
    <x v="0"/>
    <x v="0"/>
  </r>
  <r>
    <s v="MRNTX032323"/>
    <x v="1"/>
    <x v="4"/>
    <d v="2018-11-17T00:00:00"/>
    <d v="2018-07-12T00:00:00"/>
    <d v="2018-11-29T00:00:00"/>
    <d v="2018-11-29T00:00:00"/>
    <x v="0"/>
    <x v="1"/>
  </r>
  <r>
    <s v="MRNTX032336"/>
    <x v="1"/>
    <x v="4"/>
    <d v="2018-11-13T00:00:00"/>
    <d v="1999-12-30T00:00:00"/>
    <d v="2018-11-29T00:00:00"/>
    <d v="2018-11-29T00:00:00"/>
    <x v="1"/>
    <x v="1"/>
  </r>
  <r>
    <s v="MRNTX032343"/>
    <x v="1"/>
    <x v="4"/>
    <d v="2018-11-14T00:00:00"/>
    <d v="2018-10-23T00:00:00"/>
    <d v="2018-11-08T00:00:00"/>
    <d v="2018-11-08T00:00:00"/>
    <x v="0"/>
    <x v="1"/>
  </r>
  <r>
    <s v="MRNTX032367"/>
    <x v="1"/>
    <x v="4"/>
    <d v="2018-11-12T00:00:00"/>
    <d v="1999-12-30T00:00:00"/>
    <d v="2018-12-10T00:00:00"/>
    <m/>
    <x v="1"/>
    <x v="5"/>
  </r>
  <r>
    <s v="MRNTX032368"/>
    <x v="1"/>
    <x v="4"/>
    <d v="2018-11-12T00:00:00"/>
    <d v="2018-10-23T00:00:00"/>
    <d v="2018-11-29T00:00:00"/>
    <d v="2018-11-29T00:00:00"/>
    <x v="1"/>
    <x v="1"/>
  </r>
  <r>
    <s v="MRNTX032372"/>
    <x v="1"/>
    <x v="4"/>
    <d v="2018-11-28T00:00:00"/>
    <d v="2018-11-30T00:00:00"/>
    <d v="2018-11-28T00:00:00"/>
    <d v="2018-11-28T00:00:00"/>
    <x v="0"/>
    <x v="1"/>
  </r>
  <r>
    <s v="MRWSH024585"/>
    <x v="2"/>
    <x v="4"/>
    <d v="2018-11-30T00:00:00"/>
    <d v="2018-07-20T00:00:00"/>
    <d v="2018-11-26T00:00:00"/>
    <d v="2018-11-26T00:00:00"/>
    <x v="0"/>
    <x v="1"/>
  </r>
  <r>
    <s v="MRWSH024589"/>
    <x v="2"/>
    <x v="4"/>
    <d v="2018-11-30T00:00:00"/>
    <d v="2018-07-20T00:00:00"/>
    <d v="2018-12-31T00:00:00"/>
    <m/>
    <x v="1"/>
    <x v="5"/>
  </r>
  <r>
    <s v="MRWSH024590"/>
    <x v="2"/>
    <x v="4"/>
    <d v="2018-11-30T00:00:00"/>
    <d v="2018-12-25T00:00:00"/>
    <d v="2018-11-26T00:00:00"/>
    <d v="2018-11-26T00:00:00"/>
    <x v="0"/>
    <x v="1"/>
  </r>
  <r>
    <s v="MRWSH024592"/>
    <x v="2"/>
    <x v="4"/>
    <d v="2018-11-30T00:00:00"/>
    <d v="2018-12-25T00:00:00"/>
    <d v="2018-11-30T00:00:00"/>
    <m/>
    <x v="0"/>
    <x v="3"/>
  </r>
  <r>
    <s v="MRWSH024599"/>
    <x v="2"/>
    <x v="4"/>
    <d v="2018-11-30T00:00:00"/>
    <d v="2018-10-02T00:00:00"/>
    <d v="2018-11-14T00:00:00"/>
    <d v="2018-11-14T00:00:00"/>
    <x v="0"/>
    <x v="1"/>
  </r>
  <r>
    <s v="MRWSH024609"/>
    <x v="2"/>
    <x v="4"/>
    <d v="2018-11-30T00:00:00"/>
    <d v="2018-08-16T00:00:00"/>
    <d v="2019-03-31T00:00:00"/>
    <m/>
    <x v="1"/>
    <x v="5"/>
  </r>
  <r>
    <s v="MRWSH024619"/>
    <x v="2"/>
    <x v="4"/>
    <d v="2018-11-30T00:00:00"/>
    <d v="2018-07-07T00:00:00"/>
    <d v="2018-12-31T00:00:00"/>
    <m/>
    <x v="1"/>
    <x v="5"/>
  </r>
  <r>
    <s v="MRWSH024634"/>
    <x v="2"/>
    <x v="4"/>
    <d v="2018-11-30T00:00:00"/>
    <d v="2018-10-02T00:00:00"/>
    <d v="2018-12-31T00:00:00"/>
    <m/>
    <x v="1"/>
    <x v="5"/>
  </r>
  <r>
    <s v="MRWSH024648"/>
    <x v="2"/>
    <x v="4"/>
    <d v="2018-11-30T00:00:00"/>
    <d v="2018-07-13T00:00:00"/>
    <d v="2018-11-19T00:00:00"/>
    <d v="2018-11-19T00:00:00"/>
    <x v="0"/>
    <x v="1"/>
  </r>
  <r>
    <s v="MRWSH024650"/>
    <x v="2"/>
    <x v="4"/>
    <d v="2018-11-30T00:00:00"/>
    <d v="2018-07-07T00:00:00"/>
    <d v="2018-12-31T00:00:00"/>
    <m/>
    <x v="1"/>
    <x v="5"/>
  </r>
  <r>
    <s v="MRWSH024684"/>
    <x v="2"/>
    <x v="4"/>
    <d v="2018-11-30T00:00:00"/>
    <d v="2018-08-16T00:00:00"/>
    <d v="2019-03-31T00:00:00"/>
    <m/>
    <x v="1"/>
    <x v="5"/>
  </r>
  <r>
    <s v="MRWSH024685"/>
    <x v="2"/>
    <x v="4"/>
    <d v="2018-11-30T00:00:00"/>
    <d v="2018-07-07T00:00:00"/>
    <d v="2018-12-31T00:00:00"/>
    <m/>
    <x v="1"/>
    <x v="5"/>
  </r>
  <r>
    <s v="MRWSH024688"/>
    <x v="2"/>
    <x v="4"/>
    <d v="2018-11-30T00:00:00"/>
    <d v="2018-10-01T00:00:00"/>
    <d v="2018-11-26T00:00:00"/>
    <d v="2018-11-26T00:00:00"/>
    <x v="0"/>
    <x v="1"/>
  </r>
  <r>
    <s v="MRWSH024693"/>
    <x v="2"/>
    <x v="4"/>
    <d v="2018-11-30T00:00:00"/>
    <d v="2018-09-13T00:00:00"/>
    <d v="2018-11-26T00:00:00"/>
    <d v="2018-11-26T00:00:00"/>
    <x v="0"/>
    <x v="1"/>
  </r>
  <r>
    <s v="MRWSH024705"/>
    <x v="2"/>
    <x v="4"/>
    <d v="2018-11-30T00:00:00"/>
    <d v="2018-09-13T00:00:00"/>
    <d v="2018-11-26T00:00:00"/>
    <d v="2018-11-26T00:00:00"/>
    <x v="0"/>
    <x v="1"/>
  </r>
  <r>
    <s v="MRWSH024706"/>
    <x v="2"/>
    <x v="4"/>
    <d v="2018-11-30T00:00:00"/>
    <d v="2018-08-23T00:00:00"/>
    <d v="2018-11-23T00:00:00"/>
    <d v="2018-11-23T00:00:00"/>
    <x v="0"/>
    <x v="1"/>
  </r>
  <r>
    <s v="MRWSH024709"/>
    <x v="2"/>
    <x v="4"/>
    <d v="2018-11-30T00:00:00"/>
    <d v="2018-08-23T00:00:00"/>
    <d v="2018-11-23T00:00:00"/>
    <d v="2018-11-23T00:00:00"/>
    <x v="0"/>
    <x v="1"/>
  </r>
  <r>
    <s v="MRWSH024714"/>
    <x v="2"/>
    <x v="4"/>
    <d v="2018-11-30T00:00:00"/>
    <d v="2018-12-31T00:00:00"/>
    <d v="2018-12-31T00:00:00"/>
    <m/>
    <x v="1"/>
    <x v="2"/>
  </r>
  <r>
    <s v="MRWSH024736"/>
    <x v="2"/>
    <x v="4"/>
    <d v="2018-11-30T00:00:00"/>
    <d v="2018-11-02T00:00:00"/>
    <d v="2018-11-26T00:00:00"/>
    <d v="2018-11-26T00:00:00"/>
    <x v="0"/>
    <x v="1"/>
  </r>
  <r>
    <s v="MRWSH024747"/>
    <x v="2"/>
    <x v="4"/>
    <d v="2018-11-30T00:00:00"/>
    <d v="1999-12-30T00:00:00"/>
    <d v="2018-11-26T00:00:00"/>
    <d v="2018-11-26T00:00:00"/>
    <x v="0"/>
    <x v="1"/>
  </r>
  <r>
    <s v="MRWSH024771"/>
    <x v="2"/>
    <x v="4"/>
    <d v="2018-11-30T00:00:00"/>
    <d v="2018-12-25T00:00:00"/>
    <d v="2018-11-30T00:00:00"/>
    <m/>
    <x v="0"/>
    <x v="3"/>
  </r>
  <r>
    <s v="MRSTX036127"/>
    <x v="0"/>
    <x v="4"/>
    <d v="2018-11-30T00:00:00"/>
    <d v="2018-11-30T00:00:00"/>
    <d v="2018-11-15T00:00:00"/>
    <d v="2018-11-15T00:00:00"/>
    <x v="0"/>
    <x v="1"/>
  </r>
  <r>
    <s v="MRSTX036143"/>
    <x v="0"/>
    <x v="4"/>
    <d v="2018-11-30T00:00:00"/>
    <d v="2018-11-30T00:00:00"/>
    <d v="2018-10-31T00:00:00"/>
    <d v="2018-10-31T00:00:00"/>
    <x v="0"/>
    <x v="1"/>
  </r>
  <r>
    <s v="MRSTX036146"/>
    <x v="0"/>
    <x v="4"/>
    <d v="2018-11-30T00:00:00"/>
    <d v="2018-12-31T00:00:00"/>
    <d v="2018-12-31T00:00:00"/>
    <m/>
    <x v="1"/>
    <x v="2"/>
  </r>
  <r>
    <s v="MRSTX036158"/>
    <x v="0"/>
    <x v="4"/>
    <d v="2018-11-28T00:00:00"/>
    <d v="2018-12-31T00:00:00"/>
    <d v="2018-12-31T00:00:00"/>
    <m/>
    <x v="1"/>
    <x v="2"/>
  </r>
  <r>
    <s v="MRSTX036165"/>
    <x v="0"/>
    <x v="4"/>
    <d v="2018-11-30T00:00:00"/>
    <d v="2018-11-30T00:00:00"/>
    <d v="2018-11-30T00:00:00"/>
    <m/>
    <x v="0"/>
    <x v="0"/>
  </r>
  <r>
    <s v="MRWSH022319"/>
    <x v="2"/>
    <x v="4"/>
    <d v="2018-11-30T00:00:00"/>
    <d v="2018-12-31T00:00:00"/>
    <d v="2018-12-31T00:00:00"/>
    <m/>
    <x v="1"/>
    <x v="2"/>
  </r>
  <r>
    <s v="MRWSH022326"/>
    <x v="2"/>
    <x v="4"/>
    <d v="2018-11-30T00:00:00"/>
    <d v="2018-06-01T00:00:00"/>
    <d v="2018-11-27T00:00:00"/>
    <d v="2018-11-27T00:00:00"/>
    <x v="0"/>
    <x v="1"/>
  </r>
  <r>
    <s v="MRWSH022332"/>
    <x v="2"/>
    <x v="4"/>
    <d v="2018-11-30T00:00:00"/>
    <d v="1999-12-30T00:00:00"/>
    <d v="2018-11-10T00:00:00"/>
    <d v="2018-11-10T00:00:00"/>
    <x v="0"/>
    <x v="1"/>
  </r>
  <r>
    <s v="MRWSH022348"/>
    <x v="2"/>
    <x v="4"/>
    <d v="2018-11-30T00:00:00"/>
    <d v="2018-06-01T00:00:00"/>
    <d v="2018-11-27T00:00:00"/>
    <d v="2018-11-27T00:00:00"/>
    <x v="0"/>
    <x v="1"/>
  </r>
  <r>
    <s v="MRWSH022383"/>
    <x v="2"/>
    <x v="4"/>
    <d v="2018-11-30T00:00:00"/>
    <d v="2018-09-01T00:00:00"/>
    <d v="2018-12-31T00:00:00"/>
    <m/>
    <x v="1"/>
    <x v="5"/>
  </r>
  <r>
    <s v="MRWSH022502"/>
    <x v="2"/>
    <x v="4"/>
    <d v="2018-11-30T00:00:00"/>
    <d v="2018-12-31T00:00:00"/>
    <d v="2018-11-17T00:00:00"/>
    <d v="2018-11-17T00:00:00"/>
    <x v="0"/>
    <x v="1"/>
  </r>
  <r>
    <s v="MRWSH022522"/>
    <x v="2"/>
    <x v="4"/>
    <d v="2018-11-30T00:00:00"/>
    <d v="2018-12-31T00:00:00"/>
    <d v="2018-11-23T00:00:00"/>
    <d v="2018-11-23T00:00:00"/>
    <x v="0"/>
    <x v="1"/>
  </r>
  <r>
    <s v="MRWSH022523"/>
    <x v="2"/>
    <x v="4"/>
    <d v="2018-11-30T00:00:00"/>
    <d v="2018-12-31T00:00:00"/>
    <d v="2018-12-31T00:00:00"/>
    <m/>
    <x v="1"/>
    <x v="2"/>
  </r>
  <r>
    <s v="MRWSH022551"/>
    <x v="2"/>
    <x v="4"/>
    <d v="2018-11-30T00:00:00"/>
    <d v="2018-09-18T00:00:00"/>
    <d v="2018-11-30T00:00:00"/>
    <m/>
    <x v="0"/>
    <x v="0"/>
  </r>
  <r>
    <s v="MRNTX032491"/>
    <x v="1"/>
    <x v="4"/>
    <d v="2018-11-19T00:00:00"/>
    <d v="1999-12-30T00:00:00"/>
    <d v="2018-12-10T00:00:00"/>
    <m/>
    <x v="1"/>
    <x v="5"/>
  </r>
  <r>
    <s v="MRNTX032510"/>
    <x v="1"/>
    <x v="4"/>
    <d v="2018-11-11T00:00:00"/>
    <d v="2018-11-10T00:00:00"/>
    <d v="2018-11-13T00:00:00"/>
    <d v="2018-11-13T00:00:00"/>
    <x v="0"/>
    <x v="1"/>
  </r>
  <r>
    <s v="MRNTX032517"/>
    <x v="1"/>
    <x v="4"/>
    <d v="2018-11-23T00:00:00"/>
    <d v="1999-12-30T00:00:00"/>
    <d v="2018-12-13T00:00:00"/>
    <m/>
    <x v="1"/>
    <x v="5"/>
  </r>
  <r>
    <s v="MRNTX032520"/>
    <x v="1"/>
    <x v="4"/>
    <d v="2018-11-14T00:00:00"/>
    <d v="1999-12-30T00:00:00"/>
    <d v="2018-12-10T00:00:00"/>
    <m/>
    <x v="1"/>
    <x v="5"/>
  </r>
  <r>
    <s v="MRNTX032522"/>
    <x v="1"/>
    <x v="4"/>
    <d v="2018-11-27T00:00:00"/>
    <d v="2018-11-12T00:00:00"/>
    <d v="2019-05-17T00:00:00"/>
    <m/>
    <x v="1"/>
    <x v="5"/>
  </r>
  <r>
    <s v="MRNTX032551"/>
    <x v="1"/>
    <x v="4"/>
    <d v="2018-11-23T00:00:00"/>
    <d v="1999-12-30T00:00:00"/>
    <d v="2018-12-13T00:00:00"/>
    <m/>
    <x v="1"/>
    <x v="5"/>
  </r>
  <r>
    <s v="MRNTX032557"/>
    <x v="1"/>
    <x v="4"/>
    <d v="2018-11-12T00:00:00"/>
    <d v="2018-11-12T00:00:00"/>
    <d v="2018-12-20T00:00:00"/>
    <m/>
    <x v="1"/>
    <x v="5"/>
  </r>
  <r>
    <s v="MRNTX032586"/>
    <x v="1"/>
    <x v="4"/>
    <d v="2018-11-27T00:00:00"/>
    <d v="2018-11-24T00:00:00"/>
    <d v="2018-12-28T00:00:00"/>
    <m/>
    <x v="1"/>
    <x v="5"/>
  </r>
  <r>
    <s v="MRNTX032593"/>
    <x v="1"/>
    <x v="4"/>
    <d v="2018-11-14T00:00:00"/>
    <d v="1999-12-30T00:00:00"/>
    <d v="2018-12-10T00:00:00"/>
    <m/>
    <x v="1"/>
    <x v="5"/>
  </r>
  <r>
    <s v="MRNTX032620"/>
    <x v="1"/>
    <x v="4"/>
    <d v="2018-11-30T00:00:00"/>
    <d v="2018-10-23T00:00:00"/>
    <d v="2018-11-15T00:00:00"/>
    <d v="2018-11-15T00:00:00"/>
    <x v="0"/>
    <x v="1"/>
  </r>
  <r>
    <s v="MRSTX034230"/>
    <x v="0"/>
    <x v="4"/>
    <d v="2018-11-30T00:00:00"/>
    <d v="2018-11-30T00:00:00"/>
    <d v="2018-11-30T00:00:00"/>
    <m/>
    <x v="0"/>
    <x v="0"/>
  </r>
  <r>
    <s v="MRSTX034255"/>
    <x v="0"/>
    <x v="4"/>
    <d v="2018-11-30T00:00:00"/>
    <d v="2018-11-30T00:00:00"/>
    <d v="2018-11-30T00:00:00"/>
    <m/>
    <x v="0"/>
    <x v="0"/>
  </r>
  <r>
    <s v="MRSTX034258"/>
    <x v="0"/>
    <x v="4"/>
    <d v="2018-11-30T00:00:00"/>
    <d v="2018-11-30T00:00:00"/>
    <d v="2018-11-30T00:00:00"/>
    <m/>
    <x v="0"/>
    <x v="0"/>
  </r>
  <r>
    <s v="MRSTX034288"/>
    <x v="0"/>
    <x v="4"/>
    <d v="2018-11-30T00:00:00"/>
    <d v="2018-11-30T00:00:00"/>
    <d v="2018-11-21T00:00:00"/>
    <d v="2018-11-21T00:00:00"/>
    <x v="0"/>
    <x v="1"/>
  </r>
  <r>
    <s v="MRWSH024820"/>
    <x v="2"/>
    <x v="4"/>
    <d v="2018-11-30T00:00:00"/>
    <d v="2018-12-31T00:00:00"/>
    <d v="2018-11-06T00:00:00"/>
    <d v="2018-11-06T00:00:00"/>
    <x v="0"/>
    <x v="1"/>
  </r>
  <r>
    <s v="MRWSH024852"/>
    <x v="2"/>
    <x v="4"/>
    <d v="2018-11-30T00:00:00"/>
    <d v="2018-09-18T00:00:00"/>
    <d v="2018-11-19T00:00:00"/>
    <d v="2018-11-19T00:00:00"/>
    <x v="0"/>
    <x v="1"/>
  </r>
  <r>
    <s v="MRWSH024926"/>
    <x v="2"/>
    <x v="4"/>
    <d v="2018-11-30T00:00:00"/>
    <d v="2018-08-02T00:00:00"/>
    <d v="2018-12-31T00:00:00"/>
    <m/>
    <x v="1"/>
    <x v="5"/>
  </r>
  <r>
    <s v="MRWSH024943"/>
    <x v="2"/>
    <x v="4"/>
    <d v="2018-11-30T00:00:00"/>
    <d v="2018-08-02T00:00:00"/>
    <d v="2018-12-31T00:00:00"/>
    <m/>
    <x v="1"/>
    <x v="5"/>
  </r>
  <r>
    <s v="MRWSH024946"/>
    <x v="2"/>
    <x v="4"/>
    <d v="2018-11-30T00:00:00"/>
    <d v="2018-09-01T00:00:00"/>
    <d v="2018-11-30T00:00:00"/>
    <m/>
    <x v="0"/>
    <x v="0"/>
  </r>
  <r>
    <s v="MRWSH024953"/>
    <x v="2"/>
    <x v="4"/>
    <d v="2018-11-30T00:00:00"/>
    <d v="2018-08-02T00:00:00"/>
    <d v="2018-12-31T00:00:00"/>
    <m/>
    <x v="1"/>
    <x v="5"/>
  </r>
  <r>
    <s v="MRWSH024954"/>
    <x v="2"/>
    <x v="4"/>
    <d v="2018-11-30T00:00:00"/>
    <d v="2018-07-20T00:00:00"/>
    <d v="2018-11-10T00:00:00"/>
    <d v="2018-11-10T00:00:00"/>
    <x v="0"/>
    <x v="1"/>
  </r>
  <r>
    <s v="MRWSH024980"/>
    <x v="2"/>
    <x v="4"/>
    <d v="2018-11-30T00:00:00"/>
    <d v="2018-06-07T00:00:00"/>
    <d v="2018-12-31T00:00:00"/>
    <m/>
    <x v="1"/>
    <x v="5"/>
  </r>
  <r>
    <s v="MRWSH024983"/>
    <x v="2"/>
    <x v="4"/>
    <d v="2018-11-30T00:00:00"/>
    <d v="2018-09-01T00:00:00"/>
    <d v="2018-11-30T00:00:00"/>
    <m/>
    <x v="0"/>
    <x v="0"/>
  </r>
  <r>
    <s v="MRWSH024984"/>
    <x v="2"/>
    <x v="4"/>
    <d v="2018-11-30T00:00:00"/>
    <d v="2018-10-01T00:00:00"/>
    <d v="2018-11-27T00:00:00"/>
    <d v="2018-11-27T00:00:00"/>
    <x v="0"/>
    <x v="1"/>
  </r>
  <r>
    <s v="MRWSH024990"/>
    <x v="2"/>
    <x v="4"/>
    <d v="2018-11-30T00:00:00"/>
    <d v="2018-08-02T00:00:00"/>
    <d v="2018-12-31T00:00:00"/>
    <m/>
    <x v="1"/>
    <x v="5"/>
  </r>
  <r>
    <s v="MRNTX018703"/>
    <x v="1"/>
    <x v="4"/>
    <d v="2018-11-13T00:00:00"/>
    <d v="2018-11-13T00:00:00"/>
    <d v="2018-11-28T00:00:00"/>
    <d v="2018-11-28T00:00:00"/>
    <x v="1"/>
    <x v="1"/>
  </r>
  <r>
    <s v="MRNTX018931"/>
    <x v="1"/>
    <x v="4"/>
    <d v="2018-11-26T00:00:00"/>
    <d v="1999-12-30T00:00:00"/>
    <d v="2018-12-26T00:00:00"/>
    <m/>
    <x v="1"/>
    <x v="5"/>
  </r>
  <r>
    <s v="MRNTX031014"/>
    <x v="1"/>
    <x v="4"/>
    <d v="2018-11-26T00:00:00"/>
    <d v="1999-12-30T00:00:00"/>
    <d v="2018-12-07T00:00:00"/>
    <m/>
    <x v="0"/>
    <x v="0"/>
  </r>
  <r>
    <s v="MRNTX031097"/>
    <x v="1"/>
    <x v="4"/>
    <d v="2018-11-24T00:00:00"/>
    <d v="1999-12-30T00:00:00"/>
    <d v="2019-02-28T00:00:00"/>
    <m/>
    <x v="1"/>
    <x v="5"/>
  </r>
  <r>
    <s v="MRWSH022573"/>
    <x v="2"/>
    <x v="4"/>
    <d v="2018-11-30T00:00:00"/>
    <d v="2018-12-31T00:00:00"/>
    <d v="2018-11-30T00:00:00"/>
    <m/>
    <x v="0"/>
    <x v="3"/>
  </r>
  <r>
    <s v="MRWSH022585"/>
    <x v="2"/>
    <x v="4"/>
    <d v="2018-11-30T00:00:00"/>
    <d v="2018-12-31T00:00:00"/>
    <d v="2018-12-31T00:00:00"/>
    <m/>
    <x v="1"/>
    <x v="2"/>
  </r>
  <r>
    <s v="MRWSH022597"/>
    <x v="2"/>
    <x v="4"/>
    <d v="2018-11-30T00:00:00"/>
    <d v="2018-12-31T00:00:00"/>
    <d v="2018-11-23T00:00:00"/>
    <d v="2018-11-23T00:00:00"/>
    <x v="0"/>
    <x v="1"/>
  </r>
  <r>
    <s v="MRWSH022605"/>
    <x v="2"/>
    <x v="4"/>
    <d v="2018-11-30T00:00:00"/>
    <d v="2018-12-31T00:00:00"/>
    <d v="2018-11-30T00:00:00"/>
    <m/>
    <x v="0"/>
    <x v="3"/>
  </r>
  <r>
    <s v="MRWSH022683"/>
    <x v="2"/>
    <x v="4"/>
    <d v="2018-11-30T00:00:00"/>
    <d v="2018-12-31T00:00:00"/>
    <d v="2018-11-17T00:00:00"/>
    <d v="2018-11-17T00:00:00"/>
    <x v="0"/>
    <x v="1"/>
  </r>
  <r>
    <s v="MRWSH022685"/>
    <x v="2"/>
    <x v="4"/>
    <d v="2018-11-30T00:00:00"/>
    <d v="2018-12-31T00:00:00"/>
    <d v="2018-11-30T00:00:00"/>
    <m/>
    <x v="0"/>
    <x v="3"/>
  </r>
  <r>
    <s v="MRWSH022694"/>
    <x v="2"/>
    <x v="4"/>
    <d v="2018-11-30T00:00:00"/>
    <d v="2018-12-31T00:00:00"/>
    <d v="2018-11-28T00:00:00"/>
    <d v="2018-11-28T00:00:00"/>
    <x v="0"/>
    <x v="1"/>
  </r>
  <r>
    <s v="MRWSH022700"/>
    <x v="2"/>
    <x v="4"/>
    <d v="2018-11-30T00:00:00"/>
    <d v="2018-12-31T00:00:00"/>
    <d v="2018-12-31T00:00:00"/>
    <m/>
    <x v="1"/>
    <x v="2"/>
  </r>
  <r>
    <s v="MRWSH022704"/>
    <x v="2"/>
    <x v="4"/>
    <d v="2018-11-30T00:00:00"/>
    <d v="2018-12-25T00:00:00"/>
    <d v="2018-12-31T00:00:00"/>
    <m/>
    <x v="1"/>
    <x v="2"/>
  </r>
  <r>
    <s v="MRWSH022709"/>
    <x v="2"/>
    <x v="4"/>
    <d v="2018-11-30T00:00:00"/>
    <d v="2018-05-03T00:00:00"/>
    <d v="2018-11-14T00:00:00"/>
    <d v="2018-11-14T00:00:00"/>
    <x v="0"/>
    <x v="1"/>
  </r>
  <r>
    <s v="MRWSH022715"/>
    <x v="2"/>
    <x v="4"/>
    <d v="2018-11-30T00:00:00"/>
    <d v="1999-12-30T00:00:00"/>
    <d v="2018-11-30T00:00:00"/>
    <m/>
    <x v="0"/>
    <x v="0"/>
  </r>
  <r>
    <s v="MRWSH022718"/>
    <x v="2"/>
    <x v="4"/>
    <d v="2018-11-30T00:00:00"/>
    <d v="2018-12-31T00:00:00"/>
    <d v="2018-12-31T00:00:00"/>
    <m/>
    <x v="1"/>
    <x v="2"/>
  </r>
  <r>
    <s v="MRWSH022765"/>
    <x v="2"/>
    <x v="4"/>
    <d v="2018-11-30T00:00:00"/>
    <d v="2018-05-03T00:00:00"/>
    <d v="2018-12-31T00:00:00"/>
    <m/>
    <x v="1"/>
    <x v="5"/>
  </r>
  <r>
    <s v="MRWSH022767"/>
    <x v="2"/>
    <x v="4"/>
    <d v="2018-11-30T00:00:00"/>
    <d v="2018-05-03T00:00:00"/>
    <d v="2018-12-31T00:00:00"/>
    <m/>
    <x v="1"/>
    <x v="5"/>
  </r>
  <r>
    <s v="MRWSH022779"/>
    <x v="2"/>
    <x v="4"/>
    <d v="2018-11-30T00:00:00"/>
    <d v="2018-12-31T00:00:00"/>
    <d v="2018-11-26T00:00:00"/>
    <d v="2018-11-26T00:00:00"/>
    <x v="0"/>
    <x v="1"/>
  </r>
  <r>
    <s v="MRWSH022803"/>
    <x v="2"/>
    <x v="4"/>
    <d v="2018-11-30T00:00:00"/>
    <d v="2018-05-03T00:00:00"/>
    <d v="2018-11-14T00:00:00"/>
    <d v="2018-11-14T00:00:00"/>
    <x v="0"/>
    <x v="1"/>
  </r>
  <r>
    <s v="MRWSH022817"/>
    <x v="2"/>
    <x v="4"/>
    <d v="2018-11-30T00:00:00"/>
    <d v="2018-12-31T00:00:00"/>
    <d v="2018-11-28T00:00:00"/>
    <d v="2018-11-28T00:00:00"/>
    <x v="0"/>
    <x v="1"/>
  </r>
  <r>
    <s v="MRWSH022820"/>
    <x v="2"/>
    <x v="4"/>
    <d v="2018-11-30T00:00:00"/>
    <d v="2018-12-31T00:00:00"/>
    <d v="2018-11-17T00:00:00"/>
    <d v="2018-11-17T00:00:00"/>
    <x v="0"/>
    <x v="1"/>
  </r>
  <r>
    <s v="MRWSH022828"/>
    <x v="2"/>
    <x v="4"/>
    <d v="2018-11-30T00:00:00"/>
    <d v="2018-06-25T00:00:00"/>
    <d v="2018-12-31T00:00:00"/>
    <m/>
    <x v="1"/>
    <x v="5"/>
  </r>
  <r>
    <s v="MRWSH022837"/>
    <x v="2"/>
    <x v="4"/>
    <d v="2018-11-30T00:00:00"/>
    <d v="2018-05-03T00:00:00"/>
    <d v="2018-11-14T00:00:00"/>
    <d v="2018-11-14T00:00:00"/>
    <x v="0"/>
    <x v="1"/>
  </r>
  <r>
    <s v="MRSTX034291"/>
    <x v="0"/>
    <x v="4"/>
    <d v="2018-11-30T00:00:00"/>
    <d v="2018-11-30T00:00:00"/>
    <d v="2018-11-12T00:00:00"/>
    <d v="2018-11-12T00:00:00"/>
    <x v="0"/>
    <x v="1"/>
  </r>
  <r>
    <s v="MRSTX034292"/>
    <x v="0"/>
    <x v="4"/>
    <d v="2018-11-28T00:00:00"/>
    <d v="2018-12-31T00:00:00"/>
    <d v="2018-12-31T00:00:00"/>
    <m/>
    <x v="1"/>
    <x v="2"/>
  </r>
  <r>
    <s v="MRSTX034308"/>
    <x v="0"/>
    <x v="4"/>
    <d v="2018-11-30T00:00:00"/>
    <d v="2018-11-30T00:00:00"/>
    <d v="2018-11-30T00:00:00"/>
    <m/>
    <x v="0"/>
    <x v="0"/>
  </r>
  <r>
    <s v="MRSTX034320"/>
    <x v="0"/>
    <x v="4"/>
    <d v="2018-11-15T00:00:00"/>
    <d v="2018-11-15T00:00:00"/>
    <d v="2018-11-13T00:00:00"/>
    <d v="2018-11-13T00:00:00"/>
    <x v="0"/>
    <x v="1"/>
  </r>
  <r>
    <s v="MRSTX034358"/>
    <x v="0"/>
    <x v="4"/>
    <d v="2018-11-30T00:00:00"/>
    <d v="2018-11-30T00:00:00"/>
    <d v="2018-11-20T00:00:00"/>
    <d v="2018-11-20T00:00:00"/>
    <x v="0"/>
    <x v="1"/>
  </r>
  <r>
    <s v="MRSTX034422"/>
    <x v="0"/>
    <x v="4"/>
    <d v="2018-11-30T00:00:00"/>
    <d v="2018-12-31T00:00:00"/>
    <d v="2018-12-31T00:00:00"/>
    <m/>
    <x v="1"/>
    <x v="2"/>
  </r>
  <r>
    <s v="MRSTX034426"/>
    <x v="0"/>
    <x v="4"/>
    <d v="2018-11-30T00:00:00"/>
    <d v="2018-11-30T00:00:00"/>
    <d v="2018-11-30T00:00:00"/>
    <m/>
    <x v="0"/>
    <x v="0"/>
  </r>
  <r>
    <s v="MRSTX034441"/>
    <x v="0"/>
    <x v="4"/>
    <d v="2018-11-30T00:00:00"/>
    <d v="2018-12-31T00:00:00"/>
    <d v="2018-12-31T00:00:00"/>
    <m/>
    <x v="1"/>
    <x v="2"/>
  </r>
  <r>
    <s v="MRSTX034461"/>
    <x v="0"/>
    <x v="4"/>
    <d v="2018-11-30T00:00:00"/>
    <d v="2018-11-30T00:00:00"/>
    <d v="2018-11-26T00:00:00"/>
    <d v="2018-11-26T00:00:00"/>
    <x v="0"/>
    <x v="1"/>
  </r>
  <r>
    <s v="MRSTX034472"/>
    <x v="0"/>
    <x v="4"/>
    <d v="2018-11-30T00:00:00"/>
    <d v="2018-11-30T00:00:00"/>
    <d v="2018-11-30T00:00:00"/>
    <m/>
    <x v="0"/>
    <x v="0"/>
  </r>
  <r>
    <s v="MRSTX034490"/>
    <x v="0"/>
    <x v="4"/>
    <d v="2018-11-30T00:00:00"/>
    <d v="2018-11-30T00:00:00"/>
    <d v="2018-11-30T00:00:00"/>
    <m/>
    <x v="0"/>
    <x v="0"/>
  </r>
  <r>
    <s v="MRSTX034505"/>
    <x v="0"/>
    <x v="4"/>
    <d v="2018-11-30T00:00:00"/>
    <d v="2018-12-31T00:00:00"/>
    <d v="2018-12-31T00:00:00"/>
    <m/>
    <x v="1"/>
    <x v="2"/>
  </r>
  <r>
    <s v="MRWSH019948"/>
    <x v="2"/>
    <x v="4"/>
    <d v="2018-11-30T00:00:00"/>
    <d v="2018-08-11T00:00:00"/>
    <d v="2018-12-31T00:00:00"/>
    <m/>
    <x v="1"/>
    <x v="5"/>
  </r>
  <r>
    <s v="MRNTX031136"/>
    <x v="1"/>
    <x v="4"/>
    <d v="2018-11-12T00:00:00"/>
    <d v="1999-12-30T00:00:00"/>
    <d v="2018-12-10T00:00:00"/>
    <m/>
    <x v="1"/>
    <x v="5"/>
  </r>
  <r>
    <s v="MRNTX031202"/>
    <x v="1"/>
    <x v="4"/>
    <d v="2018-11-22T00:00:00"/>
    <d v="2018-07-05T00:00:00"/>
    <d v="2018-12-10T00:00:00"/>
    <m/>
    <x v="1"/>
    <x v="5"/>
  </r>
  <r>
    <s v="MRNTX031215"/>
    <x v="1"/>
    <x v="4"/>
    <d v="2018-11-17T00:00:00"/>
    <d v="1999-12-30T00:00:00"/>
    <d v="2018-11-16T00:00:00"/>
    <d v="2018-11-16T00:00:00"/>
    <x v="0"/>
    <x v="1"/>
  </r>
  <r>
    <s v="MRNTX031230"/>
    <x v="1"/>
    <x v="4"/>
    <d v="2018-11-26T00:00:00"/>
    <d v="1999-12-30T00:00:00"/>
    <d v="2018-12-18T00:00:00"/>
    <m/>
    <x v="1"/>
    <x v="5"/>
  </r>
  <r>
    <s v="MRNTX031234"/>
    <x v="1"/>
    <x v="4"/>
    <d v="2018-11-30T00:00:00"/>
    <d v="2018-10-23T00:00:00"/>
    <d v="2018-12-31T00:00:00"/>
    <m/>
    <x v="1"/>
    <x v="5"/>
  </r>
  <r>
    <s v="MRNTX031256"/>
    <x v="1"/>
    <x v="4"/>
    <d v="2018-11-16T00:00:00"/>
    <d v="2018-07-12T00:00:00"/>
    <d v="2018-11-05T00:00:00"/>
    <d v="2018-11-05T00:00:00"/>
    <x v="0"/>
    <x v="1"/>
  </r>
  <r>
    <s v="MRNTX031265"/>
    <x v="1"/>
    <x v="4"/>
    <d v="2018-11-28T00:00:00"/>
    <d v="2018-06-14T00:00:00"/>
    <d v="2018-12-18T00:00:00"/>
    <m/>
    <x v="1"/>
    <x v="5"/>
  </r>
  <r>
    <s v="MRNTX036204"/>
    <x v="1"/>
    <x v="4"/>
    <d v="2018-11-12T00:00:00"/>
    <d v="1999-12-30T00:00:00"/>
    <d v="2018-11-30T00:00:00"/>
    <m/>
    <x v="1"/>
    <x v="5"/>
  </r>
  <r>
    <s v="MRNTX036219"/>
    <x v="1"/>
    <x v="4"/>
    <d v="2018-11-30T00:00:00"/>
    <d v="1999-12-30T00:00:00"/>
    <d v="2019-12-30T00:00:00"/>
    <m/>
    <x v="1"/>
    <x v="5"/>
  </r>
  <r>
    <s v="MRNTX036223"/>
    <x v="1"/>
    <x v="4"/>
    <d v="2018-11-30T00:00:00"/>
    <d v="1999-12-30T00:00:00"/>
    <d v="2019-12-30T00:00:00"/>
    <m/>
    <x v="1"/>
    <x v="5"/>
  </r>
  <r>
    <s v="MRNTX036229"/>
    <x v="1"/>
    <x v="4"/>
    <d v="2018-11-30T00:00:00"/>
    <d v="1999-12-30T00:00:00"/>
    <d v="2018-11-08T00:00:00"/>
    <d v="2018-11-08T00:00:00"/>
    <x v="0"/>
    <x v="1"/>
  </r>
  <r>
    <s v="MRNTX036233"/>
    <x v="1"/>
    <x v="4"/>
    <d v="2018-11-30T00:00:00"/>
    <d v="1999-12-30T00:00:00"/>
    <d v="2019-03-29T00:00:00"/>
    <m/>
    <x v="1"/>
    <x v="5"/>
  </r>
  <r>
    <s v="MRNTX036235"/>
    <x v="1"/>
    <x v="4"/>
    <d v="2018-11-23T00:00:00"/>
    <d v="2018-06-18T00:00:00"/>
    <d v="2018-12-07T00:00:00"/>
    <m/>
    <x v="0"/>
    <x v="0"/>
  </r>
  <r>
    <s v="MRNTX036240"/>
    <x v="1"/>
    <x v="4"/>
    <d v="2018-11-29T00:00:00"/>
    <d v="1999-12-30T00:00:00"/>
    <d v="2018-12-18T00:00:00"/>
    <m/>
    <x v="1"/>
    <x v="5"/>
  </r>
  <r>
    <s v="MRNTX036262"/>
    <x v="1"/>
    <x v="4"/>
    <d v="2018-11-08T00:00:00"/>
    <d v="2018-11-10T00:00:00"/>
    <d v="2018-11-19T00:00:00"/>
    <d v="2018-11-19T00:00:00"/>
    <x v="0"/>
    <x v="1"/>
  </r>
  <r>
    <s v="MRNTX036263"/>
    <x v="1"/>
    <x v="4"/>
    <d v="2018-11-22T00:00:00"/>
    <d v="1999-12-30T00:00:00"/>
    <d v="2018-12-05T00:00:00"/>
    <m/>
    <x v="0"/>
    <x v="0"/>
  </r>
  <r>
    <s v="MRNTX036265"/>
    <x v="1"/>
    <x v="4"/>
    <d v="2018-11-19T00:00:00"/>
    <d v="1999-12-30T00:00:00"/>
    <d v="2018-11-29T00:00:00"/>
    <d v="2018-11-29T00:00:00"/>
    <x v="0"/>
    <x v="1"/>
  </r>
  <r>
    <s v="MRNTX036268"/>
    <x v="1"/>
    <x v="4"/>
    <d v="2018-11-25T00:00:00"/>
    <d v="2018-11-10T00:00:00"/>
    <d v="2018-11-20T00:00:00"/>
    <d v="2018-11-20T00:00:00"/>
    <x v="0"/>
    <x v="1"/>
  </r>
  <r>
    <s v="MRNTX036269"/>
    <x v="1"/>
    <x v="4"/>
    <d v="2018-11-11T00:00:00"/>
    <d v="2018-11-10T00:00:00"/>
    <d v="2018-11-14T00:00:00"/>
    <d v="2018-11-14T00:00:00"/>
    <x v="0"/>
    <x v="1"/>
  </r>
  <r>
    <s v="MRNTX036273"/>
    <x v="1"/>
    <x v="4"/>
    <d v="2018-11-19T00:00:00"/>
    <d v="1999-12-30T00:00:00"/>
    <d v="2018-11-29T00:00:00"/>
    <d v="2018-11-29T00:00:00"/>
    <x v="0"/>
    <x v="1"/>
  </r>
  <r>
    <s v="MRNTX036320"/>
    <x v="1"/>
    <x v="4"/>
    <d v="2018-11-30T00:00:00"/>
    <d v="1999-12-30T00:00:00"/>
    <d v="2019-12-30T00:00:00"/>
    <m/>
    <x v="1"/>
    <x v="5"/>
  </r>
  <r>
    <s v="MRNTX036352"/>
    <x v="1"/>
    <x v="4"/>
    <d v="2018-11-30T00:00:00"/>
    <d v="1999-12-30T00:00:00"/>
    <d v="2019-12-30T00:00:00"/>
    <m/>
    <x v="1"/>
    <x v="5"/>
  </r>
  <r>
    <s v="MRNTX036370"/>
    <x v="1"/>
    <x v="4"/>
    <d v="2018-11-24T00:00:00"/>
    <d v="1999-12-30T00:00:00"/>
    <d v="2018-11-29T00:00:00"/>
    <d v="2018-11-29T00:00:00"/>
    <x v="0"/>
    <x v="1"/>
  </r>
  <r>
    <s v="MRNTX036418"/>
    <x v="1"/>
    <x v="4"/>
    <d v="2018-11-30T00:00:00"/>
    <d v="1999-12-30T00:00:00"/>
    <d v="2018-11-02T00:00:00"/>
    <d v="2018-11-02T00:00:00"/>
    <x v="0"/>
    <x v="1"/>
  </r>
  <r>
    <s v="MRNTX036419"/>
    <x v="1"/>
    <x v="4"/>
    <d v="2018-11-18T00:00:00"/>
    <d v="1999-12-30T00:00:00"/>
    <d v="2018-11-23T00:00:00"/>
    <d v="2018-11-23T00:00:00"/>
    <x v="0"/>
    <x v="1"/>
  </r>
  <r>
    <s v="MRNTX036421"/>
    <x v="1"/>
    <x v="4"/>
    <d v="2018-11-10T00:00:00"/>
    <d v="2018-07-30T00:00:00"/>
    <d v="2018-11-26T00:00:00"/>
    <d v="2018-11-26T00:00:00"/>
    <x v="1"/>
    <x v="1"/>
  </r>
  <r>
    <s v="MRNTX036424"/>
    <x v="1"/>
    <x v="4"/>
    <d v="2018-11-10T00:00:00"/>
    <d v="2018-07-30T00:00:00"/>
    <d v="2018-11-19T00:00:00"/>
    <d v="2018-11-19T00:00:00"/>
    <x v="0"/>
    <x v="1"/>
  </r>
  <r>
    <s v="MRNTX036425"/>
    <x v="1"/>
    <x v="4"/>
    <d v="2018-11-18T00:00:00"/>
    <d v="1999-12-30T00:00:00"/>
    <d v="2018-11-23T00:00:00"/>
    <d v="2018-11-23T00:00:00"/>
    <x v="0"/>
    <x v="1"/>
  </r>
  <r>
    <s v="MRNTX036428"/>
    <x v="1"/>
    <x v="4"/>
    <d v="2018-11-30T00:00:00"/>
    <d v="1999-12-30T00:00:00"/>
    <d v="2019-12-30T00:00:00"/>
    <m/>
    <x v="1"/>
    <x v="5"/>
  </r>
  <r>
    <s v="MRNTX036430"/>
    <x v="1"/>
    <x v="4"/>
    <d v="2018-11-16T00:00:00"/>
    <d v="1999-12-30T00:00:00"/>
    <d v="2018-11-30T00:00:00"/>
    <m/>
    <x v="0"/>
    <x v="0"/>
  </r>
  <r>
    <s v="MRNTX036431"/>
    <x v="1"/>
    <x v="4"/>
    <d v="2018-11-23T00:00:00"/>
    <d v="2018-07-12T00:00:00"/>
    <d v="2018-11-30T00:00:00"/>
    <m/>
    <x v="0"/>
    <x v="0"/>
  </r>
  <r>
    <s v="MRNTX036432"/>
    <x v="1"/>
    <x v="4"/>
    <d v="2018-11-23T00:00:00"/>
    <d v="1999-12-30T00:00:00"/>
    <d v="2018-12-18T00:00:00"/>
    <m/>
    <x v="1"/>
    <x v="5"/>
  </r>
  <r>
    <s v="MRNTX036433"/>
    <x v="1"/>
    <x v="4"/>
    <d v="2018-11-23T00:00:00"/>
    <d v="2018-07-12T00:00:00"/>
    <d v="2018-11-30T00:00:00"/>
    <m/>
    <x v="0"/>
    <x v="0"/>
  </r>
  <r>
    <s v="MRNTX036435"/>
    <x v="1"/>
    <x v="4"/>
    <d v="2018-11-23T00:00:00"/>
    <d v="1999-12-30T00:00:00"/>
    <d v="2018-12-18T00:00:00"/>
    <m/>
    <x v="1"/>
    <x v="5"/>
  </r>
  <r>
    <s v="MRNTX036441"/>
    <x v="1"/>
    <x v="4"/>
    <d v="2018-11-15T00:00:00"/>
    <d v="1999-12-30T00:00:00"/>
    <d v="2018-11-30T00:00:00"/>
    <m/>
    <x v="1"/>
    <x v="5"/>
  </r>
  <r>
    <s v="MRNTX036442"/>
    <x v="1"/>
    <x v="4"/>
    <d v="2018-11-25T00:00:00"/>
    <d v="1999-12-30T00:00:00"/>
    <d v="2018-11-30T00:00:00"/>
    <m/>
    <x v="0"/>
    <x v="0"/>
  </r>
  <r>
    <s v="MRNTX036445"/>
    <x v="1"/>
    <x v="4"/>
    <d v="2018-11-30T00:00:00"/>
    <d v="1999-12-30T00:00:00"/>
    <d v="2018-11-07T00:00:00"/>
    <d v="2018-11-07T00:00:00"/>
    <x v="0"/>
    <x v="1"/>
  </r>
  <r>
    <s v="MRNTX036447"/>
    <x v="1"/>
    <x v="4"/>
    <d v="2018-11-23T00:00:00"/>
    <d v="2018-07-12T00:00:00"/>
    <d v="2018-11-30T00:00:00"/>
    <m/>
    <x v="0"/>
    <x v="0"/>
  </r>
  <r>
    <s v="MRNTX036451"/>
    <x v="1"/>
    <x v="4"/>
    <d v="2018-11-30T00:00:00"/>
    <d v="1999-12-30T00:00:00"/>
    <d v="2018-11-05T00:00:00"/>
    <d v="2018-11-05T00:00:00"/>
    <x v="0"/>
    <x v="1"/>
  </r>
  <r>
    <s v="MRNTX036452"/>
    <x v="1"/>
    <x v="4"/>
    <d v="2018-11-25T00:00:00"/>
    <d v="1999-12-30T00:00:00"/>
    <d v="2018-11-30T00:00:00"/>
    <m/>
    <x v="0"/>
    <x v="0"/>
  </r>
  <r>
    <s v="MRNTX036455"/>
    <x v="1"/>
    <x v="4"/>
    <d v="2018-11-23T00:00:00"/>
    <d v="2018-07-12T00:00:00"/>
    <d v="2018-11-30T00:00:00"/>
    <m/>
    <x v="0"/>
    <x v="0"/>
  </r>
  <r>
    <s v="MRNTX036473"/>
    <x v="1"/>
    <x v="4"/>
    <d v="2018-11-22T00:00:00"/>
    <d v="1999-12-30T00:00:00"/>
    <d v="2018-12-03T00:00:00"/>
    <m/>
    <x v="0"/>
    <x v="0"/>
  </r>
  <r>
    <s v="MRNTX036475"/>
    <x v="1"/>
    <x v="4"/>
    <d v="2018-11-22T00:00:00"/>
    <d v="2018-08-10T00:00:00"/>
    <d v="2018-12-03T00:00:00"/>
    <m/>
    <x v="0"/>
    <x v="0"/>
  </r>
  <r>
    <s v="MRNTX036478"/>
    <x v="1"/>
    <x v="4"/>
    <d v="2018-11-30T00:00:00"/>
    <d v="1999-12-30T00:00:00"/>
    <d v="2018-12-10T00:00:00"/>
    <m/>
    <x v="0"/>
    <x v="0"/>
  </r>
  <r>
    <s v="MRNTX036480"/>
    <x v="1"/>
    <x v="4"/>
    <d v="2018-11-11T00:00:00"/>
    <d v="2018-10-23T00:00:00"/>
    <d v="2018-11-08T00:00:00"/>
    <d v="2018-11-08T00:00:00"/>
    <x v="0"/>
    <x v="1"/>
  </r>
  <r>
    <s v="MRNTX036498"/>
    <x v="1"/>
    <x v="4"/>
    <d v="2018-11-17T00:00:00"/>
    <d v="2018-07-05T00:00:00"/>
    <d v="2018-11-20T00:00:00"/>
    <d v="2018-11-20T00:00:00"/>
    <x v="0"/>
    <x v="1"/>
  </r>
  <r>
    <s v="MRNTX036529"/>
    <x v="1"/>
    <x v="4"/>
    <d v="2018-11-25T00:00:00"/>
    <d v="1999-12-30T00:00:00"/>
    <d v="2018-11-29T00:00:00"/>
    <d v="2018-11-29T00:00:00"/>
    <x v="0"/>
    <x v="1"/>
  </r>
  <r>
    <s v="MRNTX036530"/>
    <x v="1"/>
    <x v="4"/>
    <d v="2018-11-24T00:00:00"/>
    <d v="1999-12-30T00:00:00"/>
    <d v="2018-12-26T00:00:00"/>
    <m/>
    <x v="1"/>
    <x v="5"/>
  </r>
  <r>
    <s v="MRNTX036542"/>
    <x v="1"/>
    <x v="4"/>
    <d v="2018-11-25T00:00:00"/>
    <d v="2018-06-14T00:00:00"/>
    <d v="2018-12-30T00:00:00"/>
    <m/>
    <x v="1"/>
    <x v="5"/>
  </r>
  <r>
    <s v="MRNTX036550"/>
    <x v="1"/>
    <x v="4"/>
    <d v="2018-11-22T00:00:00"/>
    <d v="1999-12-30T00:00:00"/>
    <d v="2018-12-03T00:00:00"/>
    <m/>
    <x v="0"/>
    <x v="0"/>
  </r>
  <r>
    <s v="MRNTX036566"/>
    <x v="1"/>
    <x v="4"/>
    <d v="2018-11-29T00:00:00"/>
    <d v="1999-12-30T00:00:00"/>
    <d v="2018-12-17T00:00:00"/>
    <m/>
    <x v="1"/>
    <x v="5"/>
  </r>
  <r>
    <s v="MRNTX036578"/>
    <x v="1"/>
    <x v="4"/>
    <d v="2018-11-14T00:00:00"/>
    <d v="2018-10-23T00:00:00"/>
    <d v="2018-11-30T00:00:00"/>
    <m/>
    <x v="1"/>
    <x v="5"/>
  </r>
  <r>
    <s v="MRSTX027412"/>
    <x v="0"/>
    <x v="4"/>
    <d v="2018-11-30T00:00:00"/>
    <d v="2018-12-31T00:00:00"/>
    <d v="2018-12-31T00:00:00"/>
    <m/>
    <x v="1"/>
    <x v="2"/>
  </r>
  <r>
    <s v="MRSTX027791"/>
    <x v="0"/>
    <x v="4"/>
    <d v="2018-11-30T00:00:00"/>
    <d v="2018-12-31T00:00:00"/>
    <d v="2018-12-31T00:00:00"/>
    <m/>
    <x v="1"/>
    <x v="2"/>
  </r>
  <r>
    <s v="MRSTX030821"/>
    <x v="0"/>
    <x v="4"/>
    <d v="2018-11-30T00:00:00"/>
    <d v="2018-11-30T00:00:00"/>
    <d v="2018-11-30T00:00:00"/>
    <m/>
    <x v="0"/>
    <x v="0"/>
  </r>
  <r>
    <s v="MRNTX031298"/>
    <x v="1"/>
    <x v="4"/>
    <d v="2018-11-17T00:00:00"/>
    <d v="2018-07-12T00:00:00"/>
    <d v="2018-11-29T00:00:00"/>
    <d v="2018-11-29T00:00:00"/>
    <x v="0"/>
    <x v="1"/>
  </r>
  <r>
    <s v="MRNTX031344"/>
    <x v="1"/>
    <x v="4"/>
    <d v="2018-11-08T00:00:00"/>
    <d v="1999-12-30T00:00:00"/>
    <d v="2018-11-14T00:00:00"/>
    <d v="2018-11-14T00:00:00"/>
    <x v="0"/>
    <x v="1"/>
  </r>
  <r>
    <s v="MRNTX031349"/>
    <x v="1"/>
    <x v="4"/>
    <d v="2018-11-30T00:00:00"/>
    <d v="1999-12-30T00:00:00"/>
    <d v="2018-11-07T00:00:00"/>
    <d v="2018-11-07T00:00:00"/>
    <x v="0"/>
    <x v="1"/>
  </r>
  <r>
    <s v="MRNTX031352"/>
    <x v="1"/>
    <x v="4"/>
    <d v="2018-11-30T00:00:00"/>
    <d v="2018-10-23T00:00:00"/>
    <d v="2018-11-15T00:00:00"/>
    <d v="2018-11-15T00:00:00"/>
    <x v="0"/>
    <x v="1"/>
  </r>
  <r>
    <s v="MRNTX031354"/>
    <x v="1"/>
    <x v="4"/>
    <d v="2018-11-10T00:00:00"/>
    <d v="1999-12-30T00:00:00"/>
    <d v="2018-11-13T00:00:00"/>
    <d v="2018-11-13T00:00:00"/>
    <x v="0"/>
    <x v="1"/>
  </r>
  <r>
    <s v="MRNTX031364"/>
    <x v="1"/>
    <x v="4"/>
    <d v="2018-11-27T00:00:00"/>
    <d v="2018-06-28T00:00:00"/>
    <d v="2018-12-18T00:00:00"/>
    <m/>
    <x v="1"/>
    <x v="5"/>
  </r>
  <r>
    <s v="MRNTX031367"/>
    <x v="1"/>
    <x v="4"/>
    <d v="2018-11-30T00:00:00"/>
    <d v="1999-12-30T00:00:00"/>
    <d v="2018-12-10T00:00:00"/>
    <m/>
    <x v="0"/>
    <x v="0"/>
  </r>
  <r>
    <s v="MRNTX031383"/>
    <x v="1"/>
    <x v="4"/>
    <d v="2018-11-17T00:00:00"/>
    <d v="2018-07-12T00:00:00"/>
    <d v="2018-11-29T00:00:00"/>
    <d v="2018-11-29T00:00:00"/>
    <x v="0"/>
    <x v="1"/>
  </r>
  <r>
    <s v="MRNTX031408"/>
    <x v="1"/>
    <x v="4"/>
    <d v="2018-11-14T00:00:00"/>
    <d v="2018-10-23T00:00:00"/>
    <d v="2018-11-22T00:00:00"/>
    <d v="2018-11-22T00:00:00"/>
    <x v="0"/>
    <x v="1"/>
  </r>
  <r>
    <s v="MRNTX031437"/>
    <x v="1"/>
    <x v="4"/>
    <d v="2018-11-25T00:00:00"/>
    <d v="1999-12-30T00:00:00"/>
    <d v="2018-11-30T00:00:00"/>
    <m/>
    <x v="0"/>
    <x v="0"/>
  </r>
  <r>
    <s v="MRNTX031448"/>
    <x v="1"/>
    <x v="4"/>
    <d v="2018-11-26T00:00:00"/>
    <d v="1999-12-30T00:00:00"/>
    <d v="2018-11-14T00:00:00"/>
    <d v="2018-11-14T00:00:00"/>
    <x v="0"/>
    <x v="1"/>
  </r>
  <r>
    <s v="MRNTX031500"/>
    <x v="1"/>
    <x v="4"/>
    <d v="2018-11-14T00:00:00"/>
    <d v="2018-10-23T00:00:00"/>
    <d v="2018-11-08T00:00:00"/>
    <d v="2018-11-08T00:00:00"/>
    <x v="0"/>
    <x v="1"/>
  </r>
  <r>
    <s v="MRNTX031502"/>
    <x v="1"/>
    <x v="4"/>
    <d v="2018-11-30T00:00:00"/>
    <d v="2018-07-05T00:00:00"/>
    <d v="2018-12-31T00:00:00"/>
    <m/>
    <x v="1"/>
    <x v="5"/>
  </r>
  <r>
    <s v="MRNTX031514"/>
    <x v="1"/>
    <x v="4"/>
    <d v="2018-11-26T00:00:00"/>
    <d v="1999-12-30T00:00:00"/>
    <d v="2018-12-10T00:00:00"/>
    <m/>
    <x v="0"/>
    <x v="0"/>
  </r>
  <r>
    <s v="MRNTX031516"/>
    <x v="1"/>
    <x v="4"/>
    <d v="2018-11-26T00:00:00"/>
    <d v="1999-12-30T00:00:00"/>
    <d v="2018-12-07T00:00:00"/>
    <m/>
    <x v="0"/>
    <x v="0"/>
  </r>
  <r>
    <s v="MRNTX031529"/>
    <x v="1"/>
    <x v="4"/>
    <d v="2018-11-24T00:00:00"/>
    <d v="1999-12-30T00:00:00"/>
    <d v="2019-02-28T00:00:00"/>
    <m/>
    <x v="1"/>
    <x v="5"/>
  </r>
  <r>
    <s v="MRNTX031530"/>
    <x v="1"/>
    <x v="4"/>
    <d v="2018-11-12T00:00:00"/>
    <d v="2018-10-23T00:00:00"/>
    <d v="2018-11-29T00:00:00"/>
    <d v="2018-11-29T00:00:00"/>
    <x v="1"/>
    <x v="1"/>
  </r>
  <r>
    <s v="MRNTX031535"/>
    <x v="1"/>
    <x v="4"/>
    <d v="2018-11-22T00:00:00"/>
    <d v="2018-11-14T00:00:00"/>
    <d v="2018-11-16T00:00:00"/>
    <d v="2018-11-16T00:00:00"/>
    <x v="0"/>
    <x v="1"/>
  </r>
  <r>
    <s v="MRNTX031541"/>
    <x v="1"/>
    <x v="4"/>
    <d v="2018-11-29T00:00:00"/>
    <d v="1999-12-30T00:00:00"/>
    <d v="2018-12-05T00:00:00"/>
    <m/>
    <x v="0"/>
    <x v="0"/>
  </r>
  <r>
    <s v="MRNTX031548"/>
    <x v="1"/>
    <x v="4"/>
    <d v="2018-11-26T00:00:00"/>
    <d v="1999-12-30T00:00:00"/>
    <d v="2018-12-10T00:00:00"/>
    <m/>
    <x v="0"/>
    <x v="0"/>
  </r>
  <r>
    <s v="MRNTX037075"/>
    <x v="1"/>
    <x v="4"/>
    <d v="2018-11-29T00:00:00"/>
    <d v="1999-12-30T00:00:00"/>
    <d v="2019-02-28T00:00:00"/>
    <m/>
    <x v="1"/>
    <x v="5"/>
  </r>
  <r>
    <s v="MRNTX037078"/>
    <x v="1"/>
    <x v="4"/>
    <d v="2018-11-29T00:00:00"/>
    <d v="1999-12-30T00:00:00"/>
    <d v="2018-11-19T00:00:00"/>
    <d v="2018-11-19T00:00:00"/>
    <x v="0"/>
    <x v="1"/>
  </r>
  <r>
    <s v="MRNTX037143"/>
    <x v="1"/>
    <x v="4"/>
    <d v="2018-11-26T00:00:00"/>
    <d v="1999-12-30T00:00:00"/>
    <d v="2018-12-18T00:00:00"/>
    <m/>
    <x v="1"/>
    <x v="5"/>
  </r>
  <r>
    <s v="MRNTX037158"/>
    <x v="1"/>
    <x v="4"/>
    <d v="2018-11-13T00:00:00"/>
    <d v="2018-08-09T00:00:00"/>
    <d v="2018-11-28T00:00:00"/>
    <d v="2018-11-28T00:00:00"/>
    <x v="1"/>
    <x v="1"/>
  </r>
  <r>
    <s v="MRWSH019956"/>
    <x v="2"/>
    <x v="4"/>
    <d v="2018-11-30T00:00:00"/>
    <d v="2018-05-10T00:00:00"/>
    <d v="2018-11-23T00:00:00"/>
    <d v="2018-11-23T00:00:00"/>
    <x v="0"/>
    <x v="1"/>
  </r>
  <r>
    <s v="MRWSH019958"/>
    <x v="2"/>
    <x v="4"/>
    <d v="2018-11-30T00:00:00"/>
    <d v="2018-05-03T00:00:00"/>
    <d v="2018-11-08T00:00:00"/>
    <d v="2018-11-08T00:00:00"/>
    <x v="0"/>
    <x v="1"/>
  </r>
  <r>
    <s v="MRWSH019960"/>
    <x v="2"/>
    <x v="4"/>
    <d v="2018-11-30T00:00:00"/>
    <d v="2018-12-31T00:00:00"/>
    <d v="2018-12-31T00:00:00"/>
    <m/>
    <x v="1"/>
    <x v="2"/>
  </r>
  <r>
    <s v="MRWSH019976"/>
    <x v="2"/>
    <x v="4"/>
    <d v="2018-11-30T00:00:00"/>
    <d v="2018-12-31T00:00:00"/>
    <d v="2018-11-26T00:00:00"/>
    <d v="2018-11-26T00:00:00"/>
    <x v="0"/>
    <x v="1"/>
  </r>
  <r>
    <s v="MRWSH019997"/>
    <x v="2"/>
    <x v="4"/>
    <d v="2018-11-30T00:00:00"/>
    <d v="2018-11-02T00:00:00"/>
    <d v="2018-12-31T00:00:00"/>
    <m/>
    <x v="1"/>
    <x v="5"/>
  </r>
  <r>
    <s v="MRWSH020002"/>
    <x v="2"/>
    <x v="4"/>
    <d v="2018-11-30T00:00:00"/>
    <d v="2018-12-02T00:00:00"/>
    <d v="2018-11-19T00:00:00"/>
    <d v="2018-11-19T00:00:00"/>
    <x v="0"/>
    <x v="1"/>
  </r>
  <r>
    <s v="MRWSH020012"/>
    <x v="2"/>
    <x v="4"/>
    <d v="2018-11-30T00:00:00"/>
    <d v="2018-06-25T00:00:00"/>
    <d v="2018-12-31T00:00:00"/>
    <m/>
    <x v="1"/>
    <x v="5"/>
  </r>
  <r>
    <s v="MRWSH020023"/>
    <x v="2"/>
    <x v="4"/>
    <d v="2018-11-30T00:00:00"/>
    <d v="2018-07-30T00:00:00"/>
    <d v="2018-12-31T00:00:00"/>
    <m/>
    <x v="1"/>
    <x v="5"/>
  </r>
  <r>
    <s v="MRWSH020039"/>
    <x v="2"/>
    <x v="4"/>
    <d v="2018-11-30T00:00:00"/>
    <d v="2018-05-10T00:00:00"/>
    <d v="2018-11-23T00:00:00"/>
    <d v="2018-11-23T00:00:00"/>
    <x v="0"/>
    <x v="1"/>
  </r>
  <r>
    <s v="MRWSH020043"/>
    <x v="2"/>
    <x v="4"/>
    <d v="2018-11-30T00:00:00"/>
    <d v="2018-12-31T00:00:00"/>
    <d v="2018-11-23T00:00:00"/>
    <d v="2018-11-23T00:00:00"/>
    <x v="0"/>
    <x v="1"/>
  </r>
  <r>
    <s v="MRWSH020045"/>
    <x v="2"/>
    <x v="4"/>
    <d v="2018-11-30T00:00:00"/>
    <d v="2018-11-02T00:00:00"/>
    <d v="2018-12-31T00:00:00"/>
    <m/>
    <x v="1"/>
    <x v="5"/>
  </r>
  <r>
    <s v="MRWSH020046"/>
    <x v="2"/>
    <x v="4"/>
    <d v="2018-11-30T00:00:00"/>
    <d v="2018-05-03T00:00:00"/>
    <d v="2018-11-06T00:00:00"/>
    <d v="2018-11-06T00:00:00"/>
    <x v="0"/>
    <x v="1"/>
  </r>
  <r>
    <s v="MRWSH020066"/>
    <x v="2"/>
    <x v="4"/>
    <d v="2018-11-30T00:00:00"/>
    <d v="2018-08-02T00:00:00"/>
    <d v="2018-12-31T00:00:00"/>
    <m/>
    <x v="1"/>
    <x v="5"/>
  </r>
  <r>
    <s v="MRWSH020073"/>
    <x v="2"/>
    <x v="4"/>
    <d v="2018-11-30T00:00:00"/>
    <d v="2018-07-05T00:00:00"/>
    <d v="2018-12-31T00:00:00"/>
    <m/>
    <x v="1"/>
    <x v="5"/>
  </r>
  <r>
    <s v="MRWSH020076"/>
    <x v="2"/>
    <x v="4"/>
    <d v="2018-11-30T00:00:00"/>
    <d v="2018-07-30T00:00:00"/>
    <d v="2018-12-31T00:00:00"/>
    <m/>
    <x v="1"/>
    <x v="5"/>
  </r>
  <r>
    <s v="MRWSH020085"/>
    <x v="2"/>
    <x v="4"/>
    <d v="2018-11-30T00:00:00"/>
    <d v="2018-12-31T00:00:00"/>
    <d v="2018-11-23T00:00:00"/>
    <d v="2018-11-23T00:00:00"/>
    <x v="0"/>
    <x v="1"/>
  </r>
  <r>
    <s v="MRWSH020086"/>
    <x v="2"/>
    <x v="4"/>
    <d v="2018-11-30T00:00:00"/>
    <d v="2018-08-02T00:00:00"/>
    <d v="2018-12-31T00:00:00"/>
    <m/>
    <x v="1"/>
    <x v="5"/>
  </r>
  <r>
    <s v="MRWSH020094"/>
    <x v="2"/>
    <x v="4"/>
    <d v="2018-11-30T00:00:00"/>
    <d v="2018-11-02T00:00:00"/>
    <d v="2018-12-31T00:00:00"/>
    <m/>
    <x v="1"/>
    <x v="5"/>
  </r>
  <r>
    <s v="MRWSH020096"/>
    <x v="2"/>
    <x v="4"/>
    <d v="2018-11-30T00:00:00"/>
    <d v="2018-11-02T00:00:00"/>
    <d v="2018-11-17T00:00:00"/>
    <d v="2018-11-17T00:00:00"/>
    <x v="0"/>
    <x v="1"/>
  </r>
  <r>
    <s v="MRWSH020127"/>
    <x v="2"/>
    <x v="4"/>
    <d v="2018-11-30T00:00:00"/>
    <d v="2018-07-30T00:00:00"/>
    <d v="2018-12-31T00:00:00"/>
    <m/>
    <x v="1"/>
    <x v="5"/>
  </r>
  <r>
    <s v="MRWSH020139"/>
    <x v="2"/>
    <x v="4"/>
    <d v="2018-11-30T00:00:00"/>
    <d v="2018-07-07T00:00:00"/>
    <d v="2018-12-31T00:00:00"/>
    <m/>
    <x v="1"/>
    <x v="5"/>
  </r>
  <r>
    <s v="MRWSH020159"/>
    <x v="2"/>
    <x v="4"/>
    <d v="2018-11-30T00:00:00"/>
    <d v="2018-12-31T00:00:00"/>
    <d v="2018-12-31T00:00:00"/>
    <m/>
    <x v="1"/>
    <x v="2"/>
  </r>
  <r>
    <s v="MRWSH020165"/>
    <x v="2"/>
    <x v="4"/>
    <d v="2018-11-30T00:00:00"/>
    <d v="2018-12-31T00:00:00"/>
    <d v="2018-11-23T00:00:00"/>
    <d v="2018-11-23T00:00:00"/>
    <x v="0"/>
    <x v="1"/>
  </r>
  <r>
    <s v="MRWSH020186"/>
    <x v="2"/>
    <x v="4"/>
    <d v="2018-11-30T00:00:00"/>
    <d v="2018-07-30T00:00:00"/>
    <d v="2018-12-31T00:00:00"/>
    <m/>
    <x v="1"/>
    <x v="5"/>
  </r>
  <r>
    <s v="MRWSH020195"/>
    <x v="2"/>
    <x v="4"/>
    <d v="2018-11-30T00:00:00"/>
    <d v="2018-12-25T00:00:00"/>
    <d v="2018-11-23T00:00:00"/>
    <d v="2018-11-23T00:00:00"/>
    <x v="0"/>
    <x v="1"/>
  </r>
  <r>
    <s v="MRWSH020197"/>
    <x v="2"/>
    <x v="4"/>
    <d v="2018-11-30T00:00:00"/>
    <d v="2018-06-26T00:00:00"/>
    <d v="2018-12-31T00:00:00"/>
    <m/>
    <x v="1"/>
    <x v="5"/>
  </r>
  <r>
    <s v="MRWSH020199"/>
    <x v="2"/>
    <x v="4"/>
    <d v="2018-11-30T00:00:00"/>
    <d v="2018-12-31T00:00:00"/>
    <d v="2018-11-13T00:00:00"/>
    <d v="2018-11-13T00:00:00"/>
    <x v="0"/>
    <x v="1"/>
  </r>
  <r>
    <s v="MRWSH020202"/>
    <x v="2"/>
    <x v="4"/>
    <d v="2018-11-30T00:00:00"/>
    <d v="2018-10-02T00:00:00"/>
    <d v="2018-12-31T00:00:00"/>
    <m/>
    <x v="1"/>
    <x v="5"/>
  </r>
  <r>
    <s v="MRWSH020211"/>
    <x v="2"/>
    <x v="4"/>
    <d v="2018-11-30T00:00:00"/>
    <d v="2018-12-31T00:00:00"/>
    <d v="2018-12-31T00:00:00"/>
    <m/>
    <x v="1"/>
    <x v="2"/>
  </r>
  <r>
    <s v="MRWSH020213"/>
    <x v="2"/>
    <x v="4"/>
    <d v="2018-11-30T00:00:00"/>
    <d v="2018-12-31T00:00:00"/>
    <d v="2018-11-26T00:00:00"/>
    <d v="2018-11-26T00:00:00"/>
    <x v="0"/>
    <x v="1"/>
  </r>
  <r>
    <s v="MRWSH020218"/>
    <x v="2"/>
    <x v="4"/>
    <d v="2018-11-30T00:00:00"/>
    <d v="2018-12-31T00:00:00"/>
    <d v="2018-12-31T00:00:00"/>
    <m/>
    <x v="1"/>
    <x v="2"/>
  </r>
  <r>
    <s v="MRWSH020219"/>
    <x v="2"/>
    <x v="4"/>
    <d v="2018-11-30T00:00:00"/>
    <d v="2018-05-24T00:00:00"/>
    <d v="2018-11-30T00:00:00"/>
    <m/>
    <x v="0"/>
    <x v="0"/>
  </r>
  <r>
    <s v="MRWSH020223"/>
    <x v="2"/>
    <x v="4"/>
    <d v="2018-11-30T00:00:00"/>
    <d v="2018-12-31T00:00:00"/>
    <d v="2018-11-10T00:00:00"/>
    <d v="2018-11-10T00:00:00"/>
    <x v="0"/>
    <x v="1"/>
  </r>
  <r>
    <s v="MRWSH020227"/>
    <x v="2"/>
    <x v="4"/>
    <d v="2018-11-30T00:00:00"/>
    <d v="2018-12-31T00:00:00"/>
    <d v="2018-11-23T00:00:00"/>
    <d v="2018-11-23T00:00:00"/>
    <x v="0"/>
    <x v="1"/>
  </r>
  <r>
    <s v="MRWSH020231"/>
    <x v="2"/>
    <x v="4"/>
    <d v="2018-11-30T00:00:00"/>
    <d v="2018-12-31T00:00:00"/>
    <d v="2018-11-30T00:00:00"/>
    <m/>
    <x v="0"/>
    <x v="3"/>
  </r>
  <r>
    <s v="MRWSH020232"/>
    <x v="2"/>
    <x v="4"/>
    <d v="2018-11-30T00:00:00"/>
    <d v="2018-12-02T00:00:00"/>
    <d v="2018-11-08T00:00:00"/>
    <d v="2018-11-08T00:00:00"/>
    <x v="0"/>
    <x v="1"/>
  </r>
  <r>
    <s v="MRWSH020271"/>
    <x v="2"/>
    <x v="4"/>
    <d v="2018-11-30T00:00:00"/>
    <d v="2018-12-31T00:00:00"/>
    <d v="2018-12-31T00:00:00"/>
    <m/>
    <x v="1"/>
    <x v="2"/>
  </r>
  <r>
    <s v="MRWSH020361"/>
    <x v="2"/>
    <x v="4"/>
    <d v="2018-11-30T00:00:00"/>
    <d v="2018-12-31T00:00:00"/>
    <d v="2018-11-06T00:00:00"/>
    <d v="2018-11-06T00:00:00"/>
    <x v="0"/>
    <x v="1"/>
  </r>
  <r>
    <s v="MRNTX015140"/>
    <x v="1"/>
    <x v="4"/>
    <d v="2018-11-15T00:00:00"/>
    <d v="1999-12-30T00:00:00"/>
    <d v="2018-12-10T00:00:00"/>
    <m/>
    <x v="1"/>
    <x v="5"/>
  </r>
  <r>
    <s v="MRSTX030857"/>
    <x v="0"/>
    <x v="4"/>
    <d v="2018-11-30T00:00:00"/>
    <d v="2018-12-31T00:00:00"/>
    <d v="2018-12-31T00:00:00"/>
    <m/>
    <x v="1"/>
    <x v="2"/>
  </r>
  <r>
    <s v="MRSTX030868"/>
    <x v="0"/>
    <x v="4"/>
    <d v="2018-11-15T00:00:00"/>
    <d v="2018-11-15T00:00:00"/>
    <d v="2018-11-15T00:00:00"/>
    <d v="2018-11-15T00:00:00"/>
    <x v="0"/>
    <x v="1"/>
  </r>
  <r>
    <s v="MRSTX030886"/>
    <x v="0"/>
    <x v="4"/>
    <d v="2018-11-30T00:00:00"/>
    <d v="2018-12-31T00:00:00"/>
    <d v="2018-12-31T00:00:00"/>
    <m/>
    <x v="1"/>
    <x v="2"/>
  </r>
  <r>
    <s v="MRSTX030944"/>
    <x v="0"/>
    <x v="4"/>
    <d v="2018-11-30T00:00:00"/>
    <d v="2018-11-30T00:00:00"/>
    <d v="2018-11-30T00:00:00"/>
    <m/>
    <x v="0"/>
    <x v="0"/>
  </r>
  <r>
    <s v="MRSTX030946"/>
    <x v="0"/>
    <x v="4"/>
    <d v="2018-11-30T00:00:00"/>
    <d v="2018-12-31T00:00:00"/>
    <d v="2018-12-31T00:00:00"/>
    <m/>
    <x v="1"/>
    <x v="2"/>
  </r>
  <r>
    <s v="MRSTX030947"/>
    <x v="0"/>
    <x v="4"/>
    <d v="2018-11-30T00:00:00"/>
    <d v="2018-12-31T00:00:00"/>
    <d v="2018-12-31T00:00:00"/>
    <m/>
    <x v="1"/>
    <x v="2"/>
  </r>
  <r>
    <s v="MRSTX030952"/>
    <x v="0"/>
    <x v="4"/>
    <d v="2018-11-15T00:00:00"/>
    <d v="2018-11-15T00:00:00"/>
    <d v="2018-11-09T00:00:00"/>
    <d v="2018-11-09T00:00:00"/>
    <x v="0"/>
    <x v="1"/>
  </r>
  <r>
    <s v="MRSTX030955"/>
    <x v="0"/>
    <x v="4"/>
    <d v="2018-11-30T00:00:00"/>
    <d v="2018-11-30T00:00:00"/>
    <d v="2018-11-30T00:00:00"/>
    <m/>
    <x v="0"/>
    <x v="0"/>
  </r>
  <r>
    <s v="MRSTX030957"/>
    <x v="0"/>
    <x v="4"/>
    <d v="2018-11-28T00:00:00"/>
    <d v="2018-12-31T00:00:00"/>
    <d v="2018-12-31T00:00:00"/>
    <m/>
    <x v="1"/>
    <x v="2"/>
  </r>
  <r>
    <s v="MRSTX030958"/>
    <x v="0"/>
    <x v="4"/>
    <d v="2018-11-30T00:00:00"/>
    <d v="2018-11-30T00:00:00"/>
    <d v="2018-11-30T00:00:00"/>
    <m/>
    <x v="0"/>
    <x v="0"/>
  </r>
  <r>
    <s v="MRSTX030962"/>
    <x v="0"/>
    <x v="4"/>
    <d v="2018-11-30T00:00:00"/>
    <d v="2018-11-30T00:00:00"/>
    <d v="2018-11-30T00:00:00"/>
    <m/>
    <x v="0"/>
    <x v="0"/>
  </r>
  <r>
    <s v="MRSTX030965"/>
    <x v="0"/>
    <x v="4"/>
    <d v="2018-11-30T00:00:00"/>
    <d v="2018-12-31T00:00:00"/>
    <d v="2018-12-31T00:00:00"/>
    <m/>
    <x v="1"/>
    <x v="2"/>
  </r>
  <r>
    <s v="MRSTX030971"/>
    <x v="0"/>
    <x v="4"/>
    <d v="2018-11-30T00:00:00"/>
    <d v="2018-11-30T00:00:00"/>
    <d v="2018-11-15T00:00:00"/>
    <d v="2018-11-15T00:00:00"/>
    <x v="0"/>
    <x v="1"/>
  </r>
  <r>
    <s v="MRSTX030974"/>
    <x v="0"/>
    <x v="4"/>
    <d v="2018-11-30T00:00:00"/>
    <d v="2018-12-31T00:00:00"/>
    <d v="2018-12-31T00:00:00"/>
    <m/>
    <x v="1"/>
    <x v="2"/>
  </r>
  <r>
    <s v="MRSTX031070"/>
    <x v="0"/>
    <x v="4"/>
    <d v="2018-11-28T00:00:00"/>
    <d v="2018-12-31T00:00:00"/>
    <d v="2018-12-31T00:00:00"/>
    <m/>
    <x v="1"/>
    <x v="2"/>
  </r>
  <r>
    <s v="MRSTX031080"/>
    <x v="0"/>
    <x v="4"/>
    <d v="2018-11-28T00:00:00"/>
    <d v="2018-11-28T00:00:00"/>
    <d v="2018-11-28T00:00:00"/>
    <m/>
    <x v="0"/>
    <x v="0"/>
  </r>
  <r>
    <s v="MRSTX031100"/>
    <x v="0"/>
    <x v="4"/>
    <d v="2018-11-30T00:00:00"/>
    <d v="2018-11-30T00:00:00"/>
    <d v="2018-11-30T00:00:00"/>
    <m/>
    <x v="0"/>
    <x v="0"/>
  </r>
  <r>
    <s v="MRSTX031101"/>
    <x v="0"/>
    <x v="4"/>
    <d v="2018-11-30T00:00:00"/>
    <d v="2018-11-30T00:00:00"/>
    <d v="2018-11-15T00:00:00"/>
    <d v="2018-11-15T00:00:00"/>
    <x v="0"/>
    <x v="1"/>
  </r>
  <r>
    <s v="MRSTX031111"/>
    <x v="0"/>
    <x v="4"/>
    <d v="2018-11-30T00:00:00"/>
    <d v="2018-11-30T00:00:00"/>
    <d v="2018-11-26T00:00:00"/>
    <d v="2018-11-26T00:00:00"/>
    <x v="0"/>
    <x v="1"/>
  </r>
  <r>
    <s v="MRSTX031114"/>
    <x v="0"/>
    <x v="4"/>
    <d v="2018-11-30T00:00:00"/>
    <d v="2018-12-31T00:00:00"/>
    <d v="2018-12-31T00:00:00"/>
    <m/>
    <x v="1"/>
    <x v="2"/>
  </r>
  <r>
    <s v="MRSTX039811"/>
    <x v="0"/>
    <x v="4"/>
    <d v="2018-11-28T00:00:00"/>
    <d v="2018-11-28T00:00:00"/>
    <d v="2018-11-28T00:00:00"/>
    <m/>
    <x v="0"/>
    <x v="0"/>
  </r>
  <r>
    <s v="MRSTX039888"/>
    <x v="0"/>
    <x v="4"/>
    <d v="2018-11-28T00:00:00"/>
    <d v="2018-11-28T00:00:00"/>
    <d v="2018-11-28T00:00:00"/>
    <m/>
    <x v="0"/>
    <x v="0"/>
  </r>
  <r>
    <s v="MRSTX040008"/>
    <x v="0"/>
    <x v="4"/>
    <d v="2018-11-28T00:00:00"/>
    <d v="2018-11-28T00:00:00"/>
    <d v="2018-11-28T00:00:00"/>
    <m/>
    <x v="0"/>
    <x v="0"/>
  </r>
  <r>
    <s v="MRSTX040047"/>
    <x v="0"/>
    <x v="4"/>
    <d v="2018-11-28T00:00:00"/>
    <d v="2018-11-28T00:00:00"/>
    <d v="2018-11-28T00:00:00"/>
    <m/>
    <x v="0"/>
    <x v="0"/>
  </r>
  <r>
    <s v="MRNTX037162"/>
    <x v="1"/>
    <x v="4"/>
    <d v="2018-11-30T00:00:00"/>
    <d v="1999-12-30T00:00:00"/>
    <d v="2018-12-31T00:00:00"/>
    <m/>
    <x v="1"/>
    <x v="5"/>
  </r>
  <r>
    <s v="MRNTX037166"/>
    <x v="1"/>
    <x v="4"/>
    <d v="2018-11-29T00:00:00"/>
    <d v="1999-12-30T00:00:00"/>
    <d v="2018-12-31T00:00:00"/>
    <m/>
    <x v="1"/>
    <x v="5"/>
  </r>
  <r>
    <s v="MRNTX037174"/>
    <x v="1"/>
    <x v="4"/>
    <d v="2018-11-26T00:00:00"/>
    <d v="1999-12-30T00:00:00"/>
    <d v="2018-11-20T00:00:00"/>
    <d v="2018-11-20T00:00:00"/>
    <x v="0"/>
    <x v="1"/>
  </r>
  <r>
    <s v="MRNTX037175"/>
    <x v="1"/>
    <x v="4"/>
    <d v="2018-11-13T00:00:00"/>
    <d v="2018-11-12T00:00:00"/>
    <d v="2018-11-29T00:00:00"/>
    <d v="2018-11-29T00:00:00"/>
    <x v="1"/>
    <x v="1"/>
  </r>
  <r>
    <s v="MRNTX037197"/>
    <x v="1"/>
    <x v="4"/>
    <d v="2018-11-26T00:00:00"/>
    <d v="1999-12-30T00:00:00"/>
    <d v="2018-12-05T00:00:00"/>
    <m/>
    <x v="0"/>
    <x v="0"/>
  </r>
  <r>
    <s v="MRNTX037247"/>
    <x v="1"/>
    <x v="4"/>
    <d v="2018-11-27T00:00:00"/>
    <d v="1999-12-30T00:00:00"/>
    <d v="2018-11-14T00:00:00"/>
    <d v="2018-11-14T00:00:00"/>
    <x v="0"/>
    <x v="1"/>
  </r>
  <r>
    <s v="MRNTX037257"/>
    <x v="1"/>
    <x v="4"/>
    <d v="2018-11-22T00:00:00"/>
    <d v="2018-06-28T00:00:00"/>
    <d v="2018-11-29T00:00:00"/>
    <d v="2018-11-29T00:00:00"/>
    <x v="0"/>
    <x v="1"/>
  </r>
  <r>
    <s v="MRNTX037264"/>
    <x v="1"/>
    <x v="4"/>
    <d v="2018-11-22T00:00:00"/>
    <d v="1999-12-30T00:00:00"/>
    <d v="2018-11-09T00:00:00"/>
    <d v="2018-11-09T00:00:00"/>
    <x v="0"/>
    <x v="1"/>
  </r>
  <r>
    <s v="MRNTX037268"/>
    <x v="1"/>
    <x v="4"/>
    <d v="2018-11-10T00:00:00"/>
    <d v="1999-12-30T00:00:00"/>
    <d v="2018-11-28T00:00:00"/>
    <d v="2018-11-28T00:00:00"/>
    <x v="1"/>
    <x v="1"/>
  </r>
  <r>
    <s v="MRNTX037272"/>
    <x v="1"/>
    <x v="4"/>
    <d v="2018-11-27T00:00:00"/>
    <d v="1999-12-30T00:00:00"/>
    <d v="2018-11-08T00:00:00"/>
    <d v="2018-11-08T00:00:00"/>
    <x v="0"/>
    <x v="1"/>
  </r>
  <r>
    <s v="MRNTX037274"/>
    <x v="1"/>
    <x v="4"/>
    <d v="2018-11-15T00:00:00"/>
    <d v="1999-12-30T00:00:00"/>
    <d v="2018-11-29T00:00:00"/>
    <d v="2018-11-29T00:00:00"/>
    <x v="0"/>
    <x v="1"/>
  </r>
  <r>
    <s v="MRNTX037287"/>
    <x v="1"/>
    <x v="4"/>
    <d v="2018-11-14T00:00:00"/>
    <d v="1999-12-30T00:00:00"/>
    <d v="2018-11-14T00:00:00"/>
    <d v="2018-11-14T00:00:00"/>
    <x v="0"/>
    <x v="1"/>
  </r>
  <r>
    <s v="MRNTX037295"/>
    <x v="1"/>
    <x v="4"/>
    <d v="2018-11-29T00:00:00"/>
    <d v="1999-12-30T00:00:00"/>
    <d v="2018-12-17T00:00:00"/>
    <m/>
    <x v="1"/>
    <x v="5"/>
  </r>
  <r>
    <s v="MRNTX037297"/>
    <x v="1"/>
    <x v="4"/>
    <d v="2018-11-22T00:00:00"/>
    <d v="2018-06-28T00:00:00"/>
    <d v="2018-11-29T00:00:00"/>
    <d v="2018-11-29T00:00:00"/>
    <x v="0"/>
    <x v="1"/>
  </r>
  <r>
    <s v="MRNTX037298"/>
    <x v="1"/>
    <x v="4"/>
    <d v="2018-11-29T00:00:00"/>
    <d v="1999-12-30T00:00:00"/>
    <d v="2019-02-28T00:00:00"/>
    <m/>
    <x v="1"/>
    <x v="5"/>
  </r>
  <r>
    <s v="MRNTX037309"/>
    <x v="1"/>
    <x v="4"/>
    <d v="2018-11-29T00:00:00"/>
    <d v="1999-12-30T00:00:00"/>
    <d v="2018-11-29T00:00:00"/>
    <d v="2018-11-29T00:00:00"/>
    <x v="0"/>
    <x v="1"/>
  </r>
  <r>
    <s v="MRNTX037318"/>
    <x v="1"/>
    <x v="4"/>
    <d v="2018-11-29T00:00:00"/>
    <d v="1999-12-30T00:00:00"/>
    <d v="2018-12-10T00:00:00"/>
    <m/>
    <x v="0"/>
    <x v="0"/>
  </r>
  <r>
    <s v="MRNTX037325"/>
    <x v="1"/>
    <x v="4"/>
    <d v="2018-11-22T00:00:00"/>
    <d v="1999-12-30T00:00:00"/>
    <d v="2018-11-29T00:00:00"/>
    <d v="2018-11-29T00:00:00"/>
    <x v="0"/>
    <x v="1"/>
  </r>
  <r>
    <s v="MRNTX037327"/>
    <x v="1"/>
    <x v="4"/>
    <d v="2018-11-29T00:00:00"/>
    <d v="1999-12-30T00:00:00"/>
    <d v="2018-11-29T00:00:00"/>
    <d v="2018-11-29T00:00:00"/>
    <x v="0"/>
    <x v="1"/>
  </r>
  <r>
    <s v="MRSTX032284"/>
    <x v="0"/>
    <x v="4"/>
    <d v="2018-11-28T00:00:00"/>
    <d v="2018-12-31T00:00:00"/>
    <d v="2018-12-31T00:00:00"/>
    <m/>
    <x v="1"/>
    <x v="2"/>
  </r>
  <r>
    <s v="MRSTX032473"/>
    <x v="0"/>
    <x v="4"/>
    <d v="2018-11-30T00:00:00"/>
    <d v="2018-11-30T00:00:00"/>
    <d v="2018-11-30T00:00:00"/>
    <m/>
    <x v="0"/>
    <x v="0"/>
  </r>
  <r>
    <s v="MRSTX032510"/>
    <x v="0"/>
    <x v="4"/>
    <d v="2018-11-30T00:00:00"/>
    <d v="2018-11-30T00:00:00"/>
    <d v="2018-11-30T00:00:00"/>
    <m/>
    <x v="0"/>
    <x v="0"/>
  </r>
  <r>
    <s v="MRSTX032535"/>
    <x v="0"/>
    <x v="4"/>
    <d v="2018-11-30T00:00:00"/>
    <d v="2018-11-30T00:00:00"/>
    <d v="2018-11-30T00:00:00"/>
    <m/>
    <x v="0"/>
    <x v="0"/>
  </r>
  <r>
    <s v="MRSTX032561"/>
    <x v="0"/>
    <x v="4"/>
    <d v="2018-11-30T00:00:00"/>
    <d v="2018-12-31T00:00:00"/>
    <d v="2018-12-31T00:00:00"/>
    <m/>
    <x v="1"/>
    <x v="2"/>
  </r>
  <r>
    <s v="MRSTX032593"/>
    <x v="0"/>
    <x v="4"/>
    <d v="2018-11-30T00:00:00"/>
    <d v="2018-11-30T00:00:00"/>
    <d v="2018-11-30T00:00:00"/>
    <m/>
    <x v="0"/>
    <x v="0"/>
  </r>
  <r>
    <s v="MRSTX032704"/>
    <x v="0"/>
    <x v="4"/>
    <d v="2018-11-15T00:00:00"/>
    <d v="2018-11-15T00:00:00"/>
    <d v="2018-11-13T00:00:00"/>
    <d v="2018-11-13T00:00:00"/>
    <x v="0"/>
    <x v="1"/>
  </r>
  <r>
    <s v="MRSTX032725"/>
    <x v="0"/>
    <x v="4"/>
    <d v="2018-11-30T00:00:00"/>
    <d v="2018-11-30T00:00:00"/>
    <d v="2018-11-15T00:00:00"/>
    <d v="2018-11-15T00:00:00"/>
    <x v="0"/>
    <x v="1"/>
  </r>
  <r>
    <s v="MRSTX032749"/>
    <x v="0"/>
    <x v="4"/>
    <d v="2018-11-30T00:00:00"/>
    <d v="2018-11-30T00:00:00"/>
    <d v="2018-11-30T00:00:00"/>
    <m/>
    <x v="0"/>
    <x v="0"/>
  </r>
  <r>
    <s v="MRSTX032786"/>
    <x v="0"/>
    <x v="4"/>
    <d v="2018-11-28T00:00:00"/>
    <d v="2018-11-28T00:00:00"/>
    <d v="2018-11-28T00:00:00"/>
    <m/>
    <x v="0"/>
    <x v="0"/>
  </r>
  <r>
    <s v="MRSTX032792"/>
    <x v="0"/>
    <x v="4"/>
    <d v="2018-11-15T00:00:00"/>
    <d v="2018-11-15T00:00:00"/>
    <d v="2018-11-15T00:00:00"/>
    <d v="2018-11-15T00:00:00"/>
    <x v="0"/>
    <x v="1"/>
  </r>
  <r>
    <s v="MRSTX032828"/>
    <x v="0"/>
    <x v="4"/>
    <d v="2018-11-28T00:00:00"/>
    <d v="2018-12-31T00:00:00"/>
    <d v="2018-12-31T00:00:00"/>
    <m/>
    <x v="1"/>
    <x v="2"/>
  </r>
  <r>
    <s v="MRSTX032836"/>
    <x v="0"/>
    <x v="4"/>
    <d v="2018-11-28T00:00:00"/>
    <d v="2018-12-31T00:00:00"/>
    <d v="2018-12-31T00:00:00"/>
    <m/>
    <x v="1"/>
    <x v="2"/>
  </r>
  <r>
    <s v="MRNTX025127"/>
    <x v="1"/>
    <x v="4"/>
    <d v="2018-11-26T00:00:00"/>
    <d v="1999-12-30T00:00:00"/>
    <d v="2018-12-26T00:00:00"/>
    <m/>
    <x v="1"/>
    <x v="5"/>
  </r>
  <r>
    <s v="MRNTX025165"/>
    <x v="1"/>
    <x v="4"/>
    <d v="2018-11-19T00:00:00"/>
    <d v="1999-12-30T00:00:00"/>
    <d v="2018-12-10T00:00:00"/>
    <m/>
    <x v="1"/>
    <x v="5"/>
  </r>
  <r>
    <s v="MRNTX032627"/>
    <x v="1"/>
    <x v="4"/>
    <d v="2018-11-27T00:00:00"/>
    <d v="1999-12-30T00:00:00"/>
    <d v="2019-06-21T00:00:00"/>
    <m/>
    <x v="1"/>
    <x v="5"/>
  </r>
  <r>
    <s v="MRNTX032635"/>
    <x v="1"/>
    <x v="4"/>
    <d v="2018-11-27T00:00:00"/>
    <d v="1999-12-30T00:00:00"/>
    <d v="2019-06-21T00:00:00"/>
    <m/>
    <x v="1"/>
    <x v="5"/>
  </r>
  <r>
    <s v="MRNTX032682"/>
    <x v="1"/>
    <x v="4"/>
    <d v="2018-11-14T00:00:00"/>
    <d v="2018-10-23T00:00:00"/>
    <d v="2018-11-30T00:00:00"/>
    <m/>
    <x v="1"/>
    <x v="5"/>
  </r>
  <r>
    <s v="MRNTX032685"/>
    <x v="1"/>
    <x v="4"/>
    <d v="2018-11-30T00:00:00"/>
    <d v="1999-12-30T00:00:00"/>
    <d v="2018-11-22T00:00:00"/>
    <d v="2018-11-22T00:00:00"/>
    <x v="0"/>
    <x v="1"/>
  </r>
  <r>
    <s v="MRNTX032691"/>
    <x v="1"/>
    <x v="4"/>
    <d v="2018-11-11T00:00:00"/>
    <d v="2018-11-10T00:00:00"/>
    <d v="2018-11-13T00:00:00"/>
    <d v="2018-11-13T00:00:00"/>
    <x v="0"/>
    <x v="1"/>
  </r>
  <r>
    <s v="MRNTX032707"/>
    <x v="1"/>
    <x v="4"/>
    <d v="2018-11-30T00:00:00"/>
    <d v="2018-10-23T00:00:00"/>
    <d v="2018-11-07T00:00:00"/>
    <d v="2018-11-07T00:00:00"/>
    <x v="0"/>
    <x v="1"/>
  </r>
  <r>
    <s v="MRNTX032725"/>
    <x v="1"/>
    <x v="4"/>
    <d v="2018-11-30T00:00:00"/>
    <d v="2018-10-23T00:00:00"/>
    <d v="2018-11-07T00:00:00"/>
    <d v="2018-11-07T00:00:00"/>
    <x v="0"/>
    <x v="1"/>
  </r>
  <r>
    <s v="MRNTX032799"/>
    <x v="1"/>
    <x v="4"/>
    <d v="2018-11-30T00:00:00"/>
    <d v="2018-10-23T00:00:00"/>
    <d v="2018-11-12T00:00:00"/>
    <d v="2018-11-12T00:00:00"/>
    <x v="0"/>
    <x v="1"/>
  </r>
  <r>
    <s v="MRWSH025064"/>
    <x v="2"/>
    <x v="4"/>
    <d v="2018-11-30T00:00:00"/>
    <d v="1999-12-30T00:00:00"/>
    <d v="2018-11-30T00:00:00"/>
    <m/>
    <x v="0"/>
    <x v="0"/>
  </r>
  <r>
    <s v="MRWSH025065"/>
    <x v="2"/>
    <x v="4"/>
    <d v="2018-11-30T00:00:00"/>
    <d v="1999-12-30T00:00:00"/>
    <d v="2018-11-23T00:00:00"/>
    <d v="2018-11-23T00:00:00"/>
    <x v="0"/>
    <x v="1"/>
  </r>
  <r>
    <s v="MRWSH025080"/>
    <x v="2"/>
    <x v="4"/>
    <d v="2018-11-30T00:00:00"/>
    <d v="1999-12-30T00:00:00"/>
    <d v="2018-11-12T00:00:00"/>
    <d v="2018-11-12T00:00:00"/>
    <x v="0"/>
    <x v="1"/>
  </r>
  <r>
    <s v="MRWSH025088"/>
    <x v="2"/>
    <x v="4"/>
    <d v="2018-11-30T00:00:00"/>
    <d v="1999-12-30T00:00:00"/>
    <d v="2018-11-10T00:00:00"/>
    <d v="2018-11-10T00:00:00"/>
    <x v="0"/>
    <x v="1"/>
  </r>
  <r>
    <s v="MRWSH025115"/>
    <x v="2"/>
    <x v="4"/>
    <d v="2018-11-30T00:00:00"/>
    <d v="1999-12-30T00:00:00"/>
    <d v="2018-11-26T00:00:00"/>
    <d v="2018-11-26T00:00:00"/>
    <x v="0"/>
    <x v="1"/>
  </r>
  <r>
    <s v="MRWSH025118"/>
    <x v="2"/>
    <x v="4"/>
    <d v="2018-11-30T00:00:00"/>
    <d v="1999-12-30T00:00:00"/>
    <d v="2018-11-30T00:00:00"/>
    <m/>
    <x v="0"/>
    <x v="0"/>
  </r>
  <r>
    <s v="MRWSH025120"/>
    <x v="2"/>
    <x v="4"/>
    <d v="2018-11-30T00:00:00"/>
    <d v="1999-12-30T00:00:00"/>
    <d v="2018-11-26T00:00:00"/>
    <d v="2018-11-26T00:00:00"/>
    <x v="0"/>
    <x v="1"/>
  </r>
  <r>
    <s v="MRWSH025126"/>
    <x v="2"/>
    <x v="4"/>
    <d v="2018-11-30T00:00:00"/>
    <d v="1999-12-30T00:00:00"/>
    <d v="2018-11-14T00:00:00"/>
    <d v="2018-11-14T00:00:00"/>
    <x v="0"/>
    <x v="1"/>
  </r>
  <r>
    <s v="MRWSH025149"/>
    <x v="2"/>
    <x v="4"/>
    <d v="2018-11-30T00:00:00"/>
    <d v="1999-12-30T00:00:00"/>
    <d v="2018-11-09T00:00:00"/>
    <d v="2018-11-09T00:00:00"/>
    <x v="0"/>
    <x v="1"/>
  </r>
  <r>
    <s v="MRWSH025160"/>
    <x v="2"/>
    <x v="4"/>
    <d v="2018-11-30T00:00:00"/>
    <d v="1999-12-30T00:00:00"/>
    <d v="2018-11-30T00:00:00"/>
    <m/>
    <x v="0"/>
    <x v="0"/>
  </r>
  <r>
    <s v="MRWSH025163"/>
    <x v="2"/>
    <x v="4"/>
    <d v="2018-11-30T00:00:00"/>
    <d v="1999-12-30T00:00:00"/>
    <d v="2018-11-26T00:00:00"/>
    <d v="2018-11-26T00:00:00"/>
    <x v="0"/>
    <x v="1"/>
  </r>
  <r>
    <s v="MRWSH025169"/>
    <x v="2"/>
    <x v="4"/>
    <d v="2018-11-30T00:00:00"/>
    <d v="1999-12-30T00:00:00"/>
    <d v="2018-11-26T00:00:00"/>
    <d v="2018-11-26T00:00:00"/>
    <x v="0"/>
    <x v="1"/>
  </r>
  <r>
    <s v="MRWSH025180"/>
    <x v="2"/>
    <x v="4"/>
    <d v="2018-11-30T00:00:00"/>
    <d v="1999-12-30T00:00:00"/>
    <d v="2018-11-13T00:00:00"/>
    <d v="2018-11-13T00:00:00"/>
    <x v="0"/>
    <x v="1"/>
  </r>
  <r>
    <s v="MRWSH025185"/>
    <x v="2"/>
    <x v="4"/>
    <d v="2018-11-30T00:00:00"/>
    <d v="1999-12-30T00:00:00"/>
    <d v="2018-11-28T00:00:00"/>
    <d v="2018-11-28T00:00:00"/>
    <x v="0"/>
    <x v="1"/>
  </r>
  <r>
    <s v="MRWSH025191"/>
    <x v="2"/>
    <x v="4"/>
    <d v="2018-11-30T00:00:00"/>
    <d v="1999-12-30T00:00:00"/>
    <d v="2018-11-23T00:00:00"/>
    <d v="2018-11-23T00:00:00"/>
    <x v="0"/>
    <x v="1"/>
  </r>
  <r>
    <s v="MRWSH025208"/>
    <x v="2"/>
    <x v="4"/>
    <d v="2018-11-30T00:00:00"/>
    <d v="1999-12-30T00:00:00"/>
    <d v="2018-11-30T00:00:00"/>
    <m/>
    <x v="0"/>
    <x v="0"/>
  </r>
  <r>
    <s v="MRWSH025229"/>
    <x v="2"/>
    <x v="4"/>
    <d v="2018-11-30T00:00:00"/>
    <d v="1999-12-30T00:00:00"/>
    <d v="2018-11-17T00:00:00"/>
    <d v="2018-11-17T00:00:00"/>
    <x v="0"/>
    <x v="1"/>
  </r>
  <r>
    <s v="MRWSH025274"/>
    <x v="2"/>
    <x v="4"/>
    <d v="2018-11-30T00:00:00"/>
    <d v="1999-12-30T00:00:00"/>
    <d v="2018-11-27T00:00:00"/>
    <d v="2018-11-27T00:00:00"/>
    <x v="0"/>
    <x v="1"/>
  </r>
  <r>
    <s v="MRWSH025298"/>
    <x v="2"/>
    <x v="4"/>
    <d v="2018-11-30T00:00:00"/>
    <d v="1999-12-30T00:00:00"/>
    <d v="2018-11-30T00:00:00"/>
    <m/>
    <x v="0"/>
    <x v="0"/>
  </r>
  <r>
    <s v="MRWSH025302"/>
    <x v="2"/>
    <x v="4"/>
    <d v="2018-11-30T00:00:00"/>
    <d v="1999-12-30T00:00:00"/>
    <d v="2018-11-30T00:00:00"/>
    <m/>
    <x v="0"/>
    <x v="0"/>
  </r>
  <r>
    <s v="MRWSH025337"/>
    <x v="2"/>
    <x v="4"/>
    <d v="2018-11-30T00:00:00"/>
    <d v="1999-12-30T00:00:00"/>
    <d v="2018-11-23T00:00:00"/>
    <d v="2018-11-23T00:00:00"/>
    <x v="0"/>
    <x v="1"/>
  </r>
  <r>
    <s v="MRWSH025344"/>
    <x v="2"/>
    <x v="4"/>
    <d v="2018-11-30T00:00:00"/>
    <d v="1999-12-30T00:00:00"/>
    <d v="2018-11-14T00:00:00"/>
    <d v="2018-11-14T00:00:00"/>
    <x v="0"/>
    <x v="1"/>
  </r>
  <r>
    <s v="MRWSH025356"/>
    <x v="2"/>
    <x v="4"/>
    <d v="2018-11-30T00:00:00"/>
    <d v="1999-12-30T00:00:00"/>
    <d v="2018-11-30T00:00:00"/>
    <m/>
    <x v="0"/>
    <x v="0"/>
  </r>
  <r>
    <s v="MRSTX033094"/>
    <x v="0"/>
    <x v="4"/>
    <d v="2018-11-30T00:00:00"/>
    <d v="2018-11-30T00:00:00"/>
    <d v="2018-11-30T00:00:00"/>
    <m/>
    <x v="0"/>
    <x v="0"/>
  </r>
  <r>
    <s v="MRNTX032882"/>
    <x v="1"/>
    <x v="4"/>
    <d v="2018-11-11T00:00:00"/>
    <d v="2018-11-10T00:00:00"/>
    <d v="2018-11-08T00:00:00"/>
    <d v="2018-11-08T00:00:00"/>
    <x v="0"/>
    <x v="1"/>
  </r>
  <r>
    <s v="MRNTX032889"/>
    <x v="1"/>
    <x v="4"/>
    <d v="2018-11-14T00:00:00"/>
    <d v="2018-10-23T00:00:00"/>
    <d v="2018-11-30T00:00:00"/>
    <m/>
    <x v="1"/>
    <x v="5"/>
  </r>
  <r>
    <s v="MRNTX032915"/>
    <x v="1"/>
    <x v="4"/>
    <d v="2018-11-27T00:00:00"/>
    <d v="1999-12-30T00:00:00"/>
    <d v="2019-05-17T00:00:00"/>
    <m/>
    <x v="1"/>
    <x v="5"/>
  </r>
  <r>
    <s v="MRNTX032937"/>
    <x v="1"/>
    <x v="4"/>
    <d v="2018-11-14T00:00:00"/>
    <d v="1999-12-30T00:00:00"/>
    <d v="2018-12-10T00:00:00"/>
    <m/>
    <x v="1"/>
    <x v="5"/>
  </r>
  <r>
    <s v="MRNTX032942"/>
    <x v="1"/>
    <x v="4"/>
    <d v="2018-11-15T00:00:00"/>
    <d v="1999-12-30T00:00:00"/>
    <d v="2018-11-30T00:00:00"/>
    <m/>
    <x v="1"/>
    <x v="5"/>
  </r>
  <r>
    <s v="MRSTX034546"/>
    <x v="0"/>
    <x v="4"/>
    <d v="2018-11-28T00:00:00"/>
    <d v="2018-12-31T00:00:00"/>
    <d v="2018-12-31T00:00:00"/>
    <m/>
    <x v="1"/>
    <x v="2"/>
  </r>
  <r>
    <s v="MRSTX034554"/>
    <x v="0"/>
    <x v="4"/>
    <d v="2018-11-30T00:00:00"/>
    <d v="2018-11-30T00:00:00"/>
    <d v="2018-11-30T00:00:00"/>
    <m/>
    <x v="0"/>
    <x v="0"/>
  </r>
  <r>
    <s v="MRSTX034555"/>
    <x v="0"/>
    <x v="4"/>
    <d v="2018-11-30T00:00:00"/>
    <d v="2018-11-30T00:00:00"/>
    <d v="2018-11-28T00:00:00"/>
    <d v="2018-11-28T00:00:00"/>
    <x v="0"/>
    <x v="1"/>
  </r>
  <r>
    <s v="MRSTX034566"/>
    <x v="0"/>
    <x v="4"/>
    <d v="2018-11-30T00:00:00"/>
    <d v="2018-11-30T00:00:00"/>
    <d v="2018-11-30T00:00:00"/>
    <m/>
    <x v="0"/>
    <x v="0"/>
  </r>
  <r>
    <s v="MRSTX034670"/>
    <x v="0"/>
    <x v="4"/>
    <d v="2018-11-30T00:00:00"/>
    <d v="2018-11-30T00:00:00"/>
    <d v="2018-11-30T00:00:00"/>
    <m/>
    <x v="0"/>
    <x v="0"/>
  </r>
  <r>
    <s v="MRSTX034739"/>
    <x v="0"/>
    <x v="4"/>
    <d v="2018-11-30T00:00:00"/>
    <d v="2018-11-30T00:00:00"/>
    <d v="2018-11-30T00:00:00"/>
    <m/>
    <x v="0"/>
    <x v="0"/>
  </r>
  <r>
    <s v="MRWSH025386"/>
    <x v="2"/>
    <x v="4"/>
    <d v="2018-11-30T00:00:00"/>
    <d v="1999-12-30T00:00:00"/>
    <d v="2018-12-31T00:00:00"/>
    <m/>
    <x v="1"/>
    <x v="5"/>
  </r>
  <r>
    <s v="MRWSH025521"/>
    <x v="2"/>
    <x v="4"/>
    <d v="2018-11-30T00:00:00"/>
    <d v="1999-12-30T00:00:00"/>
    <d v="2018-11-15T00:00:00"/>
    <d v="2018-11-15T00:00:00"/>
    <x v="0"/>
    <x v="1"/>
  </r>
  <r>
    <s v="MRWSH025791"/>
    <x v="2"/>
    <x v="4"/>
    <d v="2018-11-30T00:00:00"/>
    <d v="1999-12-30T00:00:00"/>
    <d v="2018-12-31T00:00:00"/>
    <m/>
    <x v="1"/>
    <x v="5"/>
  </r>
  <r>
    <s v="MRNTX036641"/>
    <x v="1"/>
    <x v="4"/>
    <d v="2018-11-29T00:00:00"/>
    <d v="2018-07-19T00:00:00"/>
    <d v="2018-12-31T00:00:00"/>
    <m/>
    <x v="1"/>
    <x v="5"/>
  </r>
  <r>
    <s v="MRNTX036648"/>
    <x v="1"/>
    <x v="4"/>
    <d v="2018-11-22T00:00:00"/>
    <d v="1999-12-30T00:00:00"/>
    <d v="2018-12-24T00:00:00"/>
    <m/>
    <x v="1"/>
    <x v="5"/>
  </r>
  <r>
    <s v="MRNTX036673"/>
    <x v="1"/>
    <x v="4"/>
    <d v="2018-11-23T00:00:00"/>
    <d v="2018-07-19T00:00:00"/>
    <d v="2018-11-13T00:00:00"/>
    <d v="2018-11-13T00:00:00"/>
    <x v="0"/>
    <x v="1"/>
  </r>
  <r>
    <s v="MRNTX036705"/>
    <x v="1"/>
    <x v="4"/>
    <d v="2018-11-30T00:00:00"/>
    <d v="1999-12-30T00:00:00"/>
    <d v="2019-12-30T00:00:00"/>
    <m/>
    <x v="1"/>
    <x v="5"/>
  </r>
  <r>
    <s v="MRNTX036746"/>
    <x v="1"/>
    <x v="4"/>
    <d v="2018-11-23T00:00:00"/>
    <d v="2018-07-19T00:00:00"/>
    <d v="2018-11-09T00:00:00"/>
    <d v="2018-11-09T00:00:00"/>
    <x v="0"/>
    <x v="1"/>
  </r>
  <r>
    <s v="MRNTX036748"/>
    <x v="1"/>
    <x v="4"/>
    <d v="2018-11-29T00:00:00"/>
    <d v="2018-07-19T00:00:00"/>
    <d v="2018-12-31T00:00:00"/>
    <m/>
    <x v="1"/>
    <x v="5"/>
  </r>
  <r>
    <s v="MRNTX036772"/>
    <x v="1"/>
    <x v="4"/>
    <d v="2018-11-30T00:00:00"/>
    <d v="1999-12-30T00:00:00"/>
    <d v="2019-12-30T00:00:00"/>
    <m/>
    <x v="1"/>
    <x v="5"/>
  </r>
  <r>
    <s v="MRNTX036780"/>
    <x v="1"/>
    <x v="4"/>
    <d v="2018-11-23T00:00:00"/>
    <d v="2018-07-19T00:00:00"/>
    <d v="2018-11-09T00:00:00"/>
    <d v="2018-11-09T00:00:00"/>
    <x v="0"/>
    <x v="1"/>
  </r>
  <r>
    <s v="MRNTX036788"/>
    <x v="1"/>
    <x v="4"/>
    <d v="2018-11-22T00:00:00"/>
    <d v="1999-12-30T00:00:00"/>
    <d v="2018-12-24T00:00:00"/>
    <m/>
    <x v="1"/>
    <x v="5"/>
  </r>
  <r>
    <s v="MRNTX036791"/>
    <x v="1"/>
    <x v="4"/>
    <d v="2018-11-23T00:00:00"/>
    <d v="2018-07-19T00:00:00"/>
    <d v="2018-11-19T00:00:00"/>
    <d v="2018-11-19T00:00:00"/>
    <x v="0"/>
    <x v="1"/>
  </r>
  <r>
    <s v="MRNTX036798"/>
    <x v="1"/>
    <x v="4"/>
    <d v="2018-11-23T00:00:00"/>
    <d v="2018-07-19T00:00:00"/>
    <d v="2018-11-19T00:00:00"/>
    <d v="2018-11-19T00:00:00"/>
    <x v="0"/>
    <x v="1"/>
  </r>
  <r>
    <s v="MRANM014317"/>
    <x v="3"/>
    <x v="5"/>
    <d v="2018-11-30T00:00:00"/>
    <d v="2017-04-05T00:00:00"/>
    <d v="2018-11-14T00:00:00"/>
    <d v="2018-11-14T00:00:00"/>
    <x v="0"/>
    <x v="1"/>
  </r>
  <r>
    <s v="MRSTX035528"/>
    <x v="0"/>
    <x v="5"/>
    <d v="2018-11-15T00:00:00"/>
    <d v="2018-12-30T00:00:00"/>
    <d v="2018-11-09T00:00:00"/>
    <d v="2018-11-09T00:00:00"/>
    <x v="0"/>
    <x v="1"/>
  </r>
  <r>
    <s v="MRSTX035543"/>
    <x v="0"/>
    <x v="5"/>
    <d v="2018-11-15T00:00:00"/>
    <d v="2018-11-30T00:00:00"/>
    <d v="2018-11-21T00:00:00"/>
    <d v="2018-11-21T00:00:00"/>
    <x v="0"/>
    <x v="1"/>
  </r>
  <r>
    <s v="MRSTX035557"/>
    <x v="0"/>
    <x v="5"/>
    <d v="2018-11-15T00:00:00"/>
    <d v="2018-11-30T00:00:00"/>
    <d v="2018-11-15T00:00:00"/>
    <m/>
    <x v="0"/>
    <x v="3"/>
  </r>
  <r>
    <s v="MRSTX035587"/>
    <x v="0"/>
    <x v="5"/>
    <d v="2018-11-15T00:00:00"/>
    <d v="2018-11-30T00:00:00"/>
    <d v="2018-11-21T00:00:00"/>
    <d v="2018-11-21T00:00:00"/>
    <x v="0"/>
    <x v="1"/>
  </r>
  <r>
    <s v="MRSTX035594"/>
    <x v="0"/>
    <x v="5"/>
    <d v="2018-11-15T00:00:00"/>
    <d v="2018-12-30T00:00:00"/>
    <d v="2018-11-15T00:00:00"/>
    <m/>
    <x v="0"/>
    <x v="3"/>
  </r>
  <r>
    <s v="MRSTX035601"/>
    <x v="0"/>
    <x v="5"/>
    <d v="2018-11-15T00:00:00"/>
    <d v="2018-11-29T00:00:00"/>
    <d v="2018-11-08T00:00:00"/>
    <d v="2018-11-08T00:00:00"/>
    <x v="0"/>
    <x v="1"/>
  </r>
  <r>
    <s v="MRSTX035643"/>
    <x v="0"/>
    <x v="5"/>
    <d v="2018-11-30T00:00:00"/>
    <d v="2018-12-30T00:00:00"/>
    <d v="2018-12-30T00:00:00"/>
    <m/>
    <x v="1"/>
    <x v="2"/>
  </r>
  <r>
    <s v="MRSTX035671"/>
    <x v="0"/>
    <x v="5"/>
    <d v="2018-11-15T00:00:00"/>
    <d v="2018-11-29T00:00:00"/>
    <d v="2018-11-08T00:00:00"/>
    <d v="2018-11-08T00:00:00"/>
    <x v="0"/>
    <x v="1"/>
  </r>
  <r>
    <s v="MRSTX035685"/>
    <x v="0"/>
    <x v="5"/>
    <d v="2018-11-15T00:00:00"/>
    <d v="2018-12-30T00:00:00"/>
    <d v="2018-11-15T00:00:00"/>
    <m/>
    <x v="0"/>
    <x v="3"/>
  </r>
  <r>
    <s v="MRNTX036848"/>
    <x v="1"/>
    <x v="5"/>
    <d v="2018-11-20T00:00:00"/>
    <d v="2019-01-20T00:00:00"/>
    <d v="2019-01-30T00:00:00"/>
    <m/>
    <x v="1"/>
    <x v="2"/>
  </r>
  <r>
    <s v="MRNTX036858"/>
    <x v="1"/>
    <x v="5"/>
    <d v="2018-11-20T00:00:00"/>
    <d v="2019-01-20T00:00:00"/>
    <d v="2019-01-30T00:00:00"/>
    <m/>
    <x v="1"/>
    <x v="2"/>
  </r>
  <r>
    <s v="MRSTX031122"/>
    <x v="0"/>
    <x v="5"/>
    <d v="2018-11-15T00:00:00"/>
    <d v="2018-11-30T00:00:00"/>
    <d v="2018-11-15T00:00:00"/>
    <m/>
    <x v="0"/>
    <x v="3"/>
  </r>
  <r>
    <s v="MRSTX031127"/>
    <x v="0"/>
    <x v="5"/>
    <d v="2018-11-03T00:00:00"/>
    <d v="2018-11-03T00:00:00"/>
    <d v="2019-01-08T00:00:00"/>
    <m/>
    <x v="1"/>
    <x v="5"/>
  </r>
  <r>
    <s v="MRSTX031140"/>
    <x v="0"/>
    <x v="5"/>
    <d v="2018-11-30T00:00:00"/>
    <d v="2018-11-30T00:00:00"/>
    <d v="2018-11-30T00:00:00"/>
    <m/>
    <x v="0"/>
    <x v="0"/>
  </r>
  <r>
    <s v="MRSTX031299"/>
    <x v="0"/>
    <x v="5"/>
    <d v="2018-11-15T00:00:00"/>
    <d v="2018-09-30T00:00:00"/>
    <d v="2018-11-19T00:00:00"/>
    <d v="2018-11-19T00:00:00"/>
    <x v="0"/>
    <x v="1"/>
  </r>
  <r>
    <s v="MRSTX031388"/>
    <x v="0"/>
    <x v="5"/>
    <d v="2018-11-15T00:00:00"/>
    <d v="2018-11-30T00:00:00"/>
    <d v="2018-11-15T00:00:00"/>
    <m/>
    <x v="0"/>
    <x v="3"/>
  </r>
  <r>
    <s v="MRSTX031481"/>
    <x v="0"/>
    <x v="5"/>
    <d v="2018-11-15T00:00:00"/>
    <d v="2018-10-30T00:00:00"/>
    <d v="2018-11-09T00:00:00"/>
    <d v="2018-11-09T00:00:00"/>
    <x v="0"/>
    <x v="1"/>
  </r>
  <r>
    <s v="MRSTX031601"/>
    <x v="0"/>
    <x v="5"/>
    <d v="2018-11-15T00:00:00"/>
    <d v="2018-11-30T00:00:00"/>
    <d v="2018-11-21T00:00:00"/>
    <d v="2018-11-21T00:00:00"/>
    <x v="0"/>
    <x v="1"/>
  </r>
  <r>
    <s v="MRSTX031605"/>
    <x v="0"/>
    <x v="5"/>
    <d v="2018-11-15T00:00:00"/>
    <d v="2018-12-30T00:00:00"/>
    <d v="2018-11-21T00:00:00"/>
    <d v="2018-11-21T00:00:00"/>
    <x v="0"/>
    <x v="1"/>
  </r>
  <r>
    <s v="MRSTX031616"/>
    <x v="0"/>
    <x v="5"/>
    <d v="2018-11-15T00:00:00"/>
    <d v="2018-09-30T00:00:00"/>
    <d v="2018-11-19T00:00:00"/>
    <d v="2018-11-19T00:00:00"/>
    <x v="0"/>
    <x v="1"/>
  </r>
  <r>
    <s v="MRSTX031635"/>
    <x v="0"/>
    <x v="5"/>
    <d v="2018-11-15T00:00:00"/>
    <d v="2018-12-30T00:00:00"/>
    <d v="2018-12-15T00:00:00"/>
    <m/>
    <x v="1"/>
    <x v="4"/>
  </r>
  <r>
    <s v="MRSTX031967"/>
    <x v="0"/>
    <x v="5"/>
    <d v="2018-11-15T00:00:00"/>
    <d v="2018-12-30T00:00:00"/>
    <d v="2018-11-15T00:00:00"/>
    <m/>
    <x v="0"/>
    <x v="3"/>
  </r>
  <r>
    <s v="MRSTX032083"/>
    <x v="0"/>
    <x v="5"/>
    <d v="2018-11-15T00:00:00"/>
    <d v="2018-12-30T00:00:00"/>
    <d v="2018-11-15T00:00:00"/>
    <m/>
    <x v="0"/>
    <x v="3"/>
  </r>
  <r>
    <s v="MRSTX032124"/>
    <x v="0"/>
    <x v="5"/>
    <d v="2018-11-15T00:00:00"/>
    <d v="2018-10-30T00:00:00"/>
    <d v="2018-11-15T00:00:00"/>
    <m/>
    <x v="0"/>
    <x v="0"/>
  </r>
  <r>
    <s v="MRSTX032219"/>
    <x v="0"/>
    <x v="5"/>
    <d v="2018-11-15T00:00:00"/>
    <d v="1999-12-30T00:00:00"/>
    <d v="2018-11-15T00:00:00"/>
    <m/>
    <x v="0"/>
    <x v="0"/>
  </r>
  <r>
    <s v="MRWSH020487"/>
    <x v="2"/>
    <x v="5"/>
    <d v="2018-11-30T00:00:00"/>
    <d v="2018-09-30T00:00:00"/>
    <d v="2018-11-20T00:00:00"/>
    <d v="2018-11-20T00:00:00"/>
    <x v="0"/>
    <x v="1"/>
  </r>
  <r>
    <s v="MRWSH020547"/>
    <x v="2"/>
    <x v="5"/>
    <d v="2018-11-30T00:00:00"/>
    <d v="2018-05-10T00:00:00"/>
    <d v="2018-11-30T00:00:00"/>
    <m/>
    <x v="0"/>
    <x v="0"/>
  </r>
  <r>
    <s v="MRWSH020572"/>
    <x v="2"/>
    <x v="5"/>
    <d v="2018-11-30T00:00:00"/>
    <d v="2018-05-03T00:00:00"/>
    <d v="2018-11-30T00:00:00"/>
    <m/>
    <x v="0"/>
    <x v="0"/>
  </r>
  <r>
    <s v="MRWSH020613"/>
    <x v="2"/>
    <x v="5"/>
    <d v="2018-11-30T00:00:00"/>
    <d v="2018-12-15T00:00:00"/>
    <d v="2018-11-16T00:00:00"/>
    <d v="2018-11-16T00:00:00"/>
    <x v="0"/>
    <x v="1"/>
  </r>
  <r>
    <s v="MRWSH020641"/>
    <x v="2"/>
    <x v="5"/>
    <d v="2018-11-30T00:00:00"/>
    <d v="2018-12-15T00:00:00"/>
    <d v="2018-11-30T00:00:00"/>
    <m/>
    <x v="0"/>
    <x v="3"/>
  </r>
  <r>
    <s v="MRWSH020676"/>
    <x v="2"/>
    <x v="5"/>
    <d v="2018-11-02T00:00:00"/>
    <d v="2018-12-15T00:00:00"/>
    <d v="2018-11-02T00:00:00"/>
    <d v="2018-11-02T00:00:00"/>
    <x v="0"/>
    <x v="1"/>
  </r>
  <r>
    <s v="MRWSH020678"/>
    <x v="2"/>
    <x v="5"/>
    <d v="2018-11-30T00:00:00"/>
    <d v="2018-12-20T00:00:00"/>
    <d v="2018-11-30T00:00:00"/>
    <m/>
    <x v="0"/>
    <x v="3"/>
  </r>
  <r>
    <s v="MRWSH020824"/>
    <x v="2"/>
    <x v="5"/>
    <d v="2018-11-30T00:00:00"/>
    <s v="N/A"/>
    <s v="N/A"/>
    <s v="N/A"/>
    <x v="2"/>
    <x v="0"/>
  </r>
  <r>
    <s v="MRWSH020897"/>
    <x v="2"/>
    <x v="5"/>
    <d v="2018-11-30T00:00:00"/>
    <d v="2018-12-15T00:00:00"/>
    <d v="2018-11-30T00:00:00"/>
    <m/>
    <x v="0"/>
    <x v="3"/>
  </r>
  <r>
    <s v="MRWSH020966"/>
    <x v="2"/>
    <x v="5"/>
    <d v="2018-11-30T00:00:00"/>
    <d v="2018-06-01T00:00:00"/>
    <d v="2018-11-30T00:00:00"/>
    <m/>
    <x v="0"/>
    <x v="0"/>
  </r>
  <r>
    <s v="MRWSH020967"/>
    <x v="2"/>
    <x v="5"/>
    <d v="2018-11-30T00:00:00"/>
    <d v="2018-08-19T00:00:00"/>
    <d v="2018-11-30T00:00:00"/>
    <m/>
    <x v="0"/>
    <x v="0"/>
  </r>
  <r>
    <s v="MRWSH020992"/>
    <x v="2"/>
    <x v="5"/>
    <d v="2018-11-30T00:00:00"/>
    <d v="2018-07-18T00:00:00"/>
    <d v="2018-11-06T00:00:00"/>
    <d v="2018-11-06T00:00:00"/>
    <x v="0"/>
    <x v="1"/>
  </r>
  <r>
    <s v="MRWSH021067"/>
    <x v="2"/>
    <x v="5"/>
    <d v="2018-11-30T00:00:00"/>
    <d v="2018-12-15T00:00:00"/>
    <d v="2018-11-30T00:00:00"/>
    <m/>
    <x v="0"/>
    <x v="3"/>
  </r>
  <r>
    <s v="MRSTX033122"/>
    <x v="0"/>
    <x v="5"/>
    <d v="2018-11-15T00:00:00"/>
    <d v="2018-12-30T00:00:00"/>
    <d v="2018-11-15T00:00:00"/>
    <m/>
    <x v="0"/>
    <x v="3"/>
  </r>
  <r>
    <s v="MRSTX033206"/>
    <x v="0"/>
    <x v="5"/>
    <d v="2018-11-15T00:00:00"/>
    <d v="2018-08-15T00:00:00"/>
    <d v="2018-11-15T00:00:00"/>
    <m/>
    <x v="0"/>
    <x v="0"/>
  </r>
  <r>
    <s v="MRSTX033234"/>
    <x v="0"/>
    <x v="5"/>
    <d v="2018-11-15T00:00:00"/>
    <d v="2018-12-30T00:00:00"/>
    <d v="2018-11-15T00:00:00"/>
    <m/>
    <x v="0"/>
    <x v="3"/>
  </r>
  <r>
    <s v="MRSTX033348"/>
    <x v="0"/>
    <x v="5"/>
    <d v="2018-11-30T00:00:00"/>
    <d v="2018-11-30T00:00:00"/>
    <d v="2018-11-19T00:00:00"/>
    <d v="2018-11-19T00:00:00"/>
    <x v="0"/>
    <x v="1"/>
  </r>
  <r>
    <s v="MRSTX033360"/>
    <x v="0"/>
    <x v="5"/>
    <d v="2018-11-15T00:00:00"/>
    <d v="2018-10-30T00:00:00"/>
    <d v="2018-11-15T00:00:00"/>
    <m/>
    <x v="0"/>
    <x v="0"/>
  </r>
  <r>
    <s v="MRSTX033439"/>
    <x v="0"/>
    <x v="5"/>
    <d v="2018-11-15T00:00:00"/>
    <d v="2018-11-30T00:00:00"/>
    <d v="2018-11-07T00:00:00"/>
    <d v="2018-11-07T00:00:00"/>
    <x v="0"/>
    <x v="1"/>
  </r>
  <r>
    <s v="MRSTX033473"/>
    <x v="0"/>
    <x v="5"/>
    <d v="2018-11-30T00:00:00"/>
    <d v="2018-12-30T00:00:00"/>
    <d v="2018-12-30T00:00:00"/>
    <m/>
    <x v="1"/>
    <x v="2"/>
  </r>
  <r>
    <s v="MRSTX033481"/>
    <x v="0"/>
    <x v="5"/>
    <d v="2018-11-15T00:00:00"/>
    <d v="2018-11-30T00:00:00"/>
    <d v="2018-11-19T00:00:00"/>
    <d v="2018-11-19T00:00:00"/>
    <x v="0"/>
    <x v="1"/>
  </r>
  <r>
    <s v="MRSTX033491"/>
    <x v="0"/>
    <x v="5"/>
    <d v="2018-11-15T00:00:00"/>
    <d v="2018-09-29T00:00:00"/>
    <d v="2018-11-15T00:00:00"/>
    <m/>
    <x v="0"/>
    <x v="0"/>
  </r>
  <r>
    <s v="MRSTX033498"/>
    <x v="0"/>
    <x v="5"/>
    <d v="2018-11-15T00:00:00"/>
    <d v="2018-11-30T00:00:00"/>
    <d v="2018-11-09T00:00:00"/>
    <d v="2018-11-09T00:00:00"/>
    <x v="0"/>
    <x v="1"/>
  </r>
  <r>
    <s v="MRSTX033513"/>
    <x v="0"/>
    <x v="5"/>
    <d v="2018-11-30T00:00:00"/>
    <d v="2018-11-30T00:00:00"/>
    <d v="2018-11-19T00:00:00"/>
    <d v="2018-11-19T00:00:00"/>
    <x v="0"/>
    <x v="1"/>
  </r>
  <r>
    <s v="MRSTX033519"/>
    <x v="0"/>
    <x v="5"/>
    <d v="2018-11-15T00:00:00"/>
    <d v="2018-11-30T00:00:00"/>
    <d v="2018-11-15T00:00:00"/>
    <m/>
    <x v="0"/>
    <x v="3"/>
  </r>
  <r>
    <s v="MRSTX033533"/>
    <x v="0"/>
    <x v="5"/>
    <d v="2018-11-30T00:00:00"/>
    <d v="2018-11-30T00:00:00"/>
    <d v="2018-11-19T00:00:00"/>
    <d v="2018-11-19T00:00:00"/>
    <x v="0"/>
    <x v="1"/>
  </r>
  <r>
    <s v="MRSTX033548"/>
    <x v="0"/>
    <x v="5"/>
    <d v="2018-11-15T00:00:00"/>
    <d v="2018-11-30T00:00:00"/>
    <d v="2018-11-15T00:00:00"/>
    <m/>
    <x v="0"/>
    <x v="3"/>
  </r>
  <r>
    <s v="MRSTX033570"/>
    <x v="0"/>
    <x v="5"/>
    <d v="2018-11-15T00:00:00"/>
    <d v="2018-08-30T00:00:00"/>
    <d v="2018-11-30T00:00:00"/>
    <m/>
    <x v="1"/>
    <x v="5"/>
  </r>
  <r>
    <s v="MRSTX033572"/>
    <x v="0"/>
    <x v="5"/>
    <d v="2018-11-30T00:00:00"/>
    <d v="2018-12-19T00:00:00"/>
    <d v="2018-12-19T00:00:00"/>
    <m/>
    <x v="1"/>
    <x v="2"/>
  </r>
  <r>
    <s v="MRSTX033577"/>
    <x v="0"/>
    <x v="5"/>
    <d v="2018-11-15T00:00:00"/>
    <d v="2018-09-29T00:00:00"/>
    <d v="2018-11-15T00:00:00"/>
    <m/>
    <x v="0"/>
    <x v="0"/>
  </r>
  <r>
    <s v="MRSTX033578"/>
    <x v="0"/>
    <x v="5"/>
    <d v="2018-11-30T00:00:00"/>
    <d v="2018-12-19T00:00:00"/>
    <d v="2018-12-19T00:00:00"/>
    <m/>
    <x v="1"/>
    <x v="2"/>
  </r>
  <r>
    <s v="MRSTX033594"/>
    <x v="0"/>
    <x v="5"/>
    <d v="2018-11-15T00:00:00"/>
    <d v="2018-11-30T00:00:00"/>
    <d v="2018-11-15T00:00:00"/>
    <m/>
    <x v="0"/>
    <x v="3"/>
  </r>
  <r>
    <s v="MRNTX027834"/>
    <x v="1"/>
    <x v="5"/>
    <d v="2018-11-25T00:00:00"/>
    <d v="2018-11-07T00:00:00"/>
    <d v="2018-11-26T00:00:00"/>
    <d v="2018-11-26T00:00:00"/>
    <x v="0"/>
    <x v="1"/>
  </r>
  <r>
    <s v="MRNTX033077"/>
    <x v="1"/>
    <x v="5"/>
    <d v="2018-11-22T00:00:00"/>
    <d v="2019-01-02T00:00:00"/>
    <d v="2019-01-30T00:00:00"/>
    <m/>
    <x v="1"/>
    <x v="2"/>
  </r>
  <r>
    <s v="MRNTX033119"/>
    <x v="1"/>
    <x v="5"/>
    <d v="2018-11-22T00:00:00"/>
    <d v="2019-03-13T00:00:00"/>
    <d v="2019-03-30T00:00:00"/>
    <m/>
    <x v="1"/>
    <x v="2"/>
  </r>
  <r>
    <s v="MRWSH014073"/>
    <x v="2"/>
    <x v="5"/>
    <d v="2018-11-30T00:00:00"/>
    <d v="1999-12-30T00:00:00"/>
    <d v="2018-11-30T00:00:00"/>
    <m/>
    <x v="0"/>
    <x v="0"/>
  </r>
  <r>
    <s v="MRANM014683"/>
    <x v="3"/>
    <x v="5"/>
    <d v="2018-11-30T00:00:00"/>
    <d v="1999-12-30T00:00:00"/>
    <d v="2018-11-14T00:00:00"/>
    <d v="2018-11-14T00:00:00"/>
    <x v="0"/>
    <x v="1"/>
  </r>
  <r>
    <s v="MRNTX033259"/>
    <x v="1"/>
    <x v="5"/>
    <d v="2018-11-22T00:00:00"/>
    <d v="2019-03-13T00:00:00"/>
    <d v="2019-03-30T00:00:00"/>
    <m/>
    <x v="1"/>
    <x v="2"/>
  </r>
  <r>
    <s v="MRNTX033276"/>
    <x v="1"/>
    <x v="5"/>
    <d v="2018-11-22T00:00:00"/>
    <d v="2019-01-02T00:00:00"/>
    <d v="2019-01-30T00:00:00"/>
    <m/>
    <x v="1"/>
    <x v="2"/>
  </r>
  <r>
    <s v="MRNTX033283"/>
    <x v="1"/>
    <x v="5"/>
    <d v="2018-11-29T00:00:00"/>
    <d v="2018-11-30T00:00:00"/>
    <d v="2018-11-19T00:00:00"/>
    <d v="2018-11-19T00:00:00"/>
    <x v="0"/>
    <x v="1"/>
  </r>
  <r>
    <s v="MRNTX033309"/>
    <x v="1"/>
    <x v="5"/>
    <d v="2018-11-22T00:00:00"/>
    <d v="2018-11-24T00:00:00"/>
    <d v="2018-11-07T00:00:00"/>
    <d v="2018-11-07T00:00:00"/>
    <x v="0"/>
    <x v="1"/>
  </r>
  <r>
    <s v="MRSTX014673"/>
    <x v="0"/>
    <x v="5"/>
    <d v="2018-11-15T00:00:00"/>
    <d v="2018-12-30T00:00:00"/>
    <d v="2018-11-15T00:00:00"/>
    <m/>
    <x v="0"/>
    <x v="3"/>
  </r>
  <r>
    <s v="MRSTX014757"/>
    <x v="0"/>
    <x v="5"/>
    <d v="2018-11-15T00:00:00"/>
    <d v="2018-12-30T00:00:00"/>
    <d v="2018-11-15T00:00:00"/>
    <m/>
    <x v="0"/>
    <x v="3"/>
  </r>
  <r>
    <s v="MRSTX019643"/>
    <x v="0"/>
    <x v="5"/>
    <d v="2018-11-13T00:00:00"/>
    <d v="2018-11-13T00:00:00"/>
    <d v="2018-11-16T00:00:00"/>
    <d v="2018-11-16T00:00:00"/>
    <x v="0"/>
    <x v="1"/>
  </r>
  <r>
    <s v="MRSTX035732"/>
    <x v="0"/>
    <x v="5"/>
    <d v="2018-11-15T00:00:00"/>
    <d v="2018-10-30T00:00:00"/>
    <d v="2018-11-05T00:00:00"/>
    <d v="2018-11-05T00:00:00"/>
    <x v="0"/>
    <x v="1"/>
  </r>
  <r>
    <s v="MRSTX035737"/>
    <x v="0"/>
    <x v="5"/>
    <d v="2018-11-15T00:00:00"/>
    <d v="2018-08-30T00:00:00"/>
    <d v="2018-11-15T00:00:00"/>
    <m/>
    <x v="0"/>
    <x v="0"/>
  </r>
  <r>
    <s v="MRSTX035743"/>
    <x v="0"/>
    <x v="5"/>
    <d v="2018-11-15T00:00:00"/>
    <d v="2018-08-30T00:00:00"/>
    <d v="2018-11-15T00:00:00"/>
    <m/>
    <x v="0"/>
    <x v="0"/>
  </r>
  <r>
    <s v="MRSTX035751"/>
    <x v="0"/>
    <x v="5"/>
    <d v="2018-11-15T00:00:00"/>
    <d v="2018-11-30T00:00:00"/>
    <d v="2018-11-15T00:00:00"/>
    <m/>
    <x v="0"/>
    <x v="3"/>
  </r>
  <r>
    <s v="MRSTX035752"/>
    <x v="0"/>
    <x v="5"/>
    <d v="2018-11-15T00:00:00"/>
    <d v="2018-10-30T00:00:00"/>
    <d v="2018-11-15T00:00:00"/>
    <m/>
    <x v="0"/>
    <x v="0"/>
  </r>
  <r>
    <s v="MRSTX035757"/>
    <x v="0"/>
    <x v="5"/>
    <d v="2018-11-15T00:00:00"/>
    <d v="2018-11-30T00:00:00"/>
    <d v="2018-11-15T00:00:00"/>
    <m/>
    <x v="0"/>
    <x v="3"/>
  </r>
  <r>
    <s v="MRSTX035813"/>
    <x v="0"/>
    <x v="5"/>
    <d v="2018-11-15T00:00:00"/>
    <d v="2018-10-30T00:00:00"/>
    <d v="2018-11-15T00:00:00"/>
    <m/>
    <x v="0"/>
    <x v="0"/>
  </r>
  <r>
    <s v="MRANM019395"/>
    <x v="3"/>
    <x v="5"/>
    <d v="2018-11-30T00:00:00"/>
    <d v="1999-12-30T00:00:00"/>
    <d v="2018-11-30T00:00:00"/>
    <m/>
    <x v="0"/>
    <x v="0"/>
  </r>
  <r>
    <s v="MRANM019466"/>
    <x v="3"/>
    <x v="5"/>
    <d v="2018-11-30T00:00:00"/>
    <d v="1999-12-30T00:00:00"/>
    <d v="2018-11-30T00:00:00"/>
    <m/>
    <x v="0"/>
    <x v="0"/>
  </r>
  <r>
    <s v="MRNTX031609"/>
    <x v="1"/>
    <x v="5"/>
    <d v="2018-11-02T00:00:00"/>
    <d v="2018-12-02T00:00:00"/>
    <d v="2018-11-02T00:00:00"/>
    <d v="2018-11-02T00:00:00"/>
    <x v="0"/>
    <x v="1"/>
  </r>
  <r>
    <s v="MRNTX031763"/>
    <x v="1"/>
    <x v="5"/>
    <d v="2018-11-13T00:00:00"/>
    <d v="2019-03-13T00:00:00"/>
    <d v="2019-03-30T00:00:00"/>
    <m/>
    <x v="1"/>
    <x v="4"/>
  </r>
  <r>
    <s v="MRSTX035817"/>
    <x v="0"/>
    <x v="5"/>
    <d v="2018-11-15T00:00:00"/>
    <d v="2018-12-30T00:00:00"/>
    <d v="2018-11-09T00:00:00"/>
    <d v="2018-11-09T00:00:00"/>
    <x v="0"/>
    <x v="1"/>
  </r>
  <r>
    <s v="MRSTX035821"/>
    <x v="0"/>
    <x v="5"/>
    <d v="2018-11-15T00:00:00"/>
    <d v="2018-12-30T00:00:00"/>
    <d v="2018-11-15T00:00:00"/>
    <m/>
    <x v="0"/>
    <x v="3"/>
  </r>
  <r>
    <s v="MRSTX035823"/>
    <x v="0"/>
    <x v="5"/>
    <d v="2018-11-15T00:00:00"/>
    <d v="2018-12-30T00:00:00"/>
    <d v="2018-11-15T00:00:00"/>
    <m/>
    <x v="0"/>
    <x v="3"/>
  </r>
  <r>
    <s v="MRSTX035838"/>
    <x v="0"/>
    <x v="5"/>
    <d v="2018-11-15T00:00:00"/>
    <d v="2018-12-30T00:00:00"/>
    <d v="2018-11-15T00:00:00"/>
    <m/>
    <x v="0"/>
    <x v="3"/>
  </r>
  <r>
    <s v="MRSTX035856"/>
    <x v="0"/>
    <x v="5"/>
    <d v="2018-11-15T00:00:00"/>
    <d v="2018-08-30T00:00:00"/>
    <d v="2018-11-15T00:00:00"/>
    <m/>
    <x v="0"/>
    <x v="0"/>
  </r>
  <r>
    <s v="MRSTX035872"/>
    <x v="0"/>
    <x v="5"/>
    <d v="2018-11-15T00:00:00"/>
    <d v="2018-10-30T00:00:00"/>
    <d v="2018-11-05T00:00:00"/>
    <d v="2018-11-05T00:00:00"/>
    <x v="0"/>
    <x v="1"/>
  </r>
  <r>
    <s v="MRSTX035876"/>
    <x v="0"/>
    <x v="5"/>
    <d v="2018-11-15T00:00:00"/>
    <d v="2018-12-30T00:00:00"/>
    <d v="2018-11-15T00:00:00"/>
    <m/>
    <x v="0"/>
    <x v="3"/>
  </r>
  <r>
    <s v="MRSTX035878"/>
    <x v="0"/>
    <x v="5"/>
    <d v="2018-11-15T00:00:00"/>
    <d v="2018-10-30T00:00:00"/>
    <d v="2018-11-05T00:00:00"/>
    <d v="2018-11-05T00:00:00"/>
    <x v="0"/>
    <x v="1"/>
  </r>
  <r>
    <s v="MRSTX035882"/>
    <x v="0"/>
    <x v="5"/>
    <d v="2018-11-15T00:00:00"/>
    <d v="2018-10-30T00:00:00"/>
    <d v="2018-11-05T00:00:00"/>
    <d v="2018-11-05T00:00:00"/>
    <x v="0"/>
    <x v="1"/>
  </r>
  <r>
    <s v="MRSTX035900"/>
    <x v="0"/>
    <x v="5"/>
    <d v="2018-11-15T00:00:00"/>
    <d v="2018-12-30T00:00:00"/>
    <d v="2018-11-15T00:00:00"/>
    <m/>
    <x v="0"/>
    <x v="3"/>
  </r>
  <r>
    <s v="MRSTX035902"/>
    <x v="0"/>
    <x v="5"/>
    <d v="2018-11-30T00:00:00"/>
    <d v="2018-11-30T00:00:00"/>
    <d v="2018-11-13T00:00:00"/>
    <d v="2018-11-13T00:00:00"/>
    <x v="0"/>
    <x v="1"/>
  </r>
  <r>
    <s v="MRSTX035929"/>
    <x v="0"/>
    <x v="5"/>
    <d v="2018-11-15T00:00:00"/>
    <d v="2018-08-30T00:00:00"/>
    <d v="2018-11-15T00:00:00"/>
    <m/>
    <x v="0"/>
    <x v="0"/>
  </r>
  <r>
    <s v="MRSTX035986"/>
    <x v="0"/>
    <x v="5"/>
    <d v="2018-11-15T00:00:00"/>
    <d v="2018-12-30T00:00:00"/>
    <d v="2018-11-15T00:00:00"/>
    <m/>
    <x v="0"/>
    <x v="3"/>
  </r>
  <r>
    <s v="MRWSH021074"/>
    <x v="2"/>
    <x v="5"/>
    <d v="2018-11-30T00:00:00"/>
    <d v="2018-12-02T00:00:00"/>
    <d v="2018-11-30T00:00:00"/>
    <m/>
    <x v="0"/>
    <x v="0"/>
  </r>
  <r>
    <s v="MRWSH021082"/>
    <x v="2"/>
    <x v="5"/>
    <d v="2018-11-02T00:00:00"/>
    <d v="2018-12-15T00:00:00"/>
    <d v="2018-11-02T00:00:00"/>
    <d v="2018-11-02T00:00:00"/>
    <x v="0"/>
    <x v="1"/>
  </r>
  <r>
    <s v="MRWSH021924"/>
    <x v="2"/>
    <x v="5"/>
    <d v="2018-11-30T00:00:00"/>
    <d v="2018-12-15T00:00:00"/>
    <d v="2018-11-30T00:00:00"/>
    <m/>
    <x v="0"/>
    <x v="3"/>
  </r>
  <r>
    <s v="MRWSH021932"/>
    <x v="2"/>
    <x v="5"/>
    <d v="2018-11-30T00:00:00"/>
    <d v="2018-12-02T00:00:00"/>
    <d v="2018-11-30T00:00:00"/>
    <m/>
    <x v="0"/>
    <x v="0"/>
  </r>
  <r>
    <s v="MRWSH021968"/>
    <x v="2"/>
    <x v="5"/>
    <d v="2018-11-30T00:00:00"/>
    <d v="2018-12-15T00:00:00"/>
    <d v="2018-11-30T00:00:00"/>
    <m/>
    <x v="0"/>
    <x v="3"/>
  </r>
  <r>
    <s v="MRNTX031765"/>
    <x v="1"/>
    <x v="5"/>
    <d v="2018-11-25T00:00:00"/>
    <d v="2018-11-08T00:00:00"/>
    <d v="2018-12-30T00:00:00"/>
    <m/>
    <x v="1"/>
    <x v="5"/>
  </r>
  <r>
    <s v="MRNTX031804"/>
    <x v="1"/>
    <x v="5"/>
    <d v="2018-11-22T00:00:00"/>
    <d v="2018-11-19T00:00:00"/>
    <d v="2018-11-19T00:00:00"/>
    <d v="2018-11-19T00:00:00"/>
    <x v="0"/>
    <x v="1"/>
  </r>
  <r>
    <s v="MRNTX031876"/>
    <x v="1"/>
    <x v="5"/>
    <d v="2018-11-22T00:00:00"/>
    <d v="2018-11-19T00:00:00"/>
    <d v="2018-11-19T00:00:00"/>
    <d v="2018-11-19T00:00:00"/>
    <x v="0"/>
    <x v="1"/>
  </r>
  <r>
    <s v="MRSTX033611"/>
    <x v="0"/>
    <x v="5"/>
    <d v="2018-11-15T00:00:00"/>
    <d v="2018-12-30T00:00:00"/>
    <d v="2018-11-19T00:00:00"/>
    <d v="2018-11-19T00:00:00"/>
    <x v="0"/>
    <x v="1"/>
  </r>
  <r>
    <s v="MRSTX033617"/>
    <x v="0"/>
    <x v="5"/>
    <d v="2018-11-15T00:00:00"/>
    <d v="2018-11-30T00:00:00"/>
    <d v="2018-11-19T00:00:00"/>
    <d v="2018-11-19T00:00:00"/>
    <x v="0"/>
    <x v="1"/>
  </r>
  <r>
    <s v="MRSTX033634"/>
    <x v="0"/>
    <x v="5"/>
    <d v="2018-11-15T00:00:00"/>
    <d v="2018-11-30T00:00:00"/>
    <d v="2018-11-07T00:00:00"/>
    <d v="2018-11-07T00:00:00"/>
    <x v="0"/>
    <x v="1"/>
  </r>
  <r>
    <s v="MRSTX033639"/>
    <x v="0"/>
    <x v="5"/>
    <d v="2018-11-15T00:00:00"/>
    <d v="2018-11-30T00:00:00"/>
    <d v="2018-11-07T00:00:00"/>
    <d v="2018-11-07T00:00:00"/>
    <x v="0"/>
    <x v="1"/>
  </r>
  <r>
    <s v="MRSTX033642"/>
    <x v="0"/>
    <x v="5"/>
    <d v="2018-11-30T00:00:00"/>
    <d v="2018-11-30T00:00:00"/>
    <d v="2018-11-19T00:00:00"/>
    <d v="2018-11-19T00:00:00"/>
    <x v="0"/>
    <x v="1"/>
  </r>
  <r>
    <s v="MRWSH022015"/>
    <x v="2"/>
    <x v="5"/>
    <d v="2018-11-30T00:00:00"/>
    <d v="2018-12-15T00:00:00"/>
    <d v="2018-11-30T00:00:00"/>
    <m/>
    <x v="0"/>
    <x v="3"/>
  </r>
  <r>
    <s v="MRWSH022058"/>
    <x v="2"/>
    <x v="5"/>
    <d v="2018-11-30T00:00:00"/>
    <d v="2018-12-15T00:00:00"/>
    <d v="2018-11-30T00:00:00"/>
    <m/>
    <x v="0"/>
    <x v="3"/>
  </r>
  <r>
    <s v="MRWSH022059"/>
    <x v="2"/>
    <x v="5"/>
    <d v="2018-11-30T00:00:00"/>
    <d v="2018-08-19T00:00:00"/>
    <d v="2018-11-30T00:00:00"/>
    <m/>
    <x v="0"/>
    <x v="0"/>
  </r>
  <r>
    <s v="MRWSH022114"/>
    <x v="2"/>
    <x v="5"/>
    <d v="2018-11-30T00:00:00"/>
    <d v="2018-08-19T00:00:00"/>
    <d v="2018-11-30T00:00:00"/>
    <m/>
    <x v="0"/>
    <x v="0"/>
  </r>
  <r>
    <s v="MRWSH022119"/>
    <x v="2"/>
    <x v="5"/>
    <d v="2018-11-30T00:00:00"/>
    <d v="1999-12-30T00:00:00"/>
    <d v="2018-11-16T00:00:00"/>
    <d v="2018-11-16T00:00:00"/>
    <x v="0"/>
    <x v="1"/>
  </r>
  <r>
    <s v="MRWSH022122"/>
    <x v="2"/>
    <x v="5"/>
    <d v="2018-11-30T00:00:00"/>
    <d v="2018-12-15T00:00:00"/>
    <d v="2018-11-16T00:00:00"/>
    <d v="2018-11-16T00:00:00"/>
    <x v="0"/>
    <x v="1"/>
  </r>
  <r>
    <s v="MRWSH022155"/>
    <x v="2"/>
    <x v="5"/>
    <d v="2018-11-30T00:00:00"/>
    <d v="2018-12-15T00:00:00"/>
    <d v="2018-11-30T00:00:00"/>
    <m/>
    <x v="0"/>
    <x v="3"/>
  </r>
  <r>
    <s v="MRWSH022170"/>
    <x v="2"/>
    <x v="5"/>
    <d v="2018-11-30T00:00:00"/>
    <d v="2018-08-19T00:00:00"/>
    <d v="2018-11-30T00:00:00"/>
    <m/>
    <x v="0"/>
    <x v="0"/>
  </r>
  <r>
    <s v="MRWSH022173"/>
    <x v="2"/>
    <x v="5"/>
    <d v="2018-11-30T00:00:00"/>
    <d v="2018-12-15T00:00:00"/>
    <d v="2018-11-30T00:00:00"/>
    <m/>
    <x v="0"/>
    <x v="3"/>
  </r>
  <r>
    <s v="MRWSH022183"/>
    <x v="2"/>
    <x v="5"/>
    <d v="2018-11-30T00:00:00"/>
    <d v="2018-06-01T00:00:00"/>
    <d v="2018-11-30T00:00:00"/>
    <m/>
    <x v="0"/>
    <x v="0"/>
  </r>
  <r>
    <s v="MRWSH022184"/>
    <x v="2"/>
    <x v="5"/>
    <d v="2018-11-30T00:00:00"/>
    <d v="2018-12-15T00:00:00"/>
    <d v="2018-11-30T00:00:00"/>
    <m/>
    <x v="0"/>
    <x v="3"/>
  </r>
  <r>
    <s v="MRWSH022190"/>
    <x v="2"/>
    <x v="5"/>
    <d v="2018-11-30T00:00:00"/>
    <d v="1999-12-30T00:00:00"/>
    <d v="2018-11-27T00:00:00"/>
    <d v="2018-11-27T00:00:00"/>
    <x v="0"/>
    <x v="1"/>
  </r>
  <r>
    <s v="MRWSH022191"/>
    <x v="2"/>
    <x v="5"/>
    <d v="2018-11-30T00:00:00"/>
    <d v="2018-12-15T00:00:00"/>
    <d v="2018-11-30T00:00:00"/>
    <m/>
    <x v="0"/>
    <x v="3"/>
  </r>
  <r>
    <s v="MRWSH022223"/>
    <x v="2"/>
    <x v="5"/>
    <d v="2018-11-30T00:00:00"/>
    <d v="2018-12-15T00:00:00"/>
    <d v="2018-11-16T00:00:00"/>
    <d v="2018-11-16T00:00:00"/>
    <x v="0"/>
    <x v="1"/>
  </r>
  <r>
    <s v="MRWSH022310"/>
    <x v="2"/>
    <x v="5"/>
    <d v="2018-11-30T00:00:00"/>
    <d v="2018-06-01T00:00:00"/>
    <d v="2018-11-30T00:00:00"/>
    <m/>
    <x v="0"/>
    <x v="0"/>
  </r>
  <r>
    <s v="MRSTX033649"/>
    <x v="0"/>
    <x v="5"/>
    <d v="2018-11-15T00:00:00"/>
    <d v="2018-11-30T00:00:00"/>
    <d v="2018-11-15T00:00:00"/>
    <m/>
    <x v="0"/>
    <x v="3"/>
  </r>
  <r>
    <s v="MRSTX033655"/>
    <x v="0"/>
    <x v="5"/>
    <d v="2018-11-15T00:00:00"/>
    <d v="2018-11-30T00:00:00"/>
    <d v="2018-11-15T00:00:00"/>
    <m/>
    <x v="0"/>
    <x v="3"/>
  </r>
  <r>
    <s v="MRSTX033658"/>
    <x v="0"/>
    <x v="5"/>
    <d v="2018-11-30T00:00:00"/>
    <d v="2018-11-30T00:00:00"/>
    <d v="2018-11-19T00:00:00"/>
    <d v="2018-11-19T00:00:00"/>
    <x v="0"/>
    <x v="1"/>
  </r>
  <r>
    <s v="MRSTX033659"/>
    <x v="0"/>
    <x v="5"/>
    <d v="2018-11-30T00:00:00"/>
    <d v="2018-11-30T00:00:00"/>
    <d v="2018-11-19T00:00:00"/>
    <d v="2018-11-19T00:00:00"/>
    <x v="0"/>
    <x v="1"/>
  </r>
  <r>
    <s v="MRSTX033676"/>
    <x v="0"/>
    <x v="5"/>
    <d v="2018-11-30T00:00:00"/>
    <d v="2018-12-30T00:00:00"/>
    <d v="2018-12-30T00:00:00"/>
    <m/>
    <x v="1"/>
    <x v="2"/>
  </r>
  <r>
    <s v="MRSTX033683"/>
    <x v="0"/>
    <x v="5"/>
    <d v="2018-11-15T00:00:00"/>
    <d v="2018-11-30T00:00:00"/>
    <d v="2018-11-19T00:00:00"/>
    <d v="2018-11-19T00:00:00"/>
    <x v="0"/>
    <x v="1"/>
  </r>
  <r>
    <s v="MRSTX033762"/>
    <x v="0"/>
    <x v="5"/>
    <d v="2018-11-30T00:00:00"/>
    <d v="2018-12-30T00:00:00"/>
    <d v="2018-12-30T00:00:00"/>
    <m/>
    <x v="1"/>
    <x v="2"/>
  </r>
  <r>
    <s v="MRSTX033770"/>
    <x v="0"/>
    <x v="5"/>
    <d v="2018-11-15T00:00:00"/>
    <d v="2018-11-30T00:00:00"/>
    <d v="2018-11-19T00:00:00"/>
    <d v="2018-11-19T00:00:00"/>
    <x v="0"/>
    <x v="1"/>
  </r>
  <r>
    <s v="MRSTX033797"/>
    <x v="0"/>
    <x v="5"/>
    <d v="2018-11-30T00:00:00"/>
    <d v="2018-11-30T00:00:00"/>
    <d v="2018-11-19T00:00:00"/>
    <d v="2018-11-19T00:00:00"/>
    <x v="0"/>
    <x v="1"/>
  </r>
  <r>
    <s v="MRSTX033807"/>
    <x v="0"/>
    <x v="5"/>
    <d v="2018-11-15T00:00:00"/>
    <d v="2018-11-30T00:00:00"/>
    <d v="2018-11-15T00:00:00"/>
    <m/>
    <x v="0"/>
    <x v="3"/>
  </r>
  <r>
    <s v="MRSTX033818"/>
    <x v="0"/>
    <x v="5"/>
    <d v="2018-11-30T00:00:00"/>
    <d v="2018-11-30T00:00:00"/>
    <d v="2018-11-19T00:00:00"/>
    <d v="2018-11-19T00:00:00"/>
    <x v="0"/>
    <x v="1"/>
  </r>
  <r>
    <s v="MRSTX033854"/>
    <x v="0"/>
    <x v="5"/>
    <d v="2018-11-30T00:00:00"/>
    <d v="2018-12-30T00:00:00"/>
    <d v="2018-12-30T00:00:00"/>
    <m/>
    <x v="1"/>
    <x v="2"/>
  </r>
  <r>
    <s v="MRSTX033859"/>
    <x v="0"/>
    <x v="5"/>
    <d v="2018-11-30T00:00:00"/>
    <d v="2018-11-30T00:00:00"/>
    <d v="2018-11-19T00:00:00"/>
    <d v="2018-11-19T00:00:00"/>
    <x v="0"/>
    <x v="1"/>
  </r>
  <r>
    <s v="MRSTX033877"/>
    <x v="0"/>
    <x v="5"/>
    <d v="2018-11-30T00:00:00"/>
    <d v="2018-11-30T00:00:00"/>
    <d v="2018-11-19T00:00:00"/>
    <d v="2018-11-19T00:00:00"/>
    <x v="0"/>
    <x v="1"/>
  </r>
  <r>
    <s v="MRSTX033903"/>
    <x v="0"/>
    <x v="5"/>
    <d v="2018-11-30T00:00:00"/>
    <d v="2018-11-30T00:00:00"/>
    <d v="2018-11-19T00:00:00"/>
    <d v="2018-11-19T00:00:00"/>
    <x v="0"/>
    <x v="1"/>
  </r>
  <r>
    <s v="MRSTX033907"/>
    <x v="0"/>
    <x v="5"/>
    <d v="2018-11-15T00:00:00"/>
    <d v="2018-11-30T00:00:00"/>
    <d v="2018-11-15T00:00:00"/>
    <m/>
    <x v="0"/>
    <x v="3"/>
  </r>
  <r>
    <s v="MRSTX033913"/>
    <x v="0"/>
    <x v="5"/>
    <d v="2018-11-15T00:00:00"/>
    <d v="2018-11-30T00:00:00"/>
    <d v="2018-11-07T00:00:00"/>
    <d v="2018-11-07T00:00:00"/>
    <x v="0"/>
    <x v="1"/>
  </r>
  <r>
    <s v="MRNTX030321"/>
    <x v="1"/>
    <x v="5"/>
    <d v="2018-11-02T00:00:00"/>
    <d v="2018-11-24T00:00:00"/>
    <d v="2018-11-02T00:00:00"/>
    <d v="2018-11-02T00:00:00"/>
    <x v="0"/>
    <x v="1"/>
  </r>
  <r>
    <s v="MRNTX030389"/>
    <x v="1"/>
    <x v="5"/>
    <d v="2018-11-25T00:00:00"/>
    <d v="2018-11-08T00:00:00"/>
    <d v="2018-12-30T00:00:00"/>
    <m/>
    <x v="1"/>
    <x v="5"/>
  </r>
  <r>
    <s v="MRNTX030393"/>
    <x v="1"/>
    <x v="5"/>
    <d v="2018-11-24T00:00:00"/>
    <d v="2018-12-29T00:00:00"/>
    <d v="2018-11-07T00:00:00"/>
    <d v="2018-11-07T00:00:00"/>
    <x v="0"/>
    <x v="1"/>
  </r>
  <r>
    <s v="MRNTX030413"/>
    <x v="1"/>
    <x v="5"/>
    <d v="2018-11-28T00:00:00"/>
    <d v="2019-01-23T00:00:00"/>
    <d v="2019-01-30T00:00:00"/>
    <m/>
    <x v="1"/>
    <x v="2"/>
  </r>
  <r>
    <s v="MRNTX030459"/>
    <x v="1"/>
    <x v="5"/>
    <d v="2018-11-13T00:00:00"/>
    <d v="2019-03-13T00:00:00"/>
    <d v="2019-03-30T00:00:00"/>
    <m/>
    <x v="1"/>
    <x v="4"/>
  </r>
  <r>
    <s v="MRNTX030467"/>
    <x v="1"/>
    <x v="5"/>
    <d v="2018-11-02T00:00:00"/>
    <d v="2018-12-02T00:00:00"/>
    <d v="2018-11-02T00:00:00"/>
    <d v="2018-11-02T00:00:00"/>
    <x v="0"/>
    <x v="1"/>
  </r>
  <r>
    <s v="MRNTX030509"/>
    <x v="1"/>
    <x v="5"/>
    <d v="2018-11-19T00:00:00"/>
    <d v="2019-02-14T00:00:00"/>
    <d v="2019-03-30T00:00:00"/>
    <m/>
    <x v="1"/>
    <x v="2"/>
  </r>
  <r>
    <s v="MRNTX033713"/>
    <x v="1"/>
    <x v="5"/>
    <d v="2018-11-29T00:00:00"/>
    <d v="2018-11-30T00:00:00"/>
    <d v="2018-11-19T00:00:00"/>
    <d v="2018-11-19T00:00:00"/>
    <x v="0"/>
    <x v="1"/>
  </r>
  <r>
    <s v="MRNTX033715"/>
    <x v="1"/>
    <x v="5"/>
    <d v="2018-11-08T00:00:00"/>
    <d v="2018-10-24T00:00:00"/>
    <d v="2018-11-05T00:00:00"/>
    <d v="2018-11-05T00:00:00"/>
    <x v="0"/>
    <x v="1"/>
  </r>
  <r>
    <s v="MRNTX033778"/>
    <x v="1"/>
    <x v="5"/>
    <d v="2018-11-22T00:00:00"/>
    <d v="2019-03-13T00:00:00"/>
    <d v="2019-03-30T00:00:00"/>
    <m/>
    <x v="1"/>
    <x v="2"/>
  </r>
  <r>
    <s v="MRNTX033784"/>
    <x v="1"/>
    <x v="5"/>
    <d v="2018-11-22T00:00:00"/>
    <d v="2019-01-02T00:00:00"/>
    <d v="2019-01-30T00:00:00"/>
    <m/>
    <x v="1"/>
    <x v="2"/>
  </r>
  <r>
    <s v="MRNTX033826"/>
    <x v="1"/>
    <x v="5"/>
    <d v="2018-11-22T00:00:00"/>
    <d v="2018-11-24T00:00:00"/>
    <d v="2018-11-07T00:00:00"/>
    <d v="2018-11-07T00:00:00"/>
    <x v="0"/>
    <x v="1"/>
  </r>
  <r>
    <s v="MRANM020195"/>
    <x v="3"/>
    <x v="5"/>
    <d v="2018-11-30T00:00:00"/>
    <d v="1999-12-30T00:00:00"/>
    <d v="2018-11-30T00:00:00"/>
    <m/>
    <x v="0"/>
    <x v="0"/>
  </r>
  <r>
    <s v="MRSTX036190"/>
    <x v="0"/>
    <x v="5"/>
    <d v="2018-11-15T00:00:00"/>
    <d v="2018-10-30T00:00:00"/>
    <d v="2018-11-15T00:00:00"/>
    <m/>
    <x v="0"/>
    <x v="0"/>
  </r>
  <r>
    <s v="MRSTX036203"/>
    <x v="0"/>
    <x v="5"/>
    <d v="2018-11-15T00:00:00"/>
    <d v="2018-11-30T00:00:00"/>
    <d v="2018-11-05T00:00:00"/>
    <d v="2018-11-05T00:00:00"/>
    <x v="0"/>
    <x v="1"/>
  </r>
  <r>
    <s v="MRSTX036209"/>
    <x v="0"/>
    <x v="5"/>
    <d v="2018-11-03T00:00:00"/>
    <d v="2018-11-03T00:00:00"/>
    <d v="2019-01-08T00:00:00"/>
    <m/>
    <x v="1"/>
    <x v="5"/>
  </r>
  <r>
    <s v="MRSTX036223"/>
    <x v="0"/>
    <x v="5"/>
    <d v="2018-11-15T00:00:00"/>
    <d v="2018-12-30T00:00:00"/>
    <d v="2018-12-15T00:00:00"/>
    <m/>
    <x v="1"/>
    <x v="4"/>
  </r>
  <r>
    <s v="MRSTX036238"/>
    <x v="0"/>
    <x v="5"/>
    <d v="2018-11-15T00:00:00"/>
    <d v="2018-11-30T00:00:00"/>
    <d v="2019-01-15T00:00:00"/>
    <m/>
    <x v="1"/>
    <x v="4"/>
  </r>
  <r>
    <s v="MRSTX036243"/>
    <x v="0"/>
    <x v="5"/>
    <d v="2018-11-15T00:00:00"/>
    <d v="2018-10-30T00:00:00"/>
    <d v="2018-11-15T00:00:00"/>
    <m/>
    <x v="0"/>
    <x v="0"/>
  </r>
  <r>
    <s v="MRSTX036252"/>
    <x v="0"/>
    <x v="5"/>
    <d v="2018-11-15T00:00:00"/>
    <d v="2018-11-30T00:00:00"/>
    <d v="2018-11-19T00:00:00"/>
    <d v="2018-11-19T00:00:00"/>
    <x v="0"/>
    <x v="1"/>
  </r>
  <r>
    <s v="MRSTX036253"/>
    <x v="0"/>
    <x v="5"/>
    <d v="2018-11-15T00:00:00"/>
    <d v="2018-09-30T00:00:00"/>
    <d v="2018-11-19T00:00:00"/>
    <d v="2018-11-19T00:00:00"/>
    <x v="0"/>
    <x v="1"/>
  </r>
  <r>
    <s v="MRSTX036256"/>
    <x v="0"/>
    <x v="5"/>
    <d v="2018-11-15T00:00:00"/>
    <d v="2018-11-30T00:00:00"/>
    <d v="2018-11-19T00:00:00"/>
    <d v="2018-11-19T00:00:00"/>
    <x v="0"/>
    <x v="1"/>
  </r>
  <r>
    <s v="MRSTX036262"/>
    <x v="0"/>
    <x v="5"/>
    <d v="2018-11-15T00:00:00"/>
    <d v="2018-12-12T00:00:00"/>
    <d v="2018-12-10T00:00:00"/>
    <m/>
    <x v="1"/>
    <x v="4"/>
  </r>
  <r>
    <s v="MRSTX036265"/>
    <x v="0"/>
    <x v="5"/>
    <d v="2018-11-15T00:00:00"/>
    <d v="2018-11-30T00:00:00"/>
    <d v="2018-11-15T00:00:00"/>
    <m/>
    <x v="0"/>
    <x v="3"/>
  </r>
  <r>
    <s v="MRSTX036275"/>
    <x v="0"/>
    <x v="5"/>
    <d v="2018-11-15T00:00:00"/>
    <d v="2019-04-30T00:00:00"/>
    <d v="2018-11-19T00:00:00"/>
    <d v="2018-11-19T00:00:00"/>
    <x v="0"/>
    <x v="1"/>
  </r>
  <r>
    <s v="MRSTX036287"/>
    <x v="0"/>
    <x v="5"/>
    <d v="2018-11-15T00:00:00"/>
    <d v="2018-11-30T00:00:00"/>
    <d v="2018-11-13T00:00:00"/>
    <d v="2018-11-13T00:00:00"/>
    <x v="0"/>
    <x v="1"/>
  </r>
  <r>
    <s v="MRSTX036294"/>
    <x v="0"/>
    <x v="5"/>
    <d v="2018-11-15T00:00:00"/>
    <d v="2018-11-30T00:00:00"/>
    <d v="2018-11-21T00:00:00"/>
    <d v="2018-11-21T00:00:00"/>
    <x v="0"/>
    <x v="1"/>
  </r>
  <r>
    <s v="MRSTX036295"/>
    <x v="0"/>
    <x v="5"/>
    <d v="2018-11-30T00:00:00"/>
    <d v="2018-11-30T00:00:00"/>
    <d v="2018-11-09T00:00:00"/>
    <d v="2018-11-09T00:00:00"/>
    <x v="0"/>
    <x v="1"/>
  </r>
  <r>
    <s v="MRSTX036299"/>
    <x v="0"/>
    <x v="5"/>
    <d v="2018-11-15T00:00:00"/>
    <d v="2018-10-30T00:00:00"/>
    <d v="2018-11-19T00:00:00"/>
    <d v="2018-11-19T00:00:00"/>
    <x v="0"/>
    <x v="1"/>
  </r>
  <r>
    <s v="MRSTX036304"/>
    <x v="0"/>
    <x v="5"/>
    <d v="2018-11-15T00:00:00"/>
    <d v="2018-11-30T00:00:00"/>
    <d v="2018-11-21T00:00:00"/>
    <d v="2018-11-21T00:00:00"/>
    <x v="0"/>
    <x v="1"/>
  </r>
  <r>
    <s v="MRSTX036308"/>
    <x v="0"/>
    <x v="5"/>
    <d v="2018-11-15T00:00:00"/>
    <d v="2018-10-30T00:00:00"/>
    <d v="2018-11-15T00:00:00"/>
    <m/>
    <x v="0"/>
    <x v="0"/>
  </r>
  <r>
    <s v="MRSTX036310"/>
    <x v="0"/>
    <x v="5"/>
    <d v="2018-11-15T00:00:00"/>
    <d v="2018-10-30T00:00:00"/>
    <d v="2018-11-21T00:00:00"/>
    <d v="2018-11-21T00:00:00"/>
    <x v="0"/>
    <x v="1"/>
  </r>
  <r>
    <s v="MRSTX036314"/>
    <x v="0"/>
    <x v="5"/>
    <d v="2018-11-30T00:00:00"/>
    <d v="2018-12-19T00:00:00"/>
    <d v="2018-12-19T00:00:00"/>
    <m/>
    <x v="1"/>
    <x v="2"/>
  </r>
  <r>
    <s v="MRSTX036323"/>
    <x v="0"/>
    <x v="5"/>
    <d v="2018-11-30T00:00:00"/>
    <d v="2018-11-30T00:00:00"/>
    <d v="2018-11-30T00:00:00"/>
    <m/>
    <x v="0"/>
    <x v="0"/>
  </r>
  <r>
    <s v="MRANM020394"/>
    <x v="3"/>
    <x v="5"/>
    <d v="2018-11-30T00:00:00"/>
    <d v="1999-12-30T00:00:00"/>
    <d v="2018-11-14T00:00:00"/>
    <d v="2018-11-14T00:00:00"/>
    <x v="0"/>
    <x v="1"/>
  </r>
  <r>
    <s v="MRANM020479"/>
    <x v="3"/>
    <x v="5"/>
    <d v="2018-11-30T00:00:00"/>
    <d v="1999-12-30T00:00:00"/>
    <d v="2018-11-30T00:00:00"/>
    <m/>
    <x v="0"/>
    <x v="0"/>
  </r>
  <r>
    <s v="MRNTX032005"/>
    <x v="1"/>
    <x v="5"/>
    <d v="2018-11-30T00:00:00"/>
    <d v="2019-02-07T00:00:00"/>
    <d v="2018-12-30T00:00:00"/>
    <m/>
    <x v="1"/>
    <x v="2"/>
  </r>
  <r>
    <s v="MRNTX032113"/>
    <x v="1"/>
    <x v="5"/>
    <d v="2018-11-02T00:00:00"/>
    <d v="2018-11-30T00:00:00"/>
    <d v="2018-11-02T00:00:00"/>
    <d v="2018-11-02T00:00:00"/>
    <x v="0"/>
    <x v="1"/>
  </r>
  <r>
    <s v="MRSTX036339"/>
    <x v="0"/>
    <x v="5"/>
    <d v="2018-11-15T00:00:00"/>
    <d v="2018-12-30T00:00:00"/>
    <d v="2018-11-15T00:00:00"/>
    <m/>
    <x v="0"/>
    <x v="3"/>
  </r>
  <r>
    <s v="MRSTX036346"/>
    <x v="0"/>
    <x v="5"/>
    <d v="2018-11-15T00:00:00"/>
    <d v="2018-12-30T00:00:00"/>
    <d v="2018-11-13T00:00:00"/>
    <d v="2018-11-13T00:00:00"/>
    <x v="0"/>
    <x v="1"/>
  </r>
  <r>
    <s v="MRSTX036348"/>
    <x v="0"/>
    <x v="5"/>
    <d v="2018-11-15T00:00:00"/>
    <d v="2018-12-30T00:00:00"/>
    <d v="2018-11-15T00:00:00"/>
    <m/>
    <x v="0"/>
    <x v="3"/>
  </r>
  <r>
    <s v="MRSTX036356"/>
    <x v="0"/>
    <x v="5"/>
    <d v="2018-11-15T00:00:00"/>
    <d v="2018-12-30T00:00:00"/>
    <d v="2018-11-13T00:00:00"/>
    <d v="2018-11-13T00:00:00"/>
    <x v="0"/>
    <x v="1"/>
  </r>
  <r>
    <s v="MRSTX036382"/>
    <x v="0"/>
    <x v="5"/>
    <d v="2018-11-30T00:00:00"/>
    <d v="2018-11-30T00:00:00"/>
    <d v="2018-11-30T00:00:00"/>
    <m/>
    <x v="0"/>
    <x v="0"/>
  </r>
  <r>
    <s v="MRSTX036388"/>
    <x v="0"/>
    <x v="5"/>
    <d v="2018-11-15T00:00:00"/>
    <d v="2018-11-30T00:00:00"/>
    <d v="2018-11-19T00:00:00"/>
    <d v="2018-11-19T00:00:00"/>
    <x v="0"/>
    <x v="1"/>
  </r>
  <r>
    <s v="MRSTX036389"/>
    <x v="0"/>
    <x v="5"/>
    <d v="2018-11-15T00:00:00"/>
    <d v="2018-12-30T00:00:00"/>
    <d v="2018-11-15T00:00:00"/>
    <m/>
    <x v="0"/>
    <x v="3"/>
  </r>
  <r>
    <s v="MRSTX036391"/>
    <x v="0"/>
    <x v="5"/>
    <d v="2018-11-30T00:00:00"/>
    <d v="2018-11-30T00:00:00"/>
    <d v="2018-11-30T00:00:00"/>
    <m/>
    <x v="0"/>
    <x v="0"/>
  </r>
  <r>
    <s v="MRWSH022879"/>
    <x v="2"/>
    <x v="5"/>
    <d v="2018-11-30T00:00:00"/>
    <d v="2018-12-15T00:00:00"/>
    <d v="2018-11-30T00:00:00"/>
    <m/>
    <x v="0"/>
    <x v="3"/>
  </r>
  <r>
    <s v="MRWSH022936"/>
    <x v="2"/>
    <x v="5"/>
    <d v="2018-11-30T00:00:00"/>
    <d v="2018-10-02T00:00:00"/>
    <d v="2018-11-30T00:00:00"/>
    <m/>
    <x v="0"/>
    <x v="0"/>
  </r>
  <r>
    <s v="MRWSH022985"/>
    <x v="2"/>
    <x v="5"/>
    <d v="2018-11-02T00:00:00"/>
    <d v="2018-12-15T00:00:00"/>
    <d v="2018-11-02T00:00:00"/>
    <d v="2018-11-02T00:00:00"/>
    <x v="0"/>
    <x v="1"/>
  </r>
  <r>
    <s v="MRWSH022990"/>
    <x v="2"/>
    <x v="5"/>
    <d v="2018-11-02T00:00:00"/>
    <d v="2018-12-15T00:00:00"/>
    <d v="2018-11-02T00:00:00"/>
    <d v="2018-11-02T00:00:00"/>
    <x v="0"/>
    <x v="1"/>
  </r>
  <r>
    <s v="MRWSH023001"/>
    <x v="2"/>
    <x v="5"/>
    <d v="2018-11-30T00:00:00"/>
    <d v="2018-07-13T00:00:00"/>
    <d v="2018-11-06T00:00:00"/>
    <d v="2018-11-06T00:00:00"/>
    <x v="0"/>
    <x v="1"/>
  </r>
  <r>
    <s v="MRNTX032201"/>
    <x v="1"/>
    <x v="5"/>
    <d v="2018-11-06T00:00:00"/>
    <d v="2018-12-04T00:00:00"/>
    <d v="2019-01-30T00:00:00"/>
    <m/>
    <x v="1"/>
    <x v="4"/>
  </r>
  <r>
    <s v="MRNTX032210"/>
    <x v="1"/>
    <x v="5"/>
    <d v="2018-11-06T00:00:00"/>
    <d v="2018-12-05T00:00:00"/>
    <d v="2019-01-30T00:00:00"/>
    <m/>
    <x v="1"/>
    <x v="4"/>
  </r>
  <r>
    <s v="MRSTX033931"/>
    <x v="0"/>
    <x v="5"/>
    <d v="2018-11-30T00:00:00"/>
    <d v="2018-11-30T00:00:00"/>
    <d v="2018-11-19T00:00:00"/>
    <d v="2018-11-19T00:00:00"/>
    <x v="0"/>
    <x v="1"/>
  </r>
  <r>
    <s v="MRSTX033964"/>
    <x v="0"/>
    <x v="5"/>
    <d v="2018-11-30T00:00:00"/>
    <d v="2018-11-30T00:00:00"/>
    <d v="2018-11-19T00:00:00"/>
    <d v="2018-11-19T00:00:00"/>
    <x v="0"/>
    <x v="1"/>
  </r>
  <r>
    <s v="MRSTX033969"/>
    <x v="0"/>
    <x v="5"/>
    <d v="2018-11-30T00:00:00"/>
    <d v="2018-11-30T00:00:00"/>
    <d v="2018-11-19T00:00:00"/>
    <d v="2018-11-19T00:00:00"/>
    <x v="0"/>
    <x v="1"/>
  </r>
  <r>
    <s v="MRSTX033980"/>
    <x v="0"/>
    <x v="5"/>
    <d v="2018-11-15T00:00:00"/>
    <d v="2018-09-29T00:00:00"/>
    <d v="2018-11-15T00:00:00"/>
    <m/>
    <x v="0"/>
    <x v="0"/>
  </r>
  <r>
    <s v="MRSTX033981"/>
    <x v="0"/>
    <x v="5"/>
    <d v="2018-11-15T00:00:00"/>
    <d v="2018-09-10T00:00:00"/>
    <d v="2018-11-19T00:00:00"/>
    <d v="2018-11-19T00:00:00"/>
    <x v="0"/>
    <x v="1"/>
  </r>
  <r>
    <s v="MRSTX033982"/>
    <x v="0"/>
    <x v="5"/>
    <d v="2018-11-15T00:00:00"/>
    <d v="2019-01-25T00:00:00"/>
    <d v="2018-11-19T00:00:00"/>
    <d v="2018-11-19T00:00:00"/>
    <x v="0"/>
    <x v="1"/>
  </r>
  <r>
    <s v="MRWSH023052"/>
    <x v="2"/>
    <x v="5"/>
    <d v="2018-11-30T00:00:00"/>
    <d v="2018-08-02T00:00:00"/>
    <d v="2018-11-30T00:00:00"/>
    <m/>
    <x v="0"/>
    <x v="0"/>
  </r>
  <r>
    <s v="MRWSH023155"/>
    <x v="2"/>
    <x v="5"/>
    <d v="2018-11-30T00:00:00"/>
    <d v="2018-08-02T00:00:00"/>
    <d v="2018-11-30T00:00:00"/>
    <m/>
    <x v="0"/>
    <x v="0"/>
  </r>
  <r>
    <s v="MRWSH024473"/>
    <x v="2"/>
    <x v="5"/>
    <d v="2018-11-30T00:00:00"/>
    <d v="2018-11-02T00:00:00"/>
    <d v="2018-11-30T00:00:00"/>
    <m/>
    <x v="0"/>
    <x v="0"/>
  </r>
  <r>
    <s v="MRWSH024479"/>
    <x v="2"/>
    <x v="5"/>
    <d v="2018-11-30T00:00:00"/>
    <d v="2018-11-02T00:00:00"/>
    <d v="2018-11-30T00:00:00"/>
    <m/>
    <x v="0"/>
    <x v="0"/>
  </r>
  <r>
    <s v="MRWSH024489"/>
    <x v="2"/>
    <x v="5"/>
    <d v="2018-11-30T00:00:00"/>
    <d v="2018-07-13T00:00:00"/>
    <d v="2018-11-06T00:00:00"/>
    <d v="2018-11-06T00:00:00"/>
    <x v="0"/>
    <x v="1"/>
  </r>
  <r>
    <s v="MRWSH024494"/>
    <x v="2"/>
    <x v="5"/>
    <d v="2018-11-30T00:00:00"/>
    <d v="2018-07-07T00:00:00"/>
    <d v="2018-12-01T00:00:00"/>
    <m/>
    <x v="0"/>
    <x v="0"/>
  </r>
  <r>
    <s v="MRWSH024519"/>
    <x v="2"/>
    <x v="5"/>
    <d v="2018-11-30T00:00:00"/>
    <d v="2018-11-02T00:00:00"/>
    <d v="2018-11-30T00:00:00"/>
    <m/>
    <x v="0"/>
    <x v="0"/>
  </r>
  <r>
    <s v="MRWSH024531"/>
    <x v="2"/>
    <x v="5"/>
    <d v="2018-11-30T00:00:00"/>
    <d v="2018-10-01T00:00:00"/>
    <d v="2018-11-30T00:00:00"/>
    <m/>
    <x v="0"/>
    <x v="0"/>
  </r>
  <r>
    <s v="MRWSH024536"/>
    <x v="2"/>
    <x v="5"/>
    <d v="2018-11-30T00:00:00"/>
    <d v="2018-12-20T00:00:00"/>
    <d v="2018-11-30T00:00:00"/>
    <m/>
    <x v="0"/>
    <x v="3"/>
  </r>
  <r>
    <s v="MRWSH024538"/>
    <x v="2"/>
    <x v="5"/>
    <d v="2018-11-30T00:00:00"/>
    <d v="2018-07-13T00:00:00"/>
    <d v="2018-11-26T00:00:00"/>
    <d v="2018-11-26T00:00:00"/>
    <x v="0"/>
    <x v="1"/>
  </r>
  <r>
    <s v="MRWSH024550"/>
    <x v="2"/>
    <x v="5"/>
    <d v="2018-11-30T00:00:00"/>
    <d v="2018-11-02T00:00:00"/>
    <d v="2018-11-30T00:00:00"/>
    <m/>
    <x v="0"/>
    <x v="0"/>
  </r>
  <r>
    <s v="MRWSH024555"/>
    <x v="2"/>
    <x v="5"/>
    <d v="2018-11-30T00:00:00"/>
    <d v="2018-07-13T00:00:00"/>
    <d v="2018-11-26T00:00:00"/>
    <d v="2018-11-26T00:00:00"/>
    <x v="0"/>
    <x v="1"/>
  </r>
  <r>
    <s v="MRWSH024570"/>
    <x v="2"/>
    <x v="5"/>
    <d v="2018-11-30T00:00:00"/>
    <d v="2018-10-01T00:00:00"/>
    <d v="2018-11-30T00:00:00"/>
    <m/>
    <x v="0"/>
    <x v="0"/>
  </r>
  <r>
    <s v="MRSTX033996"/>
    <x v="0"/>
    <x v="5"/>
    <d v="2018-11-30T00:00:00"/>
    <d v="2018-12-30T00:00:00"/>
    <d v="2018-12-30T00:00:00"/>
    <m/>
    <x v="1"/>
    <x v="2"/>
  </r>
  <r>
    <s v="MRSTX033999"/>
    <x v="0"/>
    <x v="5"/>
    <d v="2018-11-30T00:00:00"/>
    <d v="2018-12-30T00:00:00"/>
    <d v="2018-12-30T00:00:00"/>
    <m/>
    <x v="1"/>
    <x v="2"/>
  </r>
  <r>
    <s v="MRSTX034018"/>
    <x v="0"/>
    <x v="5"/>
    <d v="2018-11-15T00:00:00"/>
    <d v="2018-11-30T00:00:00"/>
    <d v="2018-11-15T00:00:00"/>
    <m/>
    <x v="0"/>
    <x v="3"/>
  </r>
  <r>
    <s v="MRSTX034034"/>
    <x v="0"/>
    <x v="5"/>
    <d v="2018-11-15T00:00:00"/>
    <d v="2018-11-30T00:00:00"/>
    <d v="2018-11-09T00:00:00"/>
    <d v="2018-11-09T00:00:00"/>
    <x v="0"/>
    <x v="1"/>
  </r>
  <r>
    <s v="MRSTX034060"/>
    <x v="0"/>
    <x v="5"/>
    <d v="2018-11-15T00:00:00"/>
    <d v="2019-01-25T00:00:00"/>
    <d v="2018-11-15T00:00:00"/>
    <m/>
    <x v="0"/>
    <x v="3"/>
  </r>
  <r>
    <s v="MRSTX034063"/>
    <x v="0"/>
    <x v="5"/>
    <d v="2018-11-30T00:00:00"/>
    <d v="2018-11-30T00:00:00"/>
    <d v="2018-11-19T00:00:00"/>
    <d v="2018-11-19T00:00:00"/>
    <x v="0"/>
    <x v="1"/>
  </r>
  <r>
    <s v="MRSTX034064"/>
    <x v="0"/>
    <x v="5"/>
    <d v="2018-11-30T00:00:00"/>
    <d v="2018-11-30T00:00:00"/>
    <d v="2018-11-19T00:00:00"/>
    <d v="2018-11-19T00:00:00"/>
    <x v="0"/>
    <x v="1"/>
  </r>
  <r>
    <s v="MRSTX034078"/>
    <x v="0"/>
    <x v="5"/>
    <d v="2018-11-15T00:00:00"/>
    <d v="2018-08-30T00:00:00"/>
    <d v="2018-11-30T00:00:00"/>
    <m/>
    <x v="1"/>
    <x v="5"/>
  </r>
  <r>
    <s v="MRSTX034091"/>
    <x v="0"/>
    <x v="5"/>
    <d v="2018-11-15T00:00:00"/>
    <d v="2018-11-30T00:00:00"/>
    <d v="2018-11-07T00:00:00"/>
    <d v="2018-11-07T00:00:00"/>
    <x v="0"/>
    <x v="1"/>
  </r>
  <r>
    <s v="MRSTX034099"/>
    <x v="0"/>
    <x v="5"/>
    <d v="2018-11-15T00:00:00"/>
    <d v="2018-11-30T00:00:00"/>
    <d v="2018-11-15T00:00:00"/>
    <m/>
    <x v="0"/>
    <x v="3"/>
  </r>
  <r>
    <s v="MRSTX034129"/>
    <x v="0"/>
    <x v="5"/>
    <d v="2018-11-15T00:00:00"/>
    <d v="2018-12-30T00:00:00"/>
    <d v="2018-11-19T00:00:00"/>
    <d v="2018-11-19T00:00:00"/>
    <x v="0"/>
    <x v="1"/>
  </r>
  <r>
    <s v="MRSTX034149"/>
    <x v="0"/>
    <x v="5"/>
    <d v="2018-11-15T00:00:00"/>
    <d v="2018-11-30T00:00:00"/>
    <d v="2018-11-19T00:00:00"/>
    <d v="2018-11-19T00:00:00"/>
    <x v="0"/>
    <x v="1"/>
  </r>
  <r>
    <s v="MRSTX034201"/>
    <x v="0"/>
    <x v="5"/>
    <d v="2018-11-15T00:00:00"/>
    <d v="2018-11-30T00:00:00"/>
    <d v="2018-11-07T00:00:00"/>
    <d v="2018-11-07T00:00:00"/>
    <x v="0"/>
    <x v="1"/>
  </r>
  <r>
    <s v="MRSTX034214"/>
    <x v="0"/>
    <x v="5"/>
    <d v="2018-11-15T00:00:00"/>
    <d v="2018-11-30T00:00:00"/>
    <d v="2018-11-15T00:00:00"/>
    <m/>
    <x v="0"/>
    <x v="3"/>
  </r>
  <r>
    <s v="MRSTX034219"/>
    <x v="0"/>
    <x v="5"/>
    <d v="2018-11-30T00:00:00"/>
    <d v="2018-12-30T00:00:00"/>
    <d v="2018-12-30T00:00:00"/>
    <m/>
    <x v="1"/>
    <x v="2"/>
  </r>
  <r>
    <s v="MRWSH015836"/>
    <x v="2"/>
    <x v="5"/>
    <d v="2018-11-30T00:00:00"/>
    <d v="2018-06-04T00:00:00"/>
    <d v="2018-11-06T00:00:00"/>
    <d v="2018-11-06T00:00:00"/>
    <x v="0"/>
    <x v="1"/>
  </r>
  <r>
    <s v="MRNTX029377"/>
    <x v="1"/>
    <x v="5"/>
    <d v="2018-11-22T00:00:00"/>
    <d v="2018-11-24T00:00:00"/>
    <d v="2018-11-07T00:00:00"/>
    <d v="2018-11-07T00:00:00"/>
    <x v="0"/>
    <x v="1"/>
  </r>
  <r>
    <s v="MRNTX029397"/>
    <x v="1"/>
    <x v="5"/>
    <d v="2018-11-29T00:00:00"/>
    <d v="2018-12-05T00:00:00"/>
    <d v="2018-11-19T00:00:00"/>
    <d v="2018-11-19T00:00:00"/>
    <x v="0"/>
    <x v="1"/>
  </r>
  <r>
    <s v="MRNTX029603"/>
    <x v="1"/>
    <x v="5"/>
    <d v="2018-11-22T00:00:00"/>
    <d v="2018-11-24T00:00:00"/>
    <d v="2018-11-07T00:00:00"/>
    <d v="2018-11-07T00:00:00"/>
    <x v="0"/>
    <x v="1"/>
  </r>
  <r>
    <s v="MRNTX029688"/>
    <x v="1"/>
    <x v="5"/>
    <d v="2018-11-29T00:00:00"/>
    <d v="2018-12-05T00:00:00"/>
    <d v="2018-11-19T00:00:00"/>
    <d v="2018-11-19T00:00:00"/>
    <x v="0"/>
    <x v="1"/>
  </r>
  <r>
    <s v="MRNTX029715"/>
    <x v="1"/>
    <x v="5"/>
    <d v="2018-11-22T00:00:00"/>
    <d v="2018-11-24T00:00:00"/>
    <d v="2018-11-07T00:00:00"/>
    <d v="2018-11-07T00:00:00"/>
    <x v="0"/>
    <x v="1"/>
  </r>
  <r>
    <s v="MRNTX030215"/>
    <x v="1"/>
    <x v="5"/>
    <d v="2018-11-29T00:00:00"/>
    <d v="2018-12-05T00:00:00"/>
    <d v="2018-11-16T00:00:00"/>
    <d v="2018-11-16T00:00:00"/>
    <x v="0"/>
    <x v="1"/>
  </r>
  <r>
    <s v="MRNTX033369"/>
    <x v="1"/>
    <x v="5"/>
    <d v="2018-11-22T00:00:00"/>
    <d v="2019-01-02T00:00:00"/>
    <d v="2019-01-30T00:00:00"/>
    <m/>
    <x v="1"/>
    <x v="2"/>
  </r>
  <r>
    <s v="MRNTX033388"/>
    <x v="1"/>
    <x v="5"/>
    <d v="2018-11-22T00:00:00"/>
    <d v="2019-03-13T00:00:00"/>
    <d v="2019-03-30T00:00:00"/>
    <m/>
    <x v="1"/>
    <x v="2"/>
  </r>
  <r>
    <s v="MRNTX033457"/>
    <x v="1"/>
    <x v="5"/>
    <d v="2018-11-29T00:00:00"/>
    <d v="2018-11-30T00:00:00"/>
    <d v="2018-11-19T00:00:00"/>
    <d v="2018-11-19T00:00:00"/>
    <x v="0"/>
    <x v="1"/>
  </r>
  <r>
    <s v="MRNTX033469"/>
    <x v="1"/>
    <x v="5"/>
    <d v="2018-11-29T00:00:00"/>
    <d v="2018-11-30T00:00:00"/>
    <d v="2018-11-19T00:00:00"/>
    <d v="2018-11-19T00:00:00"/>
    <x v="0"/>
    <x v="1"/>
  </r>
  <r>
    <s v="MRNTX033510"/>
    <x v="1"/>
    <x v="5"/>
    <d v="2018-11-22T00:00:00"/>
    <d v="2018-11-24T00:00:00"/>
    <d v="2018-11-07T00:00:00"/>
    <d v="2018-11-07T00:00:00"/>
    <x v="0"/>
    <x v="1"/>
  </r>
  <r>
    <s v="MRNTX033519"/>
    <x v="1"/>
    <x v="5"/>
    <d v="2018-11-08T00:00:00"/>
    <d v="2018-10-24T00:00:00"/>
    <d v="2018-11-05T00:00:00"/>
    <d v="2018-11-05T00:00:00"/>
    <x v="0"/>
    <x v="1"/>
  </r>
  <r>
    <s v="MRWSH017714"/>
    <x v="2"/>
    <x v="5"/>
    <d v="2018-11-23T00:00:00"/>
    <d v="2018-07-16T00:00:00"/>
    <d v="2018-11-06T00:00:00"/>
    <d v="2018-11-06T00:00:00"/>
    <x v="0"/>
    <x v="1"/>
  </r>
  <r>
    <s v="MRWSH017725"/>
    <x v="2"/>
    <x v="5"/>
    <d v="2018-11-30T00:00:00"/>
    <d v="2018-06-04T00:00:00"/>
    <d v="2018-11-30T00:00:00"/>
    <m/>
    <x v="0"/>
    <x v="0"/>
  </r>
  <r>
    <s v="MRSTX036398"/>
    <x v="0"/>
    <x v="5"/>
    <d v="2018-11-15T00:00:00"/>
    <d v="2018-10-30T00:00:00"/>
    <d v="2018-11-15T00:00:00"/>
    <m/>
    <x v="0"/>
    <x v="0"/>
  </r>
  <r>
    <s v="MRSTX036402"/>
    <x v="0"/>
    <x v="5"/>
    <d v="2018-11-30T00:00:00"/>
    <d v="2018-11-30T00:00:00"/>
    <d v="2018-11-30T00:00:00"/>
    <m/>
    <x v="0"/>
    <x v="0"/>
  </r>
  <r>
    <s v="MRSTX036406"/>
    <x v="0"/>
    <x v="5"/>
    <d v="2018-11-15T00:00:00"/>
    <d v="2018-12-30T00:00:00"/>
    <d v="2018-11-13T00:00:00"/>
    <d v="2018-11-13T00:00:00"/>
    <x v="0"/>
    <x v="1"/>
  </r>
  <r>
    <s v="MRSTX036408"/>
    <x v="0"/>
    <x v="5"/>
    <d v="2018-11-15T00:00:00"/>
    <d v="2018-10-30T00:00:00"/>
    <d v="2018-11-15T00:00:00"/>
    <m/>
    <x v="0"/>
    <x v="0"/>
  </r>
  <r>
    <s v="MRSTX036465"/>
    <x v="0"/>
    <x v="5"/>
    <d v="2018-11-15T00:00:00"/>
    <d v="2018-12-30T00:00:00"/>
    <d v="2018-11-15T00:00:00"/>
    <m/>
    <x v="0"/>
    <x v="3"/>
  </r>
  <r>
    <s v="MRSTX036467"/>
    <x v="0"/>
    <x v="5"/>
    <d v="2018-11-15T00:00:00"/>
    <d v="2018-12-30T00:00:00"/>
    <d v="2018-11-13T00:00:00"/>
    <d v="2018-11-13T00:00:00"/>
    <x v="0"/>
    <x v="1"/>
  </r>
  <r>
    <s v="MRSTX036476"/>
    <x v="0"/>
    <x v="5"/>
    <d v="2018-11-15T00:00:00"/>
    <d v="2018-11-30T00:00:00"/>
    <d v="2018-11-19T00:00:00"/>
    <d v="2018-11-19T00:00:00"/>
    <x v="0"/>
    <x v="1"/>
  </r>
  <r>
    <s v="MRSTX036541"/>
    <x v="0"/>
    <x v="5"/>
    <d v="2018-11-15T00:00:00"/>
    <d v="2018-08-30T00:00:00"/>
    <d v="2018-11-28T00:00:00"/>
    <d v="2018-11-28T00:00:00"/>
    <x v="0"/>
    <x v="1"/>
  </r>
  <r>
    <s v="MRSTX036565"/>
    <x v="0"/>
    <x v="5"/>
    <d v="2018-11-15T00:00:00"/>
    <d v="2018-08-30T00:00:00"/>
    <d v="2018-11-28T00:00:00"/>
    <d v="2018-11-28T00:00:00"/>
    <x v="0"/>
    <x v="1"/>
  </r>
  <r>
    <s v="MRSTX036579"/>
    <x v="0"/>
    <x v="5"/>
    <d v="2018-11-15T00:00:00"/>
    <d v="2018-11-30T00:00:00"/>
    <d v="2018-11-19T00:00:00"/>
    <d v="2018-11-19T00:00:00"/>
    <x v="0"/>
    <x v="1"/>
  </r>
  <r>
    <s v="MRSTX036582"/>
    <x v="0"/>
    <x v="5"/>
    <d v="2018-11-15T00:00:00"/>
    <d v="2018-11-30T00:00:00"/>
    <d v="2018-11-07T00:00:00"/>
    <d v="2018-11-07T00:00:00"/>
    <x v="0"/>
    <x v="1"/>
  </r>
  <r>
    <s v="MRSTX036583"/>
    <x v="0"/>
    <x v="5"/>
    <d v="2018-11-30T00:00:00"/>
    <d v="2018-11-30T00:00:00"/>
    <d v="2018-11-19T00:00:00"/>
    <d v="2018-11-19T00:00:00"/>
    <x v="0"/>
    <x v="1"/>
  </r>
  <r>
    <s v="MRSTX036651"/>
    <x v="0"/>
    <x v="5"/>
    <d v="2018-11-13T00:00:00"/>
    <d v="2018-11-13T00:00:00"/>
    <d v="2018-11-16T00:00:00"/>
    <d v="2018-11-16T00:00:00"/>
    <x v="0"/>
    <x v="1"/>
  </r>
  <r>
    <s v="MRSTX036653"/>
    <x v="0"/>
    <x v="5"/>
    <d v="2018-11-13T00:00:00"/>
    <d v="2018-11-13T00:00:00"/>
    <d v="2018-11-16T00:00:00"/>
    <d v="2018-11-16T00:00:00"/>
    <x v="0"/>
    <x v="1"/>
  </r>
  <r>
    <s v="MRSTX036898"/>
    <x v="0"/>
    <x v="5"/>
    <d v="2018-11-15T00:00:00"/>
    <d v="2019-01-10T00:00:00"/>
    <d v="2018-11-15T00:00:00"/>
    <m/>
    <x v="0"/>
    <x v="3"/>
  </r>
  <r>
    <s v="MRSTX036966"/>
    <x v="0"/>
    <x v="5"/>
    <d v="2018-11-15T00:00:00"/>
    <d v="2018-12-30T00:00:00"/>
    <d v="2018-11-15T00:00:00"/>
    <m/>
    <x v="0"/>
    <x v="3"/>
  </r>
  <r>
    <s v="MRSTX036969"/>
    <x v="0"/>
    <x v="5"/>
    <d v="2018-11-15T00:00:00"/>
    <d v="2018-12-30T00:00:00"/>
    <d v="2018-11-15T00:00:00"/>
    <m/>
    <x v="0"/>
    <x v="3"/>
  </r>
  <r>
    <s v="MRSTX036970"/>
    <x v="0"/>
    <x v="5"/>
    <d v="2018-11-30T00:00:00"/>
    <d v="2018-11-30T00:00:00"/>
    <d v="2018-11-30T00:00:00"/>
    <m/>
    <x v="0"/>
    <x v="0"/>
  </r>
  <r>
    <s v="MRSTX036971"/>
    <x v="0"/>
    <x v="5"/>
    <d v="2018-11-30T00:00:00"/>
    <d v="2018-11-30T00:00:00"/>
    <d v="2018-11-30T00:00:00"/>
    <m/>
    <x v="0"/>
    <x v="0"/>
  </r>
  <r>
    <s v="MRNTX033589"/>
    <x v="1"/>
    <x v="5"/>
    <d v="2018-11-22T00:00:00"/>
    <d v="2018-11-24T00:00:00"/>
    <d v="2018-11-07T00:00:00"/>
    <d v="2018-11-07T00:00:00"/>
    <x v="0"/>
    <x v="1"/>
  </r>
  <r>
    <s v="MRSTX035990"/>
    <x v="0"/>
    <x v="5"/>
    <d v="2018-11-15T00:00:00"/>
    <d v="2018-12-30T00:00:00"/>
    <d v="2018-11-15T00:00:00"/>
    <m/>
    <x v="0"/>
    <x v="3"/>
  </r>
  <r>
    <s v="MRSTX035999"/>
    <x v="0"/>
    <x v="5"/>
    <d v="2018-11-15T00:00:00"/>
    <d v="2018-11-29T00:00:00"/>
    <d v="2018-11-08T00:00:00"/>
    <d v="2018-11-08T00:00:00"/>
    <x v="0"/>
    <x v="1"/>
  </r>
  <r>
    <s v="MRSTX036014"/>
    <x v="0"/>
    <x v="5"/>
    <d v="2018-11-15T00:00:00"/>
    <d v="2018-10-30T00:00:00"/>
    <d v="2018-11-15T00:00:00"/>
    <m/>
    <x v="0"/>
    <x v="0"/>
  </r>
  <r>
    <s v="MRSTX036042"/>
    <x v="0"/>
    <x v="5"/>
    <d v="2018-11-15T00:00:00"/>
    <d v="2018-12-30T00:00:00"/>
    <d v="2018-11-15T00:00:00"/>
    <m/>
    <x v="0"/>
    <x v="3"/>
  </r>
  <r>
    <s v="MRSTX036053"/>
    <x v="0"/>
    <x v="5"/>
    <d v="2018-11-15T00:00:00"/>
    <d v="2018-12-30T00:00:00"/>
    <d v="2018-11-15T00:00:00"/>
    <m/>
    <x v="0"/>
    <x v="3"/>
  </r>
  <r>
    <s v="MRSTX036057"/>
    <x v="0"/>
    <x v="5"/>
    <d v="2018-11-15T00:00:00"/>
    <d v="2018-12-30T00:00:00"/>
    <d v="2018-11-15T00:00:00"/>
    <m/>
    <x v="0"/>
    <x v="3"/>
  </r>
  <r>
    <s v="MRSTX036059"/>
    <x v="0"/>
    <x v="5"/>
    <d v="2018-11-15T00:00:00"/>
    <d v="2018-12-30T00:00:00"/>
    <d v="2018-11-15T00:00:00"/>
    <m/>
    <x v="0"/>
    <x v="3"/>
  </r>
  <r>
    <s v="MRSTX036062"/>
    <x v="0"/>
    <x v="5"/>
    <d v="2018-11-15T00:00:00"/>
    <d v="2018-12-30T00:00:00"/>
    <d v="2018-12-15T00:00:00"/>
    <m/>
    <x v="1"/>
    <x v="4"/>
  </r>
  <r>
    <s v="MRSTX036064"/>
    <x v="0"/>
    <x v="5"/>
    <d v="2018-11-15T00:00:00"/>
    <d v="2018-10-30T00:00:00"/>
    <d v="2018-11-15T00:00:00"/>
    <m/>
    <x v="0"/>
    <x v="0"/>
  </r>
  <r>
    <s v="MRSTX036072"/>
    <x v="0"/>
    <x v="5"/>
    <d v="2018-11-15T00:00:00"/>
    <d v="2018-11-30T00:00:00"/>
    <d v="2018-11-15T00:00:00"/>
    <m/>
    <x v="0"/>
    <x v="3"/>
  </r>
  <r>
    <s v="MRSTX036080"/>
    <x v="0"/>
    <x v="5"/>
    <d v="2018-11-30T00:00:00"/>
    <d v="2018-11-30T00:00:00"/>
    <d v="2018-11-07T00:00:00"/>
    <d v="2018-11-07T00:00:00"/>
    <x v="0"/>
    <x v="1"/>
  </r>
  <r>
    <s v="MRSTX036092"/>
    <x v="0"/>
    <x v="5"/>
    <d v="2018-11-15T00:00:00"/>
    <d v="2018-12-30T00:00:00"/>
    <d v="2018-12-15T00:00:00"/>
    <m/>
    <x v="1"/>
    <x v="4"/>
  </r>
  <r>
    <s v="MRSTX036103"/>
    <x v="0"/>
    <x v="5"/>
    <d v="2018-11-30T00:00:00"/>
    <d v="2018-11-30T00:00:00"/>
    <d v="2018-11-09T00:00:00"/>
    <d v="2018-11-09T00:00:00"/>
    <x v="0"/>
    <x v="1"/>
  </r>
  <r>
    <s v="MRSTX036105"/>
    <x v="0"/>
    <x v="5"/>
    <d v="2018-11-15T00:00:00"/>
    <d v="2018-11-30T00:00:00"/>
    <d v="2018-12-20T00:00:00"/>
    <m/>
    <x v="1"/>
    <x v="4"/>
  </r>
  <r>
    <s v="MRSTX036111"/>
    <x v="0"/>
    <x v="5"/>
    <d v="2018-11-30T00:00:00"/>
    <d v="2018-11-30T00:00:00"/>
    <d v="2018-11-28T00:00:00"/>
    <d v="2018-11-28T00:00:00"/>
    <x v="0"/>
    <x v="1"/>
  </r>
  <r>
    <s v="MRNTX024772"/>
    <x v="1"/>
    <x v="5"/>
    <d v="2018-11-26T00:00:00"/>
    <d v="2018-11-08T00:00:00"/>
    <d v="2018-11-08T00:00:00"/>
    <d v="2018-11-08T00:00:00"/>
    <x v="0"/>
    <x v="1"/>
  </r>
  <r>
    <s v="MRNTX032308"/>
    <x v="1"/>
    <x v="5"/>
    <d v="2018-11-24T00:00:00"/>
    <d v="2018-12-29T00:00:00"/>
    <d v="2018-11-07T00:00:00"/>
    <d v="2018-11-07T00:00:00"/>
    <x v="0"/>
    <x v="1"/>
  </r>
  <r>
    <s v="MRNTX032343"/>
    <x v="1"/>
    <x v="5"/>
    <d v="2018-11-02T00:00:00"/>
    <d v="2018-11-30T00:00:00"/>
    <d v="2018-11-02T00:00:00"/>
    <d v="2018-11-02T00:00:00"/>
    <x v="0"/>
    <x v="1"/>
  </r>
  <r>
    <s v="MRNTX032350"/>
    <x v="1"/>
    <x v="5"/>
    <d v="2018-11-25T00:00:00"/>
    <d v="2018-11-08T00:00:00"/>
    <d v="2018-12-30T00:00:00"/>
    <m/>
    <x v="1"/>
    <x v="5"/>
  </r>
  <r>
    <s v="MRNTX032367"/>
    <x v="1"/>
    <x v="5"/>
    <d v="2018-11-28T00:00:00"/>
    <d v="2019-01-23T00:00:00"/>
    <d v="2019-01-30T00:00:00"/>
    <m/>
    <x v="1"/>
    <x v="2"/>
  </r>
  <r>
    <s v="MRNTX032400"/>
    <x v="1"/>
    <x v="5"/>
    <d v="2018-11-13T00:00:00"/>
    <d v="2019-03-13T00:00:00"/>
    <d v="2019-03-30T00:00:00"/>
    <m/>
    <x v="1"/>
    <x v="4"/>
  </r>
  <r>
    <s v="MRWSH024599"/>
    <x v="2"/>
    <x v="5"/>
    <d v="2018-11-30T00:00:00"/>
    <d v="2018-10-02T00:00:00"/>
    <d v="2018-11-30T00:00:00"/>
    <m/>
    <x v="0"/>
    <x v="0"/>
  </r>
  <r>
    <s v="MRWSH024604"/>
    <x v="2"/>
    <x v="5"/>
    <d v="2018-11-30T00:00:00"/>
    <d v="2018-06-11T00:00:00"/>
    <d v="2018-11-30T00:00:00"/>
    <m/>
    <x v="0"/>
    <x v="0"/>
  </r>
  <r>
    <s v="MRWSH024612"/>
    <x v="2"/>
    <x v="5"/>
    <d v="2018-11-30T00:00:00"/>
    <d v="2018-11-02T00:00:00"/>
    <d v="2018-11-30T00:00:00"/>
    <m/>
    <x v="0"/>
    <x v="0"/>
  </r>
  <r>
    <s v="MRWSH024633"/>
    <x v="2"/>
    <x v="5"/>
    <d v="2018-11-30T00:00:00"/>
    <d v="2018-07-07T00:00:00"/>
    <d v="2018-11-30T00:00:00"/>
    <m/>
    <x v="0"/>
    <x v="0"/>
  </r>
  <r>
    <s v="MRWSH024650"/>
    <x v="2"/>
    <x v="5"/>
    <d v="2018-11-30T00:00:00"/>
    <d v="2018-07-07T00:00:00"/>
    <d v="2018-12-01T00:00:00"/>
    <m/>
    <x v="0"/>
    <x v="0"/>
  </r>
  <r>
    <s v="MRWSH024663"/>
    <x v="2"/>
    <x v="5"/>
    <d v="2018-11-30T00:00:00"/>
    <d v="2018-12-20T00:00:00"/>
    <d v="2018-11-30T00:00:00"/>
    <m/>
    <x v="0"/>
    <x v="3"/>
  </r>
  <r>
    <s v="MRWSH024685"/>
    <x v="2"/>
    <x v="5"/>
    <d v="2018-11-30T00:00:00"/>
    <d v="2018-07-07T00:00:00"/>
    <d v="2018-12-01T00:00:00"/>
    <m/>
    <x v="0"/>
    <x v="0"/>
  </r>
  <r>
    <s v="MRWSH024688"/>
    <x v="2"/>
    <x v="5"/>
    <d v="2018-11-30T00:00:00"/>
    <d v="2018-10-01T00:00:00"/>
    <d v="2018-11-30T00:00:00"/>
    <m/>
    <x v="0"/>
    <x v="0"/>
  </r>
  <r>
    <s v="MRWSH024696"/>
    <x v="2"/>
    <x v="5"/>
    <d v="2018-11-30T00:00:00"/>
    <d v="2018-08-02T00:00:00"/>
    <d v="2018-11-30T00:00:00"/>
    <m/>
    <x v="0"/>
    <x v="0"/>
  </r>
  <r>
    <s v="MRWSH024728"/>
    <x v="2"/>
    <x v="5"/>
    <d v="2018-11-30T00:00:00"/>
    <d v="2018-09-30T00:00:00"/>
    <d v="2018-11-20T00:00:00"/>
    <d v="2018-11-20T00:00:00"/>
    <x v="0"/>
    <x v="1"/>
  </r>
  <r>
    <s v="MRWSH024747"/>
    <x v="2"/>
    <x v="5"/>
    <d v="2018-11-30T00:00:00"/>
    <d v="1999-12-30T00:00:00"/>
    <d v="2018-11-30T00:00:00"/>
    <m/>
    <x v="0"/>
    <x v="0"/>
  </r>
  <r>
    <s v="MRSTX036124"/>
    <x v="0"/>
    <x v="5"/>
    <d v="2018-11-15T00:00:00"/>
    <d v="2018-12-30T00:00:00"/>
    <d v="2018-11-07T00:00:00"/>
    <d v="2018-11-07T00:00:00"/>
    <x v="0"/>
    <x v="1"/>
  </r>
  <r>
    <s v="MRSTX036132"/>
    <x v="0"/>
    <x v="5"/>
    <d v="2018-11-15T00:00:00"/>
    <d v="2018-11-30T00:00:00"/>
    <d v="2018-11-15T00:00:00"/>
    <m/>
    <x v="0"/>
    <x v="3"/>
  </r>
  <r>
    <s v="MRSTX036149"/>
    <x v="0"/>
    <x v="5"/>
    <d v="2018-11-15T00:00:00"/>
    <d v="2018-11-30T00:00:00"/>
    <d v="2018-11-15T00:00:00"/>
    <m/>
    <x v="0"/>
    <x v="3"/>
  </r>
  <r>
    <s v="MRSTX036156"/>
    <x v="0"/>
    <x v="5"/>
    <d v="2018-11-15T00:00:00"/>
    <d v="2018-08-30T00:00:00"/>
    <d v="2018-11-09T00:00:00"/>
    <d v="2018-11-09T00:00:00"/>
    <x v="0"/>
    <x v="1"/>
  </r>
  <r>
    <s v="MRSTX036187"/>
    <x v="0"/>
    <x v="5"/>
    <d v="2018-11-15T00:00:00"/>
    <d v="2018-12-30T00:00:00"/>
    <d v="2018-12-15T00:00:00"/>
    <m/>
    <x v="1"/>
    <x v="4"/>
  </r>
  <r>
    <s v="MRWSH022328"/>
    <x v="2"/>
    <x v="5"/>
    <d v="2018-11-30T00:00:00"/>
    <d v="2018-06-01T00:00:00"/>
    <d v="2018-11-30T00:00:00"/>
    <m/>
    <x v="0"/>
    <x v="0"/>
  </r>
  <r>
    <s v="MRWSH022332"/>
    <x v="2"/>
    <x v="5"/>
    <d v="2018-11-30T00:00:00"/>
    <d v="1999-12-30T00:00:00"/>
    <d v="2018-11-30T00:00:00"/>
    <m/>
    <x v="0"/>
    <x v="0"/>
  </r>
  <r>
    <s v="MRWSH022337"/>
    <x v="2"/>
    <x v="5"/>
    <d v="2018-11-30T00:00:00"/>
    <d v="2018-12-15T00:00:00"/>
    <d v="2018-11-16T00:00:00"/>
    <d v="2018-11-16T00:00:00"/>
    <x v="0"/>
    <x v="1"/>
  </r>
  <r>
    <s v="MRWSH022504"/>
    <x v="2"/>
    <x v="5"/>
    <d v="2018-11-30T00:00:00"/>
    <d v="2018-12-15T00:00:00"/>
    <d v="2018-11-30T00:00:00"/>
    <m/>
    <x v="0"/>
    <x v="3"/>
  </r>
  <r>
    <s v="MRWSH022516"/>
    <x v="2"/>
    <x v="5"/>
    <d v="2018-11-30T00:00:00"/>
    <d v="2018-07-18T00:00:00"/>
    <d v="2018-11-06T00:00:00"/>
    <d v="2018-11-06T00:00:00"/>
    <x v="0"/>
    <x v="1"/>
  </r>
  <r>
    <s v="MRWSH022522"/>
    <x v="2"/>
    <x v="5"/>
    <d v="2018-11-30T00:00:00"/>
    <d v="2018-12-15T00:00:00"/>
    <d v="2018-11-30T00:00:00"/>
    <m/>
    <x v="0"/>
    <x v="3"/>
  </r>
  <r>
    <s v="MRWSH022553"/>
    <x v="2"/>
    <x v="5"/>
    <d v="2018-11-30T00:00:00"/>
    <d v="2018-05-10T00:00:00"/>
    <d v="2018-11-30T00:00:00"/>
    <m/>
    <x v="0"/>
    <x v="0"/>
  </r>
  <r>
    <s v="MRSTX034228"/>
    <x v="0"/>
    <x v="5"/>
    <d v="2018-11-30T00:00:00"/>
    <d v="2018-12-30T00:00:00"/>
    <d v="2018-12-30T00:00:00"/>
    <m/>
    <x v="1"/>
    <x v="2"/>
  </r>
  <r>
    <s v="MRSTX034273"/>
    <x v="0"/>
    <x v="5"/>
    <d v="2018-11-15T00:00:00"/>
    <d v="2018-11-30T00:00:00"/>
    <d v="2018-11-07T00:00:00"/>
    <d v="2018-11-07T00:00:00"/>
    <x v="0"/>
    <x v="1"/>
  </r>
  <r>
    <s v="MRWSH024917"/>
    <x v="2"/>
    <x v="5"/>
    <d v="2018-11-30T00:00:00"/>
    <d v="2018-10-19T00:00:00"/>
    <d v="2018-11-01T00:00:00"/>
    <d v="2018-11-01T00:00:00"/>
    <x v="0"/>
    <x v="1"/>
  </r>
  <r>
    <s v="MRWSH024929"/>
    <x v="2"/>
    <x v="5"/>
    <d v="2018-11-30T00:00:00"/>
    <d v="2018-09-01T00:00:00"/>
    <d v="2018-11-30T00:00:00"/>
    <m/>
    <x v="0"/>
    <x v="0"/>
  </r>
  <r>
    <s v="MRWSH024935"/>
    <x v="2"/>
    <x v="5"/>
    <d v="2018-11-30T00:00:00"/>
    <d v="2018-09-01T00:00:00"/>
    <d v="2018-11-30T00:00:00"/>
    <m/>
    <x v="0"/>
    <x v="0"/>
  </r>
  <r>
    <s v="MRWSH024962"/>
    <x v="2"/>
    <x v="5"/>
    <d v="2018-11-30T00:00:00"/>
    <d v="2018-12-15T00:00:00"/>
    <d v="2018-11-30T00:00:00"/>
    <m/>
    <x v="0"/>
    <x v="3"/>
  </r>
  <r>
    <s v="MRNTX030958"/>
    <x v="1"/>
    <x v="5"/>
    <d v="2018-11-22T00:00:00"/>
    <d v="2018-11-19T00:00:00"/>
    <d v="2018-11-19T00:00:00"/>
    <d v="2018-11-19T00:00:00"/>
    <x v="0"/>
    <x v="1"/>
  </r>
  <r>
    <s v="MRNTX031032"/>
    <x v="1"/>
    <x v="5"/>
    <d v="2018-11-02T00:00:00"/>
    <d v="2018-12-02T00:00:00"/>
    <d v="2018-11-02T00:00:00"/>
    <d v="2018-11-02T00:00:00"/>
    <x v="0"/>
    <x v="1"/>
  </r>
  <r>
    <s v="MRNTX031047"/>
    <x v="1"/>
    <x v="5"/>
    <d v="2018-11-24T00:00:00"/>
    <d v="2018-12-29T00:00:00"/>
    <d v="2018-11-07T00:00:00"/>
    <d v="2018-11-07T00:00:00"/>
    <x v="0"/>
    <x v="1"/>
  </r>
  <r>
    <s v="MRWSH022658"/>
    <x v="2"/>
    <x v="5"/>
    <d v="2018-11-30T00:00:00"/>
    <d v="1999-12-30T00:00:00"/>
    <d v="2018-11-28T00:00:00"/>
    <d v="2018-11-28T00:00:00"/>
    <x v="0"/>
    <x v="1"/>
  </r>
  <r>
    <s v="MRWSH022662"/>
    <x v="2"/>
    <x v="5"/>
    <d v="2018-11-30T00:00:00"/>
    <d v="1999-12-30T00:00:00"/>
    <d v="2018-11-30T00:00:00"/>
    <m/>
    <x v="0"/>
    <x v="0"/>
  </r>
  <r>
    <s v="MRWSH022683"/>
    <x v="2"/>
    <x v="5"/>
    <d v="2018-11-30T00:00:00"/>
    <d v="2018-12-15T00:00:00"/>
    <d v="2018-11-30T00:00:00"/>
    <m/>
    <x v="0"/>
    <x v="3"/>
  </r>
  <r>
    <s v="MRWSH022688"/>
    <x v="2"/>
    <x v="5"/>
    <d v="2018-11-30T00:00:00"/>
    <d v="2018-12-15T00:00:00"/>
    <d v="2018-11-30T00:00:00"/>
    <m/>
    <x v="0"/>
    <x v="3"/>
  </r>
  <r>
    <s v="MRWSH022709"/>
    <x v="2"/>
    <x v="5"/>
    <d v="2018-11-30T00:00:00"/>
    <d v="2018-05-03T00:00:00"/>
    <d v="2018-11-30T00:00:00"/>
    <m/>
    <x v="0"/>
    <x v="0"/>
  </r>
  <r>
    <s v="MRWSH022733"/>
    <x v="2"/>
    <x v="5"/>
    <d v="2018-11-30T00:00:00"/>
    <d v="2018-12-20T00:00:00"/>
    <d v="2018-11-30T00:00:00"/>
    <m/>
    <x v="0"/>
    <x v="3"/>
  </r>
  <r>
    <s v="MRWSH022752"/>
    <x v="2"/>
    <x v="5"/>
    <d v="2018-11-30T00:00:00"/>
    <d v="2018-12-20T00:00:00"/>
    <d v="2018-11-30T00:00:00"/>
    <m/>
    <x v="0"/>
    <x v="3"/>
  </r>
  <r>
    <s v="MRWSH022803"/>
    <x v="2"/>
    <x v="5"/>
    <d v="2018-11-30T00:00:00"/>
    <d v="2018-05-03T00:00:00"/>
    <d v="2018-11-29T00:00:00"/>
    <d v="2018-11-29T00:00:00"/>
    <x v="0"/>
    <x v="1"/>
  </r>
  <r>
    <s v="MRWSH022829"/>
    <x v="2"/>
    <x v="5"/>
    <d v="2018-11-30T00:00:00"/>
    <d v="2018-12-20T00:00:00"/>
    <d v="2018-11-30T00:00:00"/>
    <m/>
    <x v="0"/>
    <x v="3"/>
  </r>
  <r>
    <s v="MRWSH022837"/>
    <x v="2"/>
    <x v="5"/>
    <d v="2018-11-30T00:00:00"/>
    <d v="2018-05-03T00:00:00"/>
    <d v="2018-11-29T00:00:00"/>
    <d v="2018-11-29T00:00:00"/>
    <x v="0"/>
    <x v="1"/>
  </r>
  <r>
    <s v="MRSTX034296"/>
    <x v="0"/>
    <x v="5"/>
    <d v="2018-11-15T00:00:00"/>
    <d v="2018-11-30T00:00:00"/>
    <d v="2018-11-15T00:00:00"/>
    <m/>
    <x v="0"/>
    <x v="3"/>
  </r>
  <r>
    <s v="MRSTX034300"/>
    <x v="0"/>
    <x v="5"/>
    <d v="2018-11-30T00:00:00"/>
    <d v="2018-11-30T00:00:00"/>
    <d v="2018-11-19T00:00:00"/>
    <d v="2018-11-19T00:00:00"/>
    <x v="0"/>
    <x v="1"/>
  </r>
  <r>
    <s v="MRSTX034320"/>
    <x v="0"/>
    <x v="5"/>
    <d v="2018-11-30T00:00:00"/>
    <d v="2018-12-30T00:00:00"/>
    <d v="2018-12-30T00:00:00"/>
    <m/>
    <x v="1"/>
    <x v="2"/>
  </r>
  <r>
    <s v="MRSTX034348"/>
    <x v="0"/>
    <x v="5"/>
    <d v="2018-11-15T00:00:00"/>
    <d v="2018-11-30T00:00:00"/>
    <d v="2018-11-09T00:00:00"/>
    <d v="2018-11-09T00:00:00"/>
    <x v="0"/>
    <x v="1"/>
  </r>
  <r>
    <s v="MRSTX034387"/>
    <x v="0"/>
    <x v="5"/>
    <d v="2018-11-15T00:00:00"/>
    <d v="2018-11-30T00:00:00"/>
    <d v="2018-11-07T00:00:00"/>
    <d v="2018-11-07T00:00:00"/>
    <x v="0"/>
    <x v="1"/>
  </r>
  <r>
    <s v="MRSTX034398"/>
    <x v="0"/>
    <x v="5"/>
    <d v="2018-11-15T00:00:00"/>
    <d v="2018-11-30T00:00:00"/>
    <d v="2018-11-15T00:00:00"/>
    <m/>
    <x v="0"/>
    <x v="3"/>
  </r>
  <r>
    <s v="MRSTX034399"/>
    <x v="0"/>
    <x v="5"/>
    <d v="2018-11-15T00:00:00"/>
    <d v="2018-11-30T00:00:00"/>
    <d v="2018-11-07T00:00:00"/>
    <d v="2018-11-07T00:00:00"/>
    <x v="0"/>
    <x v="1"/>
  </r>
  <r>
    <s v="MRSTX034408"/>
    <x v="0"/>
    <x v="5"/>
    <d v="2018-11-15T00:00:00"/>
    <d v="2018-11-30T00:00:00"/>
    <d v="2018-11-15T00:00:00"/>
    <m/>
    <x v="0"/>
    <x v="3"/>
  </r>
  <r>
    <s v="MRSTX034418"/>
    <x v="0"/>
    <x v="5"/>
    <d v="2018-11-15T00:00:00"/>
    <d v="2018-11-30T00:00:00"/>
    <d v="2018-11-19T00:00:00"/>
    <d v="2018-11-19T00:00:00"/>
    <x v="0"/>
    <x v="1"/>
  </r>
  <r>
    <s v="MRSTX034479"/>
    <x v="0"/>
    <x v="5"/>
    <d v="2018-11-15T00:00:00"/>
    <d v="2018-10-30T00:00:00"/>
    <d v="2018-11-15T00:00:00"/>
    <m/>
    <x v="0"/>
    <x v="0"/>
  </r>
  <r>
    <s v="MRSTX034510"/>
    <x v="0"/>
    <x v="5"/>
    <d v="2018-11-03T00:00:00"/>
    <d v="2018-11-03T00:00:00"/>
    <d v="2019-01-08T00:00:00"/>
    <m/>
    <x v="1"/>
    <x v="5"/>
  </r>
  <r>
    <s v="MRSTX034514"/>
    <x v="0"/>
    <x v="5"/>
    <d v="2018-11-30T00:00:00"/>
    <d v="2018-11-30T00:00:00"/>
    <d v="2018-11-09T00:00:00"/>
    <d v="2018-11-09T00:00:00"/>
    <x v="0"/>
    <x v="1"/>
  </r>
  <r>
    <s v="MRWSH019954"/>
    <x v="2"/>
    <x v="5"/>
    <d v="2018-11-30T00:00:00"/>
    <d v="2018-06-11T00:00:00"/>
    <d v="2018-11-30T00:00:00"/>
    <m/>
    <x v="0"/>
    <x v="0"/>
  </r>
  <r>
    <s v="MRNTX031121"/>
    <x v="1"/>
    <x v="5"/>
    <d v="2018-11-13T00:00:00"/>
    <d v="2019-03-13T00:00:00"/>
    <d v="2019-03-30T00:00:00"/>
    <m/>
    <x v="1"/>
    <x v="4"/>
  </r>
  <r>
    <s v="MRNTX031136"/>
    <x v="1"/>
    <x v="5"/>
    <d v="2018-11-28T00:00:00"/>
    <d v="2019-01-23T00:00:00"/>
    <d v="2019-01-30T00:00:00"/>
    <m/>
    <x v="1"/>
    <x v="2"/>
  </r>
  <r>
    <s v="MRNTX031166"/>
    <x v="1"/>
    <x v="5"/>
    <d v="2018-11-25T00:00:00"/>
    <d v="2018-11-08T00:00:00"/>
    <d v="2018-12-30T00:00:00"/>
    <m/>
    <x v="1"/>
    <x v="5"/>
  </r>
  <r>
    <s v="MRNTX031256"/>
    <x v="1"/>
    <x v="5"/>
    <d v="2018-11-02T00:00:00"/>
    <d v="2018-12-02T00:00:00"/>
    <d v="2018-11-02T00:00:00"/>
    <d v="2018-11-02T00:00:00"/>
    <x v="0"/>
    <x v="1"/>
  </r>
  <r>
    <s v="MRNTX036474"/>
    <x v="1"/>
    <x v="5"/>
    <d v="2018-11-06T00:00:00"/>
    <d v="2018-10-07T00:00:00"/>
    <d v="2018-12-30T00:00:00"/>
    <m/>
    <x v="1"/>
    <x v="5"/>
  </r>
  <r>
    <s v="MRNTX036480"/>
    <x v="1"/>
    <x v="5"/>
    <d v="2018-11-22T00:00:00"/>
    <d v="2018-11-24T00:00:00"/>
    <d v="2018-11-07T00:00:00"/>
    <d v="2018-11-07T00:00:00"/>
    <x v="0"/>
    <x v="1"/>
  </r>
  <r>
    <s v="MRNTX036578"/>
    <x v="1"/>
    <x v="5"/>
    <d v="2018-11-22T00:00:00"/>
    <d v="2018-12-14T00:00:00"/>
    <d v="2018-12-30T00:00:00"/>
    <m/>
    <x v="1"/>
    <x v="2"/>
  </r>
  <r>
    <s v="MRSTX030816"/>
    <x v="0"/>
    <x v="5"/>
    <d v="2018-11-15T00:00:00"/>
    <d v="2018-11-30T00:00:00"/>
    <d v="2018-10-22T00:00:00"/>
    <d v="2018-10-22T00:00:00"/>
    <x v="0"/>
    <x v="1"/>
  </r>
  <r>
    <s v="MRSTX030818"/>
    <x v="0"/>
    <x v="5"/>
    <d v="2018-11-15T00:00:00"/>
    <d v="2018-09-30T00:00:00"/>
    <d v="2018-11-19T00:00:00"/>
    <d v="2018-11-19T00:00:00"/>
    <x v="0"/>
    <x v="1"/>
  </r>
  <r>
    <s v="MRSTX030834"/>
    <x v="0"/>
    <x v="5"/>
    <d v="2018-11-30T00:00:00"/>
    <d v="2018-11-30T00:00:00"/>
    <d v="2018-11-09T00:00:00"/>
    <d v="2018-11-09T00:00:00"/>
    <x v="0"/>
    <x v="1"/>
  </r>
  <r>
    <s v="MRNTX031408"/>
    <x v="1"/>
    <x v="5"/>
    <d v="2018-11-02T00:00:00"/>
    <d v="2018-11-30T00:00:00"/>
    <d v="2018-11-02T00:00:00"/>
    <d v="2018-11-02T00:00:00"/>
    <x v="0"/>
    <x v="1"/>
  </r>
  <r>
    <s v="MRNTX031500"/>
    <x v="1"/>
    <x v="5"/>
    <d v="2018-11-02T00:00:00"/>
    <d v="2018-11-30T00:00:00"/>
    <d v="2018-11-02T00:00:00"/>
    <d v="2018-11-02T00:00:00"/>
    <x v="0"/>
    <x v="1"/>
  </r>
  <r>
    <s v="MRNTX037158"/>
    <x v="1"/>
    <x v="5"/>
    <d v="2018-11-02T00:00:00"/>
    <d v="2018-11-29T00:00:00"/>
    <d v="2018-11-02T00:00:00"/>
    <d v="2018-11-02T00:00:00"/>
    <x v="0"/>
    <x v="1"/>
  </r>
  <r>
    <s v="MRWSH019956"/>
    <x v="2"/>
    <x v="5"/>
    <d v="2018-11-30T00:00:00"/>
    <d v="2018-05-10T00:00:00"/>
    <d v="2018-11-30T00:00:00"/>
    <m/>
    <x v="0"/>
    <x v="0"/>
  </r>
  <r>
    <s v="MRWSH019975"/>
    <x v="2"/>
    <x v="5"/>
    <d v="2018-11-30T00:00:00"/>
    <d v="2018-07-07T00:00:00"/>
    <d v="2018-11-30T00:00:00"/>
    <m/>
    <x v="0"/>
    <x v="0"/>
  </r>
  <r>
    <s v="MRWSH019990"/>
    <x v="2"/>
    <x v="5"/>
    <d v="2018-11-30T00:00:00"/>
    <d v="2018-09-30T00:00:00"/>
    <d v="2018-11-20T00:00:00"/>
    <d v="2018-11-20T00:00:00"/>
    <x v="0"/>
    <x v="1"/>
  </r>
  <r>
    <s v="MRWSH020002"/>
    <x v="2"/>
    <x v="5"/>
    <d v="2018-11-30T00:00:00"/>
    <d v="2018-12-02T00:00:00"/>
    <d v="2018-11-30T00:00:00"/>
    <m/>
    <x v="0"/>
    <x v="0"/>
  </r>
  <r>
    <s v="MRWSH020015"/>
    <x v="2"/>
    <x v="5"/>
    <d v="2018-11-30T00:00:00"/>
    <d v="2018-07-18T00:00:00"/>
    <d v="2018-11-06T00:00:00"/>
    <d v="2018-11-06T00:00:00"/>
    <x v="0"/>
    <x v="1"/>
  </r>
  <r>
    <s v="MRWSH020039"/>
    <x v="2"/>
    <x v="5"/>
    <d v="2018-11-30T00:00:00"/>
    <d v="2018-05-10T00:00:00"/>
    <d v="2018-11-30T00:00:00"/>
    <m/>
    <x v="0"/>
    <x v="0"/>
  </r>
  <r>
    <s v="MRWSH020069"/>
    <x v="2"/>
    <x v="5"/>
    <d v="2018-11-30T00:00:00"/>
    <d v="2018-12-15T00:00:00"/>
    <d v="2018-11-30T00:00:00"/>
    <m/>
    <x v="0"/>
    <x v="3"/>
  </r>
  <r>
    <s v="MRWSH020191"/>
    <x v="2"/>
    <x v="5"/>
    <d v="2018-11-30T00:00:00"/>
    <d v="2018-12-15T00:00:00"/>
    <d v="2018-11-30T00:00:00"/>
    <m/>
    <x v="0"/>
    <x v="3"/>
  </r>
  <r>
    <s v="MRWSH020223"/>
    <x v="2"/>
    <x v="5"/>
    <d v="2018-11-30T00:00:00"/>
    <d v="2018-12-15T00:00:00"/>
    <d v="2018-11-30T00:00:00"/>
    <m/>
    <x v="0"/>
    <x v="3"/>
  </r>
  <r>
    <s v="MRWSH020232"/>
    <x v="2"/>
    <x v="5"/>
    <d v="2018-11-30T00:00:00"/>
    <d v="2018-12-02T00:00:00"/>
    <d v="2018-11-30T00:00:00"/>
    <m/>
    <x v="0"/>
    <x v="0"/>
  </r>
  <r>
    <s v="MRWSH020233"/>
    <x v="2"/>
    <x v="5"/>
    <d v="2018-11-30T00:00:00"/>
    <d v="2018-11-02T00:00:00"/>
    <d v="2018-11-30T00:00:00"/>
    <m/>
    <x v="0"/>
    <x v="0"/>
  </r>
  <r>
    <s v="MRSTX030845"/>
    <x v="0"/>
    <x v="5"/>
    <d v="2018-11-15T00:00:00"/>
    <d v="2019-04-30T00:00:00"/>
    <d v="2018-11-19T00:00:00"/>
    <d v="2018-11-19T00:00:00"/>
    <x v="0"/>
    <x v="1"/>
  </r>
  <r>
    <s v="MRSTX030848"/>
    <x v="0"/>
    <x v="5"/>
    <d v="2018-11-15T00:00:00"/>
    <d v="2019-04-30T00:00:00"/>
    <d v="2018-11-19T00:00:00"/>
    <d v="2018-11-19T00:00:00"/>
    <x v="0"/>
    <x v="1"/>
  </r>
  <r>
    <s v="MRSTX030850"/>
    <x v="0"/>
    <x v="5"/>
    <d v="2018-11-15T00:00:00"/>
    <d v="2018-11-30T00:00:00"/>
    <d v="2018-11-21T00:00:00"/>
    <d v="2018-11-21T00:00:00"/>
    <x v="0"/>
    <x v="1"/>
  </r>
  <r>
    <s v="MRSTX030860"/>
    <x v="0"/>
    <x v="5"/>
    <d v="2018-11-30T00:00:00"/>
    <d v="2018-11-30T00:00:00"/>
    <d v="2018-11-28T00:00:00"/>
    <d v="2018-11-28T00:00:00"/>
    <x v="0"/>
    <x v="1"/>
  </r>
  <r>
    <s v="MRSTX030866"/>
    <x v="0"/>
    <x v="5"/>
    <d v="2018-11-30T00:00:00"/>
    <d v="2018-11-30T00:00:00"/>
    <d v="2018-11-28T00:00:00"/>
    <d v="2018-11-28T00:00:00"/>
    <x v="0"/>
    <x v="1"/>
  </r>
  <r>
    <s v="MRSTX030867"/>
    <x v="0"/>
    <x v="5"/>
    <d v="2018-11-15T00:00:00"/>
    <d v="2018-11-30T00:00:00"/>
    <d v="2018-11-15T00:00:00"/>
    <m/>
    <x v="0"/>
    <x v="3"/>
  </r>
  <r>
    <s v="MRSTX030868"/>
    <x v="0"/>
    <x v="5"/>
    <d v="2018-11-30T00:00:00"/>
    <d v="2018-11-30T00:00:00"/>
    <d v="2018-10-22T00:00:00"/>
    <d v="2018-10-22T00:00:00"/>
    <x v="0"/>
    <x v="1"/>
  </r>
  <r>
    <s v="MRSTX030872"/>
    <x v="0"/>
    <x v="5"/>
    <d v="2018-11-15T00:00:00"/>
    <d v="2018-11-30T00:00:00"/>
    <d v="2019-01-15T00:00:00"/>
    <m/>
    <x v="1"/>
    <x v="4"/>
  </r>
  <r>
    <s v="MRSTX030889"/>
    <x v="0"/>
    <x v="5"/>
    <d v="2018-11-30T00:00:00"/>
    <d v="2018-11-30T00:00:00"/>
    <d v="2018-11-07T00:00:00"/>
    <d v="2018-11-07T00:00:00"/>
    <x v="0"/>
    <x v="1"/>
  </r>
  <r>
    <s v="MRSTX030927"/>
    <x v="0"/>
    <x v="5"/>
    <d v="2018-11-15T00:00:00"/>
    <d v="2018-12-30T00:00:00"/>
    <d v="2018-12-15T00:00:00"/>
    <m/>
    <x v="1"/>
    <x v="4"/>
  </r>
  <r>
    <s v="MRSTX030943"/>
    <x v="0"/>
    <x v="5"/>
    <d v="2018-11-15T00:00:00"/>
    <d v="2018-11-30T00:00:00"/>
    <d v="2018-11-19T00:00:00"/>
    <d v="2018-11-19T00:00:00"/>
    <x v="0"/>
    <x v="1"/>
  </r>
  <r>
    <s v="MRSTX030952"/>
    <x v="0"/>
    <x v="5"/>
    <d v="2018-11-15T00:00:00"/>
    <d v="2018-10-30T00:00:00"/>
    <d v="2018-11-19T00:00:00"/>
    <d v="2018-11-19T00:00:00"/>
    <x v="0"/>
    <x v="1"/>
  </r>
  <r>
    <s v="MRSTX031101"/>
    <x v="0"/>
    <x v="5"/>
    <d v="2018-11-15T00:00:00"/>
    <d v="2018-11-30T00:00:00"/>
    <d v="2018-12-20T00:00:00"/>
    <m/>
    <x v="1"/>
    <x v="4"/>
  </r>
  <r>
    <s v="MRSTX031103"/>
    <x v="0"/>
    <x v="5"/>
    <d v="2018-11-15T00:00:00"/>
    <d v="2018-11-30T00:00:00"/>
    <d v="2018-11-05T00:00:00"/>
    <d v="2018-11-05T00:00:00"/>
    <x v="0"/>
    <x v="1"/>
  </r>
  <r>
    <s v="MRSTX031106"/>
    <x v="0"/>
    <x v="5"/>
    <d v="2018-11-15T00:00:00"/>
    <d v="2018-11-30T00:00:00"/>
    <d v="2018-11-15T00:00:00"/>
    <m/>
    <x v="0"/>
    <x v="3"/>
  </r>
  <r>
    <s v="MRSTX031110"/>
    <x v="0"/>
    <x v="5"/>
    <d v="2018-11-15T00:00:00"/>
    <d v="2018-12-30T00:00:00"/>
    <d v="2018-11-07T00:00:00"/>
    <d v="2018-11-07T00:00:00"/>
    <x v="0"/>
    <x v="1"/>
  </r>
  <r>
    <s v="MRSTX031111"/>
    <x v="0"/>
    <x v="5"/>
    <d v="2018-11-15T00:00:00"/>
    <d v="2018-12-12T00:00:00"/>
    <d v="2018-12-10T00:00:00"/>
    <m/>
    <x v="1"/>
    <x v="4"/>
  </r>
  <r>
    <s v="MRSTX031116"/>
    <x v="0"/>
    <x v="5"/>
    <d v="2018-11-15T00:00:00"/>
    <d v="2018-11-30T00:00:00"/>
    <d v="2018-11-13T00:00:00"/>
    <d v="2018-11-13T00:00:00"/>
    <x v="0"/>
    <x v="1"/>
  </r>
  <r>
    <s v="MRSTX031117"/>
    <x v="0"/>
    <x v="5"/>
    <d v="2018-11-15T00:00:00"/>
    <d v="2018-10-30T00:00:00"/>
    <d v="2018-11-15T00:00:00"/>
    <m/>
    <x v="0"/>
    <x v="0"/>
  </r>
  <r>
    <s v="MRNTX037257"/>
    <x v="1"/>
    <x v="5"/>
    <d v="2018-11-26T00:00:00"/>
    <d v="2018-12-19T00:00:00"/>
    <d v="2018-11-16T00:00:00"/>
    <d v="2018-11-16T00:00:00"/>
    <x v="0"/>
    <x v="1"/>
  </r>
  <r>
    <s v="MRNTX037272"/>
    <x v="1"/>
    <x v="5"/>
    <d v="2018-11-27T00:00:00"/>
    <d v="2018-12-13T00:00:00"/>
    <d v="2018-11-13T00:00:00"/>
    <d v="2018-11-13T00:00:00"/>
    <x v="0"/>
    <x v="1"/>
  </r>
  <r>
    <s v="MRNTX037280"/>
    <x v="1"/>
    <x v="5"/>
    <d v="2018-11-25T00:00:00"/>
    <d v="2018-11-07T00:00:00"/>
    <d v="2018-11-08T00:00:00"/>
    <d v="2018-11-08T00:00:00"/>
    <x v="0"/>
    <x v="1"/>
  </r>
  <r>
    <s v="MRNTX037297"/>
    <x v="1"/>
    <x v="5"/>
    <d v="2018-11-26T00:00:00"/>
    <d v="2018-12-19T00:00:00"/>
    <d v="2018-11-16T00:00:00"/>
    <d v="2018-11-16T00:00:00"/>
    <x v="0"/>
    <x v="1"/>
  </r>
  <r>
    <s v="MRSTX032294"/>
    <x v="0"/>
    <x v="5"/>
    <d v="2018-11-15T00:00:00"/>
    <d v="2018-12-30T00:00:00"/>
    <d v="2018-11-15T00:00:00"/>
    <m/>
    <x v="0"/>
    <x v="3"/>
  </r>
  <r>
    <s v="MRSTX032332"/>
    <x v="0"/>
    <x v="5"/>
    <d v="2018-11-15T00:00:00"/>
    <d v="2018-10-30T00:00:00"/>
    <d v="2018-11-15T00:00:00"/>
    <m/>
    <x v="0"/>
    <x v="0"/>
  </r>
  <r>
    <s v="MRSTX032342"/>
    <x v="0"/>
    <x v="5"/>
    <d v="2018-11-15T00:00:00"/>
    <d v="2018-10-30T00:00:00"/>
    <d v="2018-11-15T00:00:00"/>
    <m/>
    <x v="0"/>
    <x v="0"/>
  </r>
  <r>
    <s v="MRSTX032418"/>
    <x v="0"/>
    <x v="5"/>
    <d v="2018-11-30T00:00:00"/>
    <d v="2018-11-30T00:00:00"/>
    <d v="2018-11-07T00:00:00"/>
    <d v="2018-11-07T00:00:00"/>
    <x v="0"/>
    <x v="1"/>
  </r>
  <r>
    <s v="MRSTX032419"/>
    <x v="0"/>
    <x v="5"/>
    <d v="2018-11-15T00:00:00"/>
    <d v="1999-12-30T00:00:00"/>
    <d v="2018-11-15T00:00:00"/>
    <m/>
    <x v="0"/>
    <x v="0"/>
  </r>
  <r>
    <s v="MRSTX032593"/>
    <x v="0"/>
    <x v="5"/>
    <d v="2018-11-15T00:00:00"/>
    <d v="2018-10-30T00:00:00"/>
    <d v="2018-11-15T00:00:00"/>
    <m/>
    <x v="0"/>
    <x v="0"/>
  </r>
  <r>
    <s v="MRSTX032650"/>
    <x v="0"/>
    <x v="5"/>
    <d v="2018-11-15T00:00:00"/>
    <d v="2018-12-30T00:00:00"/>
    <d v="2018-11-15T00:00:00"/>
    <m/>
    <x v="0"/>
    <x v="3"/>
  </r>
  <r>
    <s v="MRSTX032662"/>
    <x v="0"/>
    <x v="5"/>
    <d v="2018-11-15T00:00:00"/>
    <d v="2018-12-30T00:00:00"/>
    <d v="2018-11-15T00:00:00"/>
    <m/>
    <x v="0"/>
    <x v="3"/>
  </r>
  <r>
    <s v="MRSTX032692"/>
    <x v="0"/>
    <x v="5"/>
    <d v="2018-11-30T00:00:00"/>
    <d v="2018-11-30T00:00:00"/>
    <d v="2018-11-09T00:00:00"/>
    <d v="2018-11-09T00:00:00"/>
    <x v="0"/>
    <x v="1"/>
  </r>
  <r>
    <s v="MRSTX032704"/>
    <x v="0"/>
    <x v="5"/>
    <d v="2018-11-30T00:00:00"/>
    <d v="2018-12-19T00:00:00"/>
    <d v="2018-12-19T00:00:00"/>
    <m/>
    <x v="1"/>
    <x v="2"/>
  </r>
  <r>
    <s v="MRSTX032781"/>
    <x v="0"/>
    <x v="5"/>
    <d v="2018-11-15T00:00:00"/>
    <d v="2018-11-30T00:00:00"/>
    <d v="2018-11-19T00:00:00"/>
    <d v="2018-11-19T00:00:00"/>
    <x v="0"/>
    <x v="1"/>
  </r>
  <r>
    <s v="MRSTX032792"/>
    <x v="0"/>
    <x v="5"/>
    <d v="2018-11-30T00:00:00"/>
    <d v="2018-11-30T00:00:00"/>
    <d v="2018-11-30T00:00:00"/>
    <m/>
    <x v="0"/>
    <x v="0"/>
  </r>
  <r>
    <s v="MRSTX032797"/>
    <x v="0"/>
    <x v="5"/>
    <d v="2018-11-15T00:00:00"/>
    <d v="2019-04-30T00:00:00"/>
    <d v="2018-11-19T00:00:00"/>
    <d v="2018-11-19T00:00:00"/>
    <x v="0"/>
    <x v="1"/>
  </r>
  <r>
    <s v="MRSTX032821"/>
    <x v="0"/>
    <x v="5"/>
    <d v="2018-11-15T00:00:00"/>
    <d v="2018-10-30T00:00:00"/>
    <d v="2018-11-15T00:00:00"/>
    <m/>
    <x v="0"/>
    <x v="0"/>
  </r>
  <r>
    <s v="MRSTX032838"/>
    <x v="0"/>
    <x v="5"/>
    <d v="2018-11-15T00:00:00"/>
    <d v="2018-10-30T00:00:00"/>
    <d v="2018-11-15T00:00:00"/>
    <m/>
    <x v="0"/>
    <x v="0"/>
  </r>
  <r>
    <s v="MRSTX032865"/>
    <x v="0"/>
    <x v="5"/>
    <d v="2018-11-03T00:00:00"/>
    <d v="2018-11-03T00:00:00"/>
    <d v="2019-01-08T00:00:00"/>
    <m/>
    <x v="1"/>
    <x v="5"/>
  </r>
  <r>
    <s v="MRSTX032887"/>
    <x v="0"/>
    <x v="5"/>
    <d v="2018-11-15T00:00:00"/>
    <d v="2018-12-30T00:00:00"/>
    <d v="2018-11-15T00:00:00"/>
    <m/>
    <x v="0"/>
    <x v="3"/>
  </r>
  <r>
    <s v="MRNTX025131"/>
    <x v="1"/>
    <x v="5"/>
    <d v="2018-11-26T00:00:00"/>
    <d v="2018-11-10T00:00:00"/>
    <d v="2018-12-30T00:00:00"/>
    <m/>
    <x v="1"/>
    <x v="5"/>
  </r>
  <r>
    <s v="MRNTX032682"/>
    <x v="1"/>
    <x v="5"/>
    <d v="2018-11-22T00:00:00"/>
    <d v="2018-12-14T00:00:00"/>
    <d v="2018-12-30T00:00:00"/>
    <m/>
    <x v="1"/>
    <x v="2"/>
  </r>
  <r>
    <s v="MRWSH025080"/>
    <x v="2"/>
    <x v="5"/>
    <d v="2018-11-30T00:00:00"/>
    <d v="1999-12-30T00:00:00"/>
    <d v="2018-11-30T00:00:00"/>
    <m/>
    <x v="0"/>
    <x v="0"/>
  </r>
  <r>
    <s v="MRWSH025088"/>
    <x v="2"/>
    <x v="5"/>
    <d v="2018-11-30T00:00:00"/>
    <d v="1999-12-30T00:00:00"/>
    <d v="2018-11-29T00:00:00"/>
    <d v="2018-11-29T00:00:00"/>
    <x v="0"/>
    <x v="1"/>
  </r>
  <r>
    <s v="MRWSH025126"/>
    <x v="2"/>
    <x v="5"/>
    <d v="2018-11-30T00:00:00"/>
    <d v="1999-12-30T00:00:00"/>
    <d v="2018-11-30T00:00:00"/>
    <m/>
    <x v="0"/>
    <x v="0"/>
  </r>
  <r>
    <s v="MRWSH025140"/>
    <x v="2"/>
    <x v="5"/>
    <d v="2018-11-30T00:00:00"/>
    <d v="1999-12-30T00:00:00"/>
    <d v="2018-11-27T00:00:00"/>
    <d v="2018-11-27T00:00:00"/>
    <x v="0"/>
    <x v="1"/>
  </r>
  <r>
    <s v="MRWSH025149"/>
    <x v="2"/>
    <x v="5"/>
    <d v="2018-11-30T00:00:00"/>
    <d v="1999-12-30T00:00:00"/>
    <d v="2018-11-28T00:00:00"/>
    <d v="2018-11-28T00:00:00"/>
    <x v="0"/>
    <x v="1"/>
  </r>
  <r>
    <s v="MRWSH025167"/>
    <x v="2"/>
    <x v="5"/>
    <d v="2018-11-30T00:00:00"/>
    <d v="1999-12-30T00:00:00"/>
    <d v="2018-11-30T00:00:00"/>
    <m/>
    <x v="0"/>
    <x v="0"/>
  </r>
  <r>
    <s v="MRWSH025208"/>
    <x v="2"/>
    <x v="5"/>
    <d v="2018-11-30T00:00:00"/>
    <d v="1999-12-30T00:00:00"/>
    <d v="2018-12-12T00:00:00"/>
    <m/>
    <x v="0"/>
    <x v="0"/>
  </r>
  <r>
    <s v="MRWSH025212"/>
    <x v="2"/>
    <x v="5"/>
    <d v="2018-11-30T00:00:00"/>
    <d v="1999-12-30T00:00:00"/>
    <d v="2018-11-30T00:00:00"/>
    <m/>
    <x v="0"/>
    <x v="0"/>
  </r>
  <r>
    <s v="MRWSH025229"/>
    <x v="2"/>
    <x v="5"/>
    <d v="2018-11-30T00:00:00"/>
    <d v="1999-12-30T00:00:00"/>
    <d v="2018-11-30T00:00:00"/>
    <m/>
    <x v="0"/>
    <x v="0"/>
  </r>
  <r>
    <s v="MRWSH025256"/>
    <x v="2"/>
    <x v="5"/>
    <d v="2018-11-30T00:00:00"/>
    <d v="1999-12-30T00:00:00"/>
    <d v="2018-11-19T00:00:00"/>
    <d v="2018-11-19T00:00:00"/>
    <x v="0"/>
    <x v="1"/>
  </r>
  <r>
    <s v="MRWSH025295"/>
    <x v="2"/>
    <x v="5"/>
    <d v="2018-11-30T00:00:00"/>
    <d v="1999-12-30T00:00:00"/>
    <d v="2018-11-06T00:00:00"/>
    <d v="2018-11-06T00:00:00"/>
    <x v="0"/>
    <x v="1"/>
  </r>
  <r>
    <s v="MRWSH025324"/>
    <x v="2"/>
    <x v="5"/>
    <d v="2018-11-30T00:00:00"/>
    <d v="1999-12-30T00:00:00"/>
    <d v="2018-11-30T00:00:00"/>
    <m/>
    <x v="0"/>
    <x v="0"/>
  </r>
  <r>
    <s v="MRWSH025348"/>
    <x v="2"/>
    <x v="5"/>
    <d v="2018-11-30T00:00:00"/>
    <d v="1999-12-30T00:00:00"/>
    <d v="2018-11-16T00:00:00"/>
    <d v="2018-11-16T00:00:00"/>
    <x v="0"/>
    <x v="1"/>
  </r>
  <r>
    <s v="MRSTX033016"/>
    <x v="0"/>
    <x v="5"/>
    <d v="2018-11-15T00:00:00"/>
    <d v="1999-12-30T00:00:00"/>
    <d v="2018-11-15T00:00:00"/>
    <m/>
    <x v="0"/>
    <x v="0"/>
  </r>
  <r>
    <s v="MRNTX032889"/>
    <x v="1"/>
    <x v="5"/>
    <d v="2018-11-22T00:00:00"/>
    <d v="2018-12-14T00:00:00"/>
    <d v="2018-11-28T00:00:00"/>
    <d v="2018-11-28T00:00:00"/>
    <x v="0"/>
    <x v="1"/>
  </r>
  <r>
    <s v="MRNTX032953"/>
    <x v="1"/>
    <x v="5"/>
    <d v="2018-11-08T00:00:00"/>
    <d v="2018-10-24T00:00:00"/>
    <d v="2018-11-05T00:00:00"/>
    <d v="2018-11-05T00:00:00"/>
    <x v="0"/>
    <x v="1"/>
  </r>
  <r>
    <s v="MRNTX032957"/>
    <x v="1"/>
    <x v="5"/>
    <d v="2018-11-08T00:00:00"/>
    <d v="2018-10-24T00:00:00"/>
    <d v="2018-11-05T00:00:00"/>
    <d v="2018-11-05T00:00:00"/>
    <x v="0"/>
    <x v="1"/>
  </r>
  <r>
    <s v="MRSTX034581"/>
    <x v="0"/>
    <x v="5"/>
    <d v="2018-11-15T00:00:00"/>
    <d v="2019-04-30T00:00:00"/>
    <d v="2018-11-19T00:00:00"/>
    <d v="2018-11-19T00:00:00"/>
    <x v="0"/>
    <x v="1"/>
  </r>
  <r>
    <s v="MRSTX034591"/>
    <x v="0"/>
    <x v="5"/>
    <d v="2018-11-15T00:00:00"/>
    <d v="2018-11-30T00:00:00"/>
    <d v="2018-11-21T00:00:00"/>
    <d v="2018-11-21T00:00:00"/>
    <x v="0"/>
    <x v="1"/>
  </r>
  <r>
    <s v="MRSTX034612"/>
    <x v="0"/>
    <x v="5"/>
    <d v="2018-11-30T00:00:00"/>
    <d v="2018-11-30T00:00:00"/>
    <d v="2018-11-28T00:00:00"/>
    <d v="2018-11-28T00:00:00"/>
    <x v="0"/>
    <x v="1"/>
  </r>
  <r>
    <s v="MRSTX034652"/>
    <x v="0"/>
    <x v="5"/>
    <d v="2018-11-30T00:00:00"/>
    <d v="2018-11-30T00:00:00"/>
    <d v="2018-11-09T00:00:00"/>
    <d v="2018-11-09T00:00:00"/>
    <x v="0"/>
    <x v="1"/>
  </r>
  <r>
    <s v="MRSTX034682"/>
    <x v="0"/>
    <x v="5"/>
    <d v="2018-11-15T00:00:00"/>
    <d v="2018-12-30T00:00:00"/>
    <d v="2018-11-15T00:00:00"/>
    <m/>
    <x v="0"/>
    <x v="3"/>
  </r>
  <r>
    <s v="MRSTX034693"/>
    <x v="0"/>
    <x v="5"/>
    <d v="2018-11-15T00:00:00"/>
    <d v="2018-11-30T00:00:00"/>
    <d v="2018-11-21T00:00:00"/>
    <d v="2018-11-21T00:00:00"/>
    <x v="0"/>
    <x v="1"/>
  </r>
  <r>
    <s v="MRSTX034717"/>
    <x v="0"/>
    <x v="5"/>
    <d v="2018-11-30T00:00:00"/>
    <d v="2018-11-30T00:00:00"/>
    <d v="2018-11-28T00:00:00"/>
    <d v="2018-11-28T00:00:00"/>
    <x v="0"/>
    <x v="1"/>
  </r>
  <r>
    <s v="MRSTX034772"/>
    <x v="0"/>
    <x v="5"/>
    <d v="2018-11-15T00:00:00"/>
    <d v="2018-11-30T00:00:00"/>
    <d v="2018-11-15T00:00:00"/>
    <m/>
    <x v="0"/>
    <x v="3"/>
  </r>
  <r>
    <s v="MRWSH025521"/>
    <x v="2"/>
    <x v="5"/>
    <d v="2018-11-30T00:00:00"/>
    <d v="1999-12-30T00:00:00"/>
    <d v="2018-11-06T00:00:00"/>
    <d v="2018-11-06T00:00:00"/>
    <x v="0"/>
    <x v="1"/>
  </r>
  <r>
    <s v="MRNTX036661"/>
    <x v="1"/>
    <x v="5"/>
    <d v="2018-11-22T00:00:00"/>
    <d v="2018-11-07T00:00:00"/>
    <d v="2018-12-30T00:00:00"/>
    <m/>
    <x v="1"/>
    <x v="5"/>
  </r>
  <r>
    <s v="MRNTX036682"/>
    <x v="1"/>
    <x v="5"/>
    <d v="2018-11-22T00:00:00"/>
    <d v="2018-11-07T00:00:00"/>
    <d v="2018-12-30T00:00:00"/>
    <m/>
    <x v="1"/>
    <x v="5"/>
  </r>
  <r>
    <s v="MRNTX036688"/>
    <x v="1"/>
    <x v="5"/>
    <d v="2018-11-22T00:00:00"/>
    <d v="2018-11-07T00:00:00"/>
    <d v="2018-12-30T00:00:00"/>
    <m/>
    <x v="1"/>
    <x v="5"/>
  </r>
  <r>
    <s v="MRNTX036775"/>
    <x v="1"/>
    <x v="5"/>
    <d v="2018-11-22T00:00:00"/>
    <d v="2018-11-07T00:00:00"/>
    <d v="2018-12-30T00:00:00"/>
    <m/>
    <x v="1"/>
    <x v="5"/>
  </r>
  <r>
    <s v="MRANM014317"/>
    <x v="3"/>
    <x v="6"/>
    <d v="2018-11-15T00:00:00"/>
    <d v="2017-12-15T00:00:00"/>
    <d v="2018-11-19T00:00:00"/>
    <d v="2018-11-19T00:00:00"/>
    <x v="0"/>
    <x v="1"/>
  </r>
  <r>
    <s v="MRSTX035521"/>
    <x v="0"/>
    <x v="6"/>
    <d v="2018-11-30T00:00:00"/>
    <d v="2018-10-30T00:00:00"/>
    <d v="2018-11-30T00:00:00"/>
    <d v="2018-11-30T00:00:00"/>
    <x v="0"/>
    <x v="1"/>
  </r>
  <r>
    <s v="MRSTX035522"/>
    <x v="0"/>
    <x v="6"/>
    <d v="2018-11-30T00:00:00"/>
    <d v="2018-10-30T00:00:00"/>
    <d v="2018-11-30T00:00:00"/>
    <m/>
    <x v="0"/>
    <x v="0"/>
  </r>
  <r>
    <s v="MRSTX035523"/>
    <x v="0"/>
    <x v="6"/>
    <d v="2018-11-30T00:00:00"/>
    <d v="2018-10-30T00:00:00"/>
    <d v="2018-11-30T00:00:00"/>
    <m/>
    <x v="0"/>
    <x v="0"/>
  </r>
  <r>
    <s v="MRSTX035542"/>
    <x v="0"/>
    <x v="6"/>
    <d v="2018-11-30T00:00:00"/>
    <d v="2018-11-30T00:00:00"/>
    <d v="2018-11-19T00:00:00"/>
    <d v="2018-11-19T00:00:00"/>
    <x v="0"/>
    <x v="1"/>
  </r>
  <r>
    <s v="MRSTX035544"/>
    <x v="0"/>
    <x v="6"/>
    <d v="2018-11-30T00:00:00"/>
    <d v="2018-11-30T00:00:00"/>
    <d v="2018-11-19T00:00:00"/>
    <d v="2018-11-19T00:00:00"/>
    <x v="0"/>
    <x v="1"/>
  </r>
  <r>
    <s v="MRSTX035546"/>
    <x v="0"/>
    <x v="6"/>
    <d v="2018-11-14T00:00:00"/>
    <d v="2018-11-14T00:00:00"/>
    <d v="2018-11-19T00:00:00"/>
    <d v="2018-11-30T00:00:00"/>
    <x v="1"/>
    <x v="1"/>
  </r>
  <r>
    <s v="MRSTX035560"/>
    <x v="0"/>
    <x v="6"/>
    <d v="2018-11-30T00:00:00"/>
    <d v="2018-11-30T00:00:00"/>
    <d v="2018-11-30T00:00:00"/>
    <m/>
    <x v="0"/>
    <x v="0"/>
  </r>
  <r>
    <s v="MRSTX035566"/>
    <x v="0"/>
    <x v="6"/>
    <d v="2018-11-01T00:00:00"/>
    <d v="2018-09-30T00:00:00"/>
    <d v="2018-11-01T00:00:00"/>
    <d v="2018-11-01T00:00:00"/>
    <x v="0"/>
    <x v="1"/>
  </r>
  <r>
    <s v="MRSTX035583"/>
    <x v="0"/>
    <x v="6"/>
    <d v="2018-11-14T00:00:00"/>
    <d v="2018-11-14T00:00:00"/>
    <d v="2018-11-19T00:00:00"/>
    <d v="2018-11-22T00:00:00"/>
    <x v="0"/>
    <x v="1"/>
  </r>
  <r>
    <s v="MRSTX035593"/>
    <x v="0"/>
    <x v="6"/>
    <d v="2018-11-01T00:00:00"/>
    <d v="2018-11-30T00:00:00"/>
    <d v="2018-11-01T00:00:00"/>
    <d v="2018-11-01T00:00:00"/>
    <x v="0"/>
    <x v="1"/>
  </r>
  <r>
    <s v="MRSTX035594"/>
    <x v="0"/>
    <x v="6"/>
    <d v="2018-11-15T00:00:00"/>
    <d v="2018-11-30T00:00:00"/>
    <d v="2018-11-15T00:00:00"/>
    <m/>
    <x v="0"/>
    <x v="3"/>
  </r>
  <r>
    <s v="MRSTX035597"/>
    <x v="0"/>
    <x v="6"/>
    <d v="2018-11-01T00:00:00"/>
    <d v="2018-11-14T00:00:00"/>
    <d v="2018-11-01T00:00:00"/>
    <d v="2018-11-01T00:00:00"/>
    <x v="0"/>
    <x v="1"/>
  </r>
  <r>
    <s v="MRSTX035598"/>
    <x v="0"/>
    <x v="6"/>
    <d v="2018-11-02T00:00:00"/>
    <d v="2018-10-30T00:00:00"/>
    <d v="2018-11-02T00:00:00"/>
    <d v="2018-11-02T00:00:00"/>
    <x v="0"/>
    <x v="1"/>
  </r>
  <r>
    <s v="MRSTX035601"/>
    <x v="0"/>
    <x v="6"/>
    <d v="2018-11-15T00:00:00"/>
    <d v="2018-10-30T00:00:00"/>
    <d v="2018-11-15T00:00:00"/>
    <d v="2018-11-29T00:00:00"/>
    <x v="0"/>
    <x v="1"/>
  </r>
  <r>
    <s v="MRSTX035619"/>
    <x v="0"/>
    <x v="6"/>
    <d v="2018-11-30T00:00:00"/>
    <d v="2018-11-30T00:00:00"/>
    <d v="2018-11-14T00:00:00"/>
    <d v="2018-11-14T00:00:00"/>
    <x v="0"/>
    <x v="1"/>
  </r>
  <r>
    <s v="MRSTX035626"/>
    <x v="0"/>
    <x v="6"/>
    <d v="2018-11-30T00:00:00"/>
    <d v="2018-11-30T00:00:00"/>
    <d v="2018-11-12T00:00:00"/>
    <d v="2018-11-12T00:00:00"/>
    <x v="0"/>
    <x v="1"/>
  </r>
  <r>
    <s v="MRSTX035649"/>
    <x v="0"/>
    <x v="6"/>
    <d v="2018-11-30T00:00:00"/>
    <d v="2018-11-30T00:00:00"/>
    <d v="2018-11-30T00:00:00"/>
    <m/>
    <x v="0"/>
    <x v="0"/>
  </r>
  <r>
    <s v="MRSTX035651"/>
    <x v="0"/>
    <x v="6"/>
    <d v="2018-11-15T00:00:00"/>
    <d v="2018-10-30T00:00:00"/>
    <d v="2018-11-15T00:00:00"/>
    <m/>
    <x v="0"/>
    <x v="0"/>
  </r>
  <r>
    <s v="MRSTX035655"/>
    <x v="0"/>
    <x v="6"/>
    <d v="2018-11-30T00:00:00"/>
    <d v="2018-11-30T00:00:00"/>
    <d v="2018-11-30T00:00:00"/>
    <m/>
    <x v="0"/>
    <x v="0"/>
  </r>
  <r>
    <s v="MRSTX035664"/>
    <x v="0"/>
    <x v="6"/>
    <d v="2018-11-15T00:00:00"/>
    <d v="2019-01-30T00:00:00"/>
    <d v="2018-11-15T00:00:00"/>
    <m/>
    <x v="0"/>
    <x v="3"/>
  </r>
  <r>
    <s v="MRSTX035665"/>
    <x v="0"/>
    <x v="6"/>
    <d v="2018-11-02T00:00:00"/>
    <d v="2018-10-30T00:00:00"/>
    <d v="2018-11-02T00:00:00"/>
    <d v="2018-11-02T00:00:00"/>
    <x v="0"/>
    <x v="1"/>
  </r>
  <r>
    <s v="MRSTX035669"/>
    <x v="0"/>
    <x v="6"/>
    <d v="2018-11-30T00:00:00"/>
    <d v="2018-11-30T00:00:00"/>
    <d v="2018-11-30T00:00:00"/>
    <d v="2018-11-30T00:00:00"/>
    <x v="0"/>
    <x v="1"/>
  </r>
  <r>
    <s v="MRSTX035670"/>
    <x v="0"/>
    <x v="6"/>
    <d v="2018-11-30T00:00:00"/>
    <d v="2018-11-30T00:00:00"/>
    <d v="2018-11-30T00:00:00"/>
    <m/>
    <x v="0"/>
    <x v="0"/>
  </r>
  <r>
    <s v="MRSTX035671"/>
    <x v="0"/>
    <x v="6"/>
    <d v="2018-11-15T00:00:00"/>
    <d v="2018-10-23T00:00:00"/>
    <d v="2018-11-15T00:00:00"/>
    <m/>
    <x v="0"/>
    <x v="0"/>
  </r>
  <r>
    <s v="MRSTX035676"/>
    <x v="0"/>
    <x v="6"/>
    <d v="2018-11-30T00:00:00"/>
    <d v="2018-11-30T00:00:00"/>
    <d v="2018-11-19T00:00:00"/>
    <d v="2018-11-19T00:00:00"/>
    <x v="0"/>
    <x v="1"/>
  </r>
  <r>
    <s v="MRSTX035684"/>
    <x v="0"/>
    <x v="6"/>
    <d v="2018-11-30T00:00:00"/>
    <d v="2018-11-30T00:00:00"/>
    <d v="2018-11-30T00:00:00"/>
    <m/>
    <x v="0"/>
    <x v="0"/>
  </r>
  <r>
    <s v="MRSTX035685"/>
    <x v="0"/>
    <x v="6"/>
    <d v="2018-11-15T00:00:00"/>
    <d v="2018-11-30T00:00:00"/>
    <d v="2018-11-15T00:00:00"/>
    <m/>
    <x v="0"/>
    <x v="3"/>
  </r>
  <r>
    <s v="MRWSH020417"/>
    <x v="2"/>
    <x v="6"/>
    <d v="2018-11-01T00:00:00"/>
    <d v="2018-11-09T00:00:00"/>
    <d v="2018-11-01T00:00:00"/>
    <d v="2018-11-01T00:00:00"/>
    <x v="0"/>
    <x v="1"/>
  </r>
  <r>
    <s v="MRWSH020461"/>
    <x v="2"/>
    <x v="6"/>
    <d v="2018-11-30T00:00:00"/>
    <d v="2018-11-30T00:00:00"/>
    <d v="2018-11-15T00:00:00"/>
    <d v="2018-11-15T00:00:00"/>
    <x v="0"/>
    <x v="1"/>
  </r>
  <r>
    <s v="MRNTX036822"/>
    <x v="1"/>
    <x v="6"/>
    <d v="2018-11-01T00:00:00"/>
    <d v="2018-12-14T00:00:00"/>
    <d v="2018-11-01T00:00:00"/>
    <d v="2018-11-01T00:00:00"/>
    <x v="0"/>
    <x v="1"/>
  </r>
  <r>
    <s v="MRNTX036844"/>
    <x v="1"/>
    <x v="6"/>
    <d v="2018-11-04T00:00:00"/>
    <d v="2018-11-04T00:00:00"/>
    <d v="2018-11-04T00:00:00"/>
    <m/>
    <x v="0"/>
    <x v="0"/>
  </r>
  <r>
    <s v="MRNTX036857"/>
    <x v="1"/>
    <x v="6"/>
    <d v="2018-11-01T00:00:00"/>
    <d v="2019-01-04T00:00:00"/>
    <d v="2018-11-01T00:00:00"/>
    <d v="2018-11-01T00:00:00"/>
    <x v="0"/>
    <x v="1"/>
  </r>
  <r>
    <s v="MRNTX036927"/>
    <x v="1"/>
    <x v="6"/>
    <d v="2018-11-01T00:00:00"/>
    <d v="2019-01-06T00:00:00"/>
    <d v="2018-11-01T00:00:00"/>
    <d v="2018-11-01T00:00:00"/>
    <x v="0"/>
    <x v="1"/>
  </r>
  <r>
    <s v="MRNTX036959"/>
    <x v="1"/>
    <x v="6"/>
    <d v="2018-11-01T00:00:00"/>
    <d v="2018-12-22T00:00:00"/>
    <d v="2018-11-01T00:00:00"/>
    <d v="2018-11-01T00:00:00"/>
    <x v="0"/>
    <x v="1"/>
  </r>
  <r>
    <s v="MRSTX031122"/>
    <x v="0"/>
    <x v="6"/>
    <d v="2018-11-15T00:00:00"/>
    <d v="2018-12-19T00:00:00"/>
    <d v="2018-11-15T00:00:00"/>
    <m/>
    <x v="0"/>
    <x v="3"/>
  </r>
  <r>
    <s v="MRSTX031299"/>
    <x v="0"/>
    <x v="6"/>
    <d v="2018-11-30T00:00:00"/>
    <d v="2018-11-30T00:00:00"/>
    <d v="2018-11-27T00:00:00"/>
    <d v="2018-11-27T00:00:00"/>
    <x v="0"/>
    <x v="1"/>
  </r>
  <r>
    <s v="MRSTX031320"/>
    <x v="0"/>
    <x v="6"/>
    <d v="2018-11-30T00:00:00"/>
    <d v="2018-11-30T00:00:00"/>
    <d v="2018-11-07T00:00:00"/>
    <d v="2018-11-07T00:00:00"/>
    <x v="0"/>
    <x v="1"/>
  </r>
  <r>
    <s v="MRSTX031388"/>
    <x v="0"/>
    <x v="6"/>
    <d v="2018-11-15T00:00:00"/>
    <d v="2018-12-19T00:00:00"/>
    <d v="2018-11-15T00:00:00"/>
    <m/>
    <x v="0"/>
    <x v="3"/>
  </r>
  <r>
    <s v="MRSTX031462"/>
    <x v="0"/>
    <x v="6"/>
    <d v="2018-11-14T00:00:00"/>
    <d v="2018-10-30T00:00:00"/>
    <d v="2018-11-14T00:00:00"/>
    <m/>
    <x v="0"/>
    <x v="0"/>
  </r>
  <r>
    <s v="MRSTX031479"/>
    <x v="0"/>
    <x v="6"/>
    <d v="2018-11-01T00:00:00"/>
    <d v="2018-11-28T00:00:00"/>
    <d v="2018-11-01T00:00:00"/>
    <d v="2018-11-01T00:00:00"/>
    <x v="0"/>
    <x v="1"/>
  </r>
  <r>
    <s v="MRSTX031481"/>
    <x v="0"/>
    <x v="6"/>
    <d v="2018-11-30T00:00:00"/>
    <d v="2018-11-30T00:00:00"/>
    <d v="2018-11-19T00:00:00"/>
    <d v="2018-11-19T00:00:00"/>
    <x v="0"/>
    <x v="1"/>
  </r>
  <r>
    <s v="MRSTX031591"/>
    <x v="0"/>
    <x v="6"/>
    <d v="2018-11-01T00:00:00"/>
    <d v="2018-11-30T00:00:00"/>
    <d v="2018-11-01T00:00:00"/>
    <d v="2018-11-01T00:00:00"/>
    <x v="0"/>
    <x v="1"/>
  </r>
  <r>
    <s v="MRSTX031592"/>
    <x v="0"/>
    <x v="6"/>
    <d v="2018-11-15T00:00:00"/>
    <d v="2018-11-30T00:00:00"/>
    <d v="2018-11-21T00:00:00"/>
    <d v="2018-11-21T00:00:00"/>
    <x v="0"/>
    <x v="1"/>
  </r>
  <r>
    <s v="MRSTX031605"/>
    <x v="0"/>
    <x v="6"/>
    <d v="2018-11-30T00:00:00"/>
    <d v="2018-11-30T00:00:00"/>
    <d v="2018-11-30T00:00:00"/>
    <d v="2018-11-30T00:00:00"/>
    <x v="0"/>
    <x v="1"/>
  </r>
  <r>
    <s v="MRSTX031616"/>
    <x v="0"/>
    <x v="6"/>
    <d v="2018-11-30T00:00:00"/>
    <d v="2018-11-30T00:00:00"/>
    <d v="2018-11-27T00:00:00"/>
    <d v="2018-11-27T00:00:00"/>
    <x v="0"/>
    <x v="1"/>
  </r>
  <r>
    <s v="MRSTX031635"/>
    <x v="0"/>
    <x v="6"/>
    <d v="2018-11-15T00:00:00"/>
    <d v="2018-11-30T00:00:00"/>
    <d v="2018-12-15T00:00:00"/>
    <m/>
    <x v="1"/>
    <x v="4"/>
  </r>
  <r>
    <s v="MRSTX031723"/>
    <x v="0"/>
    <x v="6"/>
    <d v="2018-11-30T00:00:00"/>
    <d v="2018-11-30T00:00:00"/>
    <d v="2018-11-30T00:00:00"/>
    <m/>
    <x v="0"/>
    <x v="0"/>
  </r>
  <r>
    <s v="MRSTX031725"/>
    <x v="0"/>
    <x v="6"/>
    <d v="2018-11-30T00:00:00"/>
    <d v="2018-11-30T00:00:00"/>
    <d v="2018-11-30T00:00:00"/>
    <m/>
    <x v="0"/>
    <x v="0"/>
  </r>
  <r>
    <s v="MRSTX031956"/>
    <x v="0"/>
    <x v="6"/>
    <d v="2018-11-02T00:00:00"/>
    <d v="2018-11-30T00:00:00"/>
    <d v="2018-11-02T00:00:00"/>
    <d v="2018-11-02T00:00:00"/>
    <x v="0"/>
    <x v="1"/>
  </r>
  <r>
    <s v="MRSTX031967"/>
    <x v="0"/>
    <x v="6"/>
    <d v="2018-11-15T00:00:00"/>
    <d v="2018-11-30T00:00:00"/>
    <d v="2018-11-15T00:00:00"/>
    <m/>
    <x v="0"/>
    <x v="3"/>
  </r>
  <r>
    <s v="MRSTX031987"/>
    <x v="0"/>
    <x v="6"/>
    <d v="2018-11-30T00:00:00"/>
    <d v="2018-11-30T00:00:00"/>
    <d v="2018-11-30T00:00:00"/>
    <m/>
    <x v="0"/>
    <x v="0"/>
  </r>
  <r>
    <s v="MRSTX032083"/>
    <x v="0"/>
    <x v="6"/>
    <d v="2018-11-15T00:00:00"/>
    <d v="2018-11-30T00:00:00"/>
    <d v="2018-11-15T00:00:00"/>
    <m/>
    <x v="0"/>
    <x v="3"/>
  </r>
  <r>
    <s v="MRSTX032124"/>
    <x v="0"/>
    <x v="6"/>
    <d v="2018-11-15T00:00:00"/>
    <d v="2018-09-30T00:00:00"/>
    <d v="2018-11-15T00:00:00"/>
    <m/>
    <x v="0"/>
    <x v="0"/>
  </r>
  <r>
    <s v="MRWSH020478"/>
    <x v="2"/>
    <x v="6"/>
    <d v="2018-11-30T00:00:00"/>
    <d v="2018-11-30T00:00:00"/>
    <d v="2018-11-26T00:00:00"/>
    <d v="2018-11-26T00:00:00"/>
    <x v="0"/>
    <x v="1"/>
  </r>
  <r>
    <s v="MRWSH020487"/>
    <x v="2"/>
    <x v="6"/>
    <d v="2018-11-30T00:00:00"/>
    <d v="2018-11-30T00:00:00"/>
    <d v="2018-11-28T00:00:00"/>
    <d v="2018-11-28T00:00:00"/>
    <x v="0"/>
    <x v="1"/>
  </r>
  <r>
    <s v="MRWSH020565"/>
    <x v="2"/>
    <x v="6"/>
    <d v="2018-11-30T00:00:00"/>
    <d v="2018-11-30T00:00:00"/>
    <d v="2018-11-30T00:00:00"/>
    <m/>
    <x v="0"/>
    <x v="0"/>
  </r>
  <r>
    <s v="MRWSH020572"/>
    <x v="2"/>
    <x v="6"/>
    <d v="2018-11-30T00:00:00"/>
    <d v="2018-11-30T00:00:00"/>
    <d v="2018-11-30T00:00:00"/>
    <m/>
    <x v="0"/>
    <x v="0"/>
  </r>
  <r>
    <s v="MRWSH020602"/>
    <x v="2"/>
    <x v="6"/>
    <d v="2018-11-30T00:00:00"/>
    <d v="2018-11-30T00:00:00"/>
    <d v="2018-11-26T00:00:00"/>
    <d v="2018-11-26T00:00:00"/>
    <x v="0"/>
    <x v="1"/>
  </r>
  <r>
    <s v="MRWSH020603"/>
    <x v="2"/>
    <x v="6"/>
    <d v="2018-11-09T00:00:00"/>
    <d v="2018-11-09T00:00:00"/>
    <d v="2018-11-07T00:00:00"/>
    <d v="2018-11-07T00:00:00"/>
    <x v="0"/>
    <x v="1"/>
  </r>
  <r>
    <s v="MRWSH020613"/>
    <x v="2"/>
    <x v="6"/>
    <d v="2018-11-30T00:00:00"/>
    <d v="2018-11-30T00:00:00"/>
    <d v="2018-11-30T00:00:00"/>
    <m/>
    <x v="0"/>
    <x v="0"/>
  </r>
  <r>
    <s v="MRWSH020641"/>
    <x v="2"/>
    <x v="6"/>
    <d v="2018-11-30T00:00:00"/>
    <d v="2018-11-30T00:00:00"/>
    <d v="2018-11-30T00:00:00"/>
    <m/>
    <x v="0"/>
    <x v="0"/>
  </r>
  <r>
    <s v="MRWSH020676"/>
    <x v="2"/>
    <x v="6"/>
    <d v="2018-11-30T00:00:00"/>
    <d v="2018-11-30T00:00:00"/>
    <d v="2018-11-26T00:00:00"/>
    <d v="2018-11-26T00:00:00"/>
    <x v="0"/>
    <x v="1"/>
  </r>
  <r>
    <s v="MRWSH020683"/>
    <x v="2"/>
    <x v="6"/>
    <d v="2018-11-30T00:00:00"/>
    <d v="2018-11-30T00:00:00"/>
    <d v="2018-11-15T00:00:00"/>
    <d v="2018-11-15T00:00:00"/>
    <x v="0"/>
    <x v="1"/>
  </r>
  <r>
    <s v="MRWSH020703"/>
    <x v="2"/>
    <x v="6"/>
    <d v="2018-11-30T00:00:00"/>
    <d v="2018-11-30T00:00:00"/>
    <d v="2018-11-26T00:00:00"/>
    <d v="2018-11-26T00:00:00"/>
    <x v="0"/>
    <x v="1"/>
  </r>
  <r>
    <s v="MRWSH020824"/>
    <x v="2"/>
    <x v="6"/>
    <d v="2018-11-30T00:00:00"/>
    <s v="N/A"/>
    <s v="N/A"/>
    <s v="N/A"/>
    <x v="2"/>
    <x v="0"/>
  </r>
  <r>
    <s v="MRWSH020878"/>
    <x v="2"/>
    <x v="6"/>
    <d v="2018-11-30T00:00:00"/>
    <d v="2018-11-30T00:00:00"/>
    <d v="2018-11-26T00:00:00"/>
    <d v="2018-11-26T00:00:00"/>
    <x v="0"/>
    <x v="1"/>
  </r>
  <r>
    <s v="MRWSH020897"/>
    <x v="2"/>
    <x v="6"/>
    <d v="2018-11-30T00:00:00"/>
    <d v="2018-11-30T00:00:00"/>
    <d v="2018-11-30T00:00:00"/>
    <m/>
    <x v="0"/>
    <x v="0"/>
  </r>
  <r>
    <s v="MRWSH020899"/>
    <x v="2"/>
    <x v="6"/>
    <d v="2018-11-30T00:00:00"/>
    <d v="2018-11-30T00:00:00"/>
    <d v="2018-11-26T00:00:00"/>
    <d v="2018-11-26T00:00:00"/>
    <x v="0"/>
    <x v="1"/>
  </r>
  <r>
    <s v="MRWSH020916"/>
    <x v="2"/>
    <x v="6"/>
    <d v="2018-11-09T00:00:00"/>
    <d v="2018-11-09T00:00:00"/>
    <d v="2018-11-26T00:00:00"/>
    <d v="2018-11-26T00:00:00"/>
    <x v="1"/>
    <x v="1"/>
  </r>
  <r>
    <s v="MRWSH020929"/>
    <x v="2"/>
    <x v="6"/>
    <d v="2018-11-09T00:00:00"/>
    <d v="2018-11-09T00:00:00"/>
    <d v="2018-11-07T00:00:00"/>
    <d v="2018-11-07T00:00:00"/>
    <x v="0"/>
    <x v="1"/>
  </r>
  <r>
    <s v="MRWSH020943"/>
    <x v="2"/>
    <x v="6"/>
    <d v="2018-11-30T00:00:00"/>
    <d v="2018-11-30T00:00:00"/>
    <d v="2018-11-19T00:00:00"/>
    <d v="2018-11-19T00:00:00"/>
    <x v="0"/>
    <x v="1"/>
  </r>
  <r>
    <s v="MRWSH020966"/>
    <x v="2"/>
    <x v="6"/>
    <d v="2018-11-30T00:00:00"/>
    <d v="2018-11-30T00:00:00"/>
    <d v="2018-11-30T00:00:00"/>
    <m/>
    <x v="0"/>
    <x v="0"/>
  </r>
  <r>
    <s v="MRWSH020978"/>
    <x v="2"/>
    <x v="6"/>
    <d v="2018-11-02T00:00:00"/>
    <d v="2018-11-02T00:00:00"/>
    <d v="2018-11-14T00:00:00"/>
    <d v="2018-11-14T00:00:00"/>
    <x v="0"/>
    <x v="1"/>
  </r>
  <r>
    <s v="MRWSH020992"/>
    <x v="2"/>
    <x v="6"/>
    <d v="2018-11-16T00:00:00"/>
    <d v="2018-11-16T00:00:00"/>
    <d v="2018-11-15T00:00:00"/>
    <d v="2018-11-15T00:00:00"/>
    <x v="0"/>
    <x v="1"/>
  </r>
  <r>
    <s v="MRWSH021067"/>
    <x v="2"/>
    <x v="6"/>
    <d v="2018-11-30T00:00:00"/>
    <d v="2018-11-30T00:00:00"/>
    <d v="2018-11-30T00:00:00"/>
    <m/>
    <x v="0"/>
    <x v="0"/>
  </r>
  <r>
    <s v="MRSTX033105"/>
    <x v="0"/>
    <x v="6"/>
    <d v="2018-11-02T00:00:00"/>
    <d v="2018-11-30T00:00:00"/>
    <d v="2018-11-02T00:00:00"/>
    <d v="2018-11-02T00:00:00"/>
    <x v="0"/>
    <x v="1"/>
  </r>
  <r>
    <s v="MRSTX033122"/>
    <x v="0"/>
    <x v="6"/>
    <d v="2018-11-15T00:00:00"/>
    <d v="2018-11-30T00:00:00"/>
    <d v="2018-11-15T00:00:00"/>
    <m/>
    <x v="0"/>
    <x v="3"/>
  </r>
  <r>
    <s v="MRSTX033150"/>
    <x v="0"/>
    <x v="6"/>
    <d v="2018-11-30T00:00:00"/>
    <d v="2018-11-30T00:00:00"/>
    <d v="2018-11-30T00:00:00"/>
    <m/>
    <x v="0"/>
    <x v="0"/>
  </r>
  <r>
    <s v="MRSTX033168"/>
    <x v="0"/>
    <x v="6"/>
    <d v="2018-11-01T00:00:00"/>
    <d v="2018-10-31T00:00:00"/>
    <d v="2018-11-01T00:00:00"/>
    <d v="2018-11-01T00:00:00"/>
    <x v="0"/>
    <x v="1"/>
  </r>
  <r>
    <s v="MRSTX033206"/>
    <x v="0"/>
    <x v="6"/>
    <d v="2018-11-15T00:00:00"/>
    <d v="2018-09-13T00:00:00"/>
    <d v="2018-11-15T00:00:00"/>
    <m/>
    <x v="0"/>
    <x v="0"/>
  </r>
  <r>
    <s v="MRSTX033234"/>
    <x v="0"/>
    <x v="6"/>
    <d v="2018-11-15T00:00:00"/>
    <d v="2018-11-30T00:00:00"/>
    <d v="2018-11-15T00:00:00"/>
    <m/>
    <x v="0"/>
    <x v="3"/>
  </r>
  <r>
    <s v="MRSTX033241"/>
    <x v="0"/>
    <x v="6"/>
    <d v="2018-11-01T00:00:00"/>
    <d v="2018-10-31T00:00:00"/>
    <d v="2018-11-01T00:00:00"/>
    <d v="2018-11-01T00:00:00"/>
    <x v="0"/>
    <x v="1"/>
  </r>
  <r>
    <s v="MRSTX033348"/>
    <x v="0"/>
    <x v="6"/>
    <d v="2018-11-15T00:00:00"/>
    <d v="2018-12-06T00:00:00"/>
    <d v="2018-11-28T00:00:00"/>
    <d v="2018-11-28T00:00:00"/>
    <x v="0"/>
    <x v="1"/>
  </r>
  <r>
    <s v="MRSTX033360"/>
    <x v="0"/>
    <x v="6"/>
    <d v="2018-11-15T00:00:00"/>
    <d v="2018-09-30T00:00:00"/>
    <d v="2018-11-15T00:00:00"/>
    <m/>
    <x v="0"/>
    <x v="0"/>
  </r>
  <r>
    <s v="MRSTX033411"/>
    <x v="0"/>
    <x v="6"/>
    <d v="2018-11-30T00:00:00"/>
    <d v="2018-11-30T00:00:00"/>
    <d v="2018-11-30T00:00:00"/>
    <m/>
    <x v="0"/>
    <x v="0"/>
  </r>
  <r>
    <s v="MRSTX033428"/>
    <x v="0"/>
    <x v="6"/>
    <d v="2018-11-14T00:00:00"/>
    <d v="2018-11-14T00:00:00"/>
    <d v="2018-11-14T00:00:00"/>
    <m/>
    <x v="0"/>
    <x v="0"/>
  </r>
  <r>
    <s v="MRSTX033469"/>
    <x v="0"/>
    <x v="6"/>
    <d v="2018-11-06T00:00:00"/>
    <d v="2018-09-30T00:00:00"/>
    <d v="2018-11-14T00:00:00"/>
    <d v="2018-11-14T00:00:00"/>
    <x v="0"/>
    <x v="1"/>
  </r>
  <r>
    <s v="MRSTX033481"/>
    <x v="0"/>
    <x v="6"/>
    <d v="2018-11-30T00:00:00"/>
    <d v="2018-11-30T00:00:00"/>
    <d v="2018-11-29T00:00:00"/>
    <d v="2018-11-29T00:00:00"/>
    <x v="0"/>
    <x v="1"/>
  </r>
  <r>
    <s v="MRSTX033491"/>
    <x v="0"/>
    <x v="6"/>
    <d v="2018-11-30T00:00:00"/>
    <d v="2018-11-30T00:00:00"/>
    <d v="2018-11-30T00:00:00"/>
    <m/>
    <x v="0"/>
    <x v="0"/>
  </r>
  <r>
    <s v="MRSTX033519"/>
    <x v="0"/>
    <x v="6"/>
    <d v="2018-11-15T00:00:00"/>
    <d v="2018-12-19T00:00:00"/>
    <d v="2018-11-15T00:00:00"/>
    <m/>
    <x v="0"/>
    <x v="3"/>
  </r>
  <r>
    <s v="MRSTX033533"/>
    <x v="0"/>
    <x v="6"/>
    <d v="2018-11-15T00:00:00"/>
    <d v="2018-12-06T00:00:00"/>
    <d v="2018-11-28T00:00:00"/>
    <d v="2018-11-28T00:00:00"/>
    <x v="0"/>
    <x v="1"/>
  </r>
  <r>
    <s v="MRSTX033534"/>
    <x v="0"/>
    <x v="6"/>
    <d v="2018-11-01T00:00:00"/>
    <d v="2018-11-20T00:00:00"/>
    <d v="2018-11-01T00:00:00"/>
    <d v="2018-11-01T00:00:00"/>
    <x v="0"/>
    <x v="1"/>
  </r>
  <r>
    <s v="MRSTX033546"/>
    <x v="0"/>
    <x v="6"/>
    <d v="2018-11-15T00:00:00"/>
    <d v="2018-11-30T00:00:00"/>
    <d v="2018-11-19T00:00:00"/>
    <d v="2018-11-19T00:00:00"/>
    <x v="0"/>
    <x v="1"/>
  </r>
  <r>
    <s v="MRSTX033559"/>
    <x v="0"/>
    <x v="6"/>
    <d v="2018-11-01T00:00:00"/>
    <d v="2018-11-01T00:00:00"/>
    <d v="2018-11-01T00:00:00"/>
    <d v="2018-11-01T00:00:00"/>
    <x v="0"/>
    <x v="1"/>
  </r>
  <r>
    <s v="MRSTX033562"/>
    <x v="0"/>
    <x v="6"/>
    <d v="2018-11-01T00:00:00"/>
    <d v="2018-11-01T00:00:00"/>
    <d v="2018-11-01T00:00:00"/>
    <d v="2018-11-01T00:00:00"/>
    <x v="0"/>
    <x v="1"/>
  </r>
  <r>
    <s v="MRSTX033570"/>
    <x v="0"/>
    <x v="6"/>
    <d v="2018-11-30T00:00:00"/>
    <d v="2018-11-30T00:00:00"/>
    <d v="2018-11-30T00:00:00"/>
    <m/>
    <x v="0"/>
    <x v="0"/>
  </r>
  <r>
    <s v="MRSTX033577"/>
    <x v="0"/>
    <x v="6"/>
    <d v="2018-11-30T00:00:00"/>
    <d v="2018-11-30T00:00:00"/>
    <d v="2018-11-30T00:00:00"/>
    <m/>
    <x v="0"/>
    <x v="0"/>
  </r>
  <r>
    <s v="MRSTX033594"/>
    <x v="0"/>
    <x v="6"/>
    <d v="2018-11-15T00:00:00"/>
    <d v="2018-12-19T00:00:00"/>
    <d v="2018-11-15T00:00:00"/>
    <m/>
    <x v="0"/>
    <x v="3"/>
  </r>
  <r>
    <s v="MRNTX029234"/>
    <x v="1"/>
    <x v="6"/>
    <d v="2018-11-04T00:00:00"/>
    <d v="2018-11-04T00:00:00"/>
    <d v="2018-11-29T00:00:00"/>
    <d v="2018-11-29T00:00:00"/>
    <x v="1"/>
    <x v="1"/>
  </r>
  <r>
    <s v="MRANM014683"/>
    <x v="3"/>
    <x v="6"/>
    <d v="2018-11-15T00:00:00"/>
    <d v="2017-12-15T00:00:00"/>
    <d v="2018-11-19T00:00:00"/>
    <d v="2018-11-19T00:00:00"/>
    <x v="0"/>
    <x v="1"/>
  </r>
  <r>
    <s v="MRNTX033309"/>
    <x v="1"/>
    <x v="6"/>
    <d v="2018-11-04T00:00:00"/>
    <d v="2018-11-04T00:00:00"/>
    <d v="2018-11-13T00:00:00"/>
    <d v="2018-11-13T00:00:00"/>
    <x v="0"/>
    <x v="1"/>
  </r>
  <r>
    <s v="MRSTX014666"/>
    <x v="0"/>
    <x v="6"/>
    <d v="2018-11-15T00:00:00"/>
    <d v="2018-08-13T00:00:00"/>
    <d v="2018-11-07T00:00:00"/>
    <d v="2018-11-07T00:00:00"/>
    <x v="0"/>
    <x v="1"/>
  </r>
  <r>
    <s v="MRSTX014673"/>
    <x v="0"/>
    <x v="6"/>
    <d v="2018-11-15T00:00:00"/>
    <d v="2018-11-30T00:00:00"/>
    <d v="2018-11-15T00:00:00"/>
    <m/>
    <x v="0"/>
    <x v="3"/>
  </r>
  <r>
    <s v="MRSTX014757"/>
    <x v="0"/>
    <x v="6"/>
    <d v="2018-11-15T00:00:00"/>
    <d v="2018-11-30T00:00:00"/>
    <d v="2018-11-15T00:00:00"/>
    <m/>
    <x v="0"/>
    <x v="3"/>
  </r>
  <r>
    <s v="MRSTX015467"/>
    <x v="0"/>
    <x v="6"/>
    <d v="2018-11-15T00:00:00"/>
    <d v="2018-07-22T00:00:00"/>
    <d v="2018-11-07T00:00:00"/>
    <d v="2018-11-07T00:00:00"/>
    <x v="0"/>
    <x v="1"/>
  </r>
  <r>
    <s v="MRSTX019643"/>
    <x v="0"/>
    <x v="6"/>
    <d v="2018-11-30T00:00:00"/>
    <d v="2018-11-30T00:00:00"/>
    <d v="2018-11-30T00:00:00"/>
    <m/>
    <x v="0"/>
    <x v="0"/>
  </r>
  <r>
    <s v="MRSTX035696"/>
    <x v="0"/>
    <x v="6"/>
    <d v="2018-11-30T00:00:00"/>
    <d v="2018-11-30T00:00:00"/>
    <d v="2018-11-30T00:00:00"/>
    <m/>
    <x v="0"/>
    <x v="0"/>
  </r>
  <r>
    <s v="MRSTX035698"/>
    <x v="0"/>
    <x v="6"/>
    <d v="2018-11-14T00:00:00"/>
    <d v="2018-11-14T00:00:00"/>
    <d v="2018-11-26T00:00:00"/>
    <d v="2018-11-26T00:00:00"/>
    <x v="0"/>
    <x v="1"/>
  </r>
  <r>
    <s v="MRSTX035700"/>
    <x v="0"/>
    <x v="6"/>
    <d v="2018-11-14T00:00:00"/>
    <d v="2018-11-14T00:00:00"/>
    <d v="2018-11-19T00:00:00"/>
    <d v="2018-11-22T00:00:00"/>
    <x v="0"/>
    <x v="1"/>
  </r>
  <r>
    <s v="MRSTX035707"/>
    <x v="0"/>
    <x v="6"/>
    <d v="2018-11-30T00:00:00"/>
    <d v="2018-11-30T00:00:00"/>
    <d v="2018-11-30T00:00:00"/>
    <m/>
    <x v="0"/>
    <x v="0"/>
  </r>
  <r>
    <s v="MRSTX035732"/>
    <x v="0"/>
    <x v="6"/>
    <d v="2018-11-15T00:00:00"/>
    <d v="2018-09-30T00:00:00"/>
    <d v="2018-11-19T00:00:00"/>
    <d v="2018-11-19T00:00:00"/>
    <x v="0"/>
    <x v="1"/>
  </r>
  <r>
    <s v="MRSTX035735"/>
    <x v="0"/>
    <x v="6"/>
    <d v="2018-11-30T00:00:00"/>
    <d v="2018-11-30T00:00:00"/>
    <d v="2018-11-19T00:00:00"/>
    <d v="2018-11-19T00:00:00"/>
    <x v="0"/>
    <x v="1"/>
  </r>
  <r>
    <s v="MRSTX035737"/>
    <x v="0"/>
    <x v="6"/>
    <d v="2018-11-30T00:00:00"/>
    <d v="2018-11-30T00:00:00"/>
    <d v="2018-11-30T00:00:00"/>
    <m/>
    <x v="0"/>
    <x v="0"/>
  </r>
  <r>
    <s v="MRSTX035743"/>
    <x v="0"/>
    <x v="6"/>
    <d v="2018-11-30T00:00:00"/>
    <d v="2018-11-30T00:00:00"/>
    <d v="2018-11-30T00:00:00"/>
    <m/>
    <x v="0"/>
    <x v="0"/>
  </r>
  <r>
    <s v="MRSTX035744"/>
    <x v="0"/>
    <x v="6"/>
    <d v="2018-11-14T00:00:00"/>
    <d v="2018-11-14T00:00:00"/>
    <d v="2018-11-26T00:00:00"/>
    <d v="2018-11-26T00:00:00"/>
    <x v="0"/>
    <x v="1"/>
  </r>
  <r>
    <s v="MRSTX035750"/>
    <x v="0"/>
    <x v="6"/>
    <d v="2018-11-14T00:00:00"/>
    <d v="2018-11-14T00:00:00"/>
    <d v="2018-11-26T00:00:00"/>
    <d v="2018-11-26T00:00:00"/>
    <x v="0"/>
    <x v="1"/>
  </r>
  <r>
    <s v="MRSTX035752"/>
    <x v="0"/>
    <x v="6"/>
    <d v="2018-11-15T00:00:00"/>
    <d v="2018-09-30T00:00:00"/>
    <d v="2018-11-15T00:00:00"/>
    <m/>
    <x v="0"/>
    <x v="0"/>
  </r>
  <r>
    <s v="MRSTX035756"/>
    <x v="0"/>
    <x v="6"/>
    <d v="2018-11-30T00:00:00"/>
    <d v="2018-11-30T00:00:00"/>
    <d v="2018-11-07T00:00:00"/>
    <d v="2018-11-07T00:00:00"/>
    <x v="0"/>
    <x v="1"/>
  </r>
  <r>
    <s v="MRSTX035759"/>
    <x v="0"/>
    <x v="6"/>
    <d v="2018-11-15T00:00:00"/>
    <d v="2019-03-15T00:00:00"/>
    <d v="2018-11-15T00:00:00"/>
    <m/>
    <x v="0"/>
    <x v="3"/>
  </r>
  <r>
    <s v="MRSTX035774"/>
    <x v="0"/>
    <x v="6"/>
    <d v="2018-11-30T00:00:00"/>
    <d v="2018-10-30T00:00:00"/>
    <d v="2018-11-30T00:00:00"/>
    <d v="2018-11-29T00:00:00"/>
    <x v="0"/>
    <x v="1"/>
  </r>
  <r>
    <s v="MRSTX035778"/>
    <x v="0"/>
    <x v="6"/>
    <d v="2018-11-15T00:00:00"/>
    <d v="2018-12-30T00:00:00"/>
    <d v="2018-11-15T00:00:00"/>
    <m/>
    <x v="0"/>
    <x v="3"/>
  </r>
  <r>
    <s v="MRSTX035790"/>
    <x v="0"/>
    <x v="6"/>
    <d v="2018-11-14T00:00:00"/>
    <d v="2018-11-14T00:00:00"/>
    <d v="2018-11-26T00:00:00"/>
    <d v="2018-11-26T00:00:00"/>
    <x v="0"/>
    <x v="1"/>
  </r>
  <r>
    <s v="MRSTX035807"/>
    <x v="0"/>
    <x v="6"/>
    <d v="2018-11-30T00:00:00"/>
    <d v="2018-10-30T00:00:00"/>
    <d v="2018-11-30T00:00:00"/>
    <m/>
    <x v="0"/>
    <x v="0"/>
  </r>
  <r>
    <s v="MRSTX035811"/>
    <x v="0"/>
    <x v="6"/>
    <d v="2018-11-30T00:00:00"/>
    <d v="2018-11-30T00:00:00"/>
    <d v="2018-11-30T00:00:00"/>
    <m/>
    <x v="0"/>
    <x v="0"/>
  </r>
  <r>
    <s v="MRSTX035813"/>
    <x v="0"/>
    <x v="6"/>
    <d v="2018-11-15T00:00:00"/>
    <d v="2018-09-30T00:00:00"/>
    <d v="2018-11-15T00:00:00"/>
    <m/>
    <x v="0"/>
    <x v="0"/>
  </r>
  <r>
    <s v="MRSTX035814"/>
    <x v="0"/>
    <x v="6"/>
    <d v="2018-11-01T00:00:00"/>
    <d v="2018-09-30T00:00:00"/>
    <d v="2018-11-01T00:00:00"/>
    <d v="2018-11-01T00:00:00"/>
    <x v="0"/>
    <x v="1"/>
  </r>
  <r>
    <s v="MRSTX035816"/>
    <x v="0"/>
    <x v="6"/>
    <d v="2018-11-30T00:00:00"/>
    <d v="2018-11-30T00:00:00"/>
    <d v="2018-11-30T00:00:00"/>
    <d v="2018-11-30T00:00:00"/>
    <x v="0"/>
    <x v="1"/>
  </r>
  <r>
    <s v="MRANM019569"/>
    <x v="3"/>
    <x v="6"/>
    <d v="2018-11-15T00:00:00"/>
    <d v="1999-12-30T00:00:00"/>
    <d v="2018-11-27T00:00:00"/>
    <m/>
    <x v="0"/>
    <x v="0"/>
  </r>
  <r>
    <s v="MRNTX031603"/>
    <x v="1"/>
    <x v="6"/>
    <d v="2018-11-04T00:00:00"/>
    <d v="2018-11-04T00:00:00"/>
    <d v="2018-11-16T00:00:00"/>
    <d v="2018-11-16T00:00:00"/>
    <x v="0"/>
    <x v="1"/>
  </r>
  <r>
    <s v="MRSTX035818"/>
    <x v="0"/>
    <x v="6"/>
    <d v="2018-11-01T00:00:00"/>
    <d v="2018-11-15T00:00:00"/>
    <d v="2018-11-01T00:00:00"/>
    <d v="2018-11-01T00:00:00"/>
    <x v="0"/>
    <x v="1"/>
  </r>
  <r>
    <s v="MRSTX035821"/>
    <x v="0"/>
    <x v="6"/>
    <d v="2018-11-15T00:00:00"/>
    <d v="2018-11-30T00:00:00"/>
    <d v="2018-11-15T00:00:00"/>
    <m/>
    <x v="0"/>
    <x v="3"/>
  </r>
  <r>
    <s v="MRSTX035823"/>
    <x v="0"/>
    <x v="6"/>
    <d v="2018-11-15T00:00:00"/>
    <d v="2018-11-30T00:00:00"/>
    <d v="2018-11-15T00:00:00"/>
    <m/>
    <x v="0"/>
    <x v="3"/>
  </r>
  <r>
    <s v="MRSTX035826"/>
    <x v="0"/>
    <x v="6"/>
    <d v="2018-11-15T00:00:00"/>
    <d v="2018-12-30T00:00:00"/>
    <d v="2018-11-15T00:00:00"/>
    <m/>
    <x v="0"/>
    <x v="3"/>
  </r>
  <r>
    <s v="MRSTX035831"/>
    <x v="0"/>
    <x v="6"/>
    <d v="2018-11-30T00:00:00"/>
    <d v="2018-11-30T00:00:00"/>
    <d v="2018-11-14T00:00:00"/>
    <d v="2018-11-14T00:00:00"/>
    <x v="0"/>
    <x v="1"/>
  </r>
  <r>
    <s v="MRSTX035838"/>
    <x v="0"/>
    <x v="6"/>
    <d v="2018-11-15T00:00:00"/>
    <d v="2018-11-30T00:00:00"/>
    <d v="2018-11-15T00:00:00"/>
    <m/>
    <x v="0"/>
    <x v="3"/>
  </r>
  <r>
    <s v="MRSTX035855"/>
    <x v="0"/>
    <x v="6"/>
    <d v="2018-11-15T00:00:00"/>
    <d v="2018-12-30T00:00:00"/>
    <d v="2018-11-15T00:00:00"/>
    <m/>
    <x v="0"/>
    <x v="3"/>
  </r>
  <r>
    <s v="MRSTX035856"/>
    <x v="0"/>
    <x v="6"/>
    <d v="2018-11-30T00:00:00"/>
    <d v="2018-11-30T00:00:00"/>
    <d v="2018-11-30T00:00:00"/>
    <m/>
    <x v="0"/>
    <x v="0"/>
  </r>
  <r>
    <s v="MRSTX035872"/>
    <x v="0"/>
    <x v="6"/>
    <d v="2018-11-15T00:00:00"/>
    <d v="2018-09-30T00:00:00"/>
    <d v="2018-11-19T00:00:00"/>
    <d v="2018-11-19T00:00:00"/>
    <x v="0"/>
    <x v="1"/>
  </r>
  <r>
    <s v="MRSTX035876"/>
    <x v="0"/>
    <x v="6"/>
    <d v="2018-11-15T00:00:00"/>
    <d v="2018-11-30T00:00:00"/>
    <d v="2018-11-15T00:00:00"/>
    <m/>
    <x v="0"/>
    <x v="3"/>
  </r>
  <r>
    <s v="MRSTX035878"/>
    <x v="0"/>
    <x v="6"/>
    <d v="2018-11-15T00:00:00"/>
    <d v="2018-09-30T00:00:00"/>
    <d v="2018-11-19T00:00:00"/>
    <d v="2018-11-19T00:00:00"/>
    <x v="0"/>
    <x v="1"/>
  </r>
  <r>
    <s v="MRSTX035882"/>
    <x v="0"/>
    <x v="6"/>
    <d v="2018-11-15T00:00:00"/>
    <d v="2018-09-30T00:00:00"/>
    <d v="2018-11-19T00:00:00"/>
    <d v="2018-11-19T00:00:00"/>
    <x v="0"/>
    <x v="1"/>
  </r>
  <r>
    <s v="MRSTX035886"/>
    <x v="0"/>
    <x v="6"/>
    <d v="2018-11-01T00:00:00"/>
    <d v="2018-11-15T00:00:00"/>
    <d v="2018-11-01T00:00:00"/>
    <d v="2018-11-01T00:00:00"/>
    <x v="0"/>
    <x v="1"/>
  </r>
  <r>
    <s v="MRSTX035897"/>
    <x v="0"/>
    <x v="6"/>
    <d v="2018-11-01T00:00:00"/>
    <d v="2018-11-14T00:00:00"/>
    <d v="2018-11-01T00:00:00"/>
    <d v="2018-11-01T00:00:00"/>
    <x v="0"/>
    <x v="1"/>
  </r>
  <r>
    <s v="MRSTX035900"/>
    <x v="0"/>
    <x v="6"/>
    <d v="2018-11-15T00:00:00"/>
    <d v="2018-11-30T00:00:00"/>
    <d v="2018-11-15T00:00:00"/>
    <m/>
    <x v="0"/>
    <x v="3"/>
  </r>
  <r>
    <s v="MRSTX035929"/>
    <x v="0"/>
    <x v="6"/>
    <d v="2018-11-30T00:00:00"/>
    <d v="2018-11-30T00:00:00"/>
    <d v="2018-11-30T00:00:00"/>
    <m/>
    <x v="0"/>
    <x v="0"/>
  </r>
  <r>
    <s v="MRSTX035930"/>
    <x v="0"/>
    <x v="6"/>
    <d v="2018-11-30T00:00:00"/>
    <d v="2018-11-30T00:00:00"/>
    <d v="2018-11-19T00:00:00"/>
    <d v="2018-11-19T00:00:00"/>
    <x v="0"/>
    <x v="1"/>
  </r>
  <r>
    <s v="MRSTX035944"/>
    <x v="0"/>
    <x v="6"/>
    <d v="2018-11-30T00:00:00"/>
    <d v="2018-11-30T00:00:00"/>
    <d v="2018-11-12T00:00:00"/>
    <d v="2018-11-12T00:00:00"/>
    <x v="0"/>
    <x v="1"/>
  </r>
  <r>
    <s v="MRSTX035974"/>
    <x v="0"/>
    <x v="6"/>
    <d v="2018-11-30T00:00:00"/>
    <d v="2018-10-30T00:00:00"/>
    <d v="2018-11-30T00:00:00"/>
    <m/>
    <x v="0"/>
    <x v="0"/>
  </r>
  <r>
    <s v="MRSTX035977"/>
    <x v="0"/>
    <x v="6"/>
    <d v="2018-11-15T00:00:00"/>
    <d v="2018-10-30T00:00:00"/>
    <d v="2018-11-15T00:00:00"/>
    <m/>
    <x v="0"/>
    <x v="0"/>
  </r>
  <r>
    <s v="MRSTX035981"/>
    <x v="0"/>
    <x v="6"/>
    <d v="2018-11-30T00:00:00"/>
    <d v="2018-11-30T00:00:00"/>
    <d v="2018-11-30T00:00:00"/>
    <m/>
    <x v="0"/>
    <x v="0"/>
  </r>
  <r>
    <s v="MRSTX035983"/>
    <x v="0"/>
    <x v="6"/>
    <d v="2018-11-30T00:00:00"/>
    <d v="2018-11-30T00:00:00"/>
    <d v="2018-11-30T00:00:00"/>
    <m/>
    <x v="0"/>
    <x v="0"/>
  </r>
  <r>
    <s v="MRSTX035986"/>
    <x v="0"/>
    <x v="6"/>
    <d v="2018-11-15T00:00:00"/>
    <d v="2018-11-30T00:00:00"/>
    <d v="2018-11-15T00:00:00"/>
    <m/>
    <x v="0"/>
    <x v="3"/>
  </r>
  <r>
    <s v="MRWSH021082"/>
    <x v="2"/>
    <x v="6"/>
    <d v="2018-11-30T00:00:00"/>
    <d v="2018-11-30T00:00:00"/>
    <d v="2018-11-26T00:00:00"/>
    <d v="2018-11-26T00:00:00"/>
    <x v="0"/>
    <x v="1"/>
  </r>
  <r>
    <s v="MRWSH021938"/>
    <x v="2"/>
    <x v="6"/>
    <d v="2018-11-30T00:00:00"/>
    <d v="2018-11-30T00:00:00"/>
    <d v="2018-11-26T00:00:00"/>
    <d v="2018-11-26T00:00:00"/>
    <x v="0"/>
    <x v="1"/>
  </r>
  <r>
    <s v="MRNTX031804"/>
    <x v="1"/>
    <x v="6"/>
    <d v="2018-11-02T00:00:00"/>
    <d v="2018-10-31T00:00:00"/>
    <d v="2018-11-27T00:00:00"/>
    <d v="2018-11-27T00:00:00"/>
    <x v="1"/>
    <x v="1"/>
  </r>
  <r>
    <s v="MRNTX031876"/>
    <x v="1"/>
    <x v="6"/>
    <d v="2018-11-02T00:00:00"/>
    <d v="2018-10-31T00:00:00"/>
    <d v="2018-11-27T00:00:00"/>
    <d v="2018-11-27T00:00:00"/>
    <x v="1"/>
    <x v="1"/>
  </r>
  <r>
    <s v="MRSTX033611"/>
    <x v="0"/>
    <x v="6"/>
    <d v="2018-11-30T00:00:00"/>
    <d v="2018-11-30T00:00:00"/>
    <d v="2018-11-28T00:00:00"/>
    <m/>
    <x v="0"/>
    <x v="0"/>
  </r>
  <r>
    <s v="MRSTX033617"/>
    <x v="0"/>
    <x v="6"/>
    <d v="2018-11-30T00:00:00"/>
    <d v="2018-11-30T00:00:00"/>
    <d v="2018-11-29T00:00:00"/>
    <d v="2018-11-29T00:00:00"/>
    <x v="0"/>
    <x v="1"/>
  </r>
  <r>
    <s v="MRSTX033632"/>
    <x v="0"/>
    <x v="6"/>
    <d v="2018-11-15T00:00:00"/>
    <d v="2018-11-30T00:00:00"/>
    <d v="2018-11-19T00:00:00"/>
    <d v="2018-11-19T00:00:00"/>
    <x v="0"/>
    <x v="1"/>
  </r>
  <r>
    <s v="MRSTX033642"/>
    <x v="0"/>
    <x v="6"/>
    <d v="2018-11-15T00:00:00"/>
    <d v="2018-12-06T00:00:00"/>
    <d v="2018-11-28T00:00:00"/>
    <d v="2018-11-28T00:00:00"/>
    <x v="0"/>
    <x v="1"/>
  </r>
  <r>
    <s v="MRSTX033643"/>
    <x v="0"/>
    <x v="6"/>
    <d v="2018-11-01T00:00:00"/>
    <d v="2018-10-30T00:00:00"/>
    <d v="2018-11-01T00:00:00"/>
    <d v="2018-11-01T00:00:00"/>
    <x v="0"/>
    <x v="1"/>
  </r>
  <r>
    <s v="MRWSH022015"/>
    <x v="2"/>
    <x v="6"/>
    <d v="2018-11-30T00:00:00"/>
    <d v="2018-11-30T00:00:00"/>
    <d v="2018-11-30T00:00:00"/>
    <m/>
    <x v="0"/>
    <x v="0"/>
  </r>
  <r>
    <s v="MRWSH022024"/>
    <x v="2"/>
    <x v="6"/>
    <d v="2018-11-30T00:00:00"/>
    <d v="2018-11-30T00:00:00"/>
    <d v="2018-11-26T00:00:00"/>
    <d v="2018-11-26T00:00:00"/>
    <x v="0"/>
    <x v="1"/>
  </r>
  <r>
    <s v="MRWSH022031"/>
    <x v="2"/>
    <x v="6"/>
    <d v="2018-11-09T00:00:00"/>
    <d v="2018-11-09T00:00:00"/>
    <d v="2018-11-07T00:00:00"/>
    <d v="2018-11-07T00:00:00"/>
    <x v="0"/>
    <x v="1"/>
  </r>
  <r>
    <s v="MRWSH022058"/>
    <x v="2"/>
    <x v="6"/>
    <d v="2018-11-30T00:00:00"/>
    <d v="2018-11-30T00:00:00"/>
    <d v="2018-11-30T00:00:00"/>
    <m/>
    <x v="0"/>
    <x v="0"/>
  </r>
  <r>
    <s v="MRWSH022076"/>
    <x v="2"/>
    <x v="6"/>
    <d v="2018-11-30T00:00:00"/>
    <d v="2018-11-30T00:00:00"/>
    <d v="2018-11-30T00:00:00"/>
    <m/>
    <x v="0"/>
    <x v="0"/>
  </r>
  <r>
    <s v="MRWSH022104"/>
    <x v="2"/>
    <x v="6"/>
    <d v="2018-11-09T00:00:00"/>
    <d v="2018-11-09T00:00:00"/>
    <d v="2018-11-07T00:00:00"/>
    <d v="2018-11-07T00:00:00"/>
    <x v="0"/>
    <x v="1"/>
  </r>
  <r>
    <s v="MRWSH022109"/>
    <x v="2"/>
    <x v="6"/>
    <d v="2018-11-30T00:00:00"/>
    <d v="2018-11-30T00:00:00"/>
    <d v="2018-11-30T00:00:00"/>
    <m/>
    <x v="0"/>
    <x v="0"/>
  </r>
  <r>
    <s v="MRWSH022119"/>
    <x v="2"/>
    <x v="6"/>
    <d v="2018-11-30T00:00:00"/>
    <d v="2018-11-30T00:00:00"/>
    <d v="2018-11-28T00:00:00"/>
    <d v="2018-11-28T00:00:00"/>
    <x v="0"/>
    <x v="1"/>
  </r>
  <r>
    <s v="MRWSH022122"/>
    <x v="2"/>
    <x v="6"/>
    <d v="2018-11-30T00:00:00"/>
    <d v="2018-11-30T00:00:00"/>
    <d v="2018-11-30T00:00:00"/>
    <m/>
    <x v="0"/>
    <x v="0"/>
  </r>
  <r>
    <s v="MRWSH022135"/>
    <x v="2"/>
    <x v="6"/>
    <d v="2018-11-30T00:00:00"/>
    <d v="2018-11-30T00:00:00"/>
    <d v="2018-11-13T00:00:00"/>
    <d v="2018-11-13T00:00:00"/>
    <x v="0"/>
    <x v="1"/>
  </r>
  <r>
    <s v="MRWSH022155"/>
    <x v="2"/>
    <x v="6"/>
    <d v="2018-11-30T00:00:00"/>
    <d v="2018-11-30T00:00:00"/>
    <d v="2018-11-30T00:00:00"/>
    <m/>
    <x v="0"/>
    <x v="0"/>
  </r>
  <r>
    <s v="MRWSH022164"/>
    <x v="2"/>
    <x v="6"/>
    <d v="2018-11-30T00:00:00"/>
    <d v="2018-11-30T00:00:00"/>
    <d v="2018-11-26T00:00:00"/>
    <d v="2018-11-26T00:00:00"/>
    <x v="0"/>
    <x v="1"/>
  </r>
  <r>
    <s v="MRWSH022173"/>
    <x v="2"/>
    <x v="6"/>
    <d v="2018-11-30T00:00:00"/>
    <d v="2018-11-30T00:00:00"/>
    <d v="2018-11-30T00:00:00"/>
    <m/>
    <x v="0"/>
    <x v="0"/>
  </r>
  <r>
    <s v="MRWSH022183"/>
    <x v="2"/>
    <x v="6"/>
    <d v="2018-11-30T00:00:00"/>
    <d v="2018-11-30T00:00:00"/>
    <d v="2018-11-30T00:00:00"/>
    <m/>
    <x v="0"/>
    <x v="0"/>
  </r>
  <r>
    <s v="MRWSH022184"/>
    <x v="2"/>
    <x v="6"/>
    <d v="2018-11-30T00:00:00"/>
    <d v="2018-11-30T00:00:00"/>
    <d v="2018-11-30T00:00:00"/>
    <m/>
    <x v="0"/>
    <x v="0"/>
  </r>
  <r>
    <s v="MRWSH022190"/>
    <x v="2"/>
    <x v="6"/>
    <d v="2018-11-30T00:00:00"/>
    <d v="2018-11-30T00:00:00"/>
    <d v="2018-11-30T00:00:00"/>
    <m/>
    <x v="0"/>
    <x v="0"/>
  </r>
  <r>
    <s v="MRWSH022191"/>
    <x v="2"/>
    <x v="6"/>
    <d v="2018-11-30T00:00:00"/>
    <d v="2018-11-30T00:00:00"/>
    <d v="2018-11-30T00:00:00"/>
    <m/>
    <x v="0"/>
    <x v="0"/>
  </r>
  <r>
    <s v="MRWSH022200"/>
    <x v="2"/>
    <x v="6"/>
    <d v="2018-11-30T00:00:00"/>
    <d v="2018-11-30T00:00:00"/>
    <d v="2018-11-30T00:00:00"/>
    <m/>
    <x v="0"/>
    <x v="0"/>
  </r>
  <r>
    <s v="MRWSH022222"/>
    <x v="2"/>
    <x v="6"/>
    <d v="2018-11-30T00:00:00"/>
    <d v="2018-11-30T00:00:00"/>
    <d v="2018-11-26T00:00:00"/>
    <d v="2018-11-26T00:00:00"/>
    <x v="0"/>
    <x v="1"/>
  </r>
  <r>
    <s v="MRWSH022223"/>
    <x v="2"/>
    <x v="6"/>
    <d v="2018-11-30T00:00:00"/>
    <d v="2018-11-30T00:00:00"/>
    <d v="2018-11-30T00:00:00"/>
    <m/>
    <x v="0"/>
    <x v="0"/>
  </r>
  <r>
    <s v="MRWSH022237"/>
    <x v="2"/>
    <x v="6"/>
    <d v="2018-11-30T00:00:00"/>
    <d v="2018-11-30T00:00:00"/>
    <d v="2018-11-26T00:00:00"/>
    <d v="2018-11-26T00:00:00"/>
    <x v="0"/>
    <x v="1"/>
  </r>
  <r>
    <s v="MRWSH022254"/>
    <x v="2"/>
    <x v="6"/>
    <d v="2018-11-09T00:00:00"/>
    <d v="2018-11-09T00:00:00"/>
    <d v="2018-11-07T00:00:00"/>
    <d v="2018-11-07T00:00:00"/>
    <x v="0"/>
    <x v="1"/>
  </r>
  <r>
    <s v="MRWSH022263"/>
    <x v="2"/>
    <x v="6"/>
    <d v="2018-11-03T00:00:00"/>
    <d v="2018-11-03T00:00:00"/>
    <d v="2018-11-14T00:00:00"/>
    <d v="2018-11-14T00:00:00"/>
    <x v="0"/>
    <x v="1"/>
  </r>
  <r>
    <s v="MRWSH022293"/>
    <x v="2"/>
    <x v="6"/>
    <d v="2018-11-30T00:00:00"/>
    <d v="2018-11-30T00:00:00"/>
    <d v="2018-11-26T00:00:00"/>
    <d v="2018-11-26T00:00:00"/>
    <x v="0"/>
    <x v="1"/>
  </r>
  <r>
    <s v="MRWSH022310"/>
    <x v="2"/>
    <x v="6"/>
    <d v="2018-11-30T00:00:00"/>
    <d v="2018-11-30T00:00:00"/>
    <d v="2018-11-30T00:00:00"/>
    <m/>
    <x v="0"/>
    <x v="0"/>
  </r>
  <r>
    <s v="MRSTX033649"/>
    <x v="0"/>
    <x v="6"/>
    <d v="2018-11-30T00:00:00"/>
    <d v="2018-11-30T00:00:00"/>
    <d v="2018-11-30T00:00:00"/>
    <m/>
    <x v="0"/>
    <x v="0"/>
  </r>
  <r>
    <s v="MRSTX033655"/>
    <x v="0"/>
    <x v="6"/>
    <d v="2018-11-15T00:00:00"/>
    <d v="2018-12-19T00:00:00"/>
    <d v="2018-11-15T00:00:00"/>
    <m/>
    <x v="0"/>
    <x v="3"/>
  </r>
  <r>
    <s v="MRSTX033658"/>
    <x v="0"/>
    <x v="6"/>
    <d v="2018-11-15T00:00:00"/>
    <d v="2018-12-06T00:00:00"/>
    <d v="2018-11-28T00:00:00"/>
    <d v="2018-11-28T00:00:00"/>
    <x v="0"/>
    <x v="1"/>
  </r>
  <r>
    <s v="MRSTX033724"/>
    <x v="0"/>
    <x v="6"/>
    <d v="2018-11-01T00:00:00"/>
    <d v="2018-10-30T00:00:00"/>
    <d v="2018-11-01T00:00:00"/>
    <d v="2018-11-01T00:00:00"/>
    <x v="0"/>
    <x v="1"/>
  </r>
  <r>
    <s v="MRSTX033770"/>
    <x v="0"/>
    <x v="6"/>
    <d v="2018-11-30T00:00:00"/>
    <d v="2018-11-30T00:00:00"/>
    <d v="2018-11-29T00:00:00"/>
    <d v="2018-11-29T00:00:00"/>
    <x v="0"/>
    <x v="1"/>
  </r>
  <r>
    <s v="MRSTX033779"/>
    <x v="0"/>
    <x v="6"/>
    <d v="2018-11-01T00:00:00"/>
    <d v="2018-10-30T00:00:00"/>
    <d v="2018-11-01T00:00:00"/>
    <d v="2018-11-01T00:00:00"/>
    <x v="0"/>
    <x v="1"/>
  </r>
  <r>
    <s v="MRSTX033793"/>
    <x v="0"/>
    <x v="6"/>
    <d v="2018-11-30T00:00:00"/>
    <d v="2018-11-30T00:00:00"/>
    <d v="2018-11-30T00:00:00"/>
    <m/>
    <x v="0"/>
    <x v="0"/>
  </r>
  <r>
    <s v="MRSTX033797"/>
    <x v="0"/>
    <x v="6"/>
    <d v="2018-11-15T00:00:00"/>
    <d v="2018-12-06T00:00:00"/>
    <d v="2018-11-28T00:00:00"/>
    <d v="2018-11-28T00:00:00"/>
    <x v="0"/>
    <x v="1"/>
  </r>
  <r>
    <s v="MRSTX033807"/>
    <x v="0"/>
    <x v="6"/>
    <d v="2018-11-30T00:00:00"/>
    <d v="2018-11-30T00:00:00"/>
    <d v="2018-11-30T00:00:00"/>
    <m/>
    <x v="0"/>
    <x v="0"/>
  </r>
  <r>
    <s v="MRSTX033812"/>
    <x v="0"/>
    <x v="6"/>
    <d v="2018-11-01T00:00:00"/>
    <d v="2018-11-01T00:00:00"/>
    <d v="2018-11-01T00:00:00"/>
    <d v="2018-11-01T00:00:00"/>
    <x v="0"/>
    <x v="1"/>
  </r>
  <r>
    <s v="MRSTX033827"/>
    <x v="0"/>
    <x v="6"/>
    <d v="2018-11-14T00:00:00"/>
    <d v="2018-11-14T00:00:00"/>
    <d v="2018-11-14T00:00:00"/>
    <m/>
    <x v="0"/>
    <x v="0"/>
  </r>
  <r>
    <s v="MRSTX033857"/>
    <x v="0"/>
    <x v="6"/>
    <d v="2018-11-06T00:00:00"/>
    <d v="2018-09-30T00:00:00"/>
    <d v="2018-11-14T00:00:00"/>
    <d v="2018-11-14T00:00:00"/>
    <x v="0"/>
    <x v="1"/>
  </r>
  <r>
    <s v="MRSTX033877"/>
    <x v="0"/>
    <x v="6"/>
    <d v="2018-11-15T00:00:00"/>
    <d v="2018-12-06T00:00:00"/>
    <d v="2018-11-28T00:00:00"/>
    <d v="2018-11-28T00:00:00"/>
    <x v="0"/>
    <x v="1"/>
  </r>
  <r>
    <s v="MRSTX033903"/>
    <x v="0"/>
    <x v="6"/>
    <d v="2018-11-15T00:00:00"/>
    <d v="2018-12-06T00:00:00"/>
    <d v="2018-11-28T00:00:00"/>
    <d v="2018-11-28T00:00:00"/>
    <x v="0"/>
    <x v="1"/>
  </r>
  <r>
    <s v="MRSTX033906"/>
    <x v="0"/>
    <x v="6"/>
    <d v="2018-11-14T00:00:00"/>
    <d v="2018-11-14T00:00:00"/>
    <d v="2018-11-14T00:00:00"/>
    <m/>
    <x v="0"/>
    <x v="0"/>
  </r>
  <r>
    <s v="MRNTX030280"/>
    <x v="1"/>
    <x v="6"/>
    <d v="2018-11-01T00:00:00"/>
    <d v="2018-10-26T00:00:00"/>
    <d v="2018-11-01T00:00:00"/>
    <d v="2018-11-01T00:00:00"/>
    <x v="0"/>
    <x v="1"/>
  </r>
  <r>
    <s v="MRNTX030321"/>
    <x v="1"/>
    <x v="6"/>
    <d v="2018-11-04T00:00:00"/>
    <d v="2018-11-04T00:00:00"/>
    <d v="2018-11-09T00:00:00"/>
    <d v="2018-11-09T00:00:00"/>
    <x v="0"/>
    <x v="1"/>
  </r>
  <r>
    <s v="MRNTX030366"/>
    <x v="1"/>
    <x v="6"/>
    <d v="2018-11-26T00:00:00"/>
    <d v="2018-11-26T00:00:00"/>
    <d v="2018-11-26T00:00:00"/>
    <m/>
    <x v="0"/>
    <x v="0"/>
  </r>
  <r>
    <s v="MRNTX030375"/>
    <x v="1"/>
    <x v="6"/>
    <d v="2018-11-04T00:00:00"/>
    <d v="2018-11-04T00:00:00"/>
    <d v="2018-11-16T00:00:00"/>
    <d v="2018-11-16T00:00:00"/>
    <x v="0"/>
    <x v="1"/>
  </r>
  <r>
    <s v="MRNTX030413"/>
    <x v="1"/>
    <x v="6"/>
    <d v="2018-11-09T00:00:00"/>
    <d v="2019-02-22T00:00:00"/>
    <d v="2019-02-22T00:00:00"/>
    <m/>
    <x v="1"/>
    <x v="4"/>
  </r>
  <r>
    <s v="MRNTX033715"/>
    <x v="1"/>
    <x v="6"/>
    <d v="2018-11-18T00:00:00"/>
    <d v="2018-11-18T00:00:00"/>
    <d v="2018-11-13T00:00:00"/>
    <d v="2018-11-13T00:00:00"/>
    <x v="0"/>
    <x v="1"/>
  </r>
  <r>
    <s v="MRNTX033816"/>
    <x v="1"/>
    <x v="6"/>
    <d v="2018-11-02T00:00:00"/>
    <d v="2018-11-02T00:00:00"/>
    <d v="2018-11-15T00:00:00"/>
    <d v="2018-11-30T00:00:00"/>
    <x v="1"/>
    <x v="1"/>
  </r>
  <r>
    <s v="MRNTX033826"/>
    <x v="1"/>
    <x v="6"/>
    <d v="2018-11-04T00:00:00"/>
    <d v="2018-11-04T00:00:00"/>
    <d v="2018-11-13T00:00:00"/>
    <d v="2018-11-13T00:00:00"/>
    <x v="0"/>
    <x v="1"/>
  </r>
  <r>
    <s v="MRNTX033831"/>
    <x v="1"/>
    <x v="6"/>
    <d v="2018-11-02T00:00:00"/>
    <d v="2018-12-08T00:00:00"/>
    <d v="2018-11-02T00:00:00"/>
    <d v="2018-11-02T00:00:00"/>
    <x v="0"/>
    <x v="1"/>
  </r>
  <r>
    <s v="MRANM019686"/>
    <x v="3"/>
    <x v="6"/>
    <d v="2018-11-15T00:00:00"/>
    <d v="1999-12-30T00:00:00"/>
    <d v="2018-11-19T00:00:00"/>
    <d v="2018-11-19T00:00:00"/>
    <x v="0"/>
    <x v="1"/>
  </r>
  <r>
    <s v="MRANM019708"/>
    <x v="3"/>
    <x v="6"/>
    <d v="2018-11-15T00:00:00"/>
    <d v="1999-12-30T00:00:00"/>
    <d v="2018-11-27T00:00:00"/>
    <m/>
    <x v="0"/>
    <x v="0"/>
  </r>
  <r>
    <s v="MRNTX033919"/>
    <x v="1"/>
    <x v="6"/>
    <d v="2018-11-02T00:00:00"/>
    <d v="2018-12-08T00:00:00"/>
    <d v="2018-11-02T00:00:00"/>
    <d v="2018-11-02T00:00:00"/>
    <x v="0"/>
    <x v="1"/>
  </r>
  <r>
    <s v="MRNTX033925"/>
    <x v="1"/>
    <x v="6"/>
    <d v="2018-11-27T00:00:00"/>
    <d v="2018-11-27T00:00:00"/>
    <d v="2018-11-27T00:00:00"/>
    <m/>
    <x v="0"/>
    <x v="0"/>
  </r>
  <r>
    <s v="MRSTX036190"/>
    <x v="0"/>
    <x v="6"/>
    <d v="2018-11-30T00:00:00"/>
    <d v="2018-11-30T00:00:00"/>
    <d v="2018-11-30T00:00:00"/>
    <m/>
    <x v="0"/>
    <x v="0"/>
  </r>
  <r>
    <s v="MRSTX036198"/>
    <x v="0"/>
    <x v="6"/>
    <d v="2018-11-14T00:00:00"/>
    <d v="2018-10-30T00:00:00"/>
    <d v="2018-11-14T00:00:00"/>
    <d v="2018-11-29T00:00:00"/>
    <x v="1"/>
    <x v="1"/>
  </r>
  <r>
    <s v="MRSTX036210"/>
    <x v="0"/>
    <x v="6"/>
    <d v="2018-11-30T00:00:00"/>
    <d v="2018-11-30T00:00:00"/>
    <d v="2018-11-30T00:00:00"/>
    <m/>
    <x v="0"/>
    <x v="0"/>
  </r>
  <r>
    <s v="MRSTX036211"/>
    <x v="0"/>
    <x v="6"/>
    <d v="2018-11-01T00:00:00"/>
    <d v="2018-11-28T00:00:00"/>
    <d v="2018-11-01T00:00:00"/>
    <d v="2018-11-01T00:00:00"/>
    <x v="0"/>
    <x v="1"/>
  </r>
  <r>
    <s v="MRSTX036219"/>
    <x v="0"/>
    <x v="6"/>
    <d v="2018-11-15T00:00:00"/>
    <d v="2018-11-30T00:00:00"/>
    <d v="2018-11-15T00:00:00"/>
    <d v="2018-11-15T00:00:00"/>
    <x v="0"/>
    <x v="1"/>
  </r>
  <r>
    <s v="MRSTX036223"/>
    <x v="0"/>
    <x v="6"/>
    <d v="2018-11-15T00:00:00"/>
    <d v="2018-11-30T00:00:00"/>
    <d v="2018-12-15T00:00:00"/>
    <m/>
    <x v="1"/>
    <x v="4"/>
  </r>
  <r>
    <s v="MRSTX036224"/>
    <x v="0"/>
    <x v="6"/>
    <d v="2018-11-01T00:00:00"/>
    <d v="2018-09-30T00:00:00"/>
    <d v="2018-11-14T00:00:00"/>
    <d v="2018-11-14T00:00:00"/>
    <x v="0"/>
    <x v="1"/>
  </r>
  <r>
    <s v="MRSTX036227"/>
    <x v="0"/>
    <x v="6"/>
    <d v="2018-11-01T00:00:00"/>
    <d v="2018-08-30T00:00:00"/>
    <d v="2018-11-01T00:00:00"/>
    <d v="2018-11-01T00:00:00"/>
    <x v="0"/>
    <x v="1"/>
  </r>
  <r>
    <s v="MRSTX036245"/>
    <x v="0"/>
    <x v="6"/>
    <d v="2018-11-01T00:00:00"/>
    <d v="2018-11-06T00:00:00"/>
    <d v="2018-11-01T00:00:00"/>
    <d v="2018-11-01T00:00:00"/>
    <x v="0"/>
    <x v="1"/>
  </r>
  <r>
    <s v="MRSTX036251"/>
    <x v="0"/>
    <x v="6"/>
    <d v="2018-11-30T00:00:00"/>
    <d v="2018-11-30T00:00:00"/>
    <d v="2018-12-15T00:00:00"/>
    <m/>
    <x v="1"/>
    <x v="5"/>
  </r>
  <r>
    <s v="MRSTX036252"/>
    <x v="0"/>
    <x v="6"/>
    <d v="2018-11-15T00:00:00"/>
    <d v="2018-12-19T00:00:00"/>
    <d v="2018-11-28T00:00:00"/>
    <d v="2018-11-28T00:00:00"/>
    <x v="0"/>
    <x v="1"/>
  </r>
  <r>
    <s v="MRSTX036253"/>
    <x v="0"/>
    <x v="6"/>
    <d v="2018-11-30T00:00:00"/>
    <d v="2018-11-30T00:00:00"/>
    <d v="2018-11-27T00:00:00"/>
    <d v="2018-11-27T00:00:00"/>
    <x v="0"/>
    <x v="1"/>
  </r>
  <r>
    <s v="MRSTX036256"/>
    <x v="0"/>
    <x v="6"/>
    <d v="2018-11-15T00:00:00"/>
    <d v="2018-12-19T00:00:00"/>
    <d v="2018-11-28T00:00:00"/>
    <d v="2018-11-28T00:00:00"/>
    <x v="0"/>
    <x v="1"/>
  </r>
  <r>
    <s v="MRSTX036265"/>
    <x v="0"/>
    <x v="6"/>
    <d v="2018-11-15T00:00:00"/>
    <d v="2018-12-19T00:00:00"/>
    <d v="2018-11-15T00:00:00"/>
    <m/>
    <x v="0"/>
    <x v="3"/>
  </r>
  <r>
    <s v="MRSTX036269"/>
    <x v="0"/>
    <x v="6"/>
    <d v="2018-11-14T00:00:00"/>
    <d v="2018-12-13T00:00:00"/>
    <d v="2018-12-13T00:00:00"/>
    <m/>
    <x v="1"/>
    <x v="4"/>
  </r>
  <r>
    <s v="MRSTX036275"/>
    <x v="0"/>
    <x v="6"/>
    <d v="2018-11-30T00:00:00"/>
    <d v="2018-11-30T00:00:00"/>
    <d v="2018-11-26T00:00:00"/>
    <d v="2018-11-26T00:00:00"/>
    <x v="0"/>
    <x v="1"/>
  </r>
  <r>
    <s v="MRSTX036281"/>
    <x v="0"/>
    <x v="6"/>
    <d v="2018-11-01T00:00:00"/>
    <d v="2018-11-30T00:00:00"/>
    <d v="2018-11-01T00:00:00"/>
    <d v="2018-11-01T00:00:00"/>
    <x v="0"/>
    <x v="1"/>
  </r>
  <r>
    <s v="MRSTX036299"/>
    <x v="0"/>
    <x v="6"/>
    <d v="2018-11-30T00:00:00"/>
    <d v="2018-11-30T00:00:00"/>
    <d v="2018-11-27T00:00:00"/>
    <d v="2018-11-27T00:00:00"/>
    <x v="0"/>
    <x v="1"/>
  </r>
  <r>
    <s v="MRSTX036304"/>
    <x v="0"/>
    <x v="6"/>
    <d v="2018-11-15T00:00:00"/>
    <d v="2018-12-19T00:00:00"/>
    <d v="2018-11-28T00:00:00"/>
    <d v="2018-11-28T00:00:00"/>
    <x v="0"/>
    <x v="1"/>
  </r>
  <r>
    <s v="MRSTX036306"/>
    <x v="0"/>
    <x v="6"/>
    <d v="2018-11-30T00:00:00"/>
    <d v="2018-11-30T00:00:00"/>
    <d v="2018-11-30T00:00:00"/>
    <m/>
    <x v="0"/>
    <x v="0"/>
  </r>
  <r>
    <s v="MRSTX036307"/>
    <x v="0"/>
    <x v="6"/>
    <d v="2018-11-15T00:00:00"/>
    <d v="2018-11-30T00:00:00"/>
    <d v="2018-11-21T00:00:00"/>
    <d v="2018-11-21T00:00:00"/>
    <x v="0"/>
    <x v="1"/>
  </r>
  <r>
    <s v="MRSTX036308"/>
    <x v="0"/>
    <x v="6"/>
    <d v="2018-11-30T00:00:00"/>
    <d v="2018-11-30T00:00:00"/>
    <d v="2018-12-15T00:00:00"/>
    <m/>
    <x v="1"/>
    <x v="5"/>
  </r>
  <r>
    <s v="MRSTX036310"/>
    <x v="0"/>
    <x v="6"/>
    <d v="2018-11-30T00:00:00"/>
    <d v="2018-11-30T00:00:00"/>
    <d v="2018-11-30T00:00:00"/>
    <d v="2018-11-30T00:00:00"/>
    <x v="0"/>
    <x v="1"/>
  </r>
  <r>
    <s v="MRSTX036316"/>
    <x v="0"/>
    <x v="6"/>
    <d v="2018-11-02T00:00:00"/>
    <d v="2018-11-02T00:00:00"/>
    <d v="2018-11-07T00:00:00"/>
    <d v="2018-11-07T00:00:00"/>
    <x v="0"/>
    <x v="1"/>
  </r>
  <r>
    <s v="MRSTX036327"/>
    <x v="0"/>
    <x v="6"/>
    <d v="2018-11-15T00:00:00"/>
    <d v="2018-10-30T00:00:00"/>
    <d v="2018-11-21T00:00:00"/>
    <d v="2018-11-21T00:00:00"/>
    <x v="0"/>
    <x v="1"/>
  </r>
  <r>
    <s v="MRANM020492"/>
    <x v="3"/>
    <x v="6"/>
    <d v="2018-11-15T00:00:00"/>
    <d v="1999-12-30T00:00:00"/>
    <d v="2018-11-19T00:00:00"/>
    <d v="2018-11-19T00:00:00"/>
    <x v="0"/>
    <x v="1"/>
  </r>
  <r>
    <s v="MRNTX022203"/>
    <x v="1"/>
    <x v="6"/>
    <d v="2018-11-23T00:00:00"/>
    <d v="2018-11-23T00:00:00"/>
    <d v="2018-11-16T00:00:00"/>
    <d v="2018-11-16T00:00:00"/>
    <x v="0"/>
    <x v="1"/>
  </r>
  <r>
    <s v="MRNTX032022"/>
    <x v="1"/>
    <x v="6"/>
    <d v="2018-11-01T00:00:00"/>
    <d v="2018-10-26T00:00:00"/>
    <d v="2018-11-01T00:00:00"/>
    <d v="2018-11-01T00:00:00"/>
    <x v="0"/>
    <x v="1"/>
  </r>
  <r>
    <s v="MRNTX032033"/>
    <x v="1"/>
    <x v="6"/>
    <d v="2018-11-02T00:00:00"/>
    <d v="2019-03-09T00:00:00"/>
    <d v="2018-11-02T00:00:00"/>
    <d v="2018-11-02T00:00:00"/>
    <x v="0"/>
    <x v="1"/>
  </r>
  <r>
    <s v="MRNTX032040"/>
    <x v="1"/>
    <x v="6"/>
    <d v="2018-11-04T00:00:00"/>
    <d v="2018-11-04T00:00:00"/>
    <d v="2018-11-04T00:00:00"/>
    <m/>
    <x v="0"/>
    <x v="0"/>
  </r>
  <r>
    <s v="MRNTX032050"/>
    <x v="1"/>
    <x v="6"/>
    <d v="2018-11-28T00:00:00"/>
    <d v="2018-11-28T00:00:00"/>
    <d v="2018-11-28T00:00:00"/>
    <m/>
    <x v="0"/>
    <x v="0"/>
  </r>
  <r>
    <s v="MRNTX032113"/>
    <x v="1"/>
    <x v="6"/>
    <d v="2018-11-04T00:00:00"/>
    <d v="2018-11-04T00:00:00"/>
    <d v="2018-11-09T00:00:00"/>
    <d v="2018-11-09T00:00:00"/>
    <x v="0"/>
    <x v="1"/>
  </r>
  <r>
    <s v="MRSTX036338"/>
    <x v="0"/>
    <x v="6"/>
    <d v="2018-11-01T00:00:00"/>
    <d v="2018-11-30T00:00:00"/>
    <d v="2018-11-01T00:00:00"/>
    <d v="2018-11-01T00:00:00"/>
    <x v="0"/>
    <x v="1"/>
  </r>
  <r>
    <s v="MRSTX036339"/>
    <x v="0"/>
    <x v="6"/>
    <d v="2018-11-15T00:00:00"/>
    <d v="2018-11-30T00:00:00"/>
    <d v="2018-11-15T00:00:00"/>
    <m/>
    <x v="0"/>
    <x v="3"/>
  </r>
  <r>
    <s v="MRSTX036345"/>
    <x v="0"/>
    <x v="6"/>
    <d v="2018-11-15T00:00:00"/>
    <d v="2018-10-09T00:00:00"/>
    <d v="2018-11-21T00:00:00"/>
    <d v="2018-11-22T00:00:00"/>
    <x v="0"/>
    <x v="1"/>
  </r>
  <r>
    <s v="MRSTX036346"/>
    <x v="0"/>
    <x v="6"/>
    <d v="2018-11-15T00:00:00"/>
    <d v="2018-11-30T00:00:00"/>
    <d v="2018-11-15T00:00:00"/>
    <m/>
    <x v="0"/>
    <x v="3"/>
  </r>
  <r>
    <s v="MRSTX036348"/>
    <x v="0"/>
    <x v="6"/>
    <d v="2018-11-15T00:00:00"/>
    <d v="2018-11-30T00:00:00"/>
    <d v="2018-11-15T00:00:00"/>
    <m/>
    <x v="0"/>
    <x v="3"/>
  </r>
  <r>
    <s v="MRSTX036356"/>
    <x v="0"/>
    <x v="6"/>
    <d v="2018-11-15T00:00:00"/>
    <d v="2018-11-30T00:00:00"/>
    <d v="2018-11-15T00:00:00"/>
    <m/>
    <x v="0"/>
    <x v="3"/>
  </r>
  <r>
    <s v="MRSTX036362"/>
    <x v="0"/>
    <x v="6"/>
    <d v="2018-11-01T00:00:00"/>
    <d v="2018-11-30T00:00:00"/>
    <d v="2018-11-01T00:00:00"/>
    <d v="2018-11-01T00:00:00"/>
    <x v="0"/>
    <x v="1"/>
  </r>
  <r>
    <s v="MRSTX036374"/>
    <x v="0"/>
    <x v="6"/>
    <d v="2018-11-15T00:00:00"/>
    <d v="2018-10-30T00:00:00"/>
    <d v="2018-11-21T00:00:00"/>
    <d v="2018-11-21T00:00:00"/>
    <x v="0"/>
    <x v="1"/>
  </r>
  <r>
    <s v="MRSTX036382"/>
    <x v="0"/>
    <x v="6"/>
    <d v="2018-11-15T00:00:00"/>
    <d v="2018-12-06T00:00:00"/>
    <d v="2018-12-06T00:00:00"/>
    <m/>
    <x v="1"/>
    <x v="4"/>
  </r>
  <r>
    <s v="MRSTX036389"/>
    <x v="0"/>
    <x v="6"/>
    <d v="2018-11-15T00:00:00"/>
    <d v="2018-11-30T00:00:00"/>
    <d v="2018-11-15T00:00:00"/>
    <m/>
    <x v="0"/>
    <x v="3"/>
  </r>
  <r>
    <s v="MRSTX036391"/>
    <x v="0"/>
    <x v="6"/>
    <d v="2018-11-15T00:00:00"/>
    <d v="2018-12-06T00:00:00"/>
    <d v="2018-12-06T00:00:00"/>
    <m/>
    <x v="1"/>
    <x v="4"/>
  </r>
  <r>
    <s v="MRWSH022879"/>
    <x v="2"/>
    <x v="6"/>
    <d v="2018-11-30T00:00:00"/>
    <d v="2018-11-30T00:00:00"/>
    <d v="2018-11-30T00:00:00"/>
    <m/>
    <x v="0"/>
    <x v="0"/>
  </r>
  <r>
    <s v="MRWSH022887"/>
    <x v="2"/>
    <x v="6"/>
    <d v="2018-11-01T00:00:00"/>
    <d v="2018-11-09T00:00:00"/>
    <d v="2018-11-01T00:00:00"/>
    <d v="2018-11-01T00:00:00"/>
    <x v="0"/>
    <x v="1"/>
  </r>
  <r>
    <s v="MRWSH022936"/>
    <x v="2"/>
    <x v="6"/>
    <d v="2018-11-30T00:00:00"/>
    <d v="2018-11-30T00:00:00"/>
    <d v="2018-11-30T00:00:00"/>
    <m/>
    <x v="0"/>
    <x v="0"/>
  </r>
  <r>
    <s v="MRWSH022980"/>
    <x v="2"/>
    <x v="6"/>
    <d v="2018-11-30T00:00:00"/>
    <d v="2018-11-30T00:00:00"/>
    <d v="2018-11-15T00:00:00"/>
    <d v="2018-11-15T00:00:00"/>
    <x v="0"/>
    <x v="1"/>
  </r>
  <r>
    <s v="MRWSH022985"/>
    <x v="2"/>
    <x v="6"/>
    <d v="2018-11-30T00:00:00"/>
    <d v="2018-11-30T00:00:00"/>
    <d v="2018-11-26T00:00:00"/>
    <d v="2018-11-26T00:00:00"/>
    <x v="0"/>
    <x v="1"/>
  </r>
  <r>
    <s v="MRWSH022990"/>
    <x v="2"/>
    <x v="6"/>
    <d v="2018-11-30T00:00:00"/>
    <d v="2018-11-30T00:00:00"/>
    <d v="2018-11-26T00:00:00"/>
    <d v="2018-11-26T00:00:00"/>
    <x v="0"/>
    <x v="1"/>
  </r>
  <r>
    <s v="MRWSH023001"/>
    <x v="2"/>
    <x v="6"/>
    <d v="2018-11-30T00:00:00"/>
    <d v="2018-11-30T00:00:00"/>
    <d v="2018-11-15T00:00:00"/>
    <d v="2018-11-15T00:00:00"/>
    <x v="0"/>
    <x v="1"/>
  </r>
  <r>
    <s v="MRWSH023003"/>
    <x v="2"/>
    <x v="6"/>
    <d v="2018-11-30T00:00:00"/>
    <d v="2018-11-30T00:00:00"/>
    <d v="2018-11-15T00:00:00"/>
    <d v="2018-11-15T00:00:00"/>
    <x v="0"/>
    <x v="1"/>
  </r>
  <r>
    <s v="MRWSH023024"/>
    <x v="2"/>
    <x v="6"/>
    <d v="2018-11-09T00:00:00"/>
    <d v="2018-11-09T00:00:00"/>
    <d v="2018-11-06T00:00:00"/>
    <d v="2018-11-06T00:00:00"/>
    <x v="0"/>
    <x v="1"/>
  </r>
  <r>
    <s v="MRNTX032201"/>
    <x v="1"/>
    <x v="6"/>
    <d v="2018-11-26T00:00:00"/>
    <d v="2018-11-06T00:00:00"/>
    <d v="2018-11-26T00:00:00"/>
    <m/>
    <x v="0"/>
    <x v="0"/>
  </r>
  <r>
    <s v="MRNTX032210"/>
    <x v="1"/>
    <x v="6"/>
    <d v="2018-11-26T00:00:00"/>
    <d v="2018-11-06T00:00:00"/>
    <d v="2018-11-26T00:00:00"/>
    <m/>
    <x v="0"/>
    <x v="0"/>
  </r>
  <r>
    <s v="MRNTX032226"/>
    <x v="1"/>
    <x v="6"/>
    <d v="2018-11-17T00:00:00"/>
    <d v="2018-09-19T00:00:00"/>
    <d v="2018-11-17T00:00:00"/>
    <m/>
    <x v="0"/>
    <x v="0"/>
  </r>
  <r>
    <s v="MRNTX032283"/>
    <x v="1"/>
    <x v="6"/>
    <d v="2018-11-04T00:00:00"/>
    <d v="2018-11-04T00:00:00"/>
    <d v="2018-11-16T00:00:00"/>
    <d v="2018-11-16T00:00:00"/>
    <x v="0"/>
    <x v="1"/>
  </r>
  <r>
    <s v="MRSTX033919"/>
    <x v="0"/>
    <x v="6"/>
    <d v="2018-11-06T00:00:00"/>
    <d v="2018-09-30T00:00:00"/>
    <d v="2018-11-14T00:00:00"/>
    <d v="2018-11-14T00:00:00"/>
    <x v="0"/>
    <x v="1"/>
  </r>
  <r>
    <s v="MRSTX033922"/>
    <x v="0"/>
    <x v="6"/>
    <d v="2018-11-01T00:00:00"/>
    <d v="2018-10-30T00:00:00"/>
    <d v="2018-11-01T00:00:00"/>
    <d v="2018-11-01T00:00:00"/>
    <x v="0"/>
    <x v="1"/>
  </r>
  <r>
    <s v="MRSTX033959"/>
    <x v="0"/>
    <x v="6"/>
    <d v="2018-11-01T00:00:00"/>
    <d v="2018-11-01T00:00:00"/>
    <d v="2018-11-01T00:00:00"/>
    <d v="2018-11-01T00:00:00"/>
    <x v="0"/>
    <x v="1"/>
  </r>
  <r>
    <s v="MRSTX033964"/>
    <x v="0"/>
    <x v="6"/>
    <d v="2018-11-15T00:00:00"/>
    <d v="2018-12-06T00:00:00"/>
    <d v="2018-11-28T00:00:00"/>
    <d v="2018-11-28T00:00:00"/>
    <x v="0"/>
    <x v="1"/>
  </r>
  <r>
    <s v="MRSTX033969"/>
    <x v="0"/>
    <x v="6"/>
    <d v="2018-11-15T00:00:00"/>
    <d v="2018-12-06T00:00:00"/>
    <d v="2018-11-28T00:00:00"/>
    <d v="2018-11-28T00:00:00"/>
    <x v="0"/>
    <x v="1"/>
  </r>
  <r>
    <s v="MRSTX033980"/>
    <x v="0"/>
    <x v="6"/>
    <d v="2018-11-30T00:00:00"/>
    <d v="2018-11-30T00:00:00"/>
    <d v="2018-11-30T00:00:00"/>
    <m/>
    <x v="0"/>
    <x v="0"/>
  </r>
  <r>
    <s v="MRSTX033981"/>
    <x v="0"/>
    <x v="6"/>
    <d v="2018-11-30T00:00:00"/>
    <d v="2018-11-30T00:00:00"/>
    <d v="2018-11-28T00:00:00"/>
    <d v="2018-11-28T00:00:00"/>
    <x v="0"/>
    <x v="1"/>
  </r>
  <r>
    <s v="MRSTX033982"/>
    <x v="0"/>
    <x v="6"/>
    <d v="2018-11-30T00:00:00"/>
    <d v="2018-11-30T00:00:00"/>
    <d v="2018-11-29T00:00:00"/>
    <d v="2018-11-29T00:00:00"/>
    <x v="0"/>
    <x v="1"/>
  </r>
  <r>
    <s v="MRSTX033994"/>
    <x v="0"/>
    <x v="6"/>
    <d v="2018-11-14T00:00:00"/>
    <d v="2018-11-14T00:00:00"/>
    <d v="2018-11-14T00:00:00"/>
    <m/>
    <x v="0"/>
    <x v="0"/>
  </r>
  <r>
    <s v="MRWSH023117"/>
    <x v="2"/>
    <x v="6"/>
    <d v="2018-11-30T00:00:00"/>
    <d v="2018-11-30T00:00:00"/>
    <d v="2018-11-26T00:00:00"/>
    <d v="2018-11-26T00:00:00"/>
    <x v="0"/>
    <x v="1"/>
  </r>
  <r>
    <s v="MRWSH023118"/>
    <x v="2"/>
    <x v="6"/>
    <d v="2018-11-30T00:00:00"/>
    <d v="2018-11-30T00:00:00"/>
    <d v="2018-11-15T00:00:00"/>
    <d v="2018-11-15T00:00:00"/>
    <x v="0"/>
    <x v="1"/>
  </r>
  <r>
    <s v="MRWSH023119"/>
    <x v="2"/>
    <x v="6"/>
    <d v="2018-11-30T00:00:00"/>
    <d v="2018-11-30T00:00:00"/>
    <d v="2018-11-07T00:00:00"/>
    <d v="2018-11-07T00:00:00"/>
    <x v="0"/>
    <x v="1"/>
  </r>
  <r>
    <s v="MRWSH024400"/>
    <x v="2"/>
    <x v="6"/>
    <d v="2018-11-30T00:00:00"/>
    <d v="2018-11-30T00:00:00"/>
    <d v="2018-11-14T00:00:00"/>
    <d v="2018-11-14T00:00:00"/>
    <x v="0"/>
    <x v="1"/>
  </r>
  <r>
    <s v="MRWSH024473"/>
    <x v="2"/>
    <x v="6"/>
    <d v="2018-11-30T00:00:00"/>
    <d v="2018-11-30T00:00:00"/>
    <d v="2018-11-30T00:00:00"/>
    <m/>
    <x v="0"/>
    <x v="0"/>
  </r>
  <r>
    <s v="MRWSH024479"/>
    <x v="2"/>
    <x v="6"/>
    <d v="2018-11-30T00:00:00"/>
    <d v="2018-11-30T00:00:00"/>
    <d v="2018-11-30T00:00:00"/>
    <m/>
    <x v="0"/>
    <x v="0"/>
  </r>
  <r>
    <s v="MRWSH024489"/>
    <x v="2"/>
    <x v="6"/>
    <d v="2018-11-30T00:00:00"/>
    <d v="2018-11-30T00:00:00"/>
    <d v="2018-11-15T00:00:00"/>
    <d v="2018-11-15T00:00:00"/>
    <x v="0"/>
    <x v="1"/>
  </r>
  <r>
    <s v="MRWSH024492"/>
    <x v="2"/>
    <x v="6"/>
    <d v="2018-11-30T00:00:00"/>
    <d v="2018-11-30T00:00:00"/>
    <d v="2018-11-26T00:00:00"/>
    <d v="2018-11-26T00:00:00"/>
    <x v="0"/>
    <x v="1"/>
  </r>
  <r>
    <s v="MRWSH024513"/>
    <x v="2"/>
    <x v="6"/>
    <d v="2018-11-30T00:00:00"/>
    <d v="2018-11-30T00:00:00"/>
    <d v="2018-11-30T00:00:00"/>
    <m/>
    <x v="0"/>
    <x v="0"/>
  </r>
  <r>
    <s v="MRWSH024519"/>
    <x v="2"/>
    <x v="6"/>
    <d v="2018-11-30T00:00:00"/>
    <d v="2018-11-30T00:00:00"/>
    <d v="2018-11-30T00:00:00"/>
    <m/>
    <x v="0"/>
    <x v="0"/>
  </r>
  <r>
    <s v="MRWSH024531"/>
    <x v="2"/>
    <x v="6"/>
    <d v="2018-11-30T00:00:00"/>
    <d v="2018-11-30T00:00:00"/>
    <d v="2018-11-30T00:00:00"/>
    <m/>
    <x v="0"/>
    <x v="0"/>
  </r>
  <r>
    <s v="MRWSH024536"/>
    <x v="2"/>
    <x v="6"/>
    <d v="2018-11-30T00:00:00"/>
    <d v="2018-11-30T00:00:00"/>
    <d v="2018-11-30T00:00:00"/>
    <m/>
    <x v="0"/>
    <x v="0"/>
  </r>
  <r>
    <s v="MRWSH024548"/>
    <x v="2"/>
    <x v="6"/>
    <d v="2018-11-30T00:00:00"/>
    <d v="2018-11-30T00:00:00"/>
    <d v="2018-11-30T00:00:00"/>
    <m/>
    <x v="0"/>
    <x v="0"/>
  </r>
  <r>
    <s v="MRWSH024550"/>
    <x v="2"/>
    <x v="6"/>
    <d v="2018-11-30T00:00:00"/>
    <d v="2018-11-30T00:00:00"/>
    <d v="2018-11-30T00:00:00"/>
    <m/>
    <x v="0"/>
    <x v="0"/>
  </r>
  <r>
    <s v="MRWSH024570"/>
    <x v="2"/>
    <x v="6"/>
    <d v="2018-11-30T00:00:00"/>
    <d v="2018-11-30T00:00:00"/>
    <d v="2018-11-30T00:00:00"/>
    <m/>
    <x v="0"/>
    <x v="0"/>
  </r>
  <r>
    <s v="MRNTX030650"/>
    <x v="1"/>
    <x v="6"/>
    <d v="2018-11-02T00:00:00"/>
    <d v="2019-03-09T00:00:00"/>
    <d v="2018-11-02T00:00:00"/>
    <d v="2018-11-02T00:00:00"/>
    <x v="0"/>
    <x v="1"/>
  </r>
  <r>
    <s v="MRSTX034018"/>
    <x v="0"/>
    <x v="6"/>
    <d v="2018-11-15T00:00:00"/>
    <d v="2018-12-19T00:00:00"/>
    <d v="2018-11-15T00:00:00"/>
    <m/>
    <x v="0"/>
    <x v="3"/>
  </r>
  <r>
    <s v="MRSTX034024"/>
    <x v="0"/>
    <x v="6"/>
    <d v="2018-11-15T00:00:00"/>
    <d v="2018-11-30T00:00:00"/>
    <d v="2018-11-19T00:00:00"/>
    <d v="2018-11-19T00:00:00"/>
    <x v="0"/>
    <x v="1"/>
  </r>
  <r>
    <s v="MRSTX034060"/>
    <x v="0"/>
    <x v="6"/>
    <d v="2018-11-30T00:00:00"/>
    <d v="2018-11-30T00:00:00"/>
    <d v="2018-11-30T00:00:00"/>
    <m/>
    <x v="0"/>
    <x v="0"/>
  </r>
  <r>
    <s v="MRSTX034063"/>
    <x v="0"/>
    <x v="6"/>
    <d v="2018-11-15T00:00:00"/>
    <d v="2018-12-06T00:00:00"/>
    <d v="2018-11-28T00:00:00"/>
    <d v="2018-11-28T00:00:00"/>
    <x v="0"/>
    <x v="1"/>
  </r>
  <r>
    <s v="MRSTX034078"/>
    <x v="0"/>
    <x v="6"/>
    <d v="2018-11-30T00:00:00"/>
    <d v="2018-11-30T00:00:00"/>
    <d v="2018-11-30T00:00:00"/>
    <m/>
    <x v="0"/>
    <x v="0"/>
  </r>
  <r>
    <s v="MRSTX034085"/>
    <x v="0"/>
    <x v="6"/>
    <d v="2018-11-30T00:00:00"/>
    <d v="2018-11-30T00:00:00"/>
    <d v="2018-11-30T00:00:00"/>
    <m/>
    <x v="0"/>
    <x v="0"/>
  </r>
  <r>
    <s v="MRSTX034094"/>
    <x v="0"/>
    <x v="6"/>
    <d v="2018-11-01T00:00:00"/>
    <d v="2018-11-20T00:00:00"/>
    <d v="2018-11-01T00:00:00"/>
    <d v="2018-11-01T00:00:00"/>
    <x v="0"/>
    <x v="1"/>
  </r>
  <r>
    <s v="MRSTX034099"/>
    <x v="0"/>
    <x v="6"/>
    <d v="2018-11-15T00:00:00"/>
    <d v="2018-12-19T00:00:00"/>
    <d v="2018-11-15T00:00:00"/>
    <m/>
    <x v="0"/>
    <x v="3"/>
  </r>
  <r>
    <s v="MRSTX034126"/>
    <x v="0"/>
    <x v="6"/>
    <d v="2018-11-06T00:00:00"/>
    <d v="2018-09-30T00:00:00"/>
    <d v="2018-11-14T00:00:00"/>
    <d v="2018-11-14T00:00:00"/>
    <x v="0"/>
    <x v="1"/>
  </r>
  <r>
    <s v="MRSTX034129"/>
    <x v="0"/>
    <x v="6"/>
    <d v="2018-11-30T00:00:00"/>
    <d v="2018-11-30T00:00:00"/>
    <d v="2018-11-28T00:00:00"/>
    <m/>
    <x v="0"/>
    <x v="0"/>
  </r>
  <r>
    <s v="MRSTX034161"/>
    <x v="0"/>
    <x v="6"/>
    <d v="2018-11-30T00:00:00"/>
    <d v="2018-11-30T00:00:00"/>
    <d v="2018-11-30T00:00:00"/>
    <m/>
    <x v="0"/>
    <x v="0"/>
  </r>
  <r>
    <s v="MRSTX034173"/>
    <x v="0"/>
    <x v="6"/>
    <d v="2018-11-30T00:00:00"/>
    <d v="2018-11-30T00:00:00"/>
    <d v="2018-11-30T00:00:00"/>
    <m/>
    <x v="0"/>
    <x v="0"/>
  </r>
  <r>
    <s v="MRSTX034214"/>
    <x v="0"/>
    <x v="6"/>
    <d v="2018-11-15T00:00:00"/>
    <d v="2018-12-19T00:00:00"/>
    <d v="2018-11-15T00:00:00"/>
    <m/>
    <x v="0"/>
    <x v="3"/>
  </r>
  <r>
    <s v="MRNTX030838"/>
    <x v="1"/>
    <x v="6"/>
    <d v="2018-11-04T00:00:00"/>
    <d v="2018-11-04T00:00:00"/>
    <d v="2018-11-04T00:00:00"/>
    <m/>
    <x v="0"/>
    <x v="0"/>
  </r>
  <r>
    <s v="MRNTX030894"/>
    <x v="1"/>
    <x v="6"/>
    <d v="2018-11-01T00:00:00"/>
    <d v="2018-10-26T00:00:00"/>
    <d v="2018-11-01T00:00:00"/>
    <d v="2018-11-01T00:00:00"/>
    <x v="0"/>
    <x v="1"/>
  </r>
  <r>
    <s v="MRNTX036021"/>
    <x v="1"/>
    <x v="6"/>
    <d v="2018-11-26T00:00:00"/>
    <d v="2018-11-26T00:00:00"/>
    <d v="2018-11-06T00:00:00"/>
    <d v="2018-11-06T00:00:00"/>
    <x v="0"/>
    <x v="1"/>
  </r>
  <r>
    <s v="MRNTX036053"/>
    <x v="1"/>
    <x v="6"/>
    <d v="2018-11-02T00:00:00"/>
    <d v="2018-11-26T00:00:00"/>
    <d v="2018-11-06T00:00:00"/>
    <d v="2018-11-06T00:00:00"/>
    <x v="0"/>
    <x v="1"/>
  </r>
  <r>
    <s v="MRNTX036186"/>
    <x v="1"/>
    <x v="6"/>
    <d v="2018-11-01T00:00:00"/>
    <d v="2018-10-23T00:00:00"/>
    <d v="2018-11-01T00:00:00"/>
    <d v="2018-11-01T00:00:00"/>
    <x v="0"/>
    <x v="1"/>
  </r>
  <r>
    <s v="MRNTX036201"/>
    <x v="1"/>
    <x v="6"/>
    <d v="2018-11-28T00:00:00"/>
    <d v="2018-11-28T00:00:00"/>
    <d v="2018-11-28T00:00:00"/>
    <m/>
    <x v="0"/>
    <x v="0"/>
  </r>
  <r>
    <s v="MRNTX029359"/>
    <x v="1"/>
    <x v="6"/>
    <d v="2018-11-01T00:00:00"/>
    <d v="2018-10-23T00:00:00"/>
    <d v="2018-11-01T00:00:00"/>
    <d v="2018-11-01T00:00:00"/>
    <x v="0"/>
    <x v="1"/>
  </r>
  <r>
    <s v="MRNTX029377"/>
    <x v="1"/>
    <x v="6"/>
    <d v="2018-11-04T00:00:00"/>
    <d v="2018-11-04T00:00:00"/>
    <d v="2018-11-19T00:00:00"/>
    <d v="2018-11-19T00:00:00"/>
    <x v="1"/>
    <x v="1"/>
  </r>
  <r>
    <s v="MRNTX029407"/>
    <x v="1"/>
    <x v="6"/>
    <d v="2018-11-22T00:00:00"/>
    <d v="2018-11-22T00:00:00"/>
    <d v="2018-11-09T00:00:00"/>
    <d v="2018-11-09T00:00:00"/>
    <x v="0"/>
    <x v="1"/>
  </r>
  <r>
    <s v="MRNTX029522"/>
    <x v="1"/>
    <x v="6"/>
    <d v="2018-11-22T00:00:00"/>
    <d v="2018-11-22T00:00:00"/>
    <d v="2018-11-09T00:00:00"/>
    <d v="2018-11-09T00:00:00"/>
    <x v="0"/>
    <x v="1"/>
  </r>
  <r>
    <s v="MRNTX029599"/>
    <x v="1"/>
    <x v="6"/>
    <d v="2018-11-04T00:00:00"/>
    <d v="2018-11-04T00:00:00"/>
    <d v="2018-11-04T00:00:00"/>
    <m/>
    <x v="0"/>
    <x v="0"/>
  </r>
  <r>
    <s v="MRNTX029603"/>
    <x v="1"/>
    <x v="6"/>
    <d v="2018-11-04T00:00:00"/>
    <d v="2018-11-04T00:00:00"/>
    <d v="2018-11-19T00:00:00"/>
    <d v="2018-11-19T00:00:00"/>
    <x v="1"/>
    <x v="1"/>
  </r>
  <r>
    <s v="MRNTX029715"/>
    <x v="1"/>
    <x v="6"/>
    <d v="2018-11-04T00:00:00"/>
    <d v="2018-11-04T00:00:00"/>
    <d v="2018-11-19T00:00:00"/>
    <d v="2018-11-19T00:00:00"/>
    <x v="1"/>
    <x v="1"/>
  </r>
  <r>
    <s v="MRNTX033335"/>
    <x v="1"/>
    <x v="6"/>
    <d v="2018-11-02T00:00:00"/>
    <d v="2018-12-08T00:00:00"/>
    <d v="2018-11-02T00:00:00"/>
    <d v="2018-11-02T00:00:00"/>
    <x v="0"/>
    <x v="1"/>
  </r>
  <r>
    <s v="MRNTX033417"/>
    <x v="1"/>
    <x v="6"/>
    <d v="2018-11-02T00:00:00"/>
    <d v="2018-12-08T00:00:00"/>
    <d v="2018-11-02T00:00:00"/>
    <d v="2018-11-02T00:00:00"/>
    <x v="0"/>
    <x v="1"/>
  </r>
  <r>
    <s v="MRNTX033510"/>
    <x v="1"/>
    <x v="6"/>
    <d v="2018-11-04T00:00:00"/>
    <d v="2018-11-04T00:00:00"/>
    <d v="2018-11-13T00:00:00"/>
    <d v="2018-11-13T00:00:00"/>
    <x v="0"/>
    <x v="1"/>
  </r>
  <r>
    <s v="MRNTX033512"/>
    <x v="1"/>
    <x v="6"/>
    <d v="2018-11-02T00:00:00"/>
    <d v="2018-12-08T00:00:00"/>
    <d v="2018-11-02T00:00:00"/>
    <d v="2018-11-02T00:00:00"/>
    <x v="0"/>
    <x v="1"/>
  </r>
  <r>
    <s v="MRNTX033519"/>
    <x v="1"/>
    <x v="6"/>
    <d v="2018-11-18T00:00:00"/>
    <d v="2018-11-18T00:00:00"/>
    <d v="2018-11-13T00:00:00"/>
    <d v="2018-11-13T00:00:00"/>
    <x v="0"/>
    <x v="1"/>
  </r>
  <r>
    <s v="MRWSH019920"/>
    <x v="2"/>
    <x v="6"/>
    <d v="2018-11-01T00:00:00"/>
    <d v="2018-10-31T00:00:00"/>
    <d v="2018-11-01T00:00:00"/>
    <d v="2018-11-01T00:00:00"/>
    <x v="0"/>
    <x v="1"/>
  </r>
  <r>
    <s v="MRSTX036398"/>
    <x v="0"/>
    <x v="6"/>
    <d v="2018-11-15T00:00:00"/>
    <d v="2018-09-30T00:00:00"/>
    <d v="2018-11-15T00:00:00"/>
    <m/>
    <x v="0"/>
    <x v="0"/>
  </r>
  <r>
    <s v="MRSTX036402"/>
    <x v="0"/>
    <x v="6"/>
    <d v="2018-11-15T00:00:00"/>
    <d v="2018-12-06T00:00:00"/>
    <d v="2018-12-06T00:00:00"/>
    <m/>
    <x v="1"/>
    <x v="4"/>
  </r>
  <r>
    <s v="MRSTX036406"/>
    <x v="0"/>
    <x v="6"/>
    <d v="2018-11-15T00:00:00"/>
    <d v="2018-11-30T00:00:00"/>
    <d v="2018-11-15T00:00:00"/>
    <m/>
    <x v="0"/>
    <x v="3"/>
  </r>
  <r>
    <s v="MRSTX036408"/>
    <x v="0"/>
    <x v="6"/>
    <d v="2018-11-15T00:00:00"/>
    <d v="2018-09-30T00:00:00"/>
    <d v="2018-11-15T00:00:00"/>
    <m/>
    <x v="0"/>
    <x v="0"/>
  </r>
  <r>
    <s v="MRSTX036422"/>
    <x v="0"/>
    <x v="6"/>
    <d v="2018-11-01T00:00:00"/>
    <d v="2018-11-30T00:00:00"/>
    <d v="2018-11-01T00:00:00"/>
    <d v="2018-11-01T00:00:00"/>
    <x v="0"/>
    <x v="1"/>
  </r>
  <r>
    <s v="MRSTX036434"/>
    <x v="0"/>
    <x v="6"/>
    <d v="2018-11-15T00:00:00"/>
    <d v="2018-10-30T00:00:00"/>
    <d v="2018-11-21T00:00:00"/>
    <d v="2018-11-21T00:00:00"/>
    <x v="0"/>
    <x v="1"/>
  </r>
  <r>
    <s v="MRSTX036459"/>
    <x v="0"/>
    <x v="6"/>
    <d v="2018-11-01T00:00:00"/>
    <d v="2018-11-30T00:00:00"/>
    <d v="2018-11-01T00:00:00"/>
    <d v="2018-11-01T00:00:00"/>
    <x v="0"/>
    <x v="1"/>
  </r>
  <r>
    <s v="MRSTX036465"/>
    <x v="0"/>
    <x v="6"/>
    <d v="2018-11-15T00:00:00"/>
    <d v="2018-11-30T00:00:00"/>
    <d v="2018-11-15T00:00:00"/>
    <m/>
    <x v="0"/>
    <x v="3"/>
  </r>
  <r>
    <s v="MRSTX036467"/>
    <x v="0"/>
    <x v="6"/>
    <d v="2018-11-15T00:00:00"/>
    <d v="2018-11-30T00:00:00"/>
    <d v="2018-11-15T00:00:00"/>
    <m/>
    <x v="0"/>
    <x v="3"/>
  </r>
  <r>
    <s v="MRSTX036541"/>
    <x v="0"/>
    <x v="6"/>
    <d v="2018-11-30T00:00:00"/>
    <d v="2018-11-30T00:00:00"/>
    <d v="2018-11-30T00:00:00"/>
    <m/>
    <x v="0"/>
    <x v="0"/>
  </r>
  <r>
    <s v="MRSTX036548"/>
    <x v="0"/>
    <x v="6"/>
    <d v="2018-11-14T00:00:00"/>
    <d v="2018-11-14T00:00:00"/>
    <d v="2018-11-14T00:00:00"/>
    <m/>
    <x v="0"/>
    <x v="0"/>
  </r>
  <r>
    <s v="MRSTX036555"/>
    <x v="0"/>
    <x v="6"/>
    <d v="2018-11-30T00:00:00"/>
    <d v="2018-11-30T00:00:00"/>
    <d v="2018-11-30T00:00:00"/>
    <m/>
    <x v="0"/>
    <x v="0"/>
  </r>
  <r>
    <s v="MRSTX036565"/>
    <x v="0"/>
    <x v="6"/>
    <d v="2018-11-30T00:00:00"/>
    <d v="2018-11-30T00:00:00"/>
    <d v="2018-11-30T00:00:00"/>
    <m/>
    <x v="0"/>
    <x v="0"/>
  </r>
  <r>
    <s v="MRSTX036574"/>
    <x v="0"/>
    <x v="6"/>
    <d v="2018-11-30T00:00:00"/>
    <d v="2018-11-30T00:00:00"/>
    <d v="2018-11-30T00:00:00"/>
    <m/>
    <x v="0"/>
    <x v="0"/>
  </r>
  <r>
    <s v="MRSTX036578"/>
    <x v="0"/>
    <x v="6"/>
    <d v="2018-11-14T00:00:00"/>
    <d v="2018-11-14T00:00:00"/>
    <d v="2018-11-26T00:00:00"/>
    <d v="2018-11-26T00:00:00"/>
    <x v="0"/>
    <x v="1"/>
  </r>
  <r>
    <s v="MRSTX036581"/>
    <x v="0"/>
    <x v="6"/>
    <d v="2018-11-14T00:00:00"/>
    <d v="2018-11-14T00:00:00"/>
    <d v="2018-11-14T00:00:00"/>
    <m/>
    <x v="0"/>
    <x v="0"/>
  </r>
  <r>
    <s v="MRSTX036583"/>
    <x v="0"/>
    <x v="6"/>
    <d v="2018-11-15T00:00:00"/>
    <d v="2018-12-06T00:00:00"/>
    <d v="2018-11-26T00:00:00"/>
    <d v="2018-11-26T00:00:00"/>
    <x v="0"/>
    <x v="1"/>
  </r>
  <r>
    <s v="MRSTX036651"/>
    <x v="0"/>
    <x v="6"/>
    <d v="2018-11-30T00:00:00"/>
    <d v="2018-11-30T00:00:00"/>
    <d v="2018-11-30T00:00:00"/>
    <m/>
    <x v="0"/>
    <x v="0"/>
  </r>
  <r>
    <s v="MRSTX036653"/>
    <x v="0"/>
    <x v="6"/>
    <d v="2018-11-30T00:00:00"/>
    <d v="2018-11-30T00:00:00"/>
    <d v="2018-11-30T00:00:00"/>
    <m/>
    <x v="0"/>
    <x v="0"/>
  </r>
  <r>
    <s v="MRSTX036676"/>
    <x v="0"/>
    <x v="6"/>
    <d v="2018-11-30T00:00:00"/>
    <d v="2018-11-30T00:00:00"/>
    <d v="2018-11-30T00:00:00"/>
    <m/>
    <x v="0"/>
    <x v="0"/>
  </r>
  <r>
    <s v="MRSTX036677"/>
    <x v="0"/>
    <x v="6"/>
    <d v="2018-11-15T00:00:00"/>
    <d v="2018-10-30T00:00:00"/>
    <d v="2018-12-15T00:00:00"/>
    <m/>
    <x v="1"/>
    <x v="5"/>
  </r>
  <r>
    <s v="MRSTX036962"/>
    <x v="0"/>
    <x v="6"/>
    <d v="2018-11-01T00:00:00"/>
    <d v="2018-11-30T00:00:00"/>
    <d v="2018-11-01T00:00:00"/>
    <d v="2018-11-01T00:00:00"/>
    <x v="0"/>
    <x v="1"/>
  </r>
  <r>
    <s v="MRSTX036963"/>
    <x v="0"/>
    <x v="6"/>
    <d v="2018-11-01T00:00:00"/>
    <d v="2018-11-30T00:00:00"/>
    <d v="2018-11-01T00:00:00"/>
    <d v="2018-11-01T00:00:00"/>
    <x v="0"/>
    <x v="1"/>
  </r>
  <r>
    <s v="MRSTX036966"/>
    <x v="0"/>
    <x v="6"/>
    <d v="2018-11-15T00:00:00"/>
    <d v="2018-11-30T00:00:00"/>
    <d v="2018-11-15T00:00:00"/>
    <m/>
    <x v="0"/>
    <x v="3"/>
  </r>
  <r>
    <s v="MRSTX036969"/>
    <x v="0"/>
    <x v="6"/>
    <d v="2018-11-15T00:00:00"/>
    <d v="2018-11-30T00:00:00"/>
    <d v="2018-11-15T00:00:00"/>
    <m/>
    <x v="0"/>
    <x v="3"/>
  </r>
  <r>
    <s v="MRSTX036970"/>
    <x v="0"/>
    <x v="6"/>
    <d v="2018-11-15T00:00:00"/>
    <d v="2018-12-06T00:00:00"/>
    <d v="2018-11-15T00:00:00"/>
    <m/>
    <x v="0"/>
    <x v="3"/>
  </r>
  <r>
    <s v="MRSTX036971"/>
    <x v="0"/>
    <x v="6"/>
    <d v="2018-11-15T00:00:00"/>
    <d v="2018-12-06T00:00:00"/>
    <d v="2018-11-15T00:00:00"/>
    <m/>
    <x v="0"/>
    <x v="3"/>
  </r>
  <r>
    <s v="MRNTX033589"/>
    <x v="1"/>
    <x v="6"/>
    <d v="2018-11-04T00:00:00"/>
    <d v="2018-11-04T00:00:00"/>
    <d v="2018-11-13T00:00:00"/>
    <d v="2018-11-13T00:00:00"/>
    <x v="0"/>
    <x v="1"/>
  </r>
  <r>
    <s v="MRSTX035990"/>
    <x v="0"/>
    <x v="6"/>
    <d v="2018-11-15T00:00:00"/>
    <d v="2018-11-30T00:00:00"/>
    <d v="2018-11-15T00:00:00"/>
    <m/>
    <x v="0"/>
    <x v="3"/>
  </r>
  <r>
    <s v="MRSTX035999"/>
    <x v="0"/>
    <x v="6"/>
    <d v="2018-11-15T00:00:00"/>
    <d v="2018-10-30T00:00:00"/>
    <d v="2018-11-15T00:00:00"/>
    <d v="2018-11-29T00:00:00"/>
    <x v="0"/>
    <x v="1"/>
  </r>
  <r>
    <s v="MRSTX036001"/>
    <x v="0"/>
    <x v="6"/>
    <d v="2018-11-30T00:00:00"/>
    <d v="2018-11-30T00:00:00"/>
    <d v="2018-11-30T00:00:00"/>
    <d v="2018-11-30T00:00:00"/>
    <x v="0"/>
    <x v="1"/>
  </r>
  <r>
    <s v="MRSTX036004"/>
    <x v="0"/>
    <x v="6"/>
    <d v="2018-11-30T00:00:00"/>
    <d v="2018-11-30T00:00:00"/>
    <d v="2018-11-30T00:00:00"/>
    <d v="2018-11-29T00:00:00"/>
    <x v="0"/>
    <x v="1"/>
  </r>
  <r>
    <s v="MRSTX036005"/>
    <x v="0"/>
    <x v="6"/>
    <d v="2018-11-15T00:00:00"/>
    <d v="2018-12-30T00:00:00"/>
    <d v="2018-11-15T00:00:00"/>
    <m/>
    <x v="0"/>
    <x v="3"/>
  </r>
  <r>
    <s v="MRSTX036011"/>
    <x v="0"/>
    <x v="6"/>
    <d v="2018-11-30T00:00:00"/>
    <d v="2018-11-30T00:00:00"/>
    <d v="2018-11-19T00:00:00"/>
    <d v="2018-11-19T00:00:00"/>
    <x v="0"/>
    <x v="1"/>
  </r>
  <r>
    <s v="MRSTX036013"/>
    <x v="0"/>
    <x v="6"/>
    <d v="2018-11-01T00:00:00"/>
    <d v="2018-11-30T00:00:00"/>
    <d v="2018-11-01T00:00:00"/>
    <d v="2018-11-01T00:00:00"/>
    <x v="0"/>
    <x v="1"/>
  </r>
  <r>
    <s v="MRSTX036014"/>
    <x v="0"/>
    <x v="6"/>
    <d v="2018-11-15T00:00:00"/>
    <d v="2018-09-30T00:00:00"/>
    <d v="2018-11-15T00:00:00"/>
    <m/>
    <x v="0"/>
    <x v="0"/>
  </r>
  <r>
    <s v="MRSTX036031"/>
    <x v="0"/>
    <x v="6"/>
    <d v="2018-11-02T00:00:00"/>
    <d v="2018-10-30T00:00:00"/>
    <d v="2018-11-02T00:00:00"/>
    <d v="2018-11-02T00:00:00"/>
    <x v="0"/>
    <x v="1"/>
  </r>
  <r>
    <s v="MRSTX036042"/>
    <x v="0"/>
    <x v="6"/>
    <d v="2018-11-15T00:00:00"/>
    <d v="2018-11-30T00:00:00"/>
    <d v="2018-11-15T00:00:00"/>
    <m/>
    <x v="0"/>
    <x v="3"/>
  </r>
  <r>
    <s v="MRSTX036048"/>
    <x v="0"/>
    <x v="6"/>
    <d v="2018-11-30T00:00:00"/>
    <d v="2018-11-30T00:00:00"/>
    <d v="2018-11-30T00:00:00"/>
    <d v="2018-11-29T00:00:00"/>
    <x v="0"/>
    <x v="1"/>
  </r>
  <r>
    <s v="MRSTX036053"/>
    <x v="0"/>
    <x v="6"/>
    <d v="2018-11-15T00:00:00"/>
    <d v="2018-11-30T00:00:00"/>
    <d v="2018-11-15T00:00:00"/>
    <m/>
    <x v="0"/>
    <x v="3"/>
  </r>
  <r>
    <s v="MRSTX036057"/>
    <x v="0"/>
    <x v="6"/>
    <d v="2018-11-15T00:00:00"/>
    <d v="2018-11-30T00:00:00"/>
    <d v="2018-11-15T00:00:00"/>
    <m/>
    <x v="0"/>
    <x v="3"/>
  </r>
  <r>
    <s v="MRSTX036059"/>
    <x v="0"/>
    <x v="6"/>
    <d v="2018-11-15T00:00:00"/>
    <d v="2018-11-30T00:00:00"/>
    <d v="2018-11-15T00:00:00"/>
    <m/>
    <x v="0"/>
    <x v="3"/>
  </r>
  <r>
    <s v="MRSTX036061"/>
    <x v="0"/>
    <x v="6"/>
    <d v="2018-11-30T00:00:00"/>
    <d v="2018-11-30T00:00:00"/>
    <d v="2018-11-30T00:00:00"/>
    <m/>
    <x v="0"/>
    <x v="0"/>
  </r>
  <r>
    <s v="MRSTX036062"/>
    <x v="0"/>
    <x v="6"/>
    <d v="2018-11-15T00:00:00"/>
    <d v="2018-11-30T00:00:00"/>
    <d v="2018-11-30T00:00:00"/>
    <m/>
    <x v="1"/>
    <x v="4"/>
  </r>
  <r>
    <s v="MRSTX036064"/>
    <x v="0"/>
    <x v="6"/>
    <d v="2018-11-15T00:00:00"/>
    <d v="2018-09-30T00:00:00"/>
    <d v="2018-11-15T00:00:00"/>
    <m/>
    <x v="0"/>
    <x v="0"/>
  </r>
  <r>
    <s v="MRSTX036077"/>
    <x v="0"/>
    <x v="6"/>
    <d v="2018-11-01T00:00:00"/>
    <d v="2018-09-30T00:00:00"/>
    <d v="2018-11-14T00:00:00"/>
    <d v="2018-11-14T00:00:00"/>
    <x v="0"/>
    <x v="1"/>
  </r>
  <r>
    <s v="MRSTX036092"/>
    <x v="0"/>
    <x v="6"/>
    <d v="2018-11-15T00:00:00"/>
    <d v="2018-11-30T00:00:00"/>
    <d v="2018-12-15T00:00:00"/>
    <m/>
    <x v="1"/>
    <x v="4"/>
  </r>
  <r>
    <s v="MRSTX036106"/>
    <x v="0"/>
    <x v="6"/>
    <d v="2018-11-14T00:00:00"/>
    <d v="2018-11-14T00:00:00"/>
    <d v="2018-11-19T00:00:00"/>
    <d v="2018-11-19T00:00:00"/>
    <x v="0"/>
    <x v="1"/>
  </r>
  <r>
    <s v="MRSTX036111"/>
    <x v="0"/>
    <x v="6"/>
    <d v="2018-11-15T00:00:00"/>
    <d v="2018-12-06T00:00:00"/>
    <d v="2018-11-15T00:00:00"/>
    <m/>
    <x v="0"/>
    <x v="3"/>
  </r>
  <r>
    <s v="MRSTX036112"/>
    <x v="0"/>
    <x v="6"/>
    <d v="2018-11-01T00:00:00"/>
    <d v="2018-10-30T00:00:00"/>
    <d v="2018-11-01T00:00:00"/>
    <d v="2018-11-01T00:00:00"/>
    <x v="0"/>
    <x v="1"/>
  </r>
  <r>
    <s v="MRNTX032343"/>
    <x v="1"/>
    <x v="6"/>
    <d v="2018-11-04T00:00:00"/>
    <d v="2018-11-04T00:00:00"/>
    <d v="2018-11-09T00:00:00"/>
    <d v="2018-11-09T00:00:00"/>
    <x v="0"/>
    <x v="1"/>
  </r>
  <r>
    <s v="MRNTX032367"/>
    <x v="1"/>
    <x v="6"/>
    <d v="2018-11-09T00:00:00"/>
    <d v="2019-02-22T00:00:00"/>
    <d v="2019-02-22T00:00:00"/>
    <m/>
    <x v="1"/>
    <x v="4"/>
  </r>
  <r>
    <s v="MRNTX032368"/>
    <x v="1"/>
    <x v="6"/>
    <d v="2018-11-04T00:00:00"/>
    <d v="2018-11-04T00:00:00"/>
    <d v="2018-11-04T00:00:00"/>
    <m/>
    <x v="0"/>
    <x v="0"/>
  </r>
  <r>
    <s v="MRNTX032382"/>
    <x v="1"/>
    <x v="6"/>
    <d v="2018-11-01T00:00:00"/>
    <d v="2018-10-26T00:00:00"/>
    <d v="2018-11-01T00:00:00"/>
    <d v="2018-11-01T00:00:00"/>
    <x v="0"/>
    <x v="1"/>
  </r>
  <r>
    <s v="MRNTX032470"/>
    <x v="1"/>
    <x v="6"/>
    <d v="2018-11-02T00:00:00"/>
    <d v="2019-03-09T00:00:00"/>
    <d v="2018-11-02T00:00:00"/>
    <d v="2018-11-02T00:00:00"/>
    <x v="0"/>
    <x v="1"/>
  </r>
  <r>
    <s v="MRWSH024594"/>
    <x v="2"/>
    <x v="6"/>
    <d v="2018-11-01T00:00:00"/>
    <d v="2018-10-31T00:00:00"/>
    <d v="2018-11-01T00:00:00"/>
    <d v="2018-11-01T00:00:00"/>
    <x v="0"/>
    <x v="1"/>
  </r>
  <r>
    <s v="MRWSH024595"/>
    <x v="2"/>
    <x v="6"/>
    <d v="2018-11-30T00:00:00"/>
    <d v="2018-11-30T00:00:00"/>
    <d v="2018-11-26T00:00:00"/>
    <d v="2018-11-26T00:00:00"/>
    <x v="0"/>
    <x v="1"/>
  </r>
  <r>
    <s v="MRWSH024599"/>
    <x v="2"/>
    <x v="6"/>
    <d v="2018-11-30T00:00:00"/>
    <d v="2018-11-30T00:00:00"/>
    <d v="2018-11-30T00:00:00"/>
    <m/>
    <x v="0"/>
    <x v="0"/>
  </r>
  <r>
    <s v="MRWSH024604"/>
    <x v="2"/>
    <x v="6"/>
    <d v="2018-11-30T00:00:00"/>
    <d v="2018-11-30T00:00:00"/>
    <d v="2018-11-30T00:00:00"/>
    <m/>
    <x v="0"/>
    <x v="0"/>
  </r>
  <r>
    <s v="MRWSH024612"/>
    <x v="2"/>
    <x v="6"/>
    <d v="2018-11-30T00:00:00"/>
    <d v="2018-11-30T00:00:00"/>
    <d v="2018-11-30T00:00:00"/>
    <m/>
    <x v="0"/>
    <x v="0"/>
  </r>
  <r>
    <s v="MRWSH024633"/>
    <x v="2"/>
    <x v="6"/>
    <d v="2018-11-30T00:00:00"/>
    <d v="2018-11-30T00:00:00"/>
    <d v="2018-11-30T00:00:00"/>
    <m/>
    <x v="0"/>
    <x v="0"/>
  </r>
  <r>
    <s v="MRWSH024663"/>
    <x v="2"/>
    <x v="6"/>
    <d v="2018-11-30T00:00:00"/>
    <d v="2018-11-30T00:00:00"/>
    <d v="2018-11-30T00:00:00"/>
    <m/>
    <x v="0"/>
    <x v="0"/>
  </r>
  <r>
    <s v="MRWSH024673"/>
    <x v="2"/>
    <x v="6"/>
    <d v="2018-11-30T00:00:00"/>
    <d v="2018-11-30T00:00:00"/>
    <d v="2018-11-26T00:00:00"/>
    <d v="2018-11-26T00:00:00"/>
    <x v="0"/>
    <x v="1"/>
  </r>
  <r>
    <s v="MRWSH024688"/>
    <x v="2"/>
    <x v="6"/>
    <d v="2018-11-30T00:00:00"/>
    <d v="2018-11-30T00:00:00"/>
    <d v="2018-11-30T00:00:00"/>
    <m/>
    <x v="0"/>
    <x v="0"/>
  </r>
  <r>
    <s v="MRWSH024695"/>
    <x v="2"/>
    <x v="6"/>
    <d v="2018-11-30T00:00:00"/>
    <d v="2018-11-30T00:00:00"/>
    <d v="2018-11-14T00:00:00"/>
    <d v="2018-11-14T00:00:00"/>
    <x v="0"/>
    <x v="1"/>
  </r>
  <r>
    <s v="MRWSH024704"/>
    <x v="2"/>
    <x v="6"/>
    <d v="2018-11-30T00:00:00"/>
    <d v="2018-11-30T00:00:00"/>
    <d v="2018-11-26T00:00:00"/>
    <d v="2018-11-26T00:00:00"/>
    <x v="0"/>
    <x v="1"/>
  </r>
  <r>
    <s v="MRWSH024728"/>
    <x v="2"/>
    <x v="6"/>
    <d v="2018-11-30T00:00:00"/>
    <d v="2018-11-30T00:00:00"/>
    <d v="2018-11-28T00:00:00"/>
    <d v="2018-11-28T00:00:00"/>
    <x v="0"/>
    <x v="1"/>
  </r>
  <r>
    <s v="MRWSH024739"/>
    <x v="2"/>
    <x v="6"/>
    <d v="2018-11-30T00:00:00"/>
    <d v="2018-11-30T00:00:00"/>
    <d v="2018-11-15T00:00:00"/>
    <d v="2018-11-15T00:00:00"/>
    <x v="0"/>
    <x v="1"/>
  </r>
  <r>
    <s v="MRWSH024743"/>
    <x v="2"/>
    <x v="6"/>
    <d v="2018-11-30T00:00:00"/>
    <d v="2018-11-30T00:00:00"/>
    <d v="2018-11-15T00:00:00"/>
    <d v="2018-11-15T00:00:00"/>
    <x v="0"/>
    <x v="1"/>
  </r>
  <r>
    <s v="MRWSH024747"/>
    <x v="2"/>
    <x v="6"/>
    <d v="2018-11-30T00:00:00"/>
    <d v="2018-11-30T00:00:00"/>
    <d v="2018-11-30T00:00:00"/>
    <m/>
    <x v="0"/>
    <x v="0"/>
  </r>
  <r>
    <s v="MRWSH024773"/>
    <x v="2"/>
    <x v="6"/>
    <d v="2018-11-30T00:00:00"/>
    <d v="2018-11-30T00:00:00"/>
    <d v="2018-11-07T00:00:00"/>
    <d v="2018-11-07T00:00:00"/>
    <x v="0"/>
    <x v="1"/>
  </r>
  <r>
    <s v="MRWSH024784"/>
    <x v="2"/>
    <x v="6"/>
    <d v="2018-11-09T00:00:00"/>
    <d v="2018-11-09T00:00:00"/>
    <d v="2018-11-07T00:00:00"/>
    <d v="2018-11-07T00:00:00"/>
    <x v="0"/>
    <x v="1"/>
  </r>
  <r>
    <s v="MRWSH024804"/>
    <x v="2"/>
    <x v="6"/>
    <d v="2018-11-09T00:00:00"/>
    <d v="2018-11-09T00:00:00"/>
    <d v="2018-11-07T00:00:00"/>
    <d v="2018-11-07T00:00:00"/>
    <x v="0"/>
    <x v="1"/>
  </r>
  <r>
    <s v="MRSTX036124"/>
    <x v="0"/>
    <x v="6"/>
    <d v="2018-11-15T00:00:00"/>
    <d v="2018-11-30T00:00:00"/>
    <d v="2018-11-19T00:00:00"/>
    <d v="2018-11-19T00:00:00"/>
    <x v="0"/>
    <x v="1"/>
  </r>
  <r>
    <s v="MRSTX036127"/>
    <x v="0"/>
    <x v="6"/>
    <d v="2018-11-15T00:00:00"/>
    <d v="2018-11-30T00:00:00"/>
    <d v="2018-12-15T00:00:00"/>
    <m/>
    <x v="1"/>
    <x v="4"/>
  </r>
  <r>
    <s v="MRSTX036132"/>
    <x v="0"/>
    <x v="6"/>
    <d v="2018-11-15T00:00:00"/>
    <d v="2018-12-19T00:00:00"/>
    <d v="2018-11-15T00:00:00"/>
    <m/>
    <x v="0"/>
    <x v="3"/>
  </r>
  <r>
    <s v="MRSTX036149"/>
    <x v="0"/>
    <x v="6"/>
    <d v="2018-11-15T00:00:00"/>
    <d v="2018-12-19T00:00:00"/>
    <d v="2018-11-15T00:00:00"/>
    <m/>
    <x v="0"/>
    <x v="3"/>
  </r>
  <r>
    <s v="MRSTX036156"/>
    <x v="0"/>
    <x v="6"/>
    <d v="2018-11-30T00:00:00"/>
    <d v="2018-11-30T00:00:00"/>
    <d v="2018-11-19T00:00:00"/>
    <d v="2018-11-19T00:00:00"/>
    <x v="0"/>
    <x v="1"/>
  </r>
  <r>
    <s v="MRSTX036160"/>
    <x v="0"/>
    <x v="6"/>
    <d v="2018-11-30T00:00:00"/>
    <d v="2018-11-30T00:00:00"/>
    <d v="2018-11-07T00:00:00"/>
    <d v="2018-11-07T00:00:00"/>
    <x v="0"/>
    <x v="1"/>
  </r>
  <r>
    <s v="MRSTX036166"/>
    <x v="0"/>
    <x v="6"/>
    <d v="2018-11-30T00:00:00"/>
    <d v="2018-11-30T00:00:00"/>
    <d v="2018-11-30T00:00:00"/>
    <d v="2018-11-29T00:00:00"/>
    <x v="0"/>
    <x v="1"/>
  </r>
  <r>
    <s v="MRSTX036175"/>
    <x v="0"/>
    <x v="6"/>
    <d v="2018-11-30T00:00:00"/>
    <d v="2018-11-30T00:00:00"/>
    <d v="2018-11-15T00:00:00"/>
    <d v="2018-11-15T00:00:00"/>
    <x v="0"/>
    <x v="1"/>
  </r>
  <r>
    <s v="MRSTX036187"/>
    <x v="0"/>
    <x v="6"/>
    <d v="2018-11-15T00:00:00"/>
    <d v="2018-11-30T00:00:00"/>
    <d v="2018-12-15T00:00:00"/>
    <m/>
    <x v="1"/>
    <x v="4"/>
  </r>
  <r>
    <s v="MRWSH022320"/>
    <x v="2"/>
    <x v="6"/>
    <d v="2018-11-30T00:00:00"/>
    <d v="2018-11-30T00:00:00"/>
    <d v="2018-11-28T00:00:00"/>
    <d v="2018-11-28T00:00:00"/>
    <x v="0"/>
    <x v="1"/>
  </r>
  <r>
    <s v="MRWSH022324"/>
    <x v="2"/>
    <x v="6"/>
    <d v="2018-11-30T00:00:00"/>
    <d v="2018-11-30T00:00:00"/>
    <d v="2018-11-26T00:00:00"/>
    <d v="2018-11-26T00:00:00"/>
    <x v="0"/>
    <x v="1"/>
  </r>
  <r>
    <s v="MRWSH022327"/>
    <x v="2"/>
    <x v="6"/>
    <d v="2018-11-30T00:00:00"/>
    <d v="2018-11-30T00:00:00"/>
    <d v="2018-11-07T00:00:00"/>
    <d v="2018-11-07T00:00:00"/>
    <x v="0"/>
    <x v="1"/>
  </r>
  <r>
    <s v="MRWSH022328"/>
    <x v="2"/>
    <x v="6"/>
    <d v="2018-11-30T00:00:00"/>
    <d v="2018-11-30T00:00:00"/>
    <d v="2018-11-30T00:00:00"/>
    <m/>
    <x v="0"/>
    <x v="0"/>
  </r>
  <r>
    <s v="MRWSH022332"/>
    <x v="2"/>
    <x v="6"/>
    <d v="2018-11-30T00:00:00"/>
    <d v="2018-11-30T00:00:00"/>
    <d v="2018-11-30T00:00:00"/>
    <m/>
    <x v="0"/>
    <x v="0"/>
  </r>
  <r>
    <s v="MRWSH022337"/>
    <x v="2"/>
    <x v="6"/>
    <d v="2018-11-30T00:00:00"/>
    <d v="2018-11-30T00:00:00"/>
    <d v="2018-11-30T00:00:00"/>
    <m/>
    <x v="0"/>
    <x v="0"/>
  </r>
  <r>
    <s v="MRWSH022346"/>
    <x v="2"/>
    <x v="6"/>
    <d v="2018-11-30T00:00:00"/>
    <d v="2018-11-30T00:00:00"/>
    <d v="2018-11-13T00:00:00"/>
    <d v="2018-11-13T00:00:00"/>
    <x v="0"/>
    <x v="1"/>
  </r>
  <r>
    <s v="MRWSH022369"/>
    <x v="2"/>
    <x v="6"/>
    <d v="2018-11-30T00:00:00"/>
    <d v="2018-11-30T00:00:00"/>
    <d v="2018-11-15T00:00:00"/>
    <d v="2018-11-15T00:00:00"/>
    <x v="0"/>
    <x v="1"/>
  </r>
  <r>
    <s v="MRWSH022504"/>
    <x v="2"/>
    <x v="6"/>
    <d v="2018-11-30T00:00:00"/>
    <d v="2018-11-30T00:00:00"/>
    <d v="2018-11-30T00:00:00"/>
    <m/>
    <x v="0"/>
    <x v="0"/>
  </r>
  <r>
    <s v="MRWSH022516"/>
    <x v="2"/>
    <x v="6"/>
    <d v="2018-11-16T00:00:00"/>
    <d v="2018-11-16T00:00:00"/>
    <d v="2018-11-15T00:00:00"/>
    <d v="2018-11-15T00:00:00"/>
    <x v="0"/>
    <x v="1"/>
  </r>
  <r>
    <s v="MRWSH022546"/>
    <x v="2"/>
    <x v="6"/>
    <d v="2018-11-09T00:00:00"/>
    <d v="2018-11-09T00:00:00"/>
    <d v="2018-11-26T00:00:00"/>
    <d v="2018-11-26T00:00:00"/>
    <x v="1"/>
    <x v="1"/>
  </r>
  <r>
    <s v="MRWSH022555"/>
    <x v="2"/>
    <x v="6"/>
    <d v="2018-11-30T00:00:00"/>
    <d v="2018-11-30T00:00:00"/>
    <d v="2018-11-26T00:00:00"/>
    <d v="2018-11-26T00:00:00"/>
    <x v="0"/>
    <x v="1"/>
  </r>
  <r>
    <s v="MRNTX032510"/>
    <x v="1"/>
    <x v="6"/>
    <d v="2018-11-22T00:00:00"/>
    <d v="2018-11-22T00:00:00"/>
    <d v="2018-11-13T00:00:00"/>
    <d v="2018-11-13T00:00:00"/>
    <x v="0"/>
    <x v="1"/>
  </r>
  <r>
    <s v="MRNTX032557"/>
    <x v="1"/>
    <x v="6"/>
    <d v="2018-11-24T00:00:00"/>
    <d v="2018-11-24T00:00:00"/>
    <d v="2018-11-04T00:00:00"/>
    <m/>
    <x v="0"/>
    <x v="0"/>
  </r>
  <r>
    <s v="MRNTX032574"/>
    <x v="1"/>
    <x v="6"/>
    <d v="2018-11-25T00:00:00"/>
    <d v="2018-11-25T00:00:00"/>
    <d v="2018-11-25T00:00:00"/>
    <m/>
    <x v="0"/>
    <x v="0"/>
  </r>
  <r>
    <s v="MRSTX034247"/>
    <x v="0"/>
    <x v="6"/>
    <d v="2018-11-14T00:00:00"/>
    <d v="2018-11-14T00:00:00"/>
    <d v="2018-11-14T00:00:00"/>
    <m/>
    <x v="0"/>
    <x v="0"/>
  </r>
  <r>
    <s v="MRSTX034251"/>
    <x v="0"/>
    <x v="6"/>
    <d v="2018-11-14T00:00:00"/>
    <d v="2018-11-14T00:00:00"/>
    <d v="2018-11-14T00:00:00"/>
    <m/>
    <x v="0"/>
    <x v="0"/>
  </r>
  <r>
    <s v="MRSTX034264"/>
    <x v="0"/>
    <x v="6"/>
    <d v="2018-11-14T00:00:00"/>
    <d v="2018-11-14T00:00:00"/>
    <d v="2018-11-14T00:00:00"/>
    <m/>
    <x v="0"/>
    <x v="0"/>
  </r>
  <r>
    <s v="MRSTX034268"/>
    <x v="0"/>
    <x v="6"/>
    <d v="2018-11-14T00:00:00"/>
    <d v="2018-11-14T00:00:00"/>
    <d v="2018-11-14T00:00:00"/>
    <m/>
    <x v="0"/>
    <x v="0"/>
  </r>
  <r>
    <s v="MRWSH024814"/>
    <x v="2"/>
    <x v="6"/>
    <d v="2018-11-16T00:00:00"/>
    <d v="2018-11-16T00:00:00"/>
    <d v="2018-11-07T00:00:00"/>
    <d v="2018-11-07T00:00:00"/>
    <x v="0"/>
    <x v="1"/>
  </r>
  <r>
    <s v="MRWSH024884"/>
    <x v="2"/>
    <x v="6"/>
    <d v="2018-11-16T00:00:00"/>
    <d v="2018-11-16T00:00:00"/>
    <d v="2018-11-07T00:00:00"/>
    <d v="2018-11-07T00:00:00"/>
    <x v="0"/>
    <x v="1"/>
  </r>
  <r>
    <s v="MRWSH024927"/>
    <x v="2"/>
    <x v="6"/>
    <d v="2018-11-30T00:00:00"/>
    <d v="2018-11-30T00:00:00"/>
    <d v="2018-11-26T00:00:00"/>
    <d v="2018-11-26T00:00:00"/>
    <x v="0"/>
    <x v="1"/>
  </r>
  <r>
    <s v="MRWSH024929"/>
    <x v="2"/>
    <x v="6"/>
    <d v="2018-11-30T00:00:00"/>
    <d v="2018-11-30T00:00:00"/>
    <d v="2018-11-30T00:00:00"/>
    <m/>
    <x v="0"/>
    <x v="0"/>
  </r>
  <r>
    <s v="MRWSH024935"/>
    <x v="2"/>
    <x v="6"/>
    <d v="2018-11-30T00:00:00"/>
    <d v="2018-11-30T00:00:00"/>
    <d v="2018-11-30T00:00:00"/>
    <m/>
    <x v="0"/>
    <x v="0"/>
  </r>
  <r>
    <s v="MRWSH024945"/>
    <x v="2"/>
    <x v="6"/>
    <d v="2018-11-30T00:00:00"/>
    <d v="2018-11-30T00:00:00"/>
    <d v="2018-11-26T00:00:00"/>
    <d v="2018-11-26T00:00:00"/>
    <x v="0"/>
    <x v="1"/>
  </r>
  <r>
    <s v="MRWSH024982"/>
    <x v="2"/>
    <x v="6"/>
    <d v="2018-11-30T00:00:00"/>
    <d v="2018-11-30T00:00:00"/>
    <d v="2018-11-26T00:00:00"/>
    <m/>
    <x v="0"/>
    <x v="0"/>
  </r>
  <r>
    <s v="MRNTX018703"/>
    <x v="1"/>
    <x v="6"/>
    <d v="2018-11-25T00:00:00"/>
    <d v="2018-11-25T00:00:00"/>
    <d v="2018-11-09T00:00:00"/>
    <d v="2018-11-09T00:00:00"/>
    <x v="0"/>
    <x v="1"/>
  </r>
  <r>
    <s v="MRNTX030958"/>
    <x v="1"/>
    <x v="6"/>
    <d v="2018-11-02T00:00:00"/>
    <d v="2018-10-31T00:00:00"/>
    <d v="2018-11-27T00:00:00"/>
    <d v="2018-11-27T00:00:00"/>
    <x v="1"/>
    <x v="1"/>
  </r>
  <r>
    <s v="MRNTX031054"/>
    <x v="1"/>
    <x v="6"/>
    <d v="2018-11-04T00:00:00"/>
    <d v="2018-11-04T00:00:00"/>
    <d v="2018-11-16T00:00:00"/>
    <d v="2018-11-16T00:00:00"/>
    <x v="0"/>
    <x v="1"/>
  </r>
  <r>
    <s v="MRWSH022602"/>
    <x v="2"/>
    <x v="6"/>
    <d v="2018-11-30T00:00:00"/>
    <d v="2018-11-30T00:00:00"/>
    <d v="2018-11-26T00:00:00"/>
    <d v="2018-11-26T00:00:00"/>
    <x v="0"/>
    <x v="1"/>
  </r>
  <r>
    <s v="MRWSH022603"/>
    <x v="2"/>
    <x v="6"/>
    <d v="2018-11-30T00:00:00"/>
    <d v="2018-11-30T00:00:00"/>
    <d v="2018-11-26T00:00:00"/>
    <d v="2018-11-26T00:00:00"/>
    <x v="0"/>
    <x v="1"/>
  </r>
  <r>
    <s v="MRWSH022658"/>
    <x v="2"/>
    <x v="6"/>
    <d v="2018-11-30T00:00:00"/>
    <d v="2018-11-30T00:00:00"/>
    <d v="2018-11-30T00:00:00"/>
    <m/>
    <x v="0"/>
    <x v="0"/>
  </r>
  <r>
    <s v="MRWSH022662"/>
    <x v="2"/>
    <x v="6"/>
    <d v="2018-11-30T00:00:00"/>
    <d v="2018-11-30T00:00:00"/>
    <d v="2018-11-30T00:00:00"/>
    <m/>
    <x v="0"/>
    <x v="0"/>
  </r>
  <r>
    <s v="MRWSH022683"/>
    <x v="2"/>
    <x v="6"/>
    <d v="2018-11-30T00:00:00"/>
    <d v="2018-11-30T00:00:00"/>
    <d v="2018-11-30T00:00:00"/>
    <m/>
    <x v="0"/>
    <x v="0"/>
  </r>
  <r>
    <s v="MRWSH022688"/>
    <x v="2"/>
    <x v="6"/>
    <d v="2018-11-30T00:00:00"/>
    <d v="2018-11-30T00:00:00"/>
    <d v="2018-11-30T00:00:00"/>
    <m/>
    <x v="0"/>
    <x v="0"/>
  </r>
  <r>
    <s v="MRWSH022701"/>
    <x v="2"/>
    <x v="6"/>
    <d v="2018-11-09T00:00:00"/>
    <d v="2018-11-09T00:00:00"/>
    <d v="2018-11-07T00:00:00"/>
    <d v="2018-11-07T00:00:00"/>
    <x v="0"/>
    <x v="1"/>
  </r>
  <r>
    <s v="MRWSH022709"/>
    <x v="2"/>
    <x v="6"/>
    <d v="2018-11-30T00:00:00"/>
    <d v="2018-11-30T00:00:00"/>
    <d v="2018-11-30T00:00:00"/>
    <m/>
    <x v="0"/>
    <x v="0"/>
  </r>
  <r>
    <s v="MRWSH022732"/>
    <x v="2"/>
    <x v="6"/>
    <d v="2018-11-02T00:00:00"/>
    <d v="2018-11-02T00:00:00"/>
    <d v="2018-11-14T00:00:00"/>
    <d v="2018-11-14T00:00:00"/>
    <x v="0"/>
    <x v="1"/>
  </r>
  <r>
    <s v="MRWSH022785"/>
    <x v="2"/>
    <x v="6"/>
    <d v="2018-11-30T00:00:00"/>
    <d v="2018-11-30T00:00:00"/>
    <d v="2018-11-15T00:00:00"/>
    <d v="2018-11-15T00:00:00"/>
    <x v="0"/>
    <x v="1"/>
  </r>
  <r>
    <s v="MRWSH022803"/>
    <x v="2"/>
    <x v="6"/>
    <d v="2018-11-30T00:00:00"/>
    <d v="2018-11-30T00:00:00"/>
    <d v="2018-11-30T00:00:00"/>
    <m/>
    <x v="0"/>
    <x v="0"/>
  </r>
  <r>
    <s v="MRWSH022837"/>
    <x v="2"/>
    <x v="6"/>
    <d v="2018-11-30T00:00:00"/>
    <d v="2018-11-30T00:00:00"/>
    <d v="2018-11-30T00:00:00"/>
    <m/>
    <x v="0"/>
    <x v="0"/>
  </r>
  <r>
    <s v="MRWSH022843"/>
    <x v="2"/>
    <x v="6"/>
    <d v="2018-11-09T00:00:00"/>
    <d v="2018-11-09T00:00:00"/>
    <d v="2018-11-26T00:00:00"/>
    <d v="2018-11-26T00:00:00"/>
    <x v="1"/>
    <x v="1"/>
  </r>
  <r>
    <s v="MRWSH022851"/>
    <x v="2"/>
    <x v="6"/>
    <d v="2018-11-30T00:00:00"/>
    <d v="2018-11-30T00:00:00"/>
    <d v="2018-11-19T00:00:00"/>
    <d v="2018-11-19T00:00:00"/>
    <x v="0"/>
    <x v="1"/>
  </r>
  <r>
    <s v="MRSTX034296"/>
    <x v="0"/>
    <x v="6"/>
    <d v="2018-11-15T00:00:00"/>
    <d v="2018-12-19T00:00:00"/>
    <d v="2018-11-15T00:00:00"/>
    <m/>
    <x v="0"/>
    <x v="3"/>
  </r>
  <r>
    <s v="MRSTX034300"/>
    <x v="0"/>
    <x v="6"/>
    <d v="2018-11-15T00:00:00"/>
    <d v="2018-12-06T00:00:00"/>
    <d v="2018-11-28T00:00:00"/>
    <d v="2018-11-28T00:00:00"/>
    <x v="0"/>
    <x v="1"/>
  </r>
  <r>
    <s v="MRSTX034408"/>
    <x v="0"/>
    <x v="6"/>
    <d v="2018-11-15T00:00:00"/>
    <d v="2018-12-19T00:00:00"/>
    <d v="2018-11-15T00:00:00"/>
    <m/>
    <x v="0"/>
    <x v="3"/>
  </r>
  <r>
    <s v="MRSTX034451"/>
    <x v="0"/>
    <x v="6"/>
    <d v="2018-11-01T00:00:00"/>
    <d v="2018-11-20T00:00:00"/>
    <d v="2018-11-01T00:00:00"/>
    <d v="2018-11-01T00:00:00"/>
    <x v="0"/>
    <x v="1"/>
  </r>
  <r>
    <s v="MRSTX034452"/>
    <x v="0"/>
    <x v="6"/>
    <d v="2018-11-01T00:00:00"/>
    <d v="2018-10-30T00:00:00"/>
    <d v="2018-11-01T00:00:00"/>
    <d v="2018-11-01T00:00:00"/>
    <x v="0"/>
    <x v="1"/>
  </r>
  <r>
    <s v="MRSTX034479"/>
    <x v="0"/>
    <x v="6"/>
    <d v="2018-11-15T00:00:00"/>
    <d v="2018-09-30T00:00:00"/>
    <d v="2018-11-15T00:00:00"/>
    <m/>
    <x v="0"/>
    <x v="0"/>
  </r>
  <r>
    <s v="MRSTX034503"/>
    <x v="0"/>
    <x v="6"/>
    <d v="2018-11-30T00:00:00"/>
    <d v="2018-11-30T00:00:00"/>
    <d v="2018-11-07T00:00:00"/>
    <d v="2018-11-07T00:00:00"/>
    <x v="0"/>
    <x v="1"/>
  </r>
  <r>
    <s v="MRSTX034537"/>
    <x v="0"/>
    <x v="6"/>
    <d v="2018-11-30T00:00:00"/>
    <d v="2018-11-30T00:00:00"/>
    <d v="2018-11-30T00:00:00"/>
    <m/>
    <x v="0"/>
    <x v="0"/>
  </r>
  <r>
    <s v="MRWSH019954"/>
    <x v="2"/>
    <x v="6"/>
    <d v="2018-11-30T00:00:00"/>
    <d v="2018-11-30T00:00:00"/>
    <d v="2018-11-30T00:00:00"/>
    <m/>
    <x v="0"/>
    <x v="0"/>
  </r>
  <r>
    <s v="MRNTX031136"/>
    <x v="1"/>
    <x v="6"/>
    <d v="2018-11-09T00:00:00"/>
    <d v="2019-02-22T00:00:00"/>
    <d v="2019-02-22T00:00:00"/>
    <m/>
    <x v="1"/>
    <x v="4"/>
  </r>
  <r>
    <s v="MRNTX036262"/>
    <x v="1"/>
    <x v="6"/>
    <d v="2018-11-22T00:00:00"/>
    <d v="2018-11-22T00:00:00"/>
    <d v="2018-11-09T00:00:00"/>
    <d v="2018-11-09T00:00:00"/>
    <x v="0"/>
    <x v="1"/>
  </r>
  <r>
    <s v="MRNTX036368"/>
    <x v="1"/>
    <x v="6"/>
    <d v="2018-11-02T00:00:00"/>
    <d v="2018-12-08T00:00:00"/>
    <d v="2018-11-02T00:00:00"/>
    <d v="2018-11-02T00:00:00"/>
    <x v="0"/>
    <x v="1"/>
  </r>
  <r>
    <s v="MRNTX036470"/>
    <x v="1"/>
    <x v="6"/>
    <d v="2018-11-18T00:00:00"/>
    <d v="2018-11-18T00:00:00"/>
    <d v="2018-11-06T00:00:00"/>
    <d v="2018-11-06T00:00:00"/>
    <x v="0"/>
    <x v="1"/>
  </r>
  <r>
    <s v="MRNTX036474"/>
    <x v="1"/>
    <x v="6"/>
    <d v="2018-11-26T00:00:00"/>
    <d v="2018-11-06T00:00:00"/>
    <d v="2018-11-26T00:00:00"/>
    <m/>
    <x v="0"/>
    <x v="0"/>
  </r>
  <r>
    <s v="MRNTX036480"/>
    <x v="1"/>
    <x v="6"/>
    <d v="2018-11-04T00:00:00"/>
    <d v="2018-11-04T00:00:00"/>
    <d v="2018-11-19T00:00:00"/>
    <d v="2018-11-19T00:00:00"/>
    <x v="1"/>
    <x v="1"/>
  </r>
  <r>
    <s v="MRNTX036504"/>
    <x v="1"/>
    <x v="6"/>
    <d v="2018-11-30T00:00:00"/>
    <d v="2018-11-30T00:00:00"/>
    <d v="2018-11-28T00:00:00"/>
    <m/>
    <x v="0"/>
    <x v="0"/>
  </r>
  <r>
    <s v="MRNTX036512"/>
    <x v="1"/>
    <x v="6"/>
    <d v="2018-11-30T00:00:00"/>
    <d v="2018-11-30T00:00:00"/>
    <d v="2018-11-16T00:00:00"/>
    <d v="2018-11-16T00:00:00"/>
    <x v="0"/>
    <x v="1"/>
  </r>
  <r>
    <s v="MRNTX036545"/>
    <x v="1"/>
    <x v="6"/>
    <d v="2018-11-27T00:00:00"/>
    <d v="2018-11-27T00:00:00"/>
    <d v="2018-11-27T00:00:00"/>
    <m/>
    <x v="0"/>
    <x v="0"/>
  </r>
  <r>
    <s v="MRNTX036578"/>
    <x v="1"/>
    <x v="6"/>
    <d v="2018-11-04T00:00:00"/>
    <d v="2018-11-04T00:00:00"/>
    <d v="2018-11-04T00:00:00"/>
    <m/>
    <x v="0"/>
    <x v="0"/>
  </r>
  <r>
    <s v="MRNTX036581"/>
    <x v="1"/>
    <x v="6"/>
    <d v="2018-11-04T00:00:00"/>
    <d v="2018-11-04T00:00:00"/>
    <d v="2018-11-06T00:00:00"/>
    <d v="2018-11-06T00:00:00"/>
    <x v="0"/>
    <x v="1"/>
  </r>
  <r>
    <s v="MRSTX027611"/>
    <x v="0"/>
    <x v="6"/>
    <d v="2018-11-01T00:00:00"/>
    <d v="2018-10-30T00:00:00"/>
    <d v="2018-11-01T00:00:00"/>
    <d v="2018-11-01T00:00:00"/>
    <x v="0"/>
    <x v="1"/>
  </r>
  <r>
    <s v="MRSTX030816"/>
    <x v="0"/>
    <x v="6"/>
    <d v="2018-11-01T00:00:00"/>
    <d v="2018-11-30T00:00:00"/>
    <d v="2018-11-01T00:00:00"/>
    <d v="2018-11-01T00:00:00"/>
    <x v="0"/>
    <x v="1"/>
  </r>
  <r>
    <s v="MRSTX030818"/>
    <x v="0"/>
    <x v="6"/>
    <d v="2018-11-30T00:00:00"/>
    <d v="2018-11-30T00:00:00"/>
    <d v="2018-11-27T00:00:00"/>
    <d v="2018-11-27T00:00:00"/>
    <x v="0"/>
    <x v="1"/>
  </r>
  <r>
    <s v="MRSTX030830"/>
    <x v="0"/>
    <x v="6"/>
    <d v="2018-11-30T00:00:00"/>
    <d v="2018-11-30T00:00:00"/>
    <d v="2018-11-07T00:00:00"/>
    <d v="2018-11-07T00:00:00"/>
    <x v="0"/>
    <x v="1"/>
  </r>
  <r>
    <s v="MRNTX031294"/>
    <x v="1"/>
    <x v="6"/>
    <d v="2018-11-01T00:00:00"/>
    <d v="2018-10-26T00:00:00"/>
    <d v="2018-11-01T00:00:00"/>
    <d v="2018-11-01T00:00:00"/>
    <x v="0"/>
    <x v="1"/>
  </r>
  <r>
    <s v="MRNTX031332"/>
    <x v="1"/>
    <x v="6"/>
    <d v="2018-11-02T00:00:00"/>
    <d v="2018-12-08T00:00:00"/>
    <d v="2018-11-02T00:00:00"/>
    <d v="2018-11-02T00:00:00"/>
    <x v="0"/>
    <x v="1"/>
  </r>
  <r>
    <s v="MRNTX031408"/>
    <x v="1"/>
    <x v="6"/>
    <d v="2018-11-04T00:00:00"/>
    <d v="2018-11-04T00:00:00"/>
    <d v="2018-11-09T00:00:00"/>
    <d v="2018-11-09T00:00:00"/>
    <x v="0"/>
    <x v="1"/>
  </r>
  <r>
    <s v="MRNTX031500"/>
    <x v="1"/>
    <x v="6"/>
    <d v="2018-11-04T00:00:00"/>
    <d v="2018-11-04T00:00:00"/>
    <d v="2018-11-09T00:00:00"/>
    <d v="2018-11-09T00:00:00"/>
    <x v="0"/>
    <x v="1"/>
  </r>
  <r>
    <s v="MRNTX031530"/>
    <x v="1"/>
    <x v="6"/>
    <d v="2018-11-04T00:00:00"/>
    <d v="2018-11-04T00:00:00"/>
    <d v="2018-11-04T00:00:00"/>
    <m/>
    <x v="0"/>
    <x v="0"/>
  </r>
  <r>
    <s v="MRNTX037074"/>
    <x v="1"/>
    <x v="6"/>
    <d v="2018-11-23T00:00:00"/>
    <s v="N/A"/>
    <s v="N/A"/>
    <s v="N/A"/>
    <x v="2"/>
    <x v="0"/>
  </r>
  <r>
    <s v="MRWSH019959"/>
    <x v="2"/>
    <x v="6"/>
    <d v="2018-11-30T00:00:00"/>
    <d v="2018-11-30T00:00:00"/>
    <d v="2018-11-19T00:00:00"/>
    <d v="2018-11-19T00:00:00"/>
    <x v="0"/>
    <x v="1"/>
  </r>
  <r>
    <s v="MRWSH019963"/>
    <x v="2"/>
    <x v="6"/>
    <d v="2018-11-30T00:00:00"/>
    <d v="2018-11-30T00:00:00"/>
    <d v="2018-11-26T00:00:00"/>
    <d v="2018-11-26T00:00:00"/>
    <x v="0"/>
    <x v="1"/>
  </r>
  <r>
    <s v="MRWSH019975"/>
    <x v="2"/>
    <x v="6"/>
    <d v="2018-11-30T00:00:00"/>
    <d v="2018-11-30T00:00:00"/>
    <d v="2018-11-30T00:00:00"/>
    <m/>
    <x v="0"/>
    <x v="0"/>
  </r>
  <r>
    <s v="MRWSH019990"/>
    <x v="2"/>
    <x v="6"/>
    <d v="2018-11-30T00:00:00"/>
    <d v="2018-11-30T00:00:00"/>
    <d v="2018-11-28T00:00:00"/>
    <d v="2018-11-28T00:00:00"/>
    <x v="0"/>
    <x v="1"/>
  </r>
  <r>
    <s v="MRWSH020015"/>
    <x v="2"/>
    <x v="6"/>
    <d v="2018-11-16T00:00:00"/>
    <d v="2018-11-16T00:00:00"/>
    <d v="2018-11-15T00:00:00"/>
    <d v="2018-11-15T00:00:00"/>
    <x v="0"/>
    <x v="1"/>
  </r>
  <r>
    <s v="MRWSH020069"/>
    <x v="2"/>
    <x v="6"/>
    <d v="2018-11-30T00:00:00"/>
    <d v="2018-11-30T00:00:00"/>
    <d v="2018-11-30T00:00:00"/>
    <m/>
    <x v="0"/>
    <x v="0"/>
  </r>
  <r>
    <s v="MRWSH020130"/>
    <x v="2"/>
    <x v="6"/>
    <d v="2018-11-30T00:00:00"/>
    <d v="2018-11-30T00:00:00"/>
    <d v="2018-11-15T00:00:00"/>
    <d v="2018-11-15T00:00:00"/>
    <x v="0"/>
    <x v="1"/>
  </r>
  <r>
    <s v="MRWSH020179"/>
    <x v="2"/>
    <x v="6"/>
    <d v="2018-11-30T00:00:00"/>
    <d v="2018-11-30T00:00:00"/>
    <d v="2018-11-26T00:00:00"/>
    <d v="2018-11-26T00:00:00"/>
    <x v="0"/>
    <x v="1"/>
  </r>
  <r>
    <s v="MRWSH020196"/>
    <x v="2"/>
    <x v="6"/>
    <d v="2018-11-30T00:00:00"/>
    <d v="2018-11-30T00:00:00"/>
    <d v="2018-11-19T00:00:00"/>
    <d v="2018-11-19T00:00:00"/>
    <x v="0"/>
    <x v="1"/>
  </r>
  <r>
    <s v="MRWSH020206"/>
    <x v="2"/>
    <x v="6"/>
    <d v="2018-11-30T00:00:00"/>
    <d v="2018-11-30T00:00:00"/>
    <d v="2018-11-15T00:00:00"/>
    <d v="2018-11-15T00:00:00"/>
    <x v="0"/>
    <x v="1"/>
  </r>
  <r>
    <s v="MRWSH020223"/>
    <x v="2"/>
    <x v="6"/>
    <d v="2018-11-30T00:00:00"/>
    <d v="2018-11-30T00:00:00"/>
    <d v="2018-11-30T00:00:00"/>
    <m/>
    <x v="0"/>
    <x v="0"/>
  </r>
  <r>
    <s v="MRWSH020233"/>
    <x v="2"/>
    <x v="6"/>
    <d v="2018-11-30T00:00:00"/>
    <d v="2018-11-30T00:00:00"/>
    <d v="2018-11-30T00:00:00"/>
    <m/>
    <x v="0"/>
    <x v="0"/>
  </r>
  <r>
    <s v="MRWSH020247"/>
    <x v="2"/>
    <x v="6"/>
    <d v="2018-11-09T00:00:00"/>
    <d v="2018-11-09T00:00:00"/>
    <d v="2018-11-07T00:00:00"/>
    <d v="2018-11-07T00:00:00"/>
    <x v="0"/>
    <x v="1"/>
  </r>
  <r>
    <s v="MRWSH020275"/>
    <x v="2"/>
    <x v="6"/>
    <d v="2018-11-09T00:00:00"/>
    <d v="2018-11-09T00:00:00"/>
    <d v="2018-11-26T00:00:00"/>
    <d v="2018-11-26T00:00:00"/>
    <x v="1"/>
    <x v="1"/>
  </r>
  <r>
    <s v="MRWSH020352"/>
    <x v="2"/>
    <x v="6"/>
    <d v="2018-11-30T00:00:00"/>
    <d v="2018-11-30T00:00:00"/>
    <d v="2018-11-26T00:00:00"/>
    <d v="2018-11-26T00:00:00"/>
    <x v="0"/>
    <x v="1"/>
  </r>
  <r>
    <s v="MRWSH020353"/>
    <x v="2"/>
    <x v="6"/>
    <d v="2018-11-09T00:00:00"/>
    <d v="2018-11-09T00:00:00"/>
    <d v="2018-11-06T00:00:00"/>
    <d v="2018-11-06T00:00:00"/>
    <x v="0"/>
    <x v="1"/>
  </r>
  <r>
    <s v="MRWSH020354"/>
    <x v="2"/>
    <x v="6"/>
    <d v="2018-11-09T00:00:00"/>
    <d v="2018-11-09T00:00:00"/>
    <d v="2018-11-26T00:00:00"/>
    <d v="2018-11-26T00:00:00"/>
    <x v="1"/>
    <x v="1"/>
  </r>
  <r>
    <s v="MRWSH020361"/>
    <x v="2"/>
    <x v="6"/>
    <d v="2018-11-30T00:00:00"/>
    <d v="2018-11-30T00:00:00"/>
    <d v="2018-11-26T00:00:00"/>
    <d v="2018-11-26T00:00:00"/>
    <x v="0"/>
    <x v="1"/>
  </r>
  <r>
    <s v="MRSTX030840"/>
    <x v="0"/>
    <x v="6"/>
    <d v="2018-11-02T00:00:00"/>
    <d v="2018-11-02T00:00:00"/>
    <d v="2018-11-07T00:00:00"/>
    <d v="2018-11-07T00:00:00"/>
    <x v="0"/>
    <x v="1"/>
  </r>
  <r>
    <s v="MRSTX030845"/>
    <x v="0"/>
    <x v="6"/>
    <d v="2018-11-30T00:00:00"/>
    <d v="2018-11-30T00:00:00"/>
    <d v="2018-11-26T00:00:00"/>
    <d v="2018-11-26T00:00:00"/>
    <x v="0"/>
    <x v="1"/>
  </r>
  <r>
    <s v="MRSTX030848"/>
    <x v="0"/>
    <x v="6"/>
    <d v="2018-11-30T00:00:00"/>
    <d v="2018-11-30T00:00:00"/>
    <d v="2018-11-26T00:00:00"/>
    <d v="2018-11-26T00:00:00"/>
    <x v="0"/>
    <x v="1"/>
  </r>
  <r>
    <s v="MRSTX030850"/>
    <x v="0"/>
    <x v="6"/>
    <d v="2018-11-15T00:00:00"/>
    <d v="2018-12-19T00:00:00"/>
    <d v="2018-11-28T00:00:00"/>
    <m/>
    <x v="0"/>
    <x v="3"/>
  </r>
  <r>
    <s v="MRSTX030860"/>
    <x v="0"/>
    <x v="6"/>
    <d v="2018-11-15T00:00:00"/>
    <d v="2018-12-06T00:00:00"/>
    <d v="2018-11-15T00:00:00"/>
    <m/>
    <x v="0"/>
    <x v="3"/>
  </r>
  <r>
    <s v="MRSTX030866"/>
    <x v="0"/>
    <x v="6"/>
    <d v="2018-11-15T00:00:00"/>
    <d v="2018-12-06T00:00:00"/>
    <d v="2018-11-15T00:00:00"/>
    <m/>
    <x v="0"/>
    <x v="3"/>
  </r>
  <r>
    <s v="MRSTX030868"/>
    <x v="0"/>
    <x v="6"/>
    <d v="2018-11-01T00:00:00"/>
    <d v="2018-11-30T00:00:00"/>
    <d v="2018-11-01T00:00:00"/>
    <d v="2018-11-01T00:00:00"/>
    <x v="0"/>
    <x v="1"/>
  </r>
  <r>
    <s v="MRSTX030881"/>
    <x v="0"/>
    <x v="6"/>
    <d v="2018-11-30T00:00:00"/>
    <d v="2018-11-30T00:00:00"/>
    <d v="2018-11-07T00:00:00"/>
    <d v="2018-11-07T00:00:00"/>
    <x v="0"/>
    <x v="1"/>
  </r>
  <r>
    <s v="MRSTX030924"/>
    <x v="0"/>
    <x v="6"/>
    <d v="2018-11-14T00:00:00"/>
    <d v="2018-11-14T00:00:00"/>
    <d v="2018-11-19T00:00:00"/>
    <d v="2018-11-19T00:00:00"/>
    <x v="0"/>
    <x v="1"/>
  </r>
  <r>
    <s v="MRSTX030927"/>
    <x v="0"/>
    <x v="6"/>
    <d v="2018-11-15T00:00:00"/>
    <d v="2018-11-30T00:00:00"/>
    <d v="2018-12-15T00:00:00"/>
    <m/>
    <x v="1"/>
    <x v="4"/>
  </r>
  <r>
    <s v="MRSTX030929"/>
    <x v="0"/>
    <x v="6"/>
    <d v="2018-11-30T00:00:00"/>
    <d v="2018-11-30T00:00:00"/>
    <d v="2018-11-30T00:00:00"/>
    <d v="2018-11-29T00:00:00"/>
    <x v="0"/>
    <x v="1"/>
  </r>
  <r>
    <s v="MRSTX030943"/>
    <x v="0"/>
    <x v="6"/>
    <d v="2018-11-15T00:00:00"/>
    <d v="2018-12-19T00:00:00"/>
    <d v="2018-11-28T00:00:00"/>
    <m/>
    <x v="0"/>
    <x v="3"/>
  </r>
  <r>
    <s v="MRSTX030945"/>
    <x v="0"/>
    <x v="6"/>
    <d v="2018-11-01T00:00:00"/>
    <d v="2018-08-30T00:00:00"/>
    <d v="2018-11-01T00:00:00"/>
    <d v="2018-11-01T00:00:00"/>
    <x v="0"/>
    <x v="1"/>
  </r>
  <r>
    <s v="MRSTX030950"/>
    <x v="0"/>
    <x v="6"/>
    <d v="2018-11-01T00:00:00"/>
    <d v="2018-10-30T00:00:00"/>
    <d v="2018-11-01T00:00:00"/>
    <d v="2018-11-01T00:00:00"/>
    <x v="0"/>
    <x v="1"/>
  </r>
  <r>
    <s v="MRSTX030952"/>
    <x v="0"/>
    <x v="6"/>
    <d v="2018-11-30T00:00:00"/>
    <d v="2018-11-30T00:00:00"/>
    <d v="2018-11-27T00:00:00"/>
    <d v="2018-11-27T00:00:00"/>
    <x v="0"/>
    <x v="1"/>
  </r>
  <r>
    <s v="MRSTX030956"/>
    <x v="0"/>
    <x v="6"/>
    <d v="2018-11-15T00:00:00"/>
    <d v="2018-11-30T00:00:00"/>
    <d v="2018-11-15T00:00:00"/>
    <d v="2018-11-15T00:00:00"/>
    <x v="0"/>
    <x v="1"/>
  </r>
  <r>
    <s v="MRSTX031091"/>
    <x v="0"/>
    <x v="6"/>
    <d v="2018-11-14T00:00:00"/>
    <d v="2018-12-13T00:00:00"/>
    <d v="2018-12-13T00:00:00"/>
    <m/>
    <x v="1"/>
    <x v="4"/>
  </r>
  <r>
    <s v="MRSTX031095"/>
    <x v="0"/>
    <x v="6"/>
    <d v="2018-11-02T00:00:00"/>
    <d v="2018-11-02T00:00:00"/>
    <d v="2018-11-07T00:00:00"/>
    <d v="2018-11-07T00:00:00"/>
    <x v="0"/>
    <x v="1"/>
  </r>
  <r>
    <s v="MRSTX031106"/>
    <x v="0"/>
    <x v="6"/>
    <d v="2018-11-15T00:00:00"/>
    <d v="2018-12-19T00:00:00"/>
    <d v="2018-11-15T00:00:00"/>
    <m/>
    <x v="0"/>
    <x v="3"/>
  </r>
  <r>
    <s v="MRSTX031110"/>
    <x v="0"/>
    <x v="6"/>
    <d v="2018-11-15T00:00:00"/>
    <d v="2018-11-30T00:00:00"/>
    <d v="2018-11-19T00:00:00"/>
    <d v="2018-11-19T00:00:00"/>
    <x v="0"/>
    <x v="1"/>
  </r>
  <r>
    <s v="MRSTX031113"/>
    <x v="0"/>
    <x v="6"/>
    <d v="2018-11-30T00:00:00"/>
    <d v="2018-11-30T00:00:00"/>
    <d v="2018-11-15T00:00:00"/>
    <d v="2018-11-15T00:00:00"/>
    <x v="0"/>
    <x v="1"/>
  </r>
  <r>
    <s v="MRSTX031115"/>
    <x v="0"/>
    <x v="6"/>
    <d v="2018-11-30T00:00:00"/>
    <d v="2018-11-30T00:00:00"/>
    <d v="2018-11-30T00:00:00"/>
    <m/>
    <x v="0"/>
    <x v="0"/>
  </r>
  <r>
    <s v="MRSTX031117"/>
    <x v="0"/>
    <x v="6"/>
    <d v="2018-11-30T00:00:00"/>
    <d v="2018-11-30T00:00:00"/>
    <d v="2018-11-30T00:00:00"/>
    <m/>
    <x v="0"/>
    <x v="0"/>
  </r>
  <r>
    <s v="MRNTX037270"/>
    <x v="1"/>
    <x v="6"/>
    <d v="2018-11-23T00:00:00"/>
    <s v="N/A"/>
    <s v="N/A"/>
    <s v="N/A"/>
    <x v="2"/>
    <x v="0"/>
  </r>
  <r>
    <s v="MRNTX037278"/>
    <x v="1"/>
    <x v="6"/>
    <d v="2018-11-23T00:00:00"/>
    <s v="N/A"/>
    <s v="N/A"/>
    <s v="N/A"/>
    <x v="2"/>
    <x v="0"/>
  </r>
  <r>
    <s v="MRSTX032294"/>
    <x v="0"/>
    <x v="6"/>
    <d v="2018-11-15T00:00:00"/>
    <d v="2018-11-30T00:00:00"/>
    <d v="2018-11-15T00:00:00"/>
    <m/>
    <x v="0"/>
    <x v="3"/>
  </r>
  <r>
    <s v="MRSTX032295"/>
    <x v="0"/>
    <x v="6"/>
    <d v="2018-11-02T00:00:00"/>
    <d v="2018-11-30T00:00:00"/>
    <d v="2018-11-02T00:00:00"/>
    <d v="2018-11-02T00:00:00"/>
    <x v="0"/>
    <x v="1"/>
  </r>
  <r>
    <s v="MRSTX032309"/>
    <x v="0"/>
    <x v="6"/>
    <d v="2018-11-02T00:00:00"/>
    <d v="2018-11-30T00:00:00"/>
    <d v="2018-11-02T00:00:00"/>
    <d v="2018-11-02T00:00:00"/>
    <x v="0"/>
    <x v="1"/>
  </r>
  <r>
    <s v="MRSTX032332"/>
    <x v="0"/>
    <x v="6"/>
    <d v="2018-11-15T00:00:00"/>
    <d v="2018-09-30T00:00:00"/>
    <d v="2018-11-15T00:00:00"/>
    <m/>
    <x v="0"/>
    <x v="0"/>
  </r>
  <r>
    <s v="MRSTX032342"/>
    <x v="0"/>
    <x v="6"/>
    <d v="2018-11-15T00:00:00"/>
    <d v="2018-09-30T00:00:00"/>
    <d v="2018-11-15T00:00:00"/>
    <m/>
    <x v="0"/>
    <x v="0"/>
  </r>
  <r>
    <s v="MRSTX032349"/>
    <x v="0"/>
    <x v="6"/>
    <d v="2018-11-10T00:00:00"/>
    <d v="1999-12-30T00:00:00"/>
    <d v="2018-11-10T00:00:00"/>
    <m/>
    <x v="0"/>
    <x v="0"/>
  </r>
  <r>
    <s v="MRSTX032478"/>
    <x v="0"/>
    <x v="6"/>
    <d v="2018-11-30T00:00:00"/>
    <d v="2018-11-30T00:00:00"/>
    <d v="2018-11-30T00:00:00"/>
    <m/>
    <x v="0"/>
    <x v="0"/>
  </r>
  <r>
    <s v="MRSTX032487"/>
    <x v="0"/>
    <x v="6"/>
    <d v="2018-11-30T00:00:00"/>
    <d v="2018-11-30T00:00:00"/>
    <d v="2018-11-30T00:00:00"/>
    <m/>
    <x v="0"/>
    <x v="0"/>
  </r>
  <r>
    <s v="MRSTX032564"/>
    <x v="0"/>
    <x v="6"/>
    <d v="2018-11-30T00:00:00"/>
    <d v="2018-11-30T00:00:00"/>
    <d v="2018-11-30T00:00:00"/>
    <m/>
    <x v="0"/>
    <x v="0"/>
  </r>
  <r>
    <s v="MRSTX032593"/>
    <x v="0"/>
    <x v="6"/>
    <d v="2018-11-30T00:00:00"/>
    <d v="2018-11-30T00:00:00"/>
    <d v="2018-12-15T00:00:00"/>
    <m/>
    <x v="1"/>
    <x v="5"/>
  </r>
  <r>
    <s v="MRSTX032647"/>
    <x v="0"/>
    <x v="6"/>
    <d v="2018-11-30T00:00:00"/>
    <d v="2018-11-30T00:00:00"/>
    <d v="2018-11-30T00:00:00"/>
    <m/>
    <x v="0"/>
    <x v="0"/>
  </r>
  <r>
    <s v="MRSTX032650"/>
    <x v="0"/>
    <x v="6"/>
    <d v="2018-11-15T00:00:00"/>
    <d v="2018-11-30T00:00:00"/>
    <d v="2018-11-15T00:00:00"/>
    <m/>
    <x v="0"/>
    <x v="3"/>
  </r>
  <r>
    <s v="MRSTX032659"/>
    <x v="0"/>
    <x v="6"/>
    <d v="2018-11-30T00:00:00"/>
    <d v="2018-11-30T00:00:00"/>
    <d v="2018-11-30T00:00:00"/>
    <m/>
    <x v="0"/>
    <x v="0"/>
  </r>
  <r>
    <s v="MRSTX032662"/>
    <x v="0"/>
    <x v="6"/>
    <d v="2018-11-15T00:00:00"/>
    <d v="2018-11-30T00:00:00"/>
    <d v="2018-11-15T00:00:00"/>
    <m/>
    <x v="0"/>
    <x v="3"/>
  </r>
  <r>
    <s v="MRSTX032725"/>
    <x v="0"/>
    <x v="6"/>
    <d v="2018-11-15T00:00:00"/>
    <d v="2018-11-30T00:00:00"/>
    <d v="2018-12-15T00:00:00"/>
    <m/>
    <x v="1"/>
    <x v="4"/>
  </r>
  <r>
    <s v="MRSTX032752"/>
    <x v="0"/>
    <x v="6"/>
    <d v="2018-11-30T00:00:00"/>
    <d v="2018-11-30T00:00:00"/>
    <d v="2018-11-30T00:00:00"/>
    <m/>
    <x v="0"/>
    <x v="0"/>
  </r>
  <r>
    <s v="MRSTX032781"/>
    <x v="0"/>
    <x v="6"/>
    <d v="2018-11-15T00:00:00"/>
    <d v="2018-12-19T00:00:00"/>
    <d v="2018-11-28T00:00:00"/>
    <d v="2018-11-28T00:00:00"/>
    <x v="0"/>
    <x v="1"/>
  </r>
  <r>
    <s v="MRSTX032797"/>
    <x v="0"/>
    <x v="6"/>
    <d v="2018-11-30T00:00:00"/>
    <d v="2018-11-30T00:00:00"/>
    <d v="2018-11-26T00:00:00"/>
    <d v="2018-11-26T00:00:00"/>
    <x v="0"/>
    <x v="1"/>
  </r>
  <r>
    <s v="MRSTX032803"/>
    <x v="0"/>
    <x v="6"/>
    <d v="2018-11-30T00:00:00"/>
    <d v="2018-11-30T00:00:00"/>
    <d v="2018-11-30T00:00:00"/>
    <m/>
    <x v="0"/>
    <x v="0"/>
  </r>
  <r>
    <s v="MRSTX032838"/>
    <x v="0"/>
    <x v="6"/>
    <d v="2018-11-15T00:00:00"/>
    <d v="2018-09-30T00:00:00"/>
    <d v="2018-11-15T00:00:00"/>
    <m/>
    <x v="0"/>
    <x v="0"/>
  </r>
  <r>
    <s v="MRSTX032887"/>
    <x v="0"/>
    <x v="6"/>
    <d v="2018-11-15T00:00:00"/>
    <d v="2018-11-30T00:00:00"/>
    <d v="2018-11-15T00:00:00"/>
    <m/>
    <x v="0"/>
    <x v="3"/>
  </r>
  <r>
    <s v="MRNTX025308"/>
    <x v="1"/>
    <x v="6"/>
    <d v="2018-11-02T00:00:00"/>
    <d v="2018-12-07T00:00:00"/>
    <d v="2018-11-02T00:00:00"/>
    <d v="2018-11-02T00:00:00"/>
    <x v="0"/>
    <x v="1"/>
  </r>
  <r>
    <s v="MRNTX025327"/>
    <x v="1"/>
    <x v="6"/>
    <d v="2018-11-02T00:00:00"/>
    <d v="2018-12-07T00:00:00"/>
    <d v="2018-11-02T00:00:00"/>
    <d v="2018-11-02T00:00:00"/>
    <x v="0"/>
    <x v="1"/>
  </r>
  <r>
    <s v="MRNTX032682"/>
    <x v="1"/>
    <x v="6"/>
    <d v="2018-11-04T00:00:00"/>
    <d v="2018-11-04T00:00:00"/>
    <d v="2018-11-04T00:00:00"/>
    <m/>
    <x v="0"/>
    <x v="0"/>
  </r>
  <r>
    <s v="MRNTX032691"/>
    <x v="1"/>
    <x v="6"/>
    <d v="2018-11-22T00:00:00"/>
    <d v="2018-11-22T00:00:00"/>
    <d v="2018-11-15T00:00:00"/>
    <d v="2018-11-15T00:00:00"/>
    <x v="0"/>
    <x v="1"/>
  </r>
  <r>
    <s v="MRNTX032737"/>
    <x v="1"/>
    <x v="6"/>
    <d v="2018-11-10T00:00:00"/>
    <d v="2018-10-14T00:00:00"/>
    <d v="2018-11-10T00:00:00"/>
    <m/>
    <x v="0"/>
    <x v="0"/>
  </r>
  <r>
    <s v="MRNTX032789"/>
    <x v="1"/>
    <x v="6"/>
    <d v="2018-11-10T00:00:00"/>
    <d v="2018-11-16T00:00:00"/>
    <d v="2018-11-10T00:00:00"/>
    <m/>
    <x v="0"/>
    <x v="0"/>
  </r>
  <r>
    <s v="MRWSH024992"/>
    <x v="2"/>
    <x v="6"/>
    <d v="2018-11-30T00:00:00"/>
    <d v="2018-11-30T00:00:00"/>
    <d v="2018-11-26T00:00:00"/>
    <m/>
    <x v="0"/>
    <x v="0"/>
  </r>
  <r>
    <s v="MRWSH025004"/>
    <x v="2"/>
    <x v="6"/>
    <d v="2018-11-30T00:00:00"/>
    <d v="2018-11-30T00:00:00"/>
    <d v="2018-11-15T00:00:00"/>
    <d v="2018-11-15T00:00:00"/>
    <x v="0"/>
    <x v="1"/>
  </r>
  <r>
    <s v="MRWSH025005"/>
    <x v="2"/>
    <x v="6"/>
    <d v="2018-11-30T00:00:00"/>
    <d v="2018-11-30T00:00:00"/>
    <d v="2018-11-15T00:00:00"/>
    <d v="2018-11-15T00:00:00"/>
    <x v="0"/>
    <x v="1"/>
  </r>
  <r>
    <s v="MRWSH025009"/>
    <x v="2"/>
    <x v="6"/>
    <d v="2018-11-30T00:00:00"/>
    <d v="2018-11-30T00:00:00"/>
    <d v="2018-11-15T00:00:00"/>
    <d v="2018-11-15T00:00:00"/>
    <x v="0"/>
    <x v="1"/>
  </r>
  <r>
    <s v="MRWSH025114"/>
    <x v="2"/>
    <x v="6"/>
    <d v="2018-11-30T00:00:00"/>
    <d v="2018-11-30T00:00:00"/>
    <d v="2018-11-28T00:00:00"/>
    <d v="2018-11-28T00:00:00"/>
    <x v="0"/>
    <x v="1"/>
  </r>
  <r>
    <s v="MRWSH025126"/>
    <x v="2"/>
    <x v="6"/>
    <d v="2018-11-30T00:00:00"/>
    <d v="2018-11-30T00:00:00"/>
    <d v="2018-11-30T00:00:00"/>
    <m/>
    <x v="0"/>
    <x v="0"/>
  </r>
  <r>
    <s v="MRWSH025140"/>
    <x v="2"/>
    <x v="6"/>
    <d v="2018-11-30T00:00:00"/>
    <d v="2018-11-30T00:00:00"/>
    <d v="2018-11-30T00:00:00"/>
    <m/>
    <x v="0"/>
    <x v="0"/>
  </r>
  <r>
    <s v="MRWSH025141"/>
    <x v="2"/>
    <x v="6"/>
    <d v="2018-11-03T00:00:00"/>
    <d v="2018-11-03T00:00:00"/>
    <d v="2018-11-14T00:00:00"/>
    <d v="2018-11-14T00:00:00"/>
    <x v="0"/>
    <x v="1"/>
  </r>
  <r>
    <s v="MRWSH025149"/>
    <x v="2"/>
    <x v="6"/>
    <d v="2018-11-30T00:00:00"/>
    <d v="2018-11-30T00:00:00"/>
    <d v="2018-11-30T00:00:00"/>
    <m/>
    <x v="0"/>
    <x v="0"/>
  </r>
  <r>
    <s v="MRWSH025165"/>
    <x v="2"/>
    <x v="6"/>
    <d v="2018-11-02T00:00:00"/>
    <d v="2018-11-02T00:00:00"/>
    <d v="2018-11-14T00:00:00"/>
    <d v="2018-11-14T00:00:00"/>
    <x v="0"/>
    <x v="1"/>
  </r>
  <r>
    <s v="MRWSH025212"/>
    <x v="2"/>
    <x v="6"/>
    <d v="2018-11-30T00:00:00"/>
    <d v="2018-11-30T00:00:00"/>
    <d v="2018-11-30T00:00:00"/>
    <m/>
    <x v="0"/>
    <x v="0"/>
  </r>
  <r>
    <s v="MRWSH025222"/>
    <x v="2"/>
    <x v="6"/>
    <d v="2018-11-30T00:00:00"/>
    <d v="2018-11-30T00:00:00"/>
    <d v="2018-11-26T00:00:00"/>
    <d v="2018-11-26T00:00:00"/>
    <x v="0"/>
    <x v="1"/>
  </r>
  <r>
    <s v="MRWSH025228"/>
    <x v="2"/>
    <x v="6"/>
    <d v="2018-11-11T00:00:00"/>
    <d v="2018-11-11T00:00:00"/>
    <d v="2018-11-11T00:00:00"/>
    <m/>
    <x v="0"/>
    <x v="0"/>
  </r>
  <r>
    <s v="MRWSH025256"/>
    <x v="2"/>
    <x v="6"/>
    <d v="2018-11-30T00:00:00"/>
    <d v="2018-11-30T00:00:00"/>
    <d v="2018-11-28T00:00:00"/>
    <d v="2018-11-28T00:00:00"/>
    <x v="0"/>
    <x v="1"/>
  </r>
  <r>
    <s v="MRWSH025265"/>
    <x v="2"/>
    <x v="6"/>
    <d v="2018-11-30T00:00:00"/>
    <d v="2018-11-30T00:00:00"/>
    <d v="2018-11-26T00:00:00"/>
    <d v="2018-11-26T00:00:00"/>
    <x v="0"/>
    <x v="1"/>
  </r>
  <r>
    <s v="MRWSH025286"/>
    <x v="2"/>
    <x v="6"/>
    <d v="2018-11-30T00:00:00"/>
    <d v="2018-11-30T00:00:00"/>
    <d v="2018-11-15T00:00:00"/>
    <d v="2018-11-15T00:00:00"/>
    <x v="0"/>
    <x v="1"/>
  </r>
  <r>
    <s v="MRWSH025295"/>
    <x v="2"/>
    <x v="6"/>
    <d v="2018-11-30T00:00:00"/>
    <d v="2018-11-30T00:00:00"/>
    <d v="2018-11-26T00:00:00"/>
    <d v="2018-11-26T00:00:00"/>
    <x v="0"/>
    <x v="1"/>
  </r>
  <r>
    <s v="MRWSH025324"/>
    <x v="2"/>
    <x v="6"/>
    <d v="2018-11-30T00:00:00"/>
    <d v="2018-11-30T00:00:00"/>
    <d v="2018-11-30T00:00:00"/>
    <m/>
    <x v="0"/>
    <x v="0"/>
  </r>
  <r>
    <s v="MRWSH025348"/>
    <x v="2"/>
    <x v="6"/>
    <d v="2018-11-30T00:00:00"/>
    <d v="2018-11-30T00:00:00"/>
    <d v="2018-11-28T00:00:00"/>
    <d v="2018-11-28T00:00:00"/>
    <x v="0"/>
    <x v="1"/>
  </r>
  <r>
    <s v="MRWSH025351"/>
    <x v="2"/>
    <x v="6"/>
    <d v="2018-11-30T00:00:00"/>
    <d v="2018-11-30T00:00:00"/>
    <d v="2018-11-07T00:00:00"/>
    <d v="2018-11-07T00:00:00"/>
    <x v="0"/>
    <x v="1"/>
  </r>
  <r>
    <s v="MRNTX032882"/>
    <x v="1"/>
    <x v="6"/>
    <d v="2018-11-22T00:00:00"/>
    <d v="2018-11-22T00:00:00"/>
    <d v="2018-11-15T00:00:00"/>
    <d v="2018-11-15T00:00:00"/>
    <x v="0"/>
    <x v="1"/>
  </r>
  <r>
    <s v="MRNTX032889"/>
    <x v="1"/>
    <x v="6"/>
    <d v="2018-11-04T00:00:00"/>
    <d v="2018-11-04T00:00:00"/>
    <d v="2018-11-04T00:00:00"/>
    <m/>
    <x v="0"/>
    <x v="0"/>
  </r>
  <r>
    <s v="MRNTX032953"/>
    <x v="1"/>
    <x v="6"/>
    <d v="2018-11-18T00:00:00"/>
    <d v="2018-11-18T00:00:00"/>
    <d v="2018-11-13T00:00:00"/>
    <d v="2018-11-13T00:00:00"/>
    <x v="0"/>
    <x v="1"/>
  </r>
  <r>
    <s v="MRNTX032957"/>
    <x v="1"/>
    <x v="6"/>
    <d v="2018-11-18T00:00:00"/>
    <d v="2018-11-18T00:00:00"/>
    <d v="2018-11-13T00:00:00"/>
    <d v="2018-11-13T00:00:00"/>
    <x v="0"/>
    <x v="1"/>
  </r>
  <r>
    <s v="MRSTX034558"/>
    <x v="0"/>
    <x v="6"/>
    <d v="2018-11-02T00:00:00"/>
    <d v="2018-11-02T00:00:00"/>
    <d v="2018-11-07T00:00:00"/>
    <d v="2018-11-07T00:00:00"/>
    <x v="0"/>
    <x v="1"/>
  </r>
  <r>
    <s v="MRSTX034567"/>
    <x v="0"/>
    <x v="6"/>
    <d v="2018-11-01T00:00:00"/>
    <d v="2018-10-31T00:00:00"/>
    <d v="2018-11-01T00:00:00"/>
    <d v="2018-11-01T00:00:00"/>
    <x v="0"/>
    <x v="1"/>
  </r>
  <r>
    <s v="MRSTX034581"/>
    <x v="0"/>
    <x v="6"/>
    <d v="2018-11-30T00:00:00"/>
    <d v="2018-11-30T00:00:00"/>
    <d v="2018-11-26T00:00:00"/>
    <d v="2018-11-26T00:00:00"/>
    <x v="0"/>
    <x v="1"/>
  </r>
  <r>
    <s v="MRSTX034591"/>
    <x v="0"/>
    <x v="6"/>
    <d v="2018-11-15T00:00:00"/>
    <d v="2018-12-19T00:00:00"/>
    <d v="2018-11-28T00:00:00"/>
    <m/>
    <x v="0"/>
    <x v="3"/>
  </r>
  <r>
    <s v="MRSTX034612"/>
    <x v="0"/>
    <x v="6"/>
    <d v="2018-11-15T00:00:00"/>
    <d v="2018-12-06T00:00:00"/>
    <d v="2018-11-15T00:00:00"/>
    <m/>
    <x v="0"/>
    <x v="3"/>
  </r>
  <r>
    <s v="MRSTX034621"/>
    <x v="0"/>
    <x v="6"/>
    <d v="2018-11-30T00:00:00"/>
    <d v="2018-11-30T00:00:00"/>
    <d v="2018-11-30T00:00:00"/>
    <m/>
    <x v="0"/>
    <x v="0"/>
  </r>
  <r>
    <s v="MRSTX034630"/>
    <x v="0"/>
    <x v="6"/>
    <d v="2018-11-30T00:00:00"/>
    <d v="2018-11-30T00:00:00"/>
    <d v="2018-11-07T00:00:00"/>
    <d v="2018-11-07T00:00:00"/>
    <x v="0"/>
    <x v="1"/>
  </r>
  <r>
    <s v="MRSTX034682"/>
    <x v="0"/>
    <x v="6"/>
    <d v="2018-11-15T00:00:00"/>
    <d v="2018-11-30T00:00:00"/>
    <d v="2018-11-15T00:00:00"/>
    <m/>
    <x v="0"/>
    <x v="3"/>
  </r>
  <r>
    <s v="MRSTX034693"/>
    <x v="0"/>
    <x v="6"/>
    <d v="2018-11-15T00:00:00"/>
    <d v="2018-12-19T00:00:00"/>
    <d v="2018-11-28T00:00:00"/>
    <d v="2018-11-28T00:00:00"/>
    <x v="0"/>
    <x v="1"/>
  </r>
  <r>
    <s v="MRSTX034717"/>
    <x v="0"/>
    <x v="6"/>
    <d v="2018-11-15T00:00:00"/>
    <d v="2018-12-06T00:00:00"/>
    <d v="2018-11-15T00:00:00"/>
    <m/>
    <x v="0"/>
    <x v="3"/>
  </r>
  <r>
    <s v="MRSTX034772"/>
    <x v="0"/>
    <x v="6"/>
    <d v="2018-11-15T00:00:00"/>
    <d v="2018-12-19T00:00:00"/>
    <d v="2018-11-15T00:00:00"/>
    <m/>
    <x v="0"/>
    <x v="3"/>
  </r>
  <r>
    <s v="MRWSH025390"/>
    <x v="2"/>
    <x v="6"/>
    <d v="2018-11-30T00:00:00"/>
    <d v="2018-11-30T00:00:00"/>
    <d v="2018-11-26T00:00:00"/>
    <m/>
    <x v="0"/>
    <x v="0"/>
  </r>
  <r>
    <s v="MRNTX036661"/>
    <x v="1"/>
    <x v="6"/>
    <d v="2018-11-02T00:00:00"/>
    <d v="2018-10-30T00:00:00"/>
    <d v="2018-11-02T00:00:00"/>
    <m/>
    <x v="0"/>
    <x v="0"/>
  </r>
  <r>
    <s v="MRNTX036667"/>
    <x v="1"/>
    <x v="6"/>
    <d v="2018-11-01T00:00:00"/>
    <d v="2018-12-14T00:00:00"/>
    <d v="2018-11-01T00:00:00"/>
    <d v="2018-11-01T00:00:00"/>
    <x v="0"/>
    <x v="1"/>
  </r>
  <r>
    <s v="MRNTX036676"/>
    <x v="1"/>
    <x v="6"/>
    <d v="2018-11-09T00:00:00"/>
    <d v="2018-11-09T00:00:00"/>
    <d v="2018-11-06T00:00:00"/>
    <d v="2018-11-06T00:00:00"/>
    <x v="0"/>
    <x v="1"/>
  </r>
  <r>
    <s v="MRNTX036682"/>
    <x v="1"/>
    <x v="6"/>
    <d v="2018-11-02T00:00:00"/>
    <d v="2018-10-30T00:00:00"/>
    <d v="2018-11-02T00:00:00"/>
    <m/>
    <x v="0"/>
    <x v="0"/>
  </r>
  <r>
    <s v="MRNTX036688"/>
    <x v="1"/>
    <x v="6"/>
    <d v="2018-11-02T00:00:00"/>
    <d v="2018-10-30T00:00:00"/>
    <d v="2018-11-02T00:00:00"/>
    <m/>
    <x v="0"/>
    <x v="0"/>
  </r>
  <r>
    <s v="MRNTX036742"/>
    <x v="1"/>
    <x v="6"/>
    <d v="2018-11-04T00:00:00"/>
    <d v="2018-11-04T00:00:00"/>
    <d v="2018-11-06T00:00:00"/>
    <d v="2018-11-06T00:00:00"/>
    <x v="0"/>
    <x v="1"/>
  </r>
  <r>
    <s v="MRNTX036749"/>
    <x v="1"/>
    <x v="6"/>
    <d v="2018-11-01T00:00:00"/>
    <d v="2018-09-11T00:00:00"/>
    <d v="2018-11-01T00:00:00"/>
    <d v="2018-11-01T00:00:00"/>
    <x v="0"/>
    <x v="1"/>
  </r>
  <r>
    <s v="MRNTX036775"/>
    <x v="1"/>
    <x v="6"/>
    <d v="2018-11-02T00:00:00"/>
    <d v="2018-10-30T00:00:00"/>
    <d v="2018-11-02T00:00:00"/>
    <m/>
    <x v="0"/>
    <x v="0"/>
  </r>
  <r>
    <s v="MRNTX036782"/>
    <x v="1"/>
    <x v="6"/>
    <d v="2018-11-04T00:00:00"/>
    <d v="2018-11-04T00:00:00"/>
    <d v="2018-11-04T00:00:00"/>
    <m/>
    <x v="0"/>
    <x v="0"/>
  </r>
  <r>
    <s v="MRNTX036790"/>
    <x v="1"/>
    <x v="6"/>
    <d v="2018-11-01T00:00:00"/>
    <d v="2018-12-14T00:00:00"/>
    <d v="2018-11-01T00:00:00"/>
    <d v="2018-11-01T00:00:00"/>
    <x v="0"/>
    <x v="1"/>
  </r>
  <r>
    <s v="MRSTX035521"/>
    <x v="0"/>
    <x v="7"/>
    <d v="2018-11-26T00:00:00"/>
    <d v="2018-12-29T00:00:00"/>
    <d v="2018-11-30T00:00:00"/>
    <m/>
    <x v="0"/>
    <x v="3"/>
  </r>
  <r>
    <s v="MRSTX035522"/>
    <x v="0"/>
    <x v="7"/>
    <d v="2018-11-26T00:00:00"/>
    <d v="2018-12-29T00:00:00"/>
    <d v="2018-11-30T00:00:00"/>
    <m/>
    <x v="0"/>
    <x v="3"/>
  </r>
  <r>
    <s v="MRSTX035523"/>
    <x v="0"/>
    <x v="7"/>
    <d v="2018-11-26T00:00:00"/>
    <d v="2019-01-28T00:00:00"/>
    <d v="2018-11-30T00:00:00"/>
    <m/>
    <x v="0"/>
    <x v="3"/>
  </r>
  <r>
    <s v="MRSTX035526"/>
    <x v="0"/>
    <x v="7"/>
    <d v="2018-11-26T00:00:00"/>
    <d v="2018-12-29T00:00:00"/>
    <d v="2018-11-30T00:00:00"/>
    <m/>
    <x v="0"/>
    <x v="3"/>
  </r>
  <r>
    <s v="MRSTX035530"/>
    <x v="0"/>
    <x v="7"/>
    <d v="2018-11-26T00:00:00"/>
    <d v="2018-12-29T00:00:00"/>
    <d v="2018-11-30T00:00:00"/>
    <m/>
    <x v="0"/>
    <x v="3"/>
  </r>
  <r>
    <s v="MRSTX035533"/>
    <x v="0"/>
    <x v="7"/>
    <d v="2018-11-26T00:00:00"/>
    <d v="2018-12-31T00:00:00"/>
    <d v="2018-11-30T00:00:00"/>
    <m/>
    <x v="0"/>
    <x v="3"/>
  </r>
  <r>
    <s v="MRSTX035542"/>
    <x v="0"/>
    <x v="7"/>
    <d v="2018-11-14T00:00:00"/>
    <d v="2018-12-31T00:00:00"/>
    <d v="2018-11-30T00:00:00"/>
    <m/>
    <x v="1"/>
    <x v="4"/>
  </r>
  <r>
    <s v="MRSTX035544"/>
    <x v="0"/>
    <x v="7"/>
    <d v="2018-11-14T00:00:00"/>
    <d v="2018-12-31T00:00:00"/>
    <d v="2018-11-30T00:00:00"/>
    <m/>
    <x v="1"/>
    <x v="4"/>
  </r>
  <r>
    <s v="MRSTX035551"/>
    <x v="0"/>
    <x v="7"/>
    <d v="2018-11-02T00:00:00"/>
    <d v="2018-12-29T00:00:00"/>
    <d v="2018-11-02T00:00:00"/>
    <d v="2018-11-02T00:00:00"/>
    <x v="0"/>
    <x v="1"/>
  </r>
  <r>
    <s v="MRSTX035555"/>
    <x v="0"/>
    <x v="7"/>
    <d v="2018-11-02T00:00:00"/>
    <d v="2018-12-29T00:00:00"/>
    <d v="2018-11-02T00:00:00"/>
    <d v="2018-11-02T00:00:00"/>
    <x v="0"/>
    <x v="1"/>
  </r>
  <r>
    <s v="MRSTX035560"/>
    <x v="0"/>
    <x v="7"/>
    <d v="2018-11-06T00:00:00"/>
    <d v="2018-12-31T00:00:00"/>
    <d v="2018-11-30T00:00:00"/>
    <m/>
    <x v="1"/>
    <x v="4"/>
  </r>
  <r>
    <s v="MRSTX035566"/>
    <x v="0"/>
    <x v="7"/>
    <d v="2018-11-02T00:00:00"/>
    <d v="2018-11-14T00:00:00"/>
    <d v="2018-11-02T00:00:00"/>
    <d v="2018-11-02T00:00:00"/>
    <x v="0"/>
    <x v="1"/>
  </r>
  <r>
    <s v="MRSTX035593"/>
    <x v="0"/>
    <x v="7"/>
    <d v="2018-11-15T00:00:00"/>
    <d v="2018-12-29T00:00:00"/>
    <d v="2018-11-13T00:00:00"/>
    <d v="2018-11-13T00:00:00"/>
    <x v="0"/>
    <x v="1"/>
  </r>
  <r>
    <s v="MRSTX035598"/>
    <x v="0"/>
    <x v="7"/>
    <d v="2018-11-26T00:00:00"/>
    <d v="2018-12-31T00:00:00"/>
    <d v="2018-11-13T00:00:00"/>
    <d v="2018-11-13T00:00:00"/>
    <x v="0"/>
    <x v="1"/>
  </r>
  <r>
    <s v="MRSTX035612"/>
    <x v="0"/>
    <x v="7"/>
    <d v="2018-11-02T00:00:00"/>
    <d v="2018-11-28T00:00:00"/>
    <d v="2018-11-02T00:00:00"/>
    <d v="2018-11-02T00:00:00"/>
    <x v="0"/>
    <x v="1"/>
  </r>
  <r>
    <s v="MRSTX035614"/>
    <x v="0"/>
    <x v="7"/>
    <d v="2018-11-14T00:00:00"/>
    <d v="2018-11-29T00:00:00"/>
    <d v="2018-11-30T00:00:00"/>
    <m/>
    <x v="1"/>
    <x v="4"/>
  </r>
  <r>
    <s v="MRSTX035626"/>
    <x v="0"/>
    <x v="7"/>
    <d v="2018-11-14T00:00:00"/>
    <d v="2019-01-28T00:00:00"/>
    <d v="2018-11-19T00:00:00"/>
    <d v="2018-11-19T00:00:00"/>
    <x v="0"/>
    <x v="1"/>
  </r>
  <r>
    <s v="MRSTX035633"/>
    <x v="0"/>
    <x v="7"/>
    <d v="2018-11-14T00:00:00"/>
    <d v="2018-12-29T00:00:00"/>
    <d v="2018-11-28T00:00:00"/>
    <d v="2018-11-28T00:00:00"/>
    <x v="0"/>
    <x v="1"/>
  </r>
  <r>
    <s v="MRSTX035649"/>
    <x v="0"/>
    <x v="7"/>
    <d v="2018-11-15T00:00:00"/>
    <d v="2018-12-29T00:00:00"/>
    <d v="2018-11-30T00:00:00"/>
    <m/>
    <x v="1"/>
    <x v="4"/>
  </r>
  <r>
    <s v="MRSTX035651"/>
    <x v="0"/>
    <x v="7"/>
    <d v="2018-11-26T00:00:00"/>
    <d v="2019-04-30T00:00:00"/>
    <d v="2018-11-30T00:00:00"/>
    <m/>
    <x v="0"/>
    <x v="3"/>
  </r>
  <r>
    <s v="MRSTX035655"/>
    <x v="0"/>
    <x v="7"/>
    <d v="2018-11-14T00:00:00"/>
    <d v="2018-12-31T00:00:00"/>
    <d v="2018-11-30T00:00:00"/>
    <m/>
    <x v="1"/>
    <x v="4"/>
  </r>
  <r>
    <s v="MRSTX035661"/>
    <x v="0"/>
    <x v="7"/>
    <d v="2018-11-06T00:00:00"/>
    <d v="2018-12-29T00:00:00"/>
    <d v="2018-11-13T00:00:00"/>
    <d v="2018-11-13T00:00:00"/>
    <x v="0"/>
    <x v="1"/>
  </r>
  <r>
    <s v="MRSTX035664"/>
    <x v="0"/>
    <x v="7"/>
    <d v="2018-11-26T00:00:00"/>
    <d v="2019-04-30T00:00:00"/>
    <d v="2018-11-30T00:00:00"/>
    <m/>
    <x v="0"/>
    <x v="3"/>
  </r>
  <r>
    <s v="MRSTX035665"/>
    <x v="0"/>
    <x v="7"/>
    <d v="2018-11-26T00:00:00"/>
    <d v="2018-12-31T00:00:00"/>
    <d v="2018-11-13T00:00:00"/>
    <d v="2018-11-13T00:00:00"/>
    <x v="0"/>
    <x v="1"/>
  </r>
  <r>
    <s v="MRSTX035666"/>
    <x v="0"/>
    <x v="7"/>
    <d v="2018-11-14T00:00:00"/>
    <d v="2018-12-29T00:00:00"/>
    <d v="2018-11-30T00:00:00"/>
    <m/>
    <x v="1"/>
    <x v="4"/>
  </r>
  <r>
    <s v="MRSTX035669"/>
    <x v="0"/>
    <x v="7"/>
    <d v="2018-11-06T00:00:00"/>
    <d v="2018-12-29T00:00:00"/>
    <d v="2018-11-30T00:00:00"/>
    <m/>
    <x v="1"/>
    <x v="4"/>
  </r>
  <r>
    <s v="MRSTX035670"/>
    <x v="0"/>
    <x v="7"/>
    <d v="2018-11-26T00:00:00"/>
    <d v="2019-01-28T00:00:00"/>
    <d v="2018-11-30T00:00:00"/>
    <m/>
    <x v="0"/>
    <x v="3"/>
  </r>
  <r>
    <s v="MRSTX035678"/>
    <x v="0"/>
    <x v="7"/>
    <d v="2018-11-06T00:00:00"/>
    <d v="2018-12-29T00:00:00"/>
    <d v="2018-11-13T00:00:00"/>
    <d v="2018-11-13T00:00:00"/>
    <x v="0"/>
    <x v="1"/>
  </r>
  <r>
    <s v="MRSTX035684"/>
    <x v="0"/>
    <x v="7"/>
    <d v="2018-11-14T00:00:00"/>
    <d v="2018-12-31T00:00:00"/>
    <d v="2018-11-30T00:00:00"/>
    <m/>
    <x v="1"/>
    <x v="4"/>
  </r>
  <r>
    <s v="MRWSH020430"/>
    <x v="2"/>
    <x v="7"/>
    <d v="2018-11-17T00:00:00"/>
    <d v="1999-12-30T00:00:00"/>
    <d v="2018-11-30T00:00:00"/>
    <m/>
    <x v="0"/>
    <x v="0"/>
  </r>
  <r>
    <s v="MRWSH020449"/>
    <x v="2"/>
    <x v="7"/>
    <d v="2018-11-30T00:00:00"/>
    <d v="1999-12-30T00:00:00"/>
    <d v="2018-11-27T00:00:00"/>
    <d v="2018-11-27T00:00:00"/>
    <x v="0"/>
    <x v="1"/>
  </r>
  <r>
    <s v="MRNTX036844"/>
    <x v="1"/>
    <x v="7"/>
    <d v="2018-11-21T00:00:00"/>
    <d v="2018-11-21T00:00:00"/>
    <d v="2018-12-30T00:00:00"/>
    <m/>
    <x v="1"/>
    <x v="5"/>
  </r>
  <r>
    <s v="MRNTX036846"/>
    <x v="1"/>
    <x v="7"/>
    <d v="2018-11-23T00:00:00"/>
    <d v="2018-11-23T00:00:00"/>
    <d v="2019-01-30T00:00:00"/>
    <m/>
    <x v="1"/>
    <x v="5"/>
  </r>
  <r>
    <s v="MRNTX036853"/>
    <x v="1"/>
    <x v="7"/>
    <d v="2018-11-11T00:00:00"/>
    <d v="1999-12-30T00:00:00"/>
    <d v="2019-01-30T00:00:00"/>
    <m/>
    <x v="1"/>
    <x v="5"/>
  </r>
  <r>
    <s v="MRNTX036854"/>
    <x v="1"/>
    <x v="7"/>
    <d v="2018-11-23T00:00:00"/>
    <d v="2018-11-23T00:00:00"/>
    <d v="2019-01-30T00:00:00"/>
    <m/>
    <x v="1"/>
    <x v="5"/>
  </r>
  <r>
    <s v="MRNTX036857"/>
    <x v="1"/>
    <x v="7"/>
    <d v="2018-11-02T00:00:00"/>
    <d v="2018-12-15T00:00:00"/>
    <d v="2018-11-02T00:00:00"/>
    <d v="2018-11-02T00:00:00"/>
    <x v="0"/>
    <x v="1"/>
  </r>
  <r>
    <s v="MRNTX036934"/>
    <x v="1"/>
    <x v="7"/>
    <d v="2018-11-07T00:00:00"/>
    <d v="2019-01-13T00:00:00"/>
    <d v="2019-05-30T00:00:00"/>
    <m/>
    <x v="1"/>
    <x v="4"/>
  </r>
  <r>
    <s v="MRNTX036957"/>
    <x v="1"/>
    <x v="7"/>
    <d v="2018-11-04T00:00:00"/>
    <d v="2018-12-08T00:00:00"/>
    <d v="2018-11-28T00:00:00"/>
    <d v="2018-11-28T00:00:00"/>
    <x v="1"/>
    <x v="1"/>
  </r>
  <r>
    <s v="MRNTX036961"/>
    <x v="1"/>
    <x v="7"/>
    <d v="2018-11-08T00:00:00"/>
    <d v="2018-12-12T00:00:00"/>
    <d v="2019-01-30T00:00:00"/>
    <m/>
    <x v="1"/>
    <x v="4"/>
  </r>
  <r>
    <s v="MRNTX036963"/>
    <x v="1"/>
    <x v="7"/>
    <d v="2018-11-08T00:00:00"/>
    <d v="2019-02-21T00:00:00"/>
    <d v="2019-01-30T00:00:00"/>
    <m/>
    <x v="1"/>
    <x v="4"/>
  </r>
  <r>
    <s v="MRNTX036964"/>
    <x v="1"/>
    <x v="7"/>
    <d v="2018-11-27T00:00:00"/>
    <d v="2019-02-14T00:00:00"/>
    <d v="2019-02-28T00:00:00"/>
    <m/>
    <x v="1"/>
    <x v="2"/>
  </r>
  <r>
    <s v="MRNTX037064"/>
    <x v="1"/>
    <x v="7"/>
    <d v="2018-11-27T00:00:00"/>
    <d v="2018-11-27T00:00:00"/>
    <d v="2019-01-30T00:00:00"/>
    <m/>
    <x v="1"/>
    <x v="5"/>
  </r>
  <r>
    <s v="MRNTX037069"/>
    <x v="1"/>
    <x v="7"/>
    <d v="2018-11-21T00:00:00"/>
    <d v="2018-11-21T00:00:00"/>
    <d v="2018-11-13T00:00:00"/>
    <d v="2018-11-13T00:00:00"/>
    <x v="0"/>
    <x v="1"/>
  </r>
  <r>
    <s v="MRSTX031126"/>
    <x v="0"/>
    <x v="7"/>
    <d v="2018-11-14T00:00:00"/>
    <d v="2019-03-30T00:00:00"/>
    <d v="2018-11-28T00:00:00"/>
    <d v="2018-11-28T00:00:00"/>
    <x v="0"/>
    <x v="1"/>
  </r>
  <r>
    <s v="MRSTX031132"/>
    <x v="0"/>
    <x v="7"/>
    <d v="2018-11-15T00:00:00"/>
    <d v="2018-11-29T00:00:00"/>
    <d v="2018-11-30T00:00:00"/>
    <m/>
    <x v="1"/>
    <x v="4"/>
  </r>
  <r>
    <s v="MRSTX031141"/>
    <x v="0"/>
    <x v="7"/>
    <d v="2018-11-06T00:00:00"/>
    <d v="2018-12-31T00:00:00"/>
    <d v="2018-11-13T00:00:00"/>
    <d v="2018-11-13T00:00:00"/>
    <x v="0"/>
    <x v="1"/>
  </r>
  <r>
    <s v="MRSTX031462"/>
    <x v="0"/>
    <x v="7"/>
    <d v="2018-11-14T00:00:00"/>
    <d v="2018-12-31T00:00:00"/>
    <d v="2018-11-30T00:00:00"/>
    <m/>
    <x v="1"/>
    <x v="4"/>
  </r>
  <r>
    <s v="MRSTX031591"/>
    <x v="0"/>
    <x v="7"/>
    <d v="2018-11-14T00:00:00"/>
    <d v="2018-12-29T00:00:00"/>
    <d v="2018-11-30T00:00:00"/>
    <m/>
    <x v="1"/>
    <x v="4"/>
  </r>
  <r>
    <s v="MRSTX031593"/>
    <x v="0"/>
    <x v="7"/>
    <d v="2018-11-26T00:00:00"/>
    <d v="2018-12-29T00:00:00"/>
    <d v="2018-11-13T00:00:00"/>
    <d v="2018-11-13T00:00:00"/>
    <x v="0"/>
    <x v="1"/>
  </r>
  <r>
    <s v="MRSTX031614"/>
    <x v="0"/>
    <x v="7"/>
    <d v="2018-11-02T00:00:00"/>
    <d v="2018-11-22T00:00:00"/>
    <d v="2018-11-02T00:00:00"/>
    <d v="2018-11-02T00:00:00"/>
    <x v="0"/>
    <x v="1"/>
  </r>
  <r>
    <s v="MRSTX031617"/>
    <x v="0"/>
    <x v="7"/>
    <d v="2018-11-02T00:00:00"/>
    <d v="2018-11-22T00:00:00"/>
    <d v="2018-11-02T00:00:00"/>
    <d v="2018-11-02T00:00:00"/>
    <x v="0"/>
    <x v="1"/>
  </r>
  <r>
    <s v="MRSTX031626"/>
    <x v="0"/>
    <x v="7"/>
    <d v="2018-11-15T00:00:00"/>
    <d v="2018-11-29T00:00:00"/>
    <d v="2018-11-30T00:00:00"/>
    <m/>
    <x v="1"/>
    <x v="4"/>
  </r>
  <r>
    <s v="MRSTX031631"/>
    <x v="0"/>
    <x v="7"/>
    <d v="2018-11-15T00:00:00"/>
    <d v="2018-11-29T00:00:00"/>
    <d v="2018-11-30T00:00:00"/>
    <m/>
    <x v="1"/>
    <x v="4"/>
  </r>
  <r>
    <s v="MRSTX031651"/>
    <x v="0"/>
    <x v="7"/>
    <d v="2018-11-15T00:00:00"/>
    <d v="2018-11-29T00:00:00"/>
    <d v="2018-11-30T00:00:00"/>
    <m/>
    <x v="1"/>
    <x v="4"/>
  </r>
  <r>
    <s v="MRSTX031662"/>
    <x v="0"/>
    <x v="7"/>
    <d v="2018-11-06T00:00:00"/>
    <d v="2018-11-28T00:00:00"/>
    <d v="2018-11-13T00:00:00"/>
    <d v="2018-11-13T00:00:00"/>
    <x v="0"/>
    <x v="1"/>
  </r>
  <r>
    <s v="MRSTX031663"/>
    <x v="0"/>
    <x v="7"/>
    <d v="2018-11-26T00:00:00"/>
    <d v="2018-12-29T00:00:00"/>
    <d v="2018-11-30T00:00:00"/>
    <m/>
    <x v="0"/>
    <x v="3"/>
  </r>
  <r>
    <s v="MRSTX031669"/>
    <x v="0"/>
    <x v="7"/>
    <d v="2018-11-15T00:00:00"/>
    <d v="2018-11-29T00:00:00"/>
    <d v="2018-11-30T00:00:00"/>
    <m/>
    <x v="1"/>
    <x v="4"/>
  </r>
  <r>
    <s v="MRSTX031679"/>
    <x v="0"/>
    <x v="7"/>
    <d v="2018-11-14T00:00:00"/>
    <d v="2018-12-29T00:00:00"/>
    <d v="2018-11-13T00:00:00"/>
    <d v="2018-11-13T00:00:00"/>
    <x v="0"/>
    <x v="1"/>
  </r>
  <r>
    <s v="MRSTX031723"/>
    <x v="0"/>
    <x v="7"/>
    <d v="2018-11-06T00:00:00"/>
    <d v="2018-12-31T00:00:00"/>
    <d v="2018-11-30T00:00:00"/>
    <m/>
    <x v="1"/>
    <x v="4"/>
  </r>
  <r>
    <s v="MRSTX031725"/>
    <x v="0"/>
    <x v="7"/>
    <d v="2018-11-06T00:00:00"/>
    <d v="2018-12-31T00:00:00"/>
    <d v="2018-11-30T00:00:00"/>
    <m/>
    <x v="1"/>
    <x v="4"/>
  </r>
  <r>
    <s v="MRSTX031737"/>
    <x v="0"/>
    <x v="7"/>
    <d v="2018-11-15T00:00:00"/>
    <d v="2018-11-29T00:00:00"/>
    <d v="2018-11-19T00:00:00"/>
    <d v="2018-11-19T00:00:00"/>
    <x v="0"/>
    <x v="1"/>
  </r>
  <r>
    <s v="MRSTX031741"/>
    <x v="0"/>
    <x v="7"/>
    <d v="2018-11-26T00:00:00"/>
    <d v="2019-01-29T00:00:00"/>
    <d v="2018-11-30T00:00:00"/>
    <m/>
    <x v="0"/>
    <x v="3"/>
  </r>
  <r>
    <s v="MRSTX031759"/>
    <x v="0"/>
    <x v="7"/>
    <d v="2018-11-26T00:00:00"/>
    <d v="2019-01-29T00:00:00"/>
    <d v="2018-11-30T00:00:00"/>
    <m/>
    <x v="0"/>
    <x v="3"/>
  </r>
  <r>
    <s v="MRSTX031850"/>
    <x v="0"/>
    <x v="7"/>
    <d v="2018-11-26T00:00:00"/>
    <d v="2019-01-29T00:00:00"/>
    <d v="2018-11-30T00:00:00"/>
    <m/>
    <x v="0"/>
    <x v="3"/>
  </r>
  <r>
    <s v="MRSTX031858"/>
    <x v="0"/>
    <x v="7"/>
    <d v="2018-11-15T00:00:00"/>
    <d v="2018-11-29T00:00:00"/>
    <d v="2018-11-30T00:00:00"/>
    <m/>
    <x v="1"/>
    <x v="4"/>
  </r>
  <r>
    <s v="MRSTX031956"/>
    <x v="0"/>
    <x v="7"/>
    <d v="2018-11-14T00:00:00"/>
    <d v="2018-12-29T00:00:00"/>
    <d v="2018-11-13T00:00:00"/>
    <d v="2018-11-13T00:00:00"/>
    <x v="0"/>
    <x v="1"/>
  </r>
  <r>
    <s v="MRSTX031987"/>
    <x v="0"/>
    <x v="7"/>
    <d v="2018-11-14T00:00:00"/>
    <d v="2018-12-29T00:00:00"/>
    <d v="2018-11-30T00:00:00"/>
    <m/>
    <x v="1"/>
    <x v="4"/>
  </r>
  <r>
    <s v="MRWSH020518"/>
    <x v="2"/>
    <x v="7"/>
    <d v="2018-11-25T00:00:00"/>
    <d v="1999-12-30T00:00:00"/>
    <d v="2018-11-09T00:00:00"/>
    <d v="2018-11-09T00:00:00"/>
    <x v="0"/>
    <x v="1"/>
  </r>
  <r>
    <s v="MRWSH020523"/>
    <x v="2"/>
    <x v="7"/>
    <d v="2018-11-25T00:00:00"/>
    <d v="1999-12-30T00:00:00"/>
    <d v="2018-11-21T00:00:00"/>
    <d v="2018-11-21T00:00:00"/>
    <x v="0"/>
    <x v="1"/>
  </r>
  <r>
    <s v="MRWSH020532"/>
    <x v="2"/>
    <x v="7"/>
    <d v="2018-11-25T00:00:00"/>
    <d v="1999-12-30T00:00:00"/>
    <d v="2018-12-05T00:00:00"/>
    <m/>
    <x v="0"/>
    <x v="0"/>
  </r>
  <r>
    <s v="MRWSH020533"/>
    <x v="2"/>
    <x v="7"/>
    <d v="2018-11-30T00:00:00"/>
    <d v="1999-12-30T00:00:00"/>
    <d v="2018-11-30T00:00:00"/>
    <m/>
    <x v="0"/>
    <x v="0"/>
  </r>
  <r>
    <s v="MRWSH020547"/>
    <x v="2"/>
    <x v="7"/>
    <d v="2018-11-30T00:00:00"/>
    <d v="1999-12-30T00:00:00"/>
    <d v="2018-11-30T00:00:00"/>
    <m/>
    <x v="0"/>
    <x v="0"/>
  </r>
  <r>
    <s v="MRWSH020643"/>
    <x v="2"/>
    <x v="7"/>
    <d v="2018-11-30T00:00:00"/>
    <d v="1999-12-30T00:00:00"/>
    <d v="2018-11-30T00:00:00"/>
    <m/>
    <x v="0"/>
    <x v="0"/>
  </r>
  <r>
    <s v="MRWSH020703"/>
    <x v="2"/>
    <x v="7"/>
    <d v="2018-11-28T00:00:00"/>
    <d v="1999-12-30T00:00:00"/>
    <d v="2018-11-27T00:00:00"/>
    <d v="2018-11-27T00:00:00"/>
    <x v="0"/>
    <x v="1"/>
  </r>
  <r>
    <s v="MRWSH020902"/>
    <x v="2"/>
    <x v="7"/>
    <d v="2018-11-30T00:00:00"/>
    <d v="1999-12-30T00:00:00"/>
    <d v="2018-12-07T00:00:00"/>
    <m/>
    <x v="0"/>
    <x v="0"/>
  </r>
  <r>
    <s v="MRWSH020973"/>
    <x v="2"/>
    <x v="7"/>
    <d v="2018-11-17T00:00:00"/>
    <d v="1999-12-30T00:00:00"/>
    <d v="2018-11-30T00:00:00"/>
    <m/>
    <x v="0"/>
    <x v="0"/>
  </r>
  <r>
    <s v="MRWSH020999"/>
    <x v="2"/>
    <x v="7"/>
    <d v="2018-11-30T00:00:00"/>
    <d v="1999-12-30T00:00:00"/>
    <d v="2018-12-13T00:00:00"/>
    <m/>
    <x v="0"/>
    <x v="0"/>
  </r>
  <r>
    <s v="MRWSH021025"/>
    <x v="2"/>
    <x v="7"/>
    <d v="2018-11-30T00:00:00"/>
    <d v="1999-12-30T00:00:00"/>
    <d v="2018-11-30T00:00:00"/>
    <m/>
    <x v="0"/>
    <x v="0"/>
  </r>
  <r>
    <s v="MRWSH021034"/>
    <x v="2"/>
    <x v="7"/>
    <d v="2018-11-30T00:00:00"/>
    <d v="1999-12-30T00:00:00"/>
    <d v="2018-11-20T00:00:00"/>
    <d v="2018-11-20T00:00:00"/>
    <x v="0"/>
    <x v="1"/>
  </r>
  <r>
    <s v="MRWSH021066"/>
    <x v="2"/>
    <x v="7"/>
    <d v="2018-11-30T00:00:00"/>
    <d v="2018-11-30T00:00:00"/>
    <d v="2018-11-20T00:00:00"/>
    <d v="2018-11-20T00:00:00"/>
    <x v="0"/>
    <x v="1"/>
  </r>
  <r>
    <s v="MRSTX033105"/>
    <x v="0"/>
    <x v="7"/>
    <d v="2018-11-14T00:00:00"/>
    <d v="2018-12-29T00:00:00"/>
    <d v="2018-11-13T00:00:00"/>
    <d v="2018-11-13T00:00:00"/>
    <x v="0"/>
    <x v="1"/>
  </r>
  <r>
    <s v="MRSTX033150"/>
    <x v="0"/>
    <x v="7"/>
    <d v="2018-11-14T00:00:00"/>
    <d v="2018-12-29T00:00:00"/>
    <d v="2018-11-30T00:00:00"/>
    <m/>
    <x v="1"/>
    <x v="4"/>
  </r>
  <r>
    <s v="MRSTX033157"/>
    <x v="0"/>
    <x v="7"/>
    <d v="2018-11-26T00:00:00"/>
    <d v="2018-12-29T00:00:00"/>
    <d v="2018-11-06T00:00:00"/>
    <d v="2018-11-06T00:00:00"/>
    <x v="0"/>
    <x v="1"/>
  </r>
  <r>
    <s v="MRSTX033165"/>
    <x v="0"/>
    <x v="7"/>
    <d v="2018-11-06T00:00:00"/>
    <d v="2018-12-29T00:00:00"/>
    <d v="2018-11-30T00:00:00"/>
    <m/>
    <x v="1"/>
    <x v="4"/>
  </r>
  <r>
    <s v="MRSTX033168"/>
    <x v="0"/>
    <x v="7"/>
    <d v="2018-11-15T00:00:00"/>
    <d v="2018-11-29T00:00:00"/>
    <d v="2018-11-30T00:00:00"/>
    <m/>
    <x v="1"/>
    <x v="4"/>
  </r>
  <r>
    <s v="MRSTX033224"/>
    <x v="0"/>
    <x v="7"/>
    <d v="2018-11-26T00:00:00"/>
    <d v="2018-12-29T00:00:00"/>
    <d v="2018-11-06T00:00:00"/>
    <d v="2018-11-06T00:00:00"/>
    <x v="0"/>
    <x v="1"/>
  </r>
  <r>
    <s v="MRSTX033230"/>
    <x v="0"/>
    <x v="7"/>
    <d v="2018-11-26T00:00:00"/>
    <d v="2018-12-29T00:00:00"/>
    <d v="2018-11-30T00:00:00"/>
    <m/>
    <x v="0"/>
    <x v="3"/>
  </r>
  <r>
    <s v="MRSTX033241"/>
    <x v="0"/>
    <x v="7"/>
    <d v="2018-11-15T00:00:00"/>
    <d v="2018-11-29T00:00:00"/>
    <d v="2018-11-30T00:00:00"/>
    <m/>
    <x v="1"/>
    <x v="4"/>
  </r>
  <r>
    <s v="MRSTX033249"/>
    <x v="0"/>
    <x v="7"/>
    <d v="2018-11-06T00:00:00"/>
    <d v="2018-12-29T00:00:00"/>
    <d v="2018-11-30T00:00:00"/>
    <m/>
    <x v="1"/>
    <x v="4"/>
  </r>
  <r>
    <s v="MRSTX033279"/>
    <x v="0"/>
    <x v="7"/>
    <d v="2018-11-26T00:00:00"/>
    <d v="2018-12-29T00:00:00"/>
    <d v="2018-11-30T00:00:00"/>
    <m/>
    <x v="0"/>
    <x v="3"/>
  </r>
  <r>
    <s v="MRSTX033411"/>
    <x v="0"/>
    <x v="7"/>
    <d v="2018-11-06T00:00:00"/>
    <d v="2018-12-29T00:00:00"/>
    <d v="2018-11-30T00:00:00"/>
    <m/>
    <x v="1"/>
    <x v="4"/>
  </r>
  <r>
    <s v="MRSTX033468"/>
    <x v="0"/>
    <x v="7"/>
    <d v="2018-11-14T00:00:00"/>
    <d v="2018-11-29T00:00:00"/>
    <d v="2018-11-28T00:00:00"/>
    <d v="2018-11-28T00:00:00"/>
    <x v="0"/>
    <x v="1"/>
  </r>
  <r>
    <s v="MRSTX033469"/>
    <x v="0"/>
    <x v="7"/>
    <d v="2018-11-06T00:00:00"/>
    <d v="2018-10-15T00:00:00"/>
    <d v="2018-11-14T00:00:00"/>
    <d v="2018-11-14T00:00:00"/>
    <x v="0"/>
    <x v="1"/>
  </r>
  <r>
    <s v="MRSTX033511"/>
    <x v="0"/>
    <x v="7"/>
    <d v="2018-11-29T00:00:00"/>
    <d v="2018-11-29T00:00:00"/>
    <d v="2018-11-28T00:00:00"/>
    <d v="2018-11-28T00:00:00"/>
    <x v="0"/>
    <x v="1"/>
  </r>
  <r>
    <s v="MRSTX033525"/>
    <x v="0"/>
    <x v="7"/>
    <d v="2018-11-15T00:00:00"/>
    <d v="2018-11-29T00:00:00"/>
    <d v="2018-11-30T00:00:00"/>
    <m/>
    <x v="1"/>
    <x v="4"/>
  </r>
  <r>
    <s v="MRSTX033534"/>
    <x v="0"/>
    <x v="7"/>
    <d v="2018-11-02T00:00:00"/>
    <d v="2018-12-20T00:00:00"/>
    <d v="2018-11-02T00:00:00"/>
    <d v="2018-11-02T00:00:00"/>
    <x v="0"/>
    <x v="1"/>
  </r>
  <r>
    <s v="MRSTX033559"/>
    <x v="0"/>
    <x v="7"/>
    <d v="2018-11-02T00:00:00"/>
    <d v="2018-12-29T00:00:00"/>
    <d v="2018-11-02T00:00:00"/>
    <d v="2018-11-02T00:00:00"/>
    <x v="0"/>
    <x v="1"/>
  </r>
  <r>
    <s v="MRSTX033560"/>
    <x v="0"/>
    <x v="7"/>
    <d v="2018-11-29T00:00:00"/>
    <d v="2018-11-29T00:00:00"/>
    <d v="2018-11-13T00:00:00"/>
    <d v="2018-11-13T00:00:00"/>
    <x v="0"/>
    <x v="1"/>
  </r>
  <r>
    <s v="MRSTX033562"/>
    <x v="0"/>
    <x v="7"/>
    <d v="2018-11-02T00:00:00"/>
    <d v="2018-12-29T00:00:00"/>
    <d v="2018-11-02T00:00:00"/>
    <d v="2018-11-02T00:00:00"/>
    <x v="0"/>
    <x v="1"/>
  </r>
  <r>
    <s v="MRNTX025674"/>
    <x v="1"/>
    <x v="7"/>
    <d v="2018-11-08T00:00:00"/>
    <d v="2019-02-27T00:00:00"/>
    <d v="2019-02-28T00:00:00"/>
    <m/>
    <x v="1"/>
    <x v="4"/>
  </r>
  <r>
    <s v="MRNTX027834"/>
    <x v="1"/>
    <x v="7"/>
    <d v="2018-11-23T00:00:00"/>
    <d v="2018-11-23T00:00:00"/>
    <d v="2018-12-30T00:00:00"/>
    <m/>
    <x v="1"/>
    <x v="5"/>
  </r>
  <r>
    <s v="MRNTX029174"/>
    <x v="1"/>
    <x v="7"/>
    <d v="2018-11-09T00:00:00"/>
    <d v="1999-12-30T00:00:00"/>
    <d v="2018-12-30T00:00:00"/>
    <m/>
    <x v="1"/>
    <x v="5"/>
  </r>
  <r>
    <s v="MRNTX029208"/>
    <x v="1"/>
    <x v="7"/>
    <d v="2018-11-11T00:00:00"/>
    <d v="2019-02-24T00:00:00"/>
    <d v="2019-02-28T00:00:00"/>
    <m/>
    <x v="1"/>
    <x v="4"/>
  </r>
  <r>
    <s v="MRNTX029223"/>
    <x v="1"/>
    <x v="7"/>
    <d v="2018-11-27T00:00:00"/>
    <d v="2018-11-27T00:00:00"/>
    <d v="2019-01-30T00:00:00"/>
    <m/>
    <x v="1"/>
    <x v="5"/>
  </r>
  <r>
    <s v="MRNTX029230"/>
    <x v="1"/>
    <x v="7"/>
    <d v="2018-11-27T00:00:00"/>
    <d v="2018-11-27T00:00:00"/>
    <d v="2018-11-07T00:00:00"/>
    <d v="2018-11-07T00:00:00"/>
    <x v="0"/>
    <x v="1"/>
  </r>
  <r>
    <s v="MRNTX029232"/>
    <x v="1"/>
    <x v="7"/>
    <d v="2018-11-02T00:00:00"/>
    <d v="2018-11-18T00:00:00"/>
    <d v="2018-11-02T00:00:00"/>
    <d v="2018-11-02T00:00:00"/>
    <x v="0"/>
    <x v="1"/>
  </r>
  <r>
    <s v="MRNTX029233"/>
    <x v="1"/>
    <x v="7"/>
    <d v="2018-11-04T00:00:00"/>
    <d v="2019-02-21T00:00:00"/>
    <d v="2019-02-28T00:00:00"/>
    <m/>
    <x v="1"/>
    <x v="4"/>
  </r>
  <r>
    <s v="MRNTX029234"/>
    <x v="1"/>
    <x v="7"/>
    <d v="2018-11-21T00:00:00"/>
    <d v="2018-11-21T00:00:00"/>
    <d v="2018-12-30T00:00:00"/>
    <m/>
    <x v="1"/>
    <x v="5"/>
  </r>
  <r>
    <s v="MRNTX029238"/>
    <x v="1"/>
    <x v="7"/>
    <d v="2018-11-09T00:00:00"/>
    <d v="2018-11-19T00:00:00"/>
    <d v="2018-12-30T00:00:00"/>
    <m/>
    <x v="1"/>
    <x v="5"/>
  </r>
  <r>
    <s v="MRNTX029245"/>
    <x v="1"/>
    <x v="7"/>
    <d v="2018-11-09T00:00:00"/>
    <d v="1999-12-30T00:00:00"/>
    <d v="2018-12-30T00:00:00"/>
    <m/>
    <x v="1"/>
    <x v="5"/>
  </r>
  <r>
    <s v="MRNTX029267"/>
    <x v="1"/>
    <x v="7"/>
    <d v="2018-11-09T00:00:00"/>
    <d v="2018-10-23T00:00:00"/>
    <d v="2018-12-30T00:00:00"/>
    <m/>
    <x v="1"/>
    <x v="5"/>
  </r>
  <r>
    <s v="MRNTX029285"/>
    <x v="1"/>
    <x v="7"/>
    <d v="2018-11-09T00:00:00"/>
    <d v="2018-11-09T00:00:00"/>
    <d v="2018-12-30T00:00:00"/>
    <m/>
    <x v="1"/>
    <x v="5"/>
  </r>
  <r>
    <s v="MRNTX029288"/>
    <x v="1"/>
    <x v="7"/>
    <d v="2018-11-25T00:00:00"/>
    <d v="2019-03-12T00:00:00"/>
    <d v="2019-02-28T00:00:00"/>
    <m/>
    <x v="1"/>
    <x v="2"/>
  </r>
  <r>
    <s v="MRNTX029304"/>
    <x v="1"/>
    <x v="7"/>
    <d v="2018-11-27T00:00:00"/>
    <d v="2018-11-27T00:00:00"/>
    <d v="2019-01-30T00:00:00"/>
    <m/>
    <x v="1"/>
    <x v="5"/>
  </r>
  <r>
    <s v="MRNTX029308"/>
    <x v="1"/>
    <x v="7"/>
    <d v="2018-11-08T00:00:00"/>
    <d v="2018-12-25T00:00:00"/>
    <d v="2019-01-30T00:00:00"/>
    <m/>
    <x v="1"/>
    <x v="4"/>
  </r>
  <r>
    <s v="MRNTX033055"/>
    <x v="1"/>
    <x v="7"/>
    <d v="2018-11-13T00:00:00"/>
    <d v="2018-11-13T00:00:00"/>
    <d v="2018-12-30T00:00:00"/>
    <m/>
    <x v="1"/>
    <x v="5"/>
  </r>
  <r>
    <s v="MRNTX033077"/>
    <x v="1"/>
    <x v="7"/>
    <d v="2018-11-13T00:00:00"/>
    <d v="2018-11-13T00:00:00"/>
    <d v="2019-02-28T00:00:00"/>
    <m/>
    <x v="1"/>
    <x v="5"/>
  </r>
  <r>
    <s v="MRNTX033086"/>
    <x v="1"/>
    <x v="7"/>
    <d v="2018-11-09T00:00:00"/>
    <d v="1999-12-30T00:00:00"/>
    <d v="2018-12-30T00:00:00"/>
    <m/>
    <x v="1"/>
    <x v="5"/>
  </r>
  <r>
    <s v="MRNTX033101"/>
    <x v="1"/>
    <x v="7"/>
    <d v="2018-11-21T00:00:00"/>
    <d v="2018-11-21T00:00:00"/>
    <d v="2018-12-30T00:00:00"/>
    <m/>
    <x v="1"/>
    <x v="5"/>
  </r>
  <r>
    <s v="MRNTX033129"/>
    <x v="1"/>
    <x v="7"/>
    <d v="2018-11-23T00:00:00"/>
    <d v="2018-11-23T00:00:00"/>
    <d v="2019-02-28T00:00:00"/>
    <m/>
    <x v="1"/>
    <x v="5"/>
  </r>
  <r>
    <s v="MRNTX033152"/>
    <x v="1"/>
    <x v="7"/>
    <d v="2018-11-23T00:00:00"/>
    <d v="2018-11-10T00:00:00"/>
    <d v="2019-01-30T00:00:00"/>
    <m/>
    <x v="1"/>
    <x v="5"/>
  </r>
  <r>
    <s v="MRNTX033211"/>
    <x v="1"/>
    <x v="7"/>
    <d v="2018-11-13T00:00:00"/>
    <d v="2018-11-13T00:00:00"/>
    <d v="2018-12-30T00:00:00"/>
    <m/>
    <x v="1"/>
    <x v="5"/>
  </r>
  <r>
    <s v="MRNTX033219"/>
    <x v="1"/>
    <x v="7"/>
    <d v="2018-11-13T00:00:00"/>
    <d v="2018-11-13T00:00:00"/>
    <d v="2018-12-30T00:00:00"/>
    <m/>
    <x v="1"/>
    <x v="5"/>
  </r>
  <r>
    <s v="MRNTX033249"/>
    <x v="1"/>
    <x v="7"/>
    <d v="2018-11-21T00:00:00"/>
    <d v="2018-11-21T00:00:00"/>
    <d v="2018-12-30T00:00:00"/>
    <m/>
    <x v="1"/>
    <x v="5"/>
  </r>
  <r>
    <s v="MRNTX033276"/>
    <x v="1"/>
    <x v="7"/>
    <d v="2018-11-13T00:00:00"/>
    <d v="2018-11-13T00:00:00"/>
    <d v="2019-02-28T00:00:00"/>
    <m/>
    <x v="1"/>
    <x v="5"/>
  </r>
  <r>
    <s v="MRNTX033283"/>
    <x v="1"/>
    <x v="7"/>
    <d v="2018-11-27T00:00:00"/>
    <d v="2018-11-27T00:00:00"/>
    <d v="2018-12-30T00:00:00"/>
    <m/>
    <x v="1"/>
    <x v="5"/>
  </r>
  <r>
    <s v="MRNTX033307"/>
    <x v="1"/>
    <x v="7"/>
    <d v="2018-11-23T00:00:00"/>
    <d v="2018-11-23T00:00:00"/>
    <d v="2019-02-28T00:00:00"/>
    <m/>
    <x v="1"/>
    <x v="5"/>
  </r>
  <r>
    <s v="MRNTX033309"/>
    <x v="1"/>
    <x v="7"/>
    <d v="2018-11-21T00:00:00"/>
    <d v="2018-11-21T00:00:00"/>
    <d v="2019-01-30T00:00:00"/>
    <m/>
    <x v="1"/>
    <x v="5"/>
  </r>
  <r>
    <s v="MRSTX015771"/>
    <x v="0"/>
    <x v="7"/>
    <d v="2018-11-14T00:00:00"/>
    <d v="2018-10-04T00:00:00"/>
    <d v="2018-11-13T00:00:00"/>
    <d v="2018-11-13T00:00:00"/>
    <x v="0"/>
    <x v="1"/>
  </r>
  <r>
    <s v="MRSTX035696"/>
    <x v="0"/>
    <x v="7"/>
    <d v="2018-11-15T00:00:00"/>
    <d v="2018-12-29T00:00:00"/>
    <d v="2018-11-30T00:00:00"/>
    <m/>
    <x v="1"/>
    <x v="4"/>
  </r>
  <r>
    <s v="MRSTX035699"/>
    <x v="0"/>
    <x v="7"/>
    <d v="2018-11-26T00:00:00"/>
    <d v="2018-12-29T00:00:00"/>
    <d v="2018-11-28T00:00:00"/>
    <d v="2018-11-28T00:00:00"/>
    <x v="0"/>
    <x v="1"/>
  </r>
  <r>
    <s v="MRSTX035704"/>
    <x v="0"/>
    <x v="7"/>
    <d v="2018-11-26T00:00:00"/>
    <d v="2018-12-29T00:00:00"/>
    <d v="2018-11-28T00:00:00"/>
    <d v="2018-11-28T00:00:00"/>
    <x v="0"/>
    <x v="1"/>
  </r>
  <r>
    <s v="MRSTX035707"/>
    <x v="0"/>
    <x v="7"/>
    <d v="2018-11-14T00:00:00"/>
    <d v="2018-12-29T00:00:00"/>
    <d v="2018-11-30T00:00:00"/>
    <m/>
    <x v="1"/>
    <x v="4"/>
  </r>
  <r>
    <s v="MRSTX035712"/>
    <x v="0"/>
    <x v="7"/>
    <d v="2018-11-15T00:00:00"/>
    <d v="2018-11-29T00:00:00"/>
    <d v="2018-11-30T00:00:00"/>
    <m/>
    <x v="1"/>
    <x v="4"/>
  </r>
  <r>
    <s v="MRSTX035715"/>
    <x v="0"/>
    <x v="7"/>
    <d v="2018-11-02T00:00:00"/>
    <d v="2018-12-29T00:00:00"/>
    <d v="2018-11-02T00:00:00"/>
    <d v="2018-11-02T00:00:00"/>
    <x v="0"/>
    <x v="1"/>
  </r>
  <r>
    <s v="MRSTX035720"/>
    <x v="0"/>
    <x v="7"/>
    <d v="2018-11-26T00:00:00"/>
    <d v="2018-12-31T00:00:00"/>
    <d v="2018-11-30T00:00:00"/>
    <m/>
    <x v="0"/>
    <x v="3"/>
  </r>
  <r>
    <s v="MRSTX035735"/>
    <x v="0"/>
    <x v="7"/>
    <d v="2018-11-14T00:00:00"/>
    <d v="2018-12-31T00:00:00"/>
    <d v="2018-11-30T00:00:00"/>
    <m/>
    <x v="1"/>
    <x v="4"/>
  </r>
  <r>
    <s v="MRSTX035739"/>
    <x v="0"/>
    <x v="7"/>
    <d v="2018-11-14T00:00:00"/>
    <d v="2018-11-29T00:00:00"/>
    <d v="2018-11-30T00:00:00"/>
    <m/>
    <x v="1"/>
    <x v="4"/>
  </r>
  <r>
    <s v="MRSTX035763"/>
    <x v="0"/>
    <x v="7"/>
    <d v="2018-11-26T00:00:00"/>
    <d v="2018-12-29T00:00:00"/>
    <d v="2018-11-28T00:00:00"/>
    <d v="2018-11-28T00:00:00"/>
    <x v="0"/>
    <x v="1"/>
  </r>
  <r>
    <s v="MRSTX035774"/>
    <x v="0"/>
    <x v="7"/>
    <d v="2018-11-26T00:00:00"/>
    <d v="2018-12-29T00:00:00"/>
    <d v="2018-11-30T00:00:00"/>
    <m/>
    <x v="0"/>
    <x v="3"/>
  </r>
  <r>
    <s v="MRSTX035776"/>
    <x v="0"/>
    <x v="7"/>
    <d v="2018-11-26T00:00:00"/>
    <d v="2018-12-29T00:00:00"/>
    <d v="2018-11-30T00:00:00"/>
    <m/>
    <x v="0"/>
    <x v="3"/>
  </r>
  <r>
    <s v="MRSTX035807"/>
    <x v="0"/>
    <x v="7"/>
    <d v="2018-11-26T00:00:00"/>
    <d v="2019-01-28T00:00:00"/>
    <d v="2018-11-30T00:00:00"/>
    <m/>
    <x v="0"/>
    <x v="3"/>
  </r>
  <r>
    <s v="MRSTX035811"/>
    <x v="0"/>
    <x v="7"/>
    <d v="2018-11-06T00:00:00"/>
    <d v="2018-12-31T00:00:00"/>
    <d v="2018-11-30T00:00:00"/>
    <m/>
    <x v="1"/>
    <x v="4"/>
  </r>
  <r>
    <s v="MRSTX035814"/>
    <x v="0"/>
    <x v="7"/>
    <d v="2018-11-02T00:00:00"/>
    <d v="2018-11-14T00:00:00"/>
    <d v="2018-11-02T00:00:00"/>
    <d v="2018-11-02T00:00:00"/>
    <x v="0"/>
    <x v="1"/>
  </r>
  <r>
    <s v="MRSTX035816"/>
    <x v="0"/>
    <x v="7"/>
    <d v="2018-11-06T00:00:00"/>
    <d v="2018-12-29T00:00:00"/>
    <d v="2018-11-30T00:00:00"/>
    <m/>
    <x v="1"/>
    <x v="4"/>
  </r>
  <r>
    <s v="MRANM017217"/>
    <x v="3"/>
    <x v="7"/>
    <d v="2018-11-30T00:00:00"/>
    <d v="1999-12-30T00:00:00"/>
    <d v="2018-11-30T00:00:00"/>
    <m/>
    <x v="0"/>
    <x v="0"/>
  </r>
  <r>
    <s v="MRANM019569"/>
    <x v="3"/>
    <x v="7"/>
    <d v="2018-11-30T00:00:00"/>
    <d v="1999-12-30T00:00:00"/>
    <d v="2018-11-30T00:00:00"/>
    <m/>
    <x v="0"/>
    <x v="0"/>
  </r>
  <r>
    <s v="MRANM019583"/>
    <x v="3"/>
    <x v="7"/>
    <d v="2018-11-30T00:00:00"/>
    <d v="1999-12-30T00:00:00"/>
    <d v="2018-11-07T00:00:00"/>
    <d v="2018-11-07T00:00:00"/>
    <x v="0"/>
    <x v="1"/>
  </r>
  <r>
    <s v="MRNTX021911"/>
    <x v="1"/>
    <x v="7"/>
    <d v="2018-11-09T00:00:00"/>
    <d v="2018-11-09T00:00:00"/>
    <d v="2018-12-30T00:00:00"/>
    <m/>
    <x v="1"/>
    <x v="5"/>
  </r>
  <r>
    <s v="MRNTX031603"/>
    <x v="1"/>
    <x v="7"/>
    <d v="2018-11-21T00:00:00"/>
    <d v="2018-11-21T00:00:00"/>
    <d v="2018-12-30T00:00:00"/>
    <m/>
    <x v="1"/>
    <x v="5"/>
  </r>
  <r>
    <s v="MRNTX031694"/>
    <x v="1"/>
    <x v="7"/>
    <d v="2018-11-21T00:00:00"/>
    <d v="2018-11-21T00:00:00"/>
    <d v="2018-11-13T00:00:00"/>
    <d v="2018-11-13T00:00:00"/>
    <x v="0"/>
    <x v="1"/>
  </r>
  <r>
    <s v="MRNTX031699"/>
    <x v="1"/>
    <x v="7"/>
    <d v="2018-11-29T00:00:00"/>
    <d v="2018-11-29T00:00:00"/>
    <d v="2018-11-13T00:00:00"/>
    <d v="2018-11-13T00:00:00"/>
    <x v="0"/>
    <x v="1"/>
  </r>
  <r>
    <s v="MRNTX031763"/>
    <x v="1"/>
    <x v="7"/>
    <d v="2018-11-11T00:00:00"/>
    <d v="2018-11-11T00:00:00"/>
    <d v="2019-05-30T00:00:00"/>
    <m/>
    <x v="1"/>
    <x v="5"/>
  </r>
  <r>
    <s v="MRSTX035818"/>
    <x v="0"/>
    <x v="7"/>
    <d v="2018-11-02T00:00:00"/>
    <d v="2018-11-28T00:00:00"/>
    <d v="2018-11-02T00:00:00"/>
    <d v="2018-11-02T00:00:00"/>
    <x v="0"/>
    <x v="1"/>
  </r>
  <r>
    <s v="MRSTX035824"/>
    <x v="0"/>
    <x v="7"/>
    <d v="2018-11-15T00:00:00"/>
    <d v="2018-11-29T00:00:00"/>
    <d v="2018-11-30T00:00:00"/>
    <m/>
    <x v="1"/>
    <x v="4"/>
  </r>
  <r>
    <s v="MRSTX035852"/>
    <x v="0"/>
    <x v="7"/>
    <d v="2018-11-14T00:00:00"/>
    <d v="2018-11-29T00:00:00"/>
    <d v="2018-11-30T00:00:00"/>
    <m/>
    <x v="1"/>
    <x v="4"/>
  </r>
  <r>
    <s v="MRSTX035861"/>
    <x v="0"/>
    <x v="7"/>
    <d v="2018-11-26T00:00:00"/>
    <d v="2018-12-31T00:00:00"/>
    <d v="2018-11-30T00:00:00"/>
    <m/>
    <x v="0"/>
    <x v="3"/>
  </r>
  <r>
    <s v="MRSTX035866"/>
    <x v="0"/>
    <x v="7"/>
    <d v="2018-11-26T00:00:00"/>
    <d v="2018-12-31T00:00:00"/>
    <d v="2018-11-30T00:00:00"/>
    <m/>
    <x v="0"/>
    <x v="3"/>
  </r>
  <r>
    <s v="MRSTX035868"/>
    <x v="0"/>
    <x v="7"/>
    <d v="2018-11-26T00:00:00"/>
    <d v="2018-12-29T00:00:00"/>
    <d v="2018-11-28T00:00:00"/>
    <d v="2018-11-28T00:00:00"/>
    <x v="0"/>
    <x v="1"/>
  </r>
  <r>
    <s v="MRSTX035873"/>
    <x v="0"/>
    <x v="7"/>
    <d v="2018-11-02T00:00:00"/>
    <d v="2018-12-29T00:00:00"/>
    <d v="2018-11-02T00:00:00"/>
    <d v="2018-11-02T00:00:00"/>
    <x v="0"/>
    <x v="1"/>
  </r>
  <r>
    <s v="MRSTX035881"/>
    <x v="0"/>
    <x v="7"/>
    <d v="2018-11-26T00:00:00"/>
    <d v="2018-12-31T00:00:00"/>
    <d v="2018-11-30T00:00:00"/>
    <m/>
    <x v="0"/>
    <x v="3"/>
  </r>
  <r>
    <s v="MRSTX035886"/>
    <x v="0"/>
    <x v="7"/>
    <d v="2018-11-02T00:00:00"/>
    <d v="2018-11-28T00:00:00"/>
    <d v="2018-11-02T00:00:00"/>
    <d v="2018-11-02T00:00:00"/>
    <x v="0"/>
    <x v="1"/>
  </r>
  <r>
    <s v="MRSTX035909"/>
    <x v="0"/>
    <x v="7"/>
    <d v="2018-11-26T00:00:00"/>
    <d v="2018-12-31T00:00:00"/>
    <d v="2018-11-30T00:00:00"/>
    <m/>
    <x v="0"/>
    <x v="3"/>
  </r>
  <r>
    <s v="MRSTX035911"/>
    <x v="0"/>
    <x v="7"/>
    <d v="2018-11-15T00:00:00"/>
    <d v="2018-11-29T00:00:00"/>
    <d v="2018-11-30T00:00:00"/>
    <m/>
    <x v="1"/>
    <x v="4"/>
  </r>
  <r>
    <s v="MRSTX035913"/>
    <x v="0"/>
    <x v="7"/>
    <d v="2018-11-15T00:00:00"/>
    <d v="2018-11-29T00:00:00"/>
    <d v="2018-11-30T00:00:00"/>
    <m/>
    <x v="1"/>
    <x v="4"/>
  </r>
  <r>
    <s v="MRSTX035944"/>
    <x v="0"/>
    <x v="7"/>
    <d v="2018-11-14T00:00:00"/>
    <d v="2019-01-28T00:00:00"/>
    <d v="2018-11-19T00:00:00"/>
    <d v="2018-11-19T00:00:00"/>
    <x v="0"/>
    <x v="1"/>
  </r>
  <r>
    <s v="MRSTX035963"/>
    <x v="0"/>
    <x v="7"/>
    <d v="2018-11-14T00:00:00"/>
    <d v="2018-12-29T00:00:00"/>
    <d v="2018-11-28T00:00:00"/>
    <d v="2018-11-28T00:00:00"/>
    <x v="0"/>
    <x v="1"/>
  </r>
  <r>
    <s v="MRSTX035974"/>
    <x v="0"/>
    <x v="7"/>
    <d v="2018-11-26T00:00:00"/>
    <d v="2019-01-28T00:00:00"/>
    <d v="2018-11-30T00:00:00"/>
    <m/>
    <x v="0"/>
    <x v="3"/>
  </r>
  <r>
    <s v="MRSTX035977"/>
    <x v="0"/>
    <x v="7"/>
    <d v="2018-11-26T00:00:00"/>
    <d v="2019-04-30T00:00:00"/>
    <d v="2018-11-30T00:00:00"/>
    <m/>
    <x v="0"/>
    <x v="3"/>
  </r>
  <r>
    <s v="MRSTX035981"/>
    <x v="0"/>
    <x v="7"/>
    <d v="2018-11-14T00:00:00"/>
    <d v="2018-12-31T00:00:00"/>
    <d v="2018-11-30T00:00:00"/>
    <m/>
    <x v="1"/>
    <x v="4"/>
  </r>
  <r>
    <s v="MRSTX035983"/>
    <x v="0"/>
    <x v="7"/>
    <d v="2018-11-14T00:00:00"/>
    <d v="2018-12-31T00:00:00"/>
    <d v="2018-11-30T00:00:00"/>
    <m/>
    <x v="1"/>
    <x v="4"/>
  </r>
  <r>
    <s v="MRWSH021924"/>
    <x v="2"/>
    <x v="7"/>
    <d v="2018-11-29T00:00:00"/>
    <d v="1999-12-30T00:00:00"/>
    <d v="2018-11-29T00:00:00"/>
    <m/>
    <x v="0"/>
    <x v="0"/>
  </r>
  <r>
    <s v="MRWSH021961"/>
    <x v="2"/>
    <x v="7"/>
    <d v="2018-11-30T00:00:00"/>
    <d v="2018-11-30T00:00:00"/>
    <d v="2018-11-20T00:00:00"/>
    <d v="2018-11-20T00:00:00"/>
    <x v="0"/>
    <x v="1"/>
  </r>
  <r>
    <s v="MRWSH021968"/>
    <x v="2"/>
    <x v="7"/>
    <d v="2018-11-29T00:00:00"/>
    <d v="1999-12-30T00:00:00"/>
    <d v="2018-11-29T00:00:00"/>
    <m/>
    <x v="0"/>
    <x v="0"/>
  </r>
  <r>
    <s v="MRWSH021972"/>
    <x v="2"/>
    <x v="7"/>
    <d v="2018-11-17T00:00:00"/>
    <d v="1999-12-30T00:00:00"/>
    <d v="2018-11-07T00:00:00"/>
    <d v="2018-11-07T00:00:00"/>
    <x v="0"/>
    <x v="1"/>
  </r>
  <r>
    <s v="MRNTX031765"/>
    <x v="1"/>
    <x v="7"/>
    <d v="2018-11-23T00:00:00"/>
    <d v="2018-11-23T00:00:00"/>
    <d v="2018-12-30T00:00:00"/>
    <m/>
    <x v="1"/>
    <x v="5"/>
  </r>
  <r>
    <s v="MRNTX031804"/>
    <x v="1"/>
    <x v="7"/>
    <d v="2018-11-09T00:00:00"/>
    <d v="2018-11-17T00:00:00"/>
    <d v="2018-12-30T00:00:00"/>
    <m/>
    <x v="1"/>
    <x v="5"/>
  </r>
  <r>
    <s v="MRNTX031829"/>
    <x v="1"/>
    <x v="7"/>
    <d v="2018-11-23T00:00:00"/>
    <d v="2018-11-23T00:00:00"/>
    <d v="2018-12-30T00:00:00"/>
    <m/>
    <x v="1"/>
    <x v="5"/>
  </r>
  <r>
    <s v="MRNTX031857"/>
    <x v="1"/>
    <x v="7"/>
    <d v="2018-11-09T00:00:00"/>
    <d v="1999-12-30T00:00:00"/>
    <d v="2018-11-07T00:00:00"/>
    <d v="2018-11-07T00:00:00"/>
    <x v="0"/>
    <x v="1"/>
  </r>
  <r>
    <s v="MRNTX031876"/>
    <x v="1"/>
    <x v="7"/>
    <d v="2018-11-09T00:00:00"/>
    <d v="2018-11-17T00:00:00"/>
    <d v="2019-01-30T00:00:00"/>
    <m/>
    <x v="1"/>
    <x v="5"/>
  </r>
  <r>
    <s v="MRNTX031909"/>
    <x v="1"/>
    <x v="7"/>
    <d v="2018-11-04T00:00:00"/>
    <d v="2019-01-11T00:00:00"/>
    <d v="2019-02-28T00:00:00"/>
    <m/>
    <x v="1"/>
    <x v="4"/>
  </r>
  <r>
    <s v="MRSTX033633"/>
    <x v="0"/>
    <x v="7"/>
    <d v="2018-11-21T00:00:00"/>
    <d v="2018-11-21T00:00:00"/>
    <d v="2018-11-30T00:00:00"/>
    <m/>
    <x v="0"/>
    <x v="0"/>
  </r>
  <r>
    <s v="MRSTX033645"/>
    <x v="0"/>
    <x v="7"/>
    <d v="2018-11-29T00:00:00"/>
    <d v="2018-11-29T00:00:00"/>
    <d v="2018-11-13T00:00:00"/>
    <d v="2018-11-13T00:00:00"/>
    <x v="0"/>
    <x v="1"/>
  </r>
  <r>
    <s v="MRWSH022004"/>
    <x v="2"/>
    <x v="7"/>
    <d v="2018-11-17T00:00:00"/>
    <d v="1999-12-30T00:00:00"/>
    <d v="2018-11-29T00:00:00"/>
    <d v="2018-11-29T00:00:00"/>
    <x v="0"/>
    <x v="1"/>
  </r>
  <r>
    <s v="MRWSH022009"/>
    <x v="2"/>
    <x v="7"/>
    <d v="2018-11-30T00:00:00"/>
    <d v="1999-12-30T00:00:00"/>
    <d v="2018-12-07T00:00:00"/>
    <m/>
    <x v="0"/>
    <x v="0"/>
  </r>
  <r>
    <s v="MRWSH022024"/>
    <x v="2"/>
    <x v="7"/>
    <d v="2018-11-28T00:00:00"/>
    <d v="1999-12-30T00:00:00"/>
    <d v="2018-11-27T00:00:00"/>
    <d v="2018-11-27T00:00:00"/>
    <x v="0"/>
    <x v="1"/>
  </r>
  <r>
    <s v="MRWSH022060"/>
    <x v="2"/>
    <x v="7"/>
    <d v="2018-11-17T00:00:00"/>
    <d v="1999-12-30T00:00:00"/>
    <d v="2018-11-30T00:00:00"/>
    <m/>
    <x v="0"/>
    <x v="0"/>
  </r>
  <r>
    <s v="MRWSH022071"/>
    <x v="2"/>
    <x v="7"/>
    <d v="2018-11-30T00:00:00"/>
    <d v="1999-12-30T00:00:00"/>
    <d v="2018-11-20T00:00:00"/>
    <d v="2018-11-20T00:00:00"/>
    <x v="0"/>
    <x v="1"/>
  </r>
  <r>
    <s v="MRWSH022087"/>
    <x v="2"/>
    <x v="7"/>
    <d v="2018-11-17T00:00:00"/>
    <d v="1999-12-30T00:00:00"/>
    <d v="2018-11-07T00:00:00"/>
    <d v="2018-11-07T00:00:00"/>
    <x v="0"/>
    <x v="1"/>
  </r>
  <r>
    <s v="MRWSH022101"/>
    <x v="2"/>
    <x v="7"/>
    <d v="2018-11-30T00:00:00"/>
    <d v="1999-12-30T00:00:00"/>
    <d v="2018-11-30T00:00:00"/>
    <m/>
    <x v="0"/>
    <x v="0"/>
  </r>
  <r>
    <s v="MRWSH022105"/>
    <x v="2"/>
    <x v="7"/>
    <d v="2018-11-30T00:00:00"/>
    <d v="1999-12-30T00:00:00"/>
    <d v="2018-11-20T00:00:00"/>
    <d v="2018-11-20T00:00:00"/>
    <x v="0"/>
    <x v="1"/>
  </r>
  <r>
    <s v="MRWSH022113"/>
    <x v="2"/>
    <x v="7"/>
    <d v="2018-11-17T00:00:00"/>
    <d v="1999-12-30T00:00:00"/>
    <d v="2018-11-30T00:00:00"/>
    <m/>
    <x v="0"/>
    <x v="0"/>
  </r>
  <r>
    <s v="MRWSH022145"/>
    <x v="2"/>
    <x v="7"/>
    <d v="2018-11-30T00:00:00"/>
    <d v="1999-12-30T00:00:00"/>
    <d v="2018-12-14T00:00:00"/>
    <m/>
    <x v="0"/>
    <x v="0"/>
  </r>
  <r>
    <s v="MRWSH022164"/>
    <x v="2"/>
    <x v="7"/>
    <d v="2018-11-28T00:00:00"/>
    <d v="1999-12-30T00:00:00"/>
    <d v="2018-11-27T00:00:00"/>
    <d v="2018-11-27T00:00:00"/>
    <x v="0"/>
    <x v="1"/>
  </r>
  <r>
    <s v="MRWSH022258"/>
    <x v="2"/>
    <x v="7"/>
    <d v="2018-11-30T00:00:00"/>
    <d v="1999-12-30T00:00:00"/>
    <d v="2018-11-27T00:00:00"/>
    <d v="2018-11-27T00:00:00"/>
    <x v="0"/>
    <x v="1"/>
  </r>
  <r>
    <s v="MRWSH022260"/>
    <x v="2"/>
    <x v="7"/>
    <d v="2018-11-30T00:00:00"/>
    <d v="1999-12-30T00:00:00"/>
    <d v="2018-11-20T00:00:00"/>
    <d v="2018-11-20T00:00:00"/>
    <x v="0"/>
    <x v="1"/>
  </r>
  <r>
    <s v="MRWSH022265"/>
    <x v="2"/>
    <x v="7"/>
    <d v="2018-11-30T00:00:00"/>
    <d v="1999-12-30T00:00:00"/>
    <d v="2018-11-20T00:00:00"/>
    <d v="2018-11-20T00:00:00"/>
    <x v="0"/>
    <x v="1"/>
  </r>
  <r>
    <s v="MRWSH022271"/>
    <x v="2"/>
    <x v="7"/>
    <d v="2018-11-17T00:00:00"/>
    <d v="1999-12-30T00:00:00"/>
    <d v="2018-11-29T00:00:00"/>
    <d v="2018-11-29T00:00:00"/>
    <x v="0"/>
    <x v="1"/>
  </r>
  <r>
    <s v="MRNTX018005"/>
    <x v="1"/>
    <x v="7"/>
    <d v="2018-11-21T00:00:00"/>
    <d v="2019-02-14T00:00:00"/>
    <d v="2019-03-30T00:00:00"/>
    <m/>
    <x v="1"/>
    <x v="2"/>
  </r>
  <r>
    <s v="MRNTX018205"/>
    <x v="1"/>
    <x v="7"/>
    <d v="2018-11-21T00:00:00"/>
    <d v="2019-02-14T00:00:00"/>
    <d v="2019-03-30T00:00:00"/>
    <m/>
    <x v="1"/>
    <x v="2"/>
  </r>
  <r>
    <s v="MRSTX033692"/>
    <x v="0"/>
    <x v="7"/>
    <d v="2018-11-29T00:00:00"/>
    <d v="2018-11-29T00:00:00"/>
    <d v="2018-11-20T00:00:00"/>
    <d v="2018-11-20T00:00:00"/>
    <x v="0"/>
    <x v="1"/>
  </r>
  <r>
    <s v="MRSTX033738"/>
    <x v="0"/>
    <x v="7"/>
    <d v="2018-11-14T00:00:00"/>
    <d v="2018-11-29T00:00:00"/>
    <d v="2018-11-28T00:00:00"/>
    <d v="2018-11-28T00:00:00"/>
    <x v="0"/>
    <x v="1"/>
  </r>
  <r>
    <s v="MRSTX033748"/>
    <x v="0"/>
    <x v="7"/>
    <d v="2018-11-26T00:00:00"/>
    <d v="2018-12-29T00:00:00"/>
    <d v="2018-12-30T00:00:00"/>
    <m/>
    <x v="1"/>
    <x v="2"/>
  </r>
  <r>
    <s v="MRSTX033793"/>
    <x v="0"/>
    <x v="7"/>
    <d v="2018-11-06T00:00:00"/>
    <d v="2018-12-29T00:00:00"/>
    <d v="2018-11-30T00:00:00"/>
    <m/>
    <x v="1"/>
    <x v="4"/>
  </r>
  <r>
    <s v="MRSTX033812"/>
    <x v="0"/>
    <x v="7"/>
    <d v="2018-11-02T00:00:00"/>
    <d v="2018-12-29T00:00:00"/>
    <d v="2018-11-02T00:00:00"/>
    <d v="2018-11-02T00:00:00"/>
    <x v="0"/>
    <x v="1"/>
  </r>
  <r>
    <s v="MRSTX033849"/>
    <x v="0"/>
    <x v="7"/>
    <d v="2018-11-29T00:00:00"/>
    <d v="2018-11-29T00:00:00"/>
    <d v="2018-11-13T00:00:00"/>
    <d v="2018-11-13T00:00:00"/>
    <x v="0"/>
    <x v="1"/>
  </r>
  <r>
    <s v="MRSTX033857"/>
    <x v="0"/>
    <x v="7"/>
    <d v="2018-11-06T00:00:00"/>
    <d v="2018-10-15T00:00:00"/>
    <d v="2018-11-14T00:00:00"/>
    <d v="2018-11-14T00:00:00"/>
    <x v="0"/>
    <x v="1"/>
  </r>
  <r>
    <s v="MRSTX033861"/>
    <x v="0"/>
    <x v="7"/>
    <d v="2018-11-15T00:00:00"/>
    <d v="2018-11-29T00:00:00"/>
    <d v="2018-11-30T00:00:00"/>
    <m/>
    <x v="1"/>
    <x v="4"/>
  </r>
  <r>
    <s v="MRNTX030242"/>
    <x v="1"/>
    <x v="7"/>
    <d v="2018-11-29T00:00:00"/>
    <d v="2018-11-29T00:00:00"/>
    <d v="2018-11-13T00:00:00"/>
    <d v="2018-11-13T00:00:00"/>
    <x v="0"/>
    <x v="1"/>
  </r>
  <r>
    <s v="MRNTX030280"/>
    <x v="1"/>
    <x v="7"/>
    <d v="2018-11-12T00:00:00"/>
    <d v="2018-11-12T00:00:00"/>
    <d v="2018-11-13T00:00:00"/>
    <d v="2018-11-13T00:00:00"/>
    <x v="0"/>
    <x v="1"/>
  </r>
  <r>
    <s v="MRNTX030321"/>
    <x v="1"/>
    <x v="7"/>
    <d v="2018-11-21T00:00:00"/>
    <d v="2018-11-21T00:00:00"/>
    <d v="2018-11-28T00:00:00"/>
    <d v="2018-11-28T00:00:00"/>
    <x v="0"/>
    <x v="1"/>
  </r>
  <r>
    <s v="MRNTX030335"/>
    <x v="1"/>
    <x v="7"/>
    <d v="2018-11-23T00:00:00"/>
    <d v="2018-11-23T00:00:00"/>
    <d v="2018-11-28T00:00:00"/>
    <d v="2018-11-28T00:00:00"/>
    <x v="0"/>
    <x v="1"/>
  </r>
  <r>
    <s v="MRNTX030375"/>
    <x v="1"/>
    <x v="7"/>
    <d v="2018-11-21T00:00:00"/>
    <d v="2018-11-21T00:00:00"/>
    <d v="2018-11-28T00:00:00"/>
    <d v="2018-11-28T00:00:00"/>
    <x v="0"/>
    <x v="1"/>
  </r>
  <r>
    <s v="MRNTX030389"/>
    <x v="1"/>
    <x v="7"/>
    <d v="2018-11-23T00:00:00"/>
    <d v="2018-11-23T00:00:00"/>
    <d v="2018-12-30T00:00:00"/>
    <m/>
    <x v="1"/>
    <x v="5"/>
  </r>
  <r>
    <s v="MRNTX030413"/>
    <x v="1"/>
    <x v="7"/>
    <d v="2018-11-26T00:00:00"/>
    <d v="2018-11-26T00:00:00"/>
    <d v="2019-02-28T00:00:00"/>
    <m/>
    <x v="1"/>
    <x v="5"/>
  </r>
  <r>
    <s v="MRNTX030459"/>
    <x v="1"/>
    <x v="7"/>
    <d v="2018-11-11T00:00:00"/>
    <d v="2018-11-11T00:00:00"/>
    <d v="2019-05-30T00:00:00"/>
    <m/>
    <x v="1"/>
    <x v="5"/>
  </r>
  <r>
    <s v="MRNTX033654"/>
    <x v="1"/>
    <x v="7"/>
    <d v="2018-11-21T00:00:00"/>
    <d v="2018-11-21T00:00:00"/>
    <d v="2018-11-28T00:00:00"/>
    <d v="2018-11-28T00:00:00"/>
    <x v="0"/>
    <x v="1"/>
  </r>
  <r>
    <s v="MRNTX033700"/>
    <x v="1"/>
    <x v="7"/>
    <d v="2018-11-13T00:00:00"/>
    <d v="2018-11-13T00:00:00"/>
    <d v="2018-12-30T00:00:00"/>
    <m/>
    <x v="1"/>
    <x v="5"/>
  </r>
  <r>
    <s v="MRNTX033713"/>
    <x v="1"/>
    <x v="7"/>
    <d v="2018-11-27T00:00:00"/>
    <d v="2018-11-27T00:00:00"/>
    <d v="2019-01-30T00:00:00"/>
    <m/>
    <x v="1"/>
    <x v="5"/>
  </r>
  <r>
    <s v="MRNTX033717"/>
    <x v="1"/>
    <x v="7"/>
    <d v="2018-11-21T00:00:00"/>
    <d v="2018-11-21T00:00:00"/>
    <d v="2018-11-28T00:00:00"/>
    <d v="2018-11-28T00:00:00"/>
    <x v="0"/>
    <x v="1"/>
  </r>
  <r>
    <s v="MRNTX033765"/>
    <x v="1"/>
    <x v="7"/>
    <d v="2018-11-13T00:00:00"/>
    <d v="2018-11-13T00:00:00"/>
    <d v="2018-11-28T00:00:00"/>
    <d v="2018-11-28T00:00:00"/>
    <x v="1"/>
    <x v="1"/>
  </r>
  <r>
    <s v="MRNTX033784"/>
    <x v="1"/>
    <x v="7"/>
    <d v="2018-11-13T00:00:00"/>
    <d v="2018-11-13T00:00:00"/>
    <d v="2019-02-28T00:00:00"/>
    <m/>
    <x v="1"/>
    <x v="5"/>
  </r>
  <r>
    <s v="MRNTX033790"/>
    <x v="1"/>
    <x v="7"/>
    <d v="2018-11-29T00:00:00"/>
    <d v="2018-11-29T00:00:00"/>
    <d v="2018-11-13T00:00:00"/>
    <d v="2018-11-13T00:00:00"/>
    <x v="0"/>
    <x v="1"/>
  </r>
  <r>
    <s v="MRNTX033806"/>
    <x v="1"/>
    <x v="7"/>
    <d v="2018-11-23T00:00:00"/>
    <d v="2018-11-23T00:00:00"/>
    <d v="2019-02-28T00:00:00"/>
    <m/>
    <x v="1"/>
    <x v="5"/>
  </r>
  <r>
    <s v="MRNTX033826"/>
    <x v="1"/>
    <x v="7"/>
    <d v="2018-11-21T00:00:00"/>
    <d v="2018-11-21T00:00:00"/>
    <d v="2019-01-30T00:00:00"/>
    <m/>
    <x v="1"/>
    <x v="5"/>
  </r>
  <r>
    <s v="MRNTX033860"/>
    <x v="1"/>
    <x v="7"/>
    <d v="2018-11-09T00:00:00"/>
    <d v="2018-11-10T00:00:00"/>
    <d v="2018-11-05T00:00:00"/>
    <d v="2018-11-05T00:00:00"/>
    <x v="0"/>
    <x v="1"/>
  </r>
  <r>
    <s v="MRNTX033873"/>
    <x v="1"/>
    <x v="7"/>
    <d v="2018-11-09T00:00:00"/>
    <d v="2018-11-10T00:00:00"/>
    <d v="2018-11-05T00:00:00"/>
    <d v="2018-11-05T00:00:00"/>
    <x v="0"/>
    <x v="1"/>
  </r>
  <r>
    <s v="MRNTX033900"/>
    <x v="1"/>
    <x v="7"/>
    <d v="2018-11-14T00:00:00"/>
    <d v="2019-03-10T00:00:00"/>
    <d v="2019-02-28T00:00:00"/>
    <m/>
    <x v="1"/>
    <x v="4"/>
  </r>
  <r>
    <s v="MRNTX033902"/>
    <x v="1"/>
    <x v="7"/>
    <d v="2018-11-09T00:00:00"/>
    <d v="2018-11-10T00:00:00"/>
    <d v="2018-11-05T00:00:00"/>
    <d v="2018-11-05T00:00:00"/>
    <x v="0"/>
    <x v="1"/>
  </r>
  <r>
    <s v="MRWSH015669"/>
    <x v="2"/>
    <x v="7"/>
    <d v="2018-11-18T00:00:00"/>
    <d v="1999-12-30T00:00:00"/>
    <d v="2018-11-15T00:00:00"/>
    <d v="2018-11-15T00:00:00"/>
    <x v="0"/>
    <x v="1"/>
  </r>
  <r>
    <s v="MRANM019604"/>
    <x v="3"/>
    <x v="7"/>
    <d v="2018-11-30T00:00:00"/>
    <d v="1999-12-30T00:00:00"/>
    <d v="2018-11-16T00:00:00"/>
    <d v="2018-11-16T00:00:00"/>
    <x v="0"/>
    <x v="1"/>
  </r>
  <r>
    <s v="MRANM019686"/>
    <x v="3"/>
    <x v="7"/>
    <d v="2018-11-30T00:00:00"/>
    <d v="1999-12-30T00:00:00"/>
    <d v="2018-11-30T00:00:00"/>
    <m/>
    <x v="0"/>
    <x v="0"/>
  </r>
  <r>
    <s v="MRANM019690"/>
    <x v="3"/>
    <x v="7"/>
    <d v="2018-11-30T00:00:00"/>
    <d v="1999-12-30T00:00:00"/>
    <d v="2018-11-07T00:00:00"/>
    <d v="2018-11-07T00:00:00"/>
    <x v="0"/>
    <x v="1"/>
  </r>
  <r>
    <s v="MRANM019693"/>
    <x v="3"/>
    <x v="7"/>
    <d v="2018-11-30T00:00:00"/>
    <d v="1999-12-30T00:00:00"/>
    <d v="2018-11-16T00:00:00"/>
    <d v="2018-11-16T00:00:00"/>
    <x v="0"/>
    <x v="1"/>
  </r>
  <r>
    <s v="MRANM019708"/>
    <x v="3"/>
    <x v="7"/>
    <d v="2018-11-30T00:00:00"/>
    <d v="1999-12-30T00:00:00"/>
    <d v="2018-11-30T00:00:00"/>
    <m/>
    <x v="0"/>
    <x v="0"/>
  </r>
  <r>
    <s v="MRANM019728"/>
    <x v="3"/>
    <x v="7"/>
    <d v="2018-11-30T00:00:00"/>
    <d v="1999-12-30T00:00:00"/>
    <d v="2018-11-16T00:00:00"/>
    <d v="2018-11-16T00:00:00"/>
    <x v="0"/>
    <x v="1"/>
  </r>
  <r>
    <s v="MRANM020141"/>
    <x v="3"/>
    <x v="7"/>
    <d v="2018-11-30T00:00:00"/>
    <d v="1999-12-30T00:00:00"/>
    <d v="2018-11-30T00:00:00"/>
    <m/>
    <x v="0"/>
    <x v="0"/>
  </r>
  <r>
    <s v="MRANM020363"/>
    <x v="3"/>
    <x v="7"/>
    <d v="2018-11-30T00:00:00"/>
    <d v="1999-12-30T00:00:00"/>
    <d v="2018-11-30T00:00:00"/>
    <m/>
    <x v="0"/>
    <x v="0"/>
  </r>
  <r>
    <s v="MRNTX033919"/>
    <x v="1"/>
    <x v="7"/>
    <d v="2018-11-23T00:00:00"/>
    <d v="2018-11-23T00:00:00"/>
    <d v="2018-11-08T00:00:00"/>
    <d v="2018-11-08T00:00:00"/>
    <x v="0"/>
    <x v="1"/>
  </r>
  <r>
    <s v="MRSTX036198"/>
    <x v="0"/>
    <x v="7"/>
    <d v="2018-11-14T00:00:00"/>
    <d v="2018-12-31T00:00:00"/>
    <d v="2018-11-30T00:00:00"/>
    <m/>
    <x v="1"/>
    <x v="4"/>
  </r>
  <r>
    <s v="MRSTX036205"/>
    <x v="0"/>
    <x v="7"/>
    <d v="2018-11-14T00:00:00"/>
    <d v="2018-12-29T00:00:00"/>
    <d v="2018-11-13T00:00:00"/>
    <d v="2018-11-13T00:00:00"/>
    <x v="0"/>
    <x v="1"/>
  </r>
  <r>
    <s v="MRSTX036210"/>
    <x v="0"/>
    <x v="7"/>
    <d v="2018-11-06T00:00:00"/>
    <d v="2018-12-31T00:00:00"/>
    <d v="2018-11-30T00:00:00"/>
    <m/>
    <x v="1"/>
    <x v="4"/>
  </r>
  <r>
    <s v="MRSTX036216"/>
    <x v="0"/>
    <x v="7"/>
    <d v="2018-11-15T00:00:00"/>
    <d v="2018-11-29T00:00:00"/>
    <d v="2018-11-30T00:00:00"/>
    <m/>
    <x v="1"/>
    <x v="4"/>
  </r>
  <r>
    <s v="MRSTX036226"/>
    <x v="0"/>
    <x v="7"/>
    <d v="2018-11-15T00:00:00"/>
    <d v="2018-11-29T00:00:00"/>
    <d v="2018-11-30T00:00:00"/>
    <m/>
    <x v="1"/>
    <x v="4"/>
  </r>
  <r>
    <s v="MRSTX036233"/>
    <x v="0"/>
    <x v="7"/>
    <d v="2018-11-15T00:00:00"/>
    <d v="2019-01-01T00:00:00"/>
    <d v="2018-11-30T00:00:00"/>
    <m/>
    <x v="1"/>
    <x v="4"/>
  </r>
  <r>
    <s v="MRSTX036245"/>
    <x v="0"/>
    <x v="7"/>
    <d v="2018-11-29T00:00:00"/>
    <d v="2018-12-06T00:00:00"/>
    <d v="2018-11-07T00:00:00"/>
    <d v="2018-11-07T00:00:00"/>
    <x v="0"/>
    <x v="1"/>
  </r>
  <r>
    <s v="MRSTX036246"/>
    <x v="0"/>
    <x v="7"/>
    <d v="2018-11-06T00:00:00"/>
    <d v="2018-11-29T00:00:00"/>
    <d v="2018-11-19T00:00:00"/>
    <d v="2018-11-19T00:00:00"/>
    <x v="0"/>
    <x v="1"/>
  </r>
  <r>
    <s v="MRSTX036255"/>
    <x v="0"/>
    <x v="7"/>
    <d v="2018-11-26T00:00:00"/>
    <d v="2019-01-29T00:00:00"/>
    <d v="2018-11-30T00:00:00"/>
    <m/>
    <x v="0"/>
    <x v="3"/>
  </r>
  <r>
    <s v="MRSTX036264"/>
    <x v="0"/>
    <x v="7"/>
    <d v="2018-11-15T00:00:00"/>
    <d v="2018-11-29T00:00:00"/>
    <d v="2018-11-30T00:00:00"/>
    <m/>
    <x v="1"/>
    <x v="4"/>
  </r>
  <r>
    <s v="MRSTX036274"/>
    <x v="0"/>
    <x v="7"/>
    <d v="2018-11-26T00:00:00"/>
    <d v="2018-12-29T00:00:00"/>
    <d v="2018-11-13T00:00:00"/>
    <d v="2018-11-13T00:00:00"/>
    <x v="0"/>
    <x v="1"/>
  </r>
  <r>
    <s v="MRSTX036276"/>
    <x v="0"/>
    <x v="7"/>
    <d v="2018-11-26T00:00:00"/>
    <d v="2018-12-29T00:00:00"/>
    <d v="2018-11-30T00:00:00"/>
    <m/>
    <x v="0"/>
    <x v="3"/>
  </r>
  <r>
    <s v="MRSTX036279"/>
    <x v="0"/>
    <x v="7"/>
    <d v="2018-11-06T00:00:00"/>
    <d v="2018-12-31T00:00:00"/>
    <d v="2018-11-13T00:00:00"/>
    <d v="2018-11-13T00:00:00"/>
    <x v="0"/>
    <x v="1"/>
  </r>
  <r>
    <s v="MRSTX036281"/>
    <x v="0"/>
    <x v="7"/>
    <d v="2018-11-14T00:00:00"/>
    <d v="2018-12-29T00:00:00"/>
    <d v="2018-11-30T00:00:00"/>
    <m/>
    <x v="1"/>
    <x v="4"/>
  </r>
  <r>
    <s v="MRSTX036286"/>
    <x v="0"/>
    <x v="7"/>
    <d v="2018-11-14T00:00:00"/>
    <d v="2019-03-30T00:00:00"/>
    <d v="2018-11-28T00:00:00"/>
    <d v="2018-11-28T00:00:00"/>
    <x v="0"/>
    <x v="1"/>
  </r>
  <r>
    <s v="MRSTX036306"/>
    <x v="0"/>
    <x v="7"/>
    <d v="2018-11-06T00:00:00"/>
    <d v="2018-12-31T00:00:00"/>
    <d v="2018-11-30T00:00:00"/>
    <m/>
    <x v="1"/>
    <x v="4"/>
  </r>
  <r>
    <s v="MRSTX036317"/>
    <x v="0"/>
    <x v="7"/>
    <d v="2018-11-15T00:00:00"/>
    <d v="2018-10-28T00:00:00"/>
    <d v="2018-11-30T00:00:00"/>
    <m/>
    <x v="1"/>
    <x v="5"/>
  </r>
  <r>
    <s v="MRSTX036324"/>
    <x v="0"/>
    <x v="7"/>
    <d v="2018-11-14T00:00:00"/>
    <d v="2018-11-29T00:00:00"/>
    <d v="2018-11-30T00:00:00"/>
    <m/>
    <x v="1"/>
    <x v="4"/>
  </r>
  <r>
    <s v="MRSTX036328"/>
    <x v="0"/>
    <x v="7"/>
    <d v="2018-11-26T00:00:00"/>
    <d v="2018-12-31T00:00:00"/>
    <d v="2018-11-08T00:00:00"/>
    <d v="2018-11-08T00:00:00"/>
    <x v="0"/>
    <x v="1"/>
  </r>
  <r>
    <s v="MRANM020492"/>
    <x v="3"/>
    <x v="7"/>
    <d v="2018-11-30T00:00:00"/>
    <d v="1999-12-30T00:00:00"/>
    <d v="2018-11-30T00:00:00"/>
    <m/>
    <x v="0"/>
    <x v="0"/>
  </r>
  <r>
    <s v="MRNTX024478"/>
    <x v="1"/>
    <x v="7"/>
    <d v="2018-11-09T00:00:00"/>
    <d v="2018-11-10T00:00:00"/>
    <d v="2019-01-30T00:00:00"/>
    <m/>
    <x v="1"/>
    <x v="5"/>
  </r>
  <r>
    <s v="MRNTX031957"/>
    <x v="1"/>
    <x v="7"/>
    <d v="2018-11-11T00:00:00"/>
    <d v="2019-02-24T00:00:00"/>
    <d v="2018-12-16T00:00:00"/>
    <m/>
    <x v="1"/>
    <x v="4"/>
  </r>
  <r>
    <s v="MRNTX031975"/>
    <x v="1"/>
    <x v="7"/>
    <d v="2018-11-11T00:00:00"/>
    <d v="2018-11-24T00:00:00"/>
    <d v="2019-02-28T00:00:00"/>
    <m/>
    <x v="1"/>
    <x v="5"/>
  </r>
  <r>
    <s v="MRNTX031990"/>
    <x v="1"/>
    <x v="7"/>
    <d v="2018-11-09T00:00:00"/>
    <d v="2018-11-09T00:00:00"/>
    <d v="2018-12-30T00:00:00"/>
    <m/>
    <x v="1"/>
    <x v="5"/>
  </r>
  <r>
    <s v="MRNTX032022"/>
    <x v="1"/>
    <x v="7"/>
    <d v="2018-11-12T00:00:00"/>
    <d v="2018-11-12T00:00:00"/>
    <d v="2018-11-13T00:00:00"/>
    <d v="2018-11-13T00:00:00"/>
    <x v="0"/>
    <x v="1"/>
  </r>
  <r>
    <s v="MRNTX032026"/>
    <x v="1"/>
    <x v="7"/>
    <d v="2018-11-29T00:00:00"/>
    <d v="2018-11-29T00:00:00"/>
    <d v="2018-11-13T00:00:00"/>
    <d v="2018-11-13T00:00:00"/>
    <x v="0"/>
    <x v="1"/>
  </r>
  <r>
    <s v="MRNTX032031"/>
    <x v="1"/>
    <x v="7"/>
    <d v="2018-11-21T00:00:00"/>
    <d v="2018-11-21T00:00:00"/>
    <d v="2018-11-13T00:00:00"/>
    <d v="2018-11-13T00:00:00"/>
    <x v="0"/>
    <x v="1"/>
  </r>
  <r>
    <s v="MRNTX032033"/>
    <x v="1"/>
    <x v="7"/>
    <d v="2018-11-25T00:00:00"/>
    <d v="1999-12-30T00:00:00"/>
    <d v="2018-11-05T00:00:00"/>
    <d v="2018-11-05T00:00:00"/>
    <x v="0"/>
    <x v="1"/>
  </r>
  <r>
    <s v="MRNTX032040"/>
    <x v="1"/>
    <x v="7"/>
    <d v="2018-11-21T00:00:00"/>
    <d v="2018-11-21T00:00:00"/>
    <d v="2018-12-30T00:00:00"/>
    <m/>
    <x v="1"/>
    <x v="5"/>
  </r>
  <r>
    <s v="MRNTX032113"/>
    <x v="1"/>
    <x v="7"/>
    <d v="2018-11-21T00:00:00"/>
    <d v="2018-11-21T00:00:00"/>
    <d v="2019-01-30T00:00:00"/>
    <m/>
    <x v="1"/>
    <x v="5"/>
  </r>
  <r>
    <s v="MRSTX036338"/>
    <x v="0"/>
    <x v="7"/>
    <d v="2018-11-01T00:00:00"/>
    <d v="2019-01-28T00:00:00"/>
    <d v="2018-11-01T00:00:00"/>
    <d v="2018-11-01T00:00:00"/>
    <x v="0"/>
    <x v="1"/>
  </r>
  <r>
    <s v="MRSTX036347"/>
    <x v="0"/>
    <x v="7"/>
    <d v="2018-11-06T00:00:00"/>
    <d v="2019-01-28T00:00:00"/>
    <d v="2018-11-30T00:00:00"/>
    <m/>
    <x v="1"/>
    <x v="4"/>
  </r>
  <r>
    <s v="MRSTX036358"/>
    <x v="0"/>
    <x v="7"/>
    <d v="2018-11-26T00:00:00"/>
    <d v="2018-12-31T00:00:00"/>
    <d v="2018-11-08T00:00:00"/>
    <d v="2018-11-08T00:00:00"/>
    <x v="0"/>
    <x v="1"/>
  </r>
  <r>
    <s v="MRSTX036362"/>
    <x v="0"/>
    <x v="7"/>
    <d v="2018-11-01T00:00:00"/>
    <d v="2019-01-28T00:00:00"/>
    <d v="2018-11-01T00:00:00"/>
    <d v="2018-11-01T00:00:00"/>
    <x v="0"/>
    <x v="1"/>
  </r>
  <r>
    <s v="MRSTX036363"/>
    <x v="0"/>
    <x v="7"/>
    <d v="2018-11-06T00:00:00"/>
    <d v="2019-01-28T00:00:00"/>
    <d v="2018-11-30T00:00:00"/>
    <m/>
    <x v="1"/>
    <x v="4"/>
  </r>
  <r>
    <s v="MRWSH022860"/>
    <x v="2"/>
    <x v="7"/>
    <d v="2018-11-30T00:00:00"/>
    <d v="1999-12-30T00:00:00"/>
    <d v="2018-12-13T00:00:00"/>
    <m/>
    <x v="0"/>
    <x v="0"/>
  </r>
  <r>
    <s v="MRWSH022905"/>
    <x v="2"/>
    <x v="7"/>
    <d v="2018-11-30T00:00:00"/>
    <d v="1999-12-30T00:00:00"/>
    <d v="2018-12-15T00:00:00"/>
    <m/>
    <x v="1"/>
    <x v="5"/>
  </r>
  <r>
    <s v="MRWSH022920"/>
    <x v="2"/>
    <x v="7"/>
    <d v="2018-11-17T00:00:00"/>
    <d v="1999-12-30T00:00:00"/>
    <d v="2018-11-30T00:00:00"/>
    <m/>
    <x v="0"/>
    <x v="0"/>
  </r>
  <r>
    <s v="MRWSH022921"/>
    <x v="2"/>
    <x v="7"/>
    <d v="2018-11-17T00:00:00"/>
    <d v="1999-12-30T00:00:00"/>
    <d v="2018-11-09T00:00:00"/>
    <d v="2018-11-09T00:00:00"/>
    <x v="0"/>
    <x v="1"/>
  </r>
  <r>
    <s v="MRWSH022941"/>
    <x v="2"/>
    <x v="7"/>
    <d v="2018-11-30T00:00:00"/>
    <d v="1999-12-30T00:00:00"/>
    <d v="2018-11-20T00:00:00"/>
    <d v="2018-11-20T00:00:00"/>
    <x v="0"/>
    <x v="1"/>
  </r>
  <r>
    <s v="MRWSH022945"/>
    <x v="2"/>
    <x v="7"/>
    <d v="2018-11-25T00:00:00"/>
    <d v="1999-12-30T00:00:00"/>
    <d v="2018-11-09T00:00:00"/>
    <d v="2018-11-09T00:00:00"/>
    <x v="0"/>
    <x v="1"/>
  </r>
  <r>
    <s v="MRNTX032169"/>
    <x v="1"/>
    <x v="7"/>
    <d v="2018-11-09T00:00:00"/>
    <d v="1999-12-30T00:00:00"/>
    <d v="2018-11-07T00:00:00"/>
    <d v="2018-11-07T00:00:00"/>
    <x v="0"/>
    <x v="1"/>
  </r>
  <r>
    <s v="MRNTX032187"/>
    <x v="1"/>
    <x v="7"/>
    <d v="2018-11-29T00:00:00"/>
    <d v="2018-11-29T00:00:00"/>
    <d v="2018-11-13T00:00:00"/>
    <d v="2018-11-13T00:00:00"/>
    <x v="0"/>
    <x v="1"/>
  </r>
  <r>
    <s v="MRNTX032190"/>
    <x v="1"/>
    <x v="7"/>
    <d v="2018-11-12T00:00:00"/>
    <d v="2018-10-26T00:00:00"/>
    <d v="2018-12-30T00:00:00"/>
    <m/>
    <x v="1"/>
    <x v="5"/>
  </r>
  <r>
    <s v="MRNTX032238"/>
    <x v="1"/>
    <x v="7"/>
    <d v="2018-11-27T00:00:00"/>
    <d v="2019-02-24T00:00:00"/>
    <d v="2019-02-28T00:00:00"/>
    <m/>
    <x v="1"/>
    <x v="2"/>
  </r>
  <r>
    <s v="MRNTX032245"/>
    <x v="1"/>
    <x v="7"/>
    <d v="2018-11-09T00:00:00"/>
    <d v="2018-11-19T00:00:00"/>
    <d v="2018-12-30T00:00:00"/>
    <m/>
    <x v="1"/>
    <x v="5"/>
  </r>
  <r>
    <s v="MRNTX032264"/>
    <x v="1"/>
    <x v="7"/>
    <d v="2018-11-27T00:00:00"/>
    <d v="2019-02-24T00:00:00"/>
    <d v="2019-02-28T00:00:00"/>
    <m/>
    <x v="1"/>
    <x v="2"/>
  </r>
  <r>
    <s v="MRNTX032283"/>
    <x v="1"/>
    <x v="7"/>
    <d v="2018-11-21T00:00:00"/>
    <d v="2018-11-21T00:00:00"/>
    <d v="2018-12-30T00:00:00"/>
    <m/>
    <x v="1"/>
    <x v="5"/>
  </r>
  <r>
    <s v="MRSTX033919"/>
    <x v="0"/>
    <x v="7"/>
    <d v="2018-11-06T00:00:00"/>
    <d v="2018-10-15T00:00:00"/>
    <d v="2018-11-14T00:00:00"/>
    <d v="2018-11-14T00:00:00"/>
    <x v="0"/>
    <x v="1"/>
  </r>
  <r>
    <s v="MRSTX033959"/>
    <x v="0"/>
    <x v="7"/>
    <d v="2018-11-02T00:00:00"/>
    <d v="2018-12-29T00:00:00"/>
    <d v="2018-11-02T00:00:00"/>
    <d v="2018-11-02T00:00:00"/>
    <x v="0"/>
    <x v="1"/>
  </r>
  <r>
    <s v="MRWSH023052"/>
    <x v="2"/>
    <x v="7"/>
    <d v="2018-11-29T00:00:00"/>
    <d v="1999-12-30T00:00:00"/>
    <d v="2018-11-29T00:00:00"/>
    <m/>
    <x v="0"/>
    <x v="0"/>
  </r>
  <r>
    <s v="MRWSH023155"/>
    <x v="2"/>
    <x v="7"/>
    <d v="2018-11-29T00:00:00"/>
    <d v="1999-12-30T00:00:00"/>
    <d v="2018-11-29T00:00:00"/>
    <m/>
    <x v="0"/>
    <x v="0"/>
  </r>
  <r>
    <s v="MRWSH024502"/>
    <x v="2"/>
    <x v="7"/>
    <d v="2018-11-30T00:00:00"/>
    <d v="1999-12-30T00:00:00"/>
    <d v="2018-11-30T00:00:00"/>
    <m/>
    <x v="0"/>
    <x v="0"/>
  </r>
  <r>
    <s v="MRNTX030632"/>
    <x v="1"/>
    <x v="7"/>
    <d v="2018-11-09T00:00:00"/>
    <d v="2018-11-10T00:00:00"/>
    <d v="2019-05-30T00:00:00"/>
    <m/>
    <x v="1"/>
    <x v="5"/>
  </r>
  <r>
    <s v="MRNTX030634"/>
    <x v="1"/>
    <x v="7"/>
    <d v="2018-11-09T00:00:00"/>
    <d v="1999-12-30T00:00:00"/>
    <d v="2018-12-30T00:00:00"/>
    <m/>
    <x v="1"/>
    <x v="5"/>
  </r>
  <r>
    <s v="MRNTX030650"/>
    <x v="1"/>
    <x v="7"/>
    <d v="2018-11-25T00:00:00"/>
    <d v="1999-12-30T00:00:00"/>
    <d v="2018-11-05T00:00:00"/>
    <d v="2018-11-05T00:00:00"/>
    <x v="0"/>
    <x v="1"/>
  </r>
  <r>
    <s v="MRNTX030672"/>
    <x v="1"/>
    <x v="7"/>
    <d v="2018-11-21T00:00:00"/>
    <d v="2018-11-21T00:00:00"/>
    <d v="2018-11-13T00:00:00"/>
    <d v="2018-11-13T00:00:00"/>
    <x v="0"/>
    <x v="1"/>
  </r>
  <r>
    <s v="MRANM006696"/>
    <x v="3"/>
    <x v="7"/>
    <d v="2018-11-01T00:00:00"/>
    <d v="2017-09-21T00:00:00"/>
    <d v="2018-11-01T00:00:00"/>
    <d v="2018-11-01T00:00:00"/>
    <x v="0"/>
    <x v="1"/>
  </r>
  <r>
    <s v="MRSTX034035"/>
    <x v="0"/>
    <x v="7"/>
    <d v="2018-11-14T00:00:00"/>
    <d v="2018-11-29T00:00:00"/>
    <d v="2018-11-28T00:00:00"/>
    <d v="2018-11-28T00:00:00"/>
    <x v="0"/>
    <x v="1"/>
  </r>
  <r>
    <s v="MRSTX034042"/>
    <x v="0"/>
    <x v="7"/>
    <d v="2018-11-29T00:00:00"/>
    <d v="2018-11-29T00:00:00"/>
    <d v="2018-11-13T00:00:00"/>
    <d v="2018-11-13T00:00:00"/>
    <x v="0"/>
    <x v="1"/>
  </r>
  <r>
    <s v="MRSTX034048"/>
    <x v="0"/>
    <x v="7"/>
    <d v="2018-11-26T00:00:00"/>
    <d v="2018-12-29T00:00:00"/>
    <d v="2018-12-30T00:00:00"/>
    <m/>
    <x v="1"/>
    <x v="2"/>
  </r>
  <r>
    <s v="MRSTX034085"/>
    <x v="0"/>
    <x v="7"/>
    <d v="2018-11-06T00:00:00"/>
    <d v="2018-12-29T00:00:00"/>
    <d v="2018-11-30T00:00:00"/>
    <m/>
    <x v="1"/>
    <x v="4"/>
  </r>
  <r>
    <s v="MRSTX034092"/>
    <x v="0"/>
    <x v="7"/>
    <d v="2018-11-14T00:00:00"/>
    <d v="2018-11-29T00:00:00"/>
    <d v="2018-11-28T00:00:00"/>
    <d v="2018-11-28T00:00:00"/>
    <x v="0"/>
    <x v="1"/>
  </r>
  <r>
    <s v="MRSTX034094"/>
    <x v="0"/>
    <x v="7"/>
    <d v="2018-11-02T00:00:00"/>
    <d v="2018-12-20T00:00:00"/>
    <d v="2018-11-02T00:00:00"/>
    <d v="2018-11-02T00:00:00"/>
    <x v="0"/>
    <x v="1"/>
  </r>
  <r>
    <s v="MRSTX034126"/>
    <x v="0"/>
    <x v="7"/>
    <d v="2018-11-06T00:00:00"/>
    <d v="2018-10-15T00:00:00"/>
    <d v="2018-11-14T00:00:00"/>
    <d v="2018-11-14T00:00:00"/>
    <x v="0"/>
    <x v="1"/>
  </r>
  <r>
    <s v="MRSTX034161"/>
    <x v="0"/>
    <x v="7"/>
    <d v="2018-11-06T00:00:00"/>
    <d v="2018-12-29T00:00:00"/>
    <d v="2018-11-30T00:00:00"/>
    <m/>
    <x v="1"/>
    <x v="4"/>
  </r>
  <r>
    <s v="MRSTX034173"/>
    <x v="0"/>
    <x v="7"/>
    <d v="2018-11-06T00:00:00"/>
    <d v="2018-12-29T00:00:00"/>
    <d v="2018-11-30T00:00:00"/>
    <m/>
    <x v="1"/>
    <x v="4"/>
  </r>
  <r>
    <s v="MRNTX030786"/>
    <x v="1"/>
    <x v="7"/>
    <d v="2018-11-09T00:00:00"/>
    <d v="2018-11-09T00:00:00"/>
    <d v="2018-11-28T00:00:00"/>
    <d v="2018-11-28T00:00:00"/>
    <x v="1"/>
    <x v="1"/>
  </r>
  <r>
    <s v="MRNTX030826"/>
    <x v="1"/>
    <x v="7"/>
    <d v="2018-11-23T00:00:00"/>
    <d v="2019-02-14T00:00:00"/>
    <d v="2019-02-28T00:00:00"/>
    <m/>
    <x v="1"/>
    <x v="2"/>
  </r>
  <r>
    <s v="MRNTX030838"/>
    <x v="1"/>
    <x v="7"/>
    <d v="2018-11-21T00:00:00"/>
    <d v="2018-11-21T00:00:00"/>
    <d v="2019-01-30T00:00:00"/>
    <m/>
    <x v="1"/>
    <x v="5"/>
  </r>
  <r>
    <s v="MRNTX030844"/>
    <x v="1"/>
    <x v="7"/>
    <d v="2018-11-11T00:00:00"/>
    <d v="2019-02-24T00:00:00"/>
    <d v="2018-12-16T00:00:00"/>
    <m/>
    <x v="1"/>
    <x v="4"/>
  </r>
  <r>
    <s v="MRNTX030864"/>
    <x v="1"/>
    <x v="7"/>
    <d v="2018-11-21T00:00:00"/>
    <d v="2018-11-21T00:00:00"/>
    <d v="2019-01-30T00:00:00"/>
    <m/>
    <x v="1"/>
    <x v="5"/>
  </r>
  <r>
    <s v="MRNTX030875"/>
    <x v="1"/>
    <x v="7"/>
    <d v="2018-11-21T00:00:00"/>
    <d v="2018-11-21T00:00:00"/>
    <d v="2018-11-13T00:00:00"/>
    <d v="2018-11-13T00:00:00"/>
    <x v="0"/>
    <x v="1"/>
  </r>
  <r>
    <s v="MRNTX030880"/>
    <x v="1"/>
    <x v="7"/>
    <d v="2018-11-29T00:00:00"/>
    <d v="2018-11-29T00:00:00"/>
    <d v="2018-11-13T00:00:00"/>
    <d v="2018-11-13T00:00:00"/>
    <x v="0"/>
    <x v="1"/>
  </r>
  <r>
    <s v="MRNTX030894"/>
    <x v="1"/>
    <x v="7"/>
    <d v="2018-11-12T00:00:00"/>
    <d v="2018-11-12T00:00:00"/>
    <d v="2018-11-13T00:00:00"/>
    <d v="2018-11-13T00:00:00"/>
    <x v="0"/>
    <x v="1"/>
  </r>
  <r>
    <s v="MRNTX030929"/>
    <x v="1"/>
    <x v="7"/>
    <d v="2018-11-12T00:00:00"/>
    <d v="2018-10-26T00:00:00"/>
    <d v="2018-12-30T00:00:00"/>
    <m/>
    <x v="1"/>
    <x v="5"/>
  </r>
  <r>
    <s v="MRNTX033955"/>
    <x v="1"/>
    <x v="7"/>
    <d v="2018-11-14T00:00:00"/>
    <d v="2019-03-10T00:00:00"/>
    <d v="2019-02-28T00:00:00"/>
    <m/>
    <x v="1"/>
    <x v="4"/>
  </r>
  <r>
    <s v="MRNTX033973"/>
    <x v="1"/>
    <x v="7"/>
    <d v="2018-11-02T00:00:00"/>
    <d v="2019-02-14T00:00:00"/>
    <d v="2019-01-30T00:00:00"/>
    <m/>
    <x v="1"/>
    <x v="4"/>
  </r>
  <r>
    <s v="MRNTX035481"/>
    <x v="1"/>
    <x v="7"/>
    <d v="2018-11-26T00:00:00"/>
    <d v="2019-02-14T00:00:00"/>
    <d v="2019-01-30T00:00:00"/>
    <m/>
    <x v="1"/>
    <x v="2"/>
  </r>
  <r>
    <s v="MRNTX035972"/>
    <x v="1"/>
    <x v="7"/>
    <d v="2018-11-03T00:00:00"/>
    <d v="2019-02-21T00:00:00"/>
    <d v="2019-01-30T00:00:00"/>
    <m/>
    <x v="1"/>
    <x v="4"/>
  </r>
  <r>
    <s v="MRNTX035973"/>
    <x v="1"/>
    <x v="7"/>
    <d v="2018-11-21T00:00:00"/>
    <d v="2019-02-21T00:00:00"/>
    <d v="2019-02-28T00:00:00"/>
    <m/>
    <x v="1"/>
    <x v="2"/>
  </r>
  <r>
    <s v="MRNTX035977"/>
    <x v="1"/>
    <x v="7"/>
    <d v="2018-11-26T00:00:00"/>
    <d v="1999-12-30T00:00:00"/>
    <d v="2019-01-30T00:00:00"/>
    <m/>
    <x v="1"/>
    <x v="5"/>
  </r>
  <r>
    <s v="MRNTX035984"/>
    <x v="1"/>
    <x v="7"/>
    <d v="2018-11-10T00:00:00"/>
    <d v="2019-02-17T00:00:00"/>
    <d v="2019-02-28T00:00:00"/>
    <m/>
    <x v="1"/>
    <x v="4"/>
  </r>
  <r>
    <s v="MRNTX035990"/>
    <x v="1"/>
    <x v="7"/>
    <d v="2018-11-28T00:00:00"/>
    <d v="2018-11-28T00:00:00"/>
    <d v="2018-11-27T00:00:00"/>
    <d v="2018-11-27T00:00:00"/>
    <x v="0"/>
    <x v="1"/>
  </r>
  <r>
    <s v="MRNTX036007"/>
    <x v="1"/>
    <x v="7"/>
    <d v="2018-11-27T00:00:00"/>
    <d v="2018-10-24T00:00:00"/>
    <d v="2019-01-30T00:00:00"/>
    <m/>
    <x v="1"/>
    <x v="5"/>
  </r>
  <r>
    <s v="MRNTX036008"/>
    <x v="1"/>
    <x v="7"/>
    <d v="2018-11-09T00:00:00"/>
    <d v="2018-11-14T00:00:00"/>
    <d v="2018-11-13T00:00:00"/>
    <d v="2018-11-13T00:00:00"/>
    <x v="0"/>
    <x v="1"/>
  </r>
  <r>
    <s v="MRNTX036012"/>
    <x v="1"/>
    <x v="7"/>
    <d v="2018-11-13T00:00:00"/>
    <d v="1999-12-30T00:00:00"/>
    <d v="2018-11-14T00:00:00"/>
    <d v="2018-11-14T00:00:00"/>
    <x v="0"/>
    <x v="1"/>
  </r>
  <r>
    <s v="MRNTX036029"/>
    <x v="1"/>
    <x v="7"/>
    <d v="2018-11-09T00:00:00"/>
    <d v="2018-11-09T00:00:00"/>
    <d v="2018-11-13T00:00:00"/>
    <d v="2018-11-13T00:00:00"/>
    <x v="0"/>
    <x v="1"/>
  </r>
  <r>
    <s v="MRNTX036032"/>
    <x v="1"/>
    <x v="7"/>
    <d v="2018-11-09T00:00:00"/>
    <d v="2018-11-14T00:00:00"/>
    <d v="2018-11-13T00:00:00"/>
    <d v="2018-11-13T00:00:00"/>
    <x v="0"/>
    <x v="1"/>
  </r>
  <r>
    <s v="MRNTX036034"/>
    <x v="1"/>
    <x v="7"/>
    <d v="2018-11-09T00:00:00"/>
    <d v="2018-11-10T00:00:00"/>
    <d v="2018-11-08T00:00:00"/>
    <d v="2018-11-08T00:00:00"/>
    <x v="0"/>
    <x v="1"/>
  </r>
  <r>
    <s v="MRNTX036042"/>
    <x v="1"/>
    <x v="7"/>
    <d v="2018-11-13T00:00:00"/>
    <d v="1999-12-30T00:00:00"/>
    <d v="2018-11-14T00:00:00"/>
    <d v="2018-11-14T00:00:00"/>
    <x v="0"/>
    <x v="1"/>
  </r>
  <r>
    <s v="MRNTX036049"/>
    <x v="1"/>
    <x v="7"/>
    <d v="2018-11-13T00:00:00"/>
    <d v="1999-12-30T00:00:00"/>
    <d v="2018-11-14T00:00:00"/>
    <d v="2018-11-14T00:00:00"/>
    <x v="0"/>
    <x v="1"/>
  </r>
  <r>
    <s v="MRNTX036053"/>
    <x v="1"/>
    <x v="7"/>
    <d v="2018-11-09T00:00:00"/>
    <d v="2018-10-24T00:00:00"/>
    <d v="2018-12-30T00:00:00"/>
    <m/>
    <x v="1"/>
    <x v="5"/>
  </r>
  <r>
    <s v="MRNTX036058"/>
    <x v="1"/>
    <x v="7"/>
    <d v="2018-11-09T00:00:00"/>
    <d v="2018-11-09T00:00:00"/>
    <d v="2018-11-13T00:00:00"/>
    <d v="2018-11-13T00:00:00"/>
    <x v="0"/>
    <x v="1"/>
  </r>
  <r>
    <s v="MRNTX036060"/>
    <x v="1"/>
    <x v="7"/>
    <d v="2018-11-09T00:00:00"/>
    <d v="2018-11-09T00:00:00"/>
    <d v="2018-11-13T00:00:00"/>
    <d v="2018-11-13T00:00:00"/>
    <x v="0"/>
    <x v="1"/>
  </r>
  <r>
    <s v="MRNTX036077"/>
    <x v="1"/>
    <x v="7"/>
    <d v="2018-11-03T00:00:00"/>
    <d v="2019-03-18T00:00:00"/>
    <d v="2019-03-30T00:00:00"/>
    <m/>
    <x v="1"/>
    <x v="4"/>
  </r>
  <r>
    <s v="MRNTX036088"/>
    <x v="1"/>
    <x v="7"/>
    <d v="2018-11-09T00:00:00"/>
    <d v="2018-11-09T00:00:00"/>
    <d v="2018-11-13T00:00:00"/>
    <d v="2018-11-13T00:00:00"/>
    <x v="0"/>
    <x v="1"/>
  </r>
  <r>
    <s v="MRNTX036095"/>
    <x v="1"/>
    <x v="7"/>
    <d v="2018-11-09T00:00:00"/>
    <d v="2018-11-10T00:00:00"/>
    <d v="2018-11-08T00:00:00"/>
    <d v="2018-11-08T00:00:00"/>
    <x v="0"/>
    <x v="1"/>
  </r>
  <r>
    <s v="MRNTX036097"/>
    <x v="1"/>
    <x v="7"/>
    <d v="2018-11-09T00:00:00"/>
    <d v="2019-02-19T00:00:00"/>
    <d v="2019-01-30T00:00:00"/>
    <m/>
    <x v="1"/>
    <x v="4"/>
  </r>
  <r>
    <s v="MRNTX036104"/>
    <x v="1"/>
    <x v="7"/>
    <d v="2018-11-27T00:00:00"/>
    <d v="2018-10-24T00:00:00"/>
    <d v="2019-01-30T00:00:00"/>
    <m/>
    <x v="1"/>
    <x v="5"/>
  </r>
  <r>
    <s v="MRNTX036110"/>
    <x v="1"/>
    <x v="7"/>
    <d v="2018-11-26T00:00:00"/>
    <d v="2018-10-06T00:00:00"/>
    <d v="2018-12-30T00:00:00"/>
    <m/>
    <x v="1"/>
    <x v="5"/>
  </r>
  <r>
    <s v="MRNTX036111"/>
    <x v="1"/>
    <x v="7"/>
    <d v="2018-11-23T00:00:00"/>
    <d v="2018-11-23T00:00:00"/>
    <d v="2018-11-28T00:00:00"/>
    <d v="2018-11-28T00:00:00"/>
    <x v="0"/>
    <x v="1"/>
  </r>
  <r>
    <s v="MRNTX036132"/>
    <x v="1"/>
    <x v="7"/>
    <d v="2018-11-03T00:00:00"/>
    <d v="2019-02-27T00:00:00"/>
    <d v="2019-02-28T00:00:00"/>
    <m/>
    <x v="1"/>
    <x v="4"/>
  </r>
  <r>
    <s v="MRNTX036135"/>
    <x v="1"/>
    <x v="7"/>
    <d v="2018-11-09T00:00:00"/>
    <d v="2018-11-09T00:00:00"/>
    <d v="2018-11-13T00:00:00"/>
    <d v="2018-11-13T00:00:00"/>
    <x v="0"/>
    <x v="1"/>
  </r>
  <r>
    <s v="MRNTX036141"/>
    <x v="1"/>
    <x v="7"/>
    <d v="2018-11-25T00:00:00"/>
    <d v="1999-12-30T00:00:00"/>
    <d v="2018-12-30T00:00:00"/>
    <m/>
    <x v="1"/>
    <x v="5"/>
  </r>
  <r>
    <s v="MRNTX036143"/>
    <x v="1"/>
    <x v="7"/>
    <d v="2018-11-03T00:00:00"/>
    <d v="2019-02-27T00:00:00"/>
    <d v="2019-02-28T00:00:00"/>
    <m/>
    <x v="1"/>
    <x v="4"/>
  </r>
  <r>
    <s v="MRNTX036150"/>
    <x v="1"/>
    <x v="7"/>
    <d v="2018-11-03T00:00:00"/>
    <d v="2019-02-27T00:00:00"/>
    <d v="2019-02-28T00:00:00"/>
    <m/>
    <x v="1"/>
    <x v="4"/>
  </r>
  <r>
    <s v="MRNTX036151"/>
    <x v="1"/>
    <x v="7"/>
    <d v="2018-11-25T00:00:00"/>
    <d v="2019-03-12T00:00:00"/>
    <d v="2019-02-28T00:00:00"/>
    <m/>
    <x v="1"/>
    <x v="2"/>
  </r>
  <r>
    <s v="MRNTX036166"/>
    <x v="1"/>
    <x v="7"/>
    <d v="2018-11-27T00:00:00"/>
    <d v="2018-11-27T00:00:00"/>
    <d v="2019-01-30T00:00:00"/>
    <m/>
    <x v="1"/>
    <x v="5"/>
  </r>
  <r>
    <s v="MRNTX036179"/>
    <x v="1"/>
    <x v="7"/>
    <d v="2018-11-26T00:00:00"/>
    <d v="2019-02-21T00:00:00"/>
    <d v="2019-02-28T00:00:00"/>
    <m/>
    <x v="1"/>
    <x v="2"/>
  </r>
  <r>
    <s v="MRNTX036186"/>
    <x v="1"/>
    <x v="7"/>
    <d v="2018-11-09T00:00:00"/>
    <d v="2018-11-09T00:00:00"/>
    <d v="2018-11-08T00:00:00"/>
    <d v="2018-11-08T00:00:00"/>
    <x v="0"/>
    <x v="1"/>
  </r>
  <r>
    <s v="MRNTX029343"/>
    <x v="1"/>
    <x v="7"/>
    <d v="2018-11-27T00:00:00"/>
    <d v="2018-10-23T00:00:00"/>
    <d v="2019-01-30T00:00:00"/>
    <m/>
    <x v="1"/>
    <x v="5"/>
  </r>
  <r>
    <s v="MRNTX029345"/>
    <x v="1"/>
    <x v="7"/>
    <d v="2018-11-23T00:00:00"/>
    <d v="2019-02-14T00:00:00"/>
    <d v="2019-02-28T00:00:00"/>
    <m/>
    <x v="1"/>
    <x v="2"/>
  </r>
  <r>
    <s v="MRNTX029349"/>
    <x v="1"/>
    <x v="7"/>
    <d v="2018-11-09T00:00:00"/>
    <d v="2018-11-09T00:00:00"/>
    <d v="2018-12-30T00:00:00"/>
    <m/>
    <x v="1"/>
    <x v="5"/>
  </r>
  <r>
    <s v="MRNTX029359"/>
    <x v="1"/>
    <x v="7"/>
    <d v="2018-11-09T00:00:00"/>
    <d v="2018-11-09T00:00:00"/>
    <d v="2018-11-08T00:00:00"/>
    <d v="2018-11-08T00:00:00"/>
    <x v="0"/>
    <x v="1"/>
  </r>
  <r>
    <s v="MRNTX029360"/>
    <x v="1"/>
    <x v="7"/>
    <d v="2018-11-15T00:00:00"/>
    <d v="2019-02-14T00:00:00"/>
    <d v="2019-02-28T00:00:00"/>
    <m/>
    <x v="1"/>
    <x v="4"/>
  </r>
  <r>
    <s v="MRNTX029377"/>
    <x v="1"/>
    <x v="7"/>
    <d v="2018-11-21T00:00:00"/>
    <d v="2018-11-21T00:00:00"/>
    <d v="2019-01-30T00:00:00"/>
    <m/>
    <x v="1"/>
    <x v="5"/>
  </r>
  <r>
    <s v="MRNTX029379"/>
    <x v="1"/>
    <x v="7"/>
    <d v="2018-11-02T00:00:00"/>
    <d v="2018-11-18T00:00:00"/>
    <d v="2018-11-02T00:00:00"/>
    <d v="2018-11-02T00:00:00"/>
    <x v="0"/>
    <x v="1"/>
  </r>
  <r>
    <s v="MRNTX029440"/>
    <x v="1"/>
    <x v="7"/>
    <d v="2018-11-27T00:00:00"/>
    <d v="2018-10-23T00:00:00"/>
    <d v="2019-01-30T00:00:00"/>
    <m/>
    <x v="1"/>
    <x v="5"/>
  </r>
  <r>
    <s v="MRNTX029463"/>
    <x v="1"/>
    <x v="7"/>
    <d v="2018-11-23T00:00:00"/>
    <d v="2019-02-14T00:00:00"/>
    <d v="2019-02-28T00:00:00"/>
    <m/>
    <x v="1"/>
    <x v="2"/>
  </r>
  <r>
    <s v="MRNTX029491"/>
    <x v="1"/>
    <x v="7"/>
    <d v="2018-11-09T00:00:00"/>
    <d v="2018-10-24T00:00:00"/>
    <d v="2018-12-30T00:00:00"/>
    <m/>
    <x v="1"/>
    <x v="5"/>
  </r>
  <r>
    <s v="MRNTX029518"/>
    <x v="1"/>
    <x v="7"/>
    <d v="2018-11-09T00:00:00"/>
    <d v="2018-11-09T00:00:00"/>
    <d v="2018-11-28T00:00:00"/>
    <d v="2018-11-28T00:00:00"/>
    <x v="1"/>
    <x v="1"/>
  </r>
  <r>
    <s v="MRNTX029532"/>
    <x v="1"/>
    <x v="7"/>
    <d v="2018-11-03T00:00:00"/>
    <d v="2019-01-17T00:00:00"/>
    <d v="2018-11-28T00:00:00"/>
    <d v="2018-11-28T00:00:00"/>
    <x v="1"/>
    <x v="1"/>
  </r>
  <r>
    <s v="MRNTX029536"/>
    <x v="1"/>
    <x v="7"/>
    <d v="2018-11-09T00:00:00"/>
    <d v="2018-11-09T00:00:00"/>
    <d v="2018-11-13T00:00:00"/>
    <d v="2018-11-13T00:00:00"/>
    <x v="0"/>
    <x v="1"/>
  </r>
  <r>
    <s v="MRNTX029597"/>
    <x v="1"/>
    <x v="7"/>
    <d v="2018-11-08T00:00:00"/>
    <d v="2018-12-25T00:00:00"/>
    <d v="2019-01-30T00:00:00"/>
    <m/>
    <x v="1"/>
    <x v="4"/>
  </r>
  <r>
    <s v="MRNTX029599"/>
    <x v="1"/>
    <x v="7"/>
    <d v="2018-11-21T00:00:00"/>
    <d v="2018-11-21T00:00:00"/>
    <d v="2018-12-30T00:00:00"/>
    <m/>
    <x v="1"/>
    <x v="5"/>
  </r>
  <r>
    <s v="MRNTX029603"/>
    <x v="1"/>
    <x v="7"/>
    <d v="2018-11-21T00:00:00"/>
    <d v="2018-11-21T00:00:00"/>
    <d v="2019-01-30T00:00:00"/>
    <m/>
    <x v="1"/>
    <x v="5"/>
  </r>
  <r>
    <s v="MRNTX029610"/>
    <x v="1"/>
    <x v="7"/>
    <d v="2018-11-27T00:00:00"/>
    <d v="2018-11-27T00:00:00"/>
    <d v="2018-11-07T00:00:00"/>
    <d v="2018-11-07T00:00:00"/>
    <x v="0"/>
    <x v="1"/>
  </r>
  <r>
    <s v="MRNTX029614"/>
    <x v="1"/>
    <x v="7"/>
    <d v="2018-11-04T00:00:00"/>
    <d v="2019-02-21T00:00:00"/>
    <d v="2019-02-28T00:00:00"/>
    <m/>
    <x v="1"/>
    <x v="4"/>
  </r>
  <r>
    <s v="MRNTX029659"/>
    <x v="1"/>
    <x v="7"/>
    <d v="2018-11-09T00:00:00"/>
    <d v="2018-10-24T00:00:00"/>
    <d v="2018-12-30T00:00:00"/>
    <m/>
    <x v="1"/>
    <x v="5"/>
  </r>
  <r>
    <s v="MRNTX029678"/>
    <x v="1"/>
    <x v="7"/>
    <d v="2018-11-23T00:00:00"/>
    <d v="2019-02-14T00:00:00"/>
    <d v="2019-02-28T00:00:00"/>
    <m/>
    <x v="1"/>
    <x v="2"/>
  </r>
  <r>
    <s v="MRNTX029680"/>
    <x v="1"/>
    <x v="7"/>
    <d v="2018-11-23T00:00:00"/>
    <d v="2019-02-14T00:00:00"/>
    <d v="2019-02-28T00:00:00"/>
    <m/>
    <x v="1"/>
    <x v="2"/>
  </r>
  <r>
    <s v="MRNTX029703"/>
    <x v="1"/>
    <x v="7"/>
    <d v="2018-11-09T00:00:00"/>
    <d v="2018-10-23T00:00:00"/>
    <d v="2018-12-30T00:00:00"/>
    <m/>
    <x v="1"/>
    <x v="5"/>
  </r>
  <r>
    <s v="MRNTX029715"/>
    <x v="1"/>
    <x v="7"/>
    <d v="2018-11-21T00:00:00"/>
    <d v="2018-11-21T00:00:00"/>
    <d v="2019-01-30T00:00:00"/>
    <m/>
    <x v="1"/>
    <x v="5"/>
  </r>
  <r>
    <s v="MRNTX030215"/>
    <x v="1"/>
    <x v="7"/>
    <d v="2018-11-22T00:00:00"/>
    <d v="2018-11-23T00:00:00"/>
    <d v="2019-01-30T00:00:00"/>
    <m/>
    <x v="1"/>
    <x v="5"/>
  </r>
  <r>
    <s v="MRNTX033332"/>
    <x v="1"/>
    <x v="7"/>
    <d v="2018-11-21T00:00:00"/>
    <d v="2018-11-17T00:00:00"/>
    <d v="2019-01-30T00:00:00"/>
    <m/>
    <x v="1"/>
    <x v="5"/>
  </r>
  <r>
    <s v="MRNTX033353"/>
    <x v="1"/>
    <x v="7"/>
    <d v="2018-11-13T00:00:00"/>
    <d v="2018-11-13T00:00:00"/>
    <d v="2018-12-30T00:00:00"/>
    <m/>
    <x v="1"/>
    <x v="5"/>
  </r>
  <r>
    <s v="MRNTX033369"/>
    <x v="1"/>
    <x v="7"/>
    <d v="2018-11-13T00:00:00"/>
    <d v="2018-11-13T00:00:00"/>
    <d v="2019-02-28T00:00:00"/>
    <m/>
    <x v="1"/>
    <x v="5"/>
  </r>
  <r>
    <s v="MRNTX033372"/>
    <x v="1"/>
    <x v="7"/>
    <d v="2018-11-23T00:00:00"/>
    <d v="2018-11-10T00:00:00"/>
    <d v="2019-01-30T00:00:00"/>
    <m/>
    <x v="1"/>
    <x v="5"/>
  </r>
  <r>
    <s v="MRNTX033381"/>
    <x v="1"/>
    <x v="7"/>
    <d v="2018-11-21T00:00:00"/>
    <d v="2018-11-21T00:00:00"/>
    <d v="2018-12-30T00:00:00"/>
    <m/>
    <x v="1"/>
    <x v="5"/>
  </r>
  <r>
    <s v="MRNTX033384"/>
    <x v="1"/>
    <x v="7"/>
    <d v="2018-11-29T00:00:00"/>
    <d v="2018-11-29T00:00:00"/>
    <d v="2018-11-13T00:00:00"/>
    <d v="2018-11-13T00:00:00"/>
    <x v="0"/>
    <x v="1"/>
  </r>
  <r>
    <s v="MRNTX033411"/>
    <x v="1"/>
    <x v="7"/>
    <d v="2018-11-21T00:00:00"/>
    <d v="2018-11-17T00:00:00"/>
    <d v="2019-01-30T00:00:00"/>
    <m/>
    <x v="1"/>
    <x v="5"/>
  </r>
  <r>
    <s v="MRNTX033430"/>
    <x v="1"/>
    <x v="7"/>
    <d v="2018-11-13T00:00:00"/>
    <d v="2018-11-13T00:00:00"/>
    <d v="2018-12-30T00:00:00"/>
    <m/>
    <x v="1"/>
    <x v="5"/>
  </r>
  <r>
    <s v="MRNTX033457"/>
    <x v="1"/>
    <x v="7"/>
    <d v="2018-11-27T00:00:00"/>
    <d v="2018-11-27T00:00:00"/>
    <d v="2018-12-30T00:00:00"/>
    <m/>
    <x v="1"/>
    <x v="5"/>
  </r>
  <r>
    <s v="MRNTX033469"/>
    <x v="1"/>
    <x v="7"/>
    <d v="2018-11-27T00:00:00"/>
    <d v="2018-11-27T00:00:00"/>
    <d v="2018-12-30T00:00:00"/>
    <m/>
    <x v="1"/>
    <x v="5"/>
  </r>
  <r>
    <s v="MRNTX033507"/>
    <x v="1"/>
    <x v="7"/>
    <d v="2018-11-23T00:00:00"/>
    <d v="2018-11-23T00:00:00"/>
    <d v="2019-02-28T00:00:00"/>
    <m/>
    <x v="1"/>
    <x v="5"/>
  </r>
  <r>
    <s v="MRNTX033510"/>
    <x v="1"/>
    <x v="7"/>
    <d v="2018-11-21T00:00:00"/>
    <d v="2018-11-21T00:00:00"/>
    <d v="2019-01-30T00:00:00"/>
    <m/>
    <x v="1"/>
    <x v="5"/>
  </r>
  <r>
    <s v="MRNTX033523"/>
    <x v="1"/>
    <x v="7"/>
    <d v="2018-11-21T00:00:00"/>
    <d v="2018-11-17T00:00:00"/>
    <d v="2019-01-30T00:00:00"/>
    <m/>
    <x v="1"/>
    <x v="5"/>
  </r>
  <r>
    <s v="MRNTX033541"/>
    <x v="1"/>
    <x v="7"/>
    <d v="2018-11-23T00:00:00"/>
    <d v="2018-11-10T00:00:00"/>
    <d v="2019-01-30T00:00:00"/>
    <m/>
    <x v="1"/>
    <x v="5"/>
  </r>
  <r>
    <s v="MRWSH016095"/>
    <x v="2"/>
    <x v="7"/>
    <d v="2018-11-30T00:00:00"/>
    <d v="1999-12-30T00:00:00"/>
    <d v="2018-11-30T00:00:00"/>
    <m/>
    <x v="0"/>
    <x v="0"/>
  </r>
  <r>
    <s v="MRWSH017725"/>
    <x v="2"/>
    <x v="7"/>
    <d v="2018-11-17T00:00:00"/>
    <d v="1999-12-30T00:00:00"/>
    <d v="2018-11-30T00:00:00"/>
    <m/>
    <x v="0"/>
    <x v="0"/>
  </r>
  <r>
    <s v="MRWSH019745"/>
    <x v="2"/>
    <x v="7"/>
    <d v="2018-11-30T00:00:00"/>
    <d v="1999-12-30T00:00:00"/>
    <d v="2018-11-30T00:00:00"/>
    <m/>
    <x v="0"/>
    <x v="0"/>
  </r>
  <r>
    <s v="MRWSH019912"/>
    <x v="2"/>
    <x v="7"/>
    <d v="2018-11-25T00:00:00"/>
    <d v="1999-12-30T00:00:00"/>
    <d v="2018-11-21T00:00:00"/>
    <d v="2018-11-21T00:00:00"/>
    <x v="0"/>
    <x v="1"/>
  </r>
  <r>
    <s v="MRWSH019920"/>
    <x v="2"/>
    <x v="7"/>
    <d v="2018-11-30T00:00:00"/>
    <d v="1999-12-30T00:00:00"/>
    <d v="2018-11-05T00:00:00"/>
    <d v="2018-11-05T00:00:00"/>
    <x v="0"/>
    <x v="1"/>
  </r>
  <r>
    <s v="MRWSH019925"/>
    <x v="2"/>
    <x v="7"/>
    <d v="2018-11-25T00:00:00"/>
    <d v="1999-12-30T00:00:00"/>
    <d v="2018-11-09T00:00:00"/>
    <d v="2018-11-09T00:00:00"/>
    <x v="0"/>
    <x v="1"/>
  </r>
  <r>
    <s v="MRANM022189"/>
    <x v="3"/>
    <x v="7"/>
    <d v="2018-11-30T00:00:00"/>
    <d v="1999-12-30T00:00:00"/>
    <d v="2018-11-30T00:00:00"/>
    <m/>
    <x v="0"/>
    <x v="0"/>
  </r>
  <r>
    <s v="MRSTX026302"/>
    <x v="0"/>
    <x v="7"/>
    <d v="2018-11-06T00:00:00"/>
    <d v="2018-09-28T00:00:00"/>
    <d v="2018-11-30T00:00:00"/>
    <m/>
    <x v="1"/>
    <x v="5"/>
  </r>
  <r>
    <s v="MRSTX026303"/>
    <x v="0"/>
    <x v="7"/>
    <d v="2018-11-06T00:00:00"/>
    <d v="2018-09-28T00:00:00"/>
    <d v="2018-11-30T00:00:00"/>
    <m/>
    <x v="1"/>
    <x v="5"/>
  </r>
  <r>
    <s v="MRSTX026304"/>
    <x v="0"/>
    <x v="7"/>
    <d v="2018-11-06T00:00:00"/>
    <d v="2018-09-28T00:00:00"/>
    <d v="2018-11-30T00:00:00"/>
    <m/>
    <x v="1"/>
    <x v="5"/>
  </r>
  <r>
    <s v="MRSTX036419"/>
    <x v="0"/>
    <x v="7"/>
    <d v="2018-11-06T00:00:00"/>
    <d v="2019-01-28T00:00:00"/>
    <d v="2018-11-30T00:00:00"/>
    <m/>
    <x v="1"/>
    <x v="4"/>
  </r>
  <r>
    <s v="MRSTX036422"/>
    <x v="0"/>
    <x v="7"/>
    <d v="2018-11-01T00:00:00"/>
    <d v="2019-01-28T00:00:00"/>
    <d v="2018-11-01T00:00:00"/>
    <d v="2018-11-01T00:00:00"/>
    <x v="0"/>
    <x v="1"/>
  </r>
  <r>
    <s v="MRSTX036429"/>
    <x v="0"/>
    <x v="7"/>
    <d v="2018-11-26T00:00:00"/>
    <d v="2018-12-31T00:00:00"/>
    <d v="2018-11-08T00:00:00"/>
    <d v="2018-11-08T00:00:00"/>
    <x v="0"/>
    <x v="1"/>
  </r>
  <r>
    <s v="MRSTX036451"/>
    <x v="0"/>
    <x v="7"/>
    <d v="2018-11-02T00:00:00"/>
    <d v="2018-11-22T00:00:00"/>
    <d v="2018-11-02T00:00:00"/>
    <d v="2018-11-02T00:00:00"/>
    <x v="0"/>
    <x v="1"/>
  </r>
  <r>
    <s v="MRSTX036459"/>
    <x v="0"/>
    <x v="7"/>
    <d v="2018-11-01T00:00:00"/>
    <d v="2019-01-28T00:00:00"/>
    <d v="2018-11-01T00:00:00"/>
    <d v="2018-11-01T00:00:00"/>
    <x v="0"/>
    <x v="1"/>
  </r>
  <r>
    <s v="MRSTX036468"/>
    <x v="0"/>
    <x v="7"/>
    <d v="2018-11-06T00:00:00"/>
    <d v="2019-01-28T00:00:00"/>
    <d v="2018-11-30T00:00:00"/>
    <m/>
    <x v="1"/>
    <x v="4"/>
  </r>
  <r>
    <s v="MRSTX036555"/>
    <x v="0"/>
    <x v="7"/>
    <d v="2018-11-06T00:00:00"/>
    <d v="2018-12-29T00:00:00"/>
    <d v="2018-11-30T00:00:00"/>
    <m/>
    <x v="1"/>
    <x v="4"/>
  </r>
  <r>
    <s v="MRSTX036574"/>
    <x v="0"/>
    <x v="7"/>
    <d v="2018-11-06T00:00:00"/>
    <d v="2018-12-29T00:00:00"/>
    <d v="2018-11-30T00:00:00"/>
    <m/>
    <x v="1"/>
    <x v="4"/>
  </r>
  <r>
    <s v="MRSTX036578"/>
    <x v="0"/>
    <x v="7"/>
    <d v="2018-11-15T00:00:00"/>
    <d v="2018-12-14T00:00:00"/>
    <d v="2018-11-30T00:00:00"/>
    <m/>
    <x v="1"/>
    <x v="4"/>
  </r>
  <r>
    <s v="MRSTX036676"/>
    <x v="0"/>
    <x v="7"/>
    <d v="2018-11-14T00:00:00"/>
    <d v="2018-11-28T00:00:00"/>
    <d v="2018-11-30T00:00:00"/>
    <m/>
    <x v="1"/>
    <x v="4"/>
  </r>
  <r>
    <s v="MRNTX033555"/>
    <x v="1"/>
    <x v="7"/>
    <d v="2018-11-09T00:00:00"/>
    <d v="1999-12-30T00:00:00"/>
    <d v="2018-12-30T00:00:00"/>
    <m/>
    <x v="1"/>
    <x v="5"/>
  </r>
  <r>
    <s v="MRNTX033589"/>
    <x v="1"/>
    <x v="7"/>
    <d v="2018-11-21T00:00:00"/>
    <d v="2018-11-21T00:00:00"/>
    <d v="2019-01-30T00:00:00"/>
    <m/>
    <x v="1"/>
    <x v="5"/>
  </r>
  <r>
    <s v="MRSTX036000"/>
    <x v="0"/>
    <x v="7"/>
    <d v="2018-11-14T00:00:00"/>
    <d v="2018-12-29T00:00:00"/>
    <d v="2018-11-28T00:00:00"/>
    <d v="2018-11-28T00:00:00"/>
    <x v="0"/>
    <x v="1"/>
  </r>
  <r>
    <s v="MRSTX036001"/>
    <x v="0"/>
    <x v="7"/>
    <d v="2018-11-06T00:00:00"/>
    <d v="2018-12-29T00:00:00"/>
    <d v="2018-11-30T00:00:00"/>
    <m/>
    <x v="1"/>
    <x v="4"/>
  </r>
  <r>
    <s v="MRSTX036002"/>
    <x v="0"/>
    <x v="7"/>
    <d v="2018-11-14T00:00:00"/>
    <d v="2018-12-29T00:00:00"/>
    <d v="2018-11-28T00:00:00"/>
    <d v="2018-11-28T00:00:00"/>
    <x v="0"/>
    <x v="1"/>
  </r>
  <r>
    <s v="MRSTX036004"/>
    <x v="0"/>
    <x v="7"/>
    <d v="2018-11-26T00:00:00"/>
    <d v="2018-12-29T00:00:00"/>
    <d v="2018-11-30T00:00:00"/>
    <m/>
    <x v="0"/>
    <x v="3"/>
  </r>
  <r>
    <s v="MRSTX036006"/>
    <x v="0"/>
    <x v="7"/>
    <d v="2018-11-14T00:00:00"/>
    <d v="2018-12-29T00:00:00"/>
    <d v="2018-11-30T00:00:00"/>
    <m/>
    <x v="1"/>
    <x v="4"/>
  </r>
  <r>
    <s v="MRSTX036008"/>
    <x v="0"/>
    <x v="7"/>
    <d v="2018-11-26T00:00:00"/>
    <d v="2018-12-29T00:00:00"/>
    <d v="2018-11-30T00:00:00"/>
    <m/>
    <x v="0"/>
    <x v="3"/>
  </r>
  <r>
    <s v="MRSTX036011"/>
    <x v="0"/>
    <x v="7"/>
    <d v="2018-11-14T00:00:00"/>
    <d v="2018-12-31T00:00:00"/>
    <d v="2018-11-30T00:00:00"/>
    <m/>
    <x v="1"/>
    <x v="4"/>
  </r>
  <r>
    <s v="MRSTX036013"/>
    <x v="0"/>
    <x v="7"/>
    <d v="2018-11-15T00:00:00"/>
    <d v="2018-12-29T00:00:00"/>
    <d v="2018-11-13T00:00:00"/>
    <d v="2018-11-13T00:00:00"/>
    <x v="0"/>
    <x v="1"/>
  </r>
  <r>
    <s v="MRSTX036024"/>
    <x v="0"/>
    <x v="7"/>
    <d v="2018-11-14T00:00:00"/>
    <d v="2018-12-29T00:00:00"/>
    <d v="2018-11-30T00:00:00"/>
    <m/>
    <x v="1"/>
    <x v="4"/>
  </r>
  <r>
    <s v="MRSTX036027"/>
    <x v="0"/>
    <x v="7"/>
    <d v="2018-11-14T00:00:00"/>
    <d v="2018-12-29T00:00:00"/>
    <d v="2018-11-30T00:00:00"/>
    <m/>
    <x v="1"/>
    <x v="4"/>
  </r>
  <r>
    <s v="MRSTX036031"/>
    <x v="0"/>
    <x v="7"/>
    <d v="2018-11-26T00:00:00"/>
    <d v="2018-12-31T00:00:00"/>
    <d v="2018-11-13T00:00:00"/>
    <d v="2018-11-13T00:00:00"/>
    <x v="0"/>
    <x v="1"/>
  </r>
  <r>
    <s v="MRSTX036035"/>
    <x v="0"/>
    <x v="7"/>
    <d v="2018-11-06T00:00:00"/>
    <d v="2018-12-29T00:00:00"/>
    <d v="2018-11-13T00:00:00"/>
    <d v="2018-11-13T00:00:00"/>
    <x v="0"/>
    <x v="1"/>
  </r>
  <r>
    <s v="MRSTX036047"/>
    <x v="0"/>
    <x v="7"/>
    <d v="2018-11-26T00:00:00"/>
    <d v="2018-12-29T00:00:00"/>
    <d v="2018-11-30T00:00:00"/>
    <m/>
    <x v="0"/>
    <x v="3"/>
  </r>
  <r>
    <s v="MRSTX036048"/>
    <x v="0"/>
    <x v="7"/>
    <d v="2018-11-14T00:00:00"/>
    <d v="2018-12-29T00:00:00"/>
    <d v="2018-11-30T00:00:00"/>
    <m/>
    <x v="1"/>
    <x v="4"/>
  </r>
  <r>
    <s v="MRSTX036054"/>
    <x v="0"/>
    <x v="7"/>
    <d v="2018-11-02T00:00:00"/>
    <d v="2018-11-28T00:00:00"/>
    <d v="2018-11-02T00:00:00"/>
    <d v="2018-11-02T00:00:00"/>
    <x v="0"/>
    <x v="1"/>
  </r>
  <r>
    <s v="MRSTX036061"/>
    <x v="0"/>
    <x v="7"/>
    <d v="2018-11-15T00:00:00"/>
    <d v="2018-12-29T00:00:00"/>
    <d v="2018-11-30T00:00:00"/>
    <m/>
    <x v="1"/>
    <x v="4"/>
  </r>
  <r>
    <s v="MRSTX036084"/>
    <x v="0"/>
    <x v="7"/>
    <d v="2018-11-15T00:00:00"/>
    <d v="2018-11-29T00:00:00"/>
    <d v="2018-11-19T00:00:00"/>
    <d v="2018-11-19T00:00:00"/>
    <x v="0"/>
    <x v="1"/>
  </r>
  <r>
    <s v="MRNTX024772"/>
    <x v="1"/>
    <x v="7"/>
    <d v="2018-11-24T00:00:00"/>
    <d v="2018-11-24T00:00:00"/>
    <d v="2018-12-30T00:00:00"/>
    <m/>
    <x v="1"/>
    <x v="5"/>
  </r>
  <r>
    <s v="MRNTX032343"/>
    <x v="1"/>
    <x v="7"/>
    <d v="2018-11-21T00:00:00"/>
    <d v="2018-11-21T00:00:00"/>
    <d v="2019-01-30T00:00:00"/>
    <m/>
    <x v="1"/>
    <x v="5"/>
  </r>
  <r>
    <s v="MRNTX032350"/>
    <x v="1"/>
    <x v="7"/>
    <d v="2018-11-23T00:00:00"/>
    <d v="2018-11-23T00:00:00"/>
    <d v="2018-12-30T00:00:00"/>
    <m/>
    <x v="1"/>
    <x v="5"/>
  </r>
  <r>
    <s v="MRNTX032359"/>
    <x v="1"/>
    <x v="7"/>
    <d v="2018-11-11T00:00:00"/>
    <d v="2019-02-24T00:00:00"/>
    <d v="2018-12-16T00:00:00"/>
    <m/>
    <x v="1"/>
    <x v="4"/>
  </r>
  <r>
    <s v="MRNTX032367"/>
    <x v="1"/>
    <x v="7"/>
    <d v="2018-11-26T00:00:00"/>
    <d v="2018-11-26T00:00:00"/>
    <d v="2019-02-28T00:00:00"/>
    <m/>
    <x v="1"/>
    <x v="5"/>
  </r>
  <r>
    <s v="MRNTX032368"/>
    <x v="1"/>
    <x v="7"/>
    <d v="2018-11-21T00:00:00"/>
    <d v="2018-11-21T00:00:00"/>
    <d v="2019-01-30T00:00:00"/>
    <m/>
    <x v="1"/>
    <x v="5"/>
  </r>
  <r>
    <s v="MRNTX032377"/>
    <x v="1"/>
    <x v="7"/>
    <d v="2018-11-04T00:00:00"/>
    <d v="2019-01-11T00:00:00"/>
    <d v="2019-02-28T00:00:00"/>
    <m/>
    <x v="1"/>
    <x v="4"/>
  </r>
  <r>
    <s v="MRNTX032382"/>
    <x v="1"/>
    <x v="7"/>
    <d v="2018-11-12T00:00:00"/>
    <d v="2018-11-12T00:00:00"/>
    <d v="2018-11-13T00:00:00"/>
    <d v="2018-11-13T00:00:00"/>
    <x v="0"/>
    <x v="1"/>
  </r>
  <r>
    <s v="MRNTX032391"/>
    <x v="1"/>
    <x v="7"/>
    <d v="2018-11-23T00:00:00"/>
    <d v="2018-11-23T00:00:00"/>
    <d v="2018-12-30T00:00:00"/>
    <m/>
    <x v="1"/>
    <x v="5"/>
  </r>
  <r>
    <s v="MRNTX032400"/>
    <x v="1"/>
    <x v="7"/>
    <d v="2018-11-11T00:00:00"/>
    <d v="2018-11-11T00:00:00"/>
    <d v="2019-05-30T00:00:00"/>
    <m/>
    <x v="1"/>
    <x v="5"/>
  </r>
  <r>
    <s v="MRNTX032454"/>
    <x v="1"/>
    <x v="7"/>
    <d v="2018-11-29T00:00:00"/>
    <d v="2018-12-11T00:00:00"/>
    <d v="2018-11-13T00:00:00"/>
    <d v="2018-11-13T00:00:00"/>
    <x v="0"/>
    <x v="1"/>
  </r>
  <r>
    <s v="MRNTX032470"/>
    <x v="1"/>
    <x v="7"/>
    <d v="2018-11-25T00:00:00"/>
    <d v="1999-12-30T00:00:00"/>
    <d v="2018-11-05T00:00:00"/>
    <d v="2018-11-05T00:00:00"/>
    <x v="0"/>
    <x v="1"/>
  </r>
  <r>
    <s v="MRWSH024573"/>
    <x v="2"/>
    <x v="7"/>
    <d v="2018-11-30T00:00:00"/>
    <d v="1999-12-30T00:00:00"/>
    <d v="2018-11-27T00:00:00"/>
    <d v="2018-11-27T00:00:00"/>
    <x v="0"/>
    <x v="1"/>
  </r>
  <r>
    <s v="MRWSH024594"/>
    <x v="2"/>
    <x v="7"/>
    <d v="2018-11-30T00:00:00"/>
    <d v="1999-12-30T00:00:00"/>
    <d v="2018-11-05T00:00:00"/>
    <d v="2018-11-05T00:00:00"/>
    <x v="0"/>
    <x v="1"/>
  </r>
  <r>
    <s v="MRWSH024604"/>
    <x v="2"/>
    <x v="7"/>
    <d v="2018-11-29T00:00:00"/>
    <d v="1999-12-30T00:00:00"/>
    <d v="2018-12-30T00:00:00"/>
    <m/>
    <x v="1"/>
    <x v="5"/>
  </r>
  <r>
    <s v="MRWSH024658"/>
    <x v="2"/>
    <x v="7"/>
    <d v="2018-11-25T00:00:00"/>
    <d v="1999-12-30T00:00:00"/>
    <d v="2018-11-09T00:00:00"/>
    <d v="2018-11-09T00:00:00"/>
    <x v="0"/>
    <x v="1"/>
  </r>
  <r>
    <s v="MRWSH024668"/>
    <x v="2"/>
    <x v="7"/>
    <d v="2018-11-29T00:00:00"/>
    <d v="1999-12-30T00:00:00"/>
    <d v="2018-11-20T00:00:00"/>
    <d v="2018-11-20T00:00:00"/>
    <x v="0"/>
    <x v="1"/>
  </r>
  <r>
    <s v="MRWSH024672"/>
    <x v="2"/>
    <x v="7"/>
    <d v="2018-11-18T00:00:00"/>
    <d v="1999-12-30T00:00:00"/>
    <d v="2018-11-07T00:00:00"/>
    <d v="2018-11-07T00:00:00"/>
    <x v="0"/>
    <x v="1"/>
  </r>
  <r>
    <s v="MRWSH024678"/>
    <x v="2"/>
    <x v="7"/>
    <d v="2018-11-25T00:00:00"/>
    <d v="1999-12-30T00:00:00"/>
    <d v="2018-11-09T00:00:00"/>
    <d v="2018-11-09T00:00:00"/>
    <x v="0"/>
    <x v="1"/>
  </r>
  <r>
    <s v="MRWSH024696"/>
    <x v="2"/>
    <x v="7"/>
    <d v="2018-11-29T00:00:00"/>
    <d v="1999-12-30T00:00:00"/>
    <d v="2018-11-29T00:00:00"/>
    <m/>
    <x v="0"/>
    <x v="0"/>
  </r>
  <r>
    <s v="MRWSH024725"/>
    <x v="2"/>
    <x v="7"/>
    <d v="2018-11-30T00:00:00"/>
    <d v="1999-12-30T00:00:00"/>
    <d v="2018-11-27T00:00:00"/>
    <d v="2018-11-27T00:00:00"/>
    <x v="0"/>
    <x v="1"/>
  </r>
  <r>
    <s v="MRWSH024740"/>
    <x v="2"/>
    <x v="7"/>
    <d v="2018-11-17T00:00:00"/>
    <d v="1999-12-30T00:00:00"/>
    <d v="2018-11-30T00:00:00"/>
    <m/>
    <x v="0"/>
    <x v="0"/>
  </r>
  <r>
    <s v="MRWSH024741"/>
    <x v="2"/>
    <x v="7"/>
    <d v="2018-11-29T00:00:00"/>
    <d v="1999-12-30T00:00:00"/>
    <d v="2018-11-20T00:00:00"/>
    <d v="2018-11-20T00:00:00"/>
    <x v="0"/>
    <x v="1"/>
  </r>
  <r>
    <s v="MRWSH024753"/>
    <x v="2"/>
    <x v="7"/>
    <d v="2018-11-30T00:00:00"/>
    <d v="1999-12-30T00:00:00"/>
    <d v="2018-12-15T00:00:00"/>
    <m/>
    <x v="1"/>
    <x v="5"/>
  </r>
  <r>
    <s v="MRWSH024772"/>
    <x v="2"/>
    <x v="7"/>
    <d v="2018-11-30T00:00:00"/>
    <d v="1999-12-30T00:00:00"/>
    <d v="2018-11-27T00:00:00"/>
    <d v="2018-11-27T00:00:00"/>
    <x v="0"/>
    <x v="1"/>
  </r>
  <r>
    <s v="MRSTX036119"/>
    <x v="0"/>
    <x v="7"/>
    <d v="2018-11-06T00:00:00"/>
    <d v="2018-10-28T00:00:00"/>
    <d v="2018-11-13T00:00:00"/>
    <d v="2018-11-13T00:00:00"/>
    <x v="0"/>
    <x v="1"/>
  </r>
  <r>
    <s v="MRSTX036128"/>
    <x v="0"/>
    <x v="7"/>
    <d v="2018-11-06T00:00:00"/>
    <d v="2018-12-30T00:00:00"/>
    <d v="2018-11-30T00:00:00"/>
    <m/>
    <x v="1"/>
    <x v="4"/>
  </r>
  <r>
    <s v="MRSTX036161"/>
    <x v="0"/>
    <x v="7"/>
    <d v="2018-11-29T00:00:00"/>
    <d v="2018-11-14T00:00:00"/>
    <d v="2018-11-20T00:00:00"/>
    <d v="2018-11-20T00:00:00"/>
    <x v="0"/>
    <x v="1"/>
  </r>
  <r>
    <s v="MRWSH022344"/>
    <x v="2"/>
    <x v="7"/>
    <d v="2018-11-25T00:00:00"/>
    <d v="1999-12-30T00:00:00"/>
    <d v="2018-12-06T00:00:00"/>
    <m/>
    <x v="0"/>
    <x v="0"/>
  </r>
  <r>
    <s v="MRWSH022490"/>
    <x v="2"/>
    <x v="7"/>
    <d v="2018-11-17T00:00:00"/>
    <d v="1999-12-30T00:00:00"/>
    <d v="2018-11-30T00:00:00"/>
    <m/>
    <x v="0"/>
    <x v="0"/>
  </r>
  <r>
    <s v="MRWSH022506"/>
    <x v="2"/>
    <x v="7"/>
    <d v="2018-11-17T00:00:00"/>
    <d v="1999-12-30T00:00:00"/>
    <d v="2018-11-30T00:00:00"/>
    <m/>
    <x v="0"/>
    <x v="0"/>
  </r>
  <r>
    <s v="MRWSH022511"/>
    <x v="2"/>
    <x v="7"/>
    <d v="2018-11-30T00:00:00"/>
    <d v="1999-12-30T00:00:00"/>
    <d v="2018-11-30T00:00:00"/>
    <m/>
    <x v="0"/>
    <x v="0"/>
  </r>
  <r>
    <s v="MRWSH022553"/>
    <x v="2"/>
    <x v="7"/>
    <d v="2018-11-30T00:00:00"/>
    <d v="1999-12-30T00:00:00"/>
    <d v="2018-11-30T00:00:00"/>
    <m/>
    <x v="0"/>
    <x v="0"/>
  </r>
  <r>
    <s v="MRNTX032491"/>
    <x v="1"/>
    <x v="7"/>
    <d v="2018-11-11T00:00:00"/>
    <d v="2018-11-24T00:00:00"/>
    <d v="2019-02-28T00:00:00"/>
    <m/>
    <x v="1"/>
    <x v="5"/>
  </r>
  <r>
    <s v="MRNTX032494"/>
    <x v="1"/>
    <x v="7"/>
    <d v="2018-11-09T00:00:00"/>
    <d v="2018-11-09T00:00:00"/>
    <d v="2018-12-30T00:00:00"/>
    <m/>
    <x v="1"/>
    <x v="5"/>
  </r>
  <r>
    <s v="MRNTX032520"/>
    <x v="1"/>
    <x v="7"/>
    <d v="2018-11-24T00:00:00"/>
    <d v="2018-11-24T00:00:00"/>
    <d v="2019-02-28T00:00:00"/>
    <m/>
    <x v="1"/>
    <x v="5"/>
  </r>
  <r>
    <s v="MRNTX032593"/>
    <x v="1"/>
    <x v="7"/>
    <d v="2018-11-24T00:00:00"/>
    <d v="2018-11-24T00:00:00"/>
    <d v="2019-02-28T00:00:00"/>
    <m/>
    <x v="1"/>
    <x v="5"/>
  </r>
  <r>
    <s v="MRNTX032620"/>
    <x v="1"/>
    <x v="7"/>
    <d v="2018-11-21T00:00:00"/>
    <d v="2018-11-21T00:00:00"/>
    <d v="2019-01-30T00:00:00"/>
    <m/>
    <x v="1"/>
    <x v="5"/>
  </r>
  <r>
    <s v="MRNTX042618"/>
    <x v="1"/>
    <x v="7"/>
    <d v="2018-11-27T00:00:00"/>
    <d v="1999-12-30T00:00:00"/>
    <d v="2018-12-30T00:00:00"/>
    <m/>
    <x v="1"/>
    <x v="5"/>
  </r>
  <r>
    <s v="MRSTX034243"/>
    <x v="0"/>
    <x v="7"/>
    <d v="2018-11-29T00:00:00"/>
    <d v="2018-11-29T00:00:00"/>
    <d v="2018-11-28T00:00:00"/>
    <d v="2018-11-28T00:00:00"/>
    <x v="0"/>
    <x v="1"/>
  </r>
  <r>
    <s v="MRSTX034262"/>
    <x v="0"/>
    <x v="7"/>
    <d v="2018-11-15T00:00:00"/>
    <d v="2018-11-29T00:00:00"/>
    <d v="2018-11-30T00:00:00"/>
    <m/>
    <x v="1"/>
    <x v="4"/>
  </r>
  <r>
    <s v="MRSTX034280"/>
    <x v="0"/>
    <x v="7"/>
    <d v="2018-11-21T00:00:00"/>
    <d v="2018-11-21T00:00:00"/>
    <d v="2018-11-30T00:00:00"/>
    <m/>
    <x v="0"/>
    <x v="0"/>
  </r>
  <r>
    <s v="MRWSH024954"/>
    <x v="2"/>
    <x v="7"/>
    <d v="2018-11-25T00:00:00"/>
    <d v="1999-12-30T00:00:00"/>
    <d v="2018-11-15T00:00:00"/>
    <d v="2018-11-15T00:00:00"/>
    <x v="0"/>
    <x v="1"/>
  </r>
  <r>
    <s v="MRWSH024962"/>
    <x v="2"/>
    <x v="7"/>
    <d v="2018-11-29T00:00:00"/>
    <d v="1999-12-30T00:00:00"/>
    <d v="2018-11-29T00:00:00"/>
    <m/>
    <x v="0"/>
    <x v="0"/>
  </r>
  <r>
    <s v="MRWSH024976"/>
    <x v="2"/>
    <x v="7"/>
    <d v="2018-11-25T00:00:00"/>
    <d v="1999-12-30T00:00:00"/>
    <d v="2018-11-15T00:00:00"/>
    <d v="2018-11-15T00:00:00"/>
    <x v="0"/>
    <x v="1"/>
  </r>
  <r>
    <s v="MRNTX030958"/>
    <x v="1"/>
    <x v="7"/>
    <d v="2018-11-09T00:00:00"/>
    <d v="2018-11-17T00:00:00"/>
    <d v="2018-12-30T00:00:00"/>
    <m/>
    <x v="1"/>
    <x v="5"/>
  </r>
  <r>
    <s v="MRNTX030979"/>
    <x v="1"/>
    <x v="7"/>
    <d v="2018-11-09T00:00:00"/>
    <d v="1999-12-30T00:00:00"/>
    <d v="2018-11-07T00:00:00"/>
    <d v="2018-11-07T00:00:00"/>
    <x v="0"/>
    <x v="1"/>
  </r>
  <r>
    <s v="MRNTX031005"/>
    <x v="1"/>
    <x v="7"/>
    <d v="2018-11-23T00:00:00"/>
    <d v="2018-11-23T00:00:00"/>
    <d v="2018-12-30T00:00:00"/>
    <m/>
    <x v="1"/>
    <x v="5"/>
  </r>
  <r>
    <s v="MRNTX031054"/>
    <x v="1"/>
    <x v="7"/>
    <d v="2018-11-21T00:00:00"/>
    <d v="2018-11-21T00:00:00"/>
    <d v="2018-12-30T00:00:00"/>
    <m/>
    <x v="1"/>
    <x v="5"/>
  </r>
  <r>
    <s v="MRWSH022567"/>
    <x v="2"/>
    <x v="7"/>
    <d v="2018-11-30T00:00:00"/>
    <d v="1999-12-30T00:00:00"/>
    <d v="2018-11-27T00:00:00"/>
    <d v="2018-11-27T00:00:00"/>
    <x v="0"/>
    <x v="1"/>
  </r>
  <r>
    <s v="MRWSH022591"/>
    <x v="2"/>
    <x v="7"/>
    <d v="2018-11-25T00:00:00"/>
    <d v="1999-12-30T00:00:00"/>
    <d v="2018-12-06T00:00:00"/>
    <m/>
    <x v="0"/>
    <x v="0"/>
  </r>
  <r>
    <s v="MRWSH022626"/>
    <x v="2"/>
    <x v="7"/>
    <d v="2018-11-30T00:00:00"/>
    <d v="1999-12-30T00:00:00"/>
    <d v="2018-11-30T00:00:00"/>
    <m/>
    <x v="0"/>
    <x v="0"/>
  </r>
  <r>
    <s v="MRWSH022670"/>
    <x v="2"/>
    <x v="7"/>
    <d v="2018-11-18T00:00:00"/>
    <d v="1999-12-30T00:00:00"/>
    <d v="2018-11-07T00:00:00"/>
    <d v="2018-11-07T00:00:00"/>
    <x v="0"/>
    <x v="1"/>
  </r>
  <r>
    <s v="MRWSH022675"/>
    <x v="2"/>
    <x v="7"/>
    <d v="2018-11-18T00:00:00"/>
    <d v="1999-12-30T00:00:00"/>
    <d v="2018-11-07T00:00:00"/>
    <d v="2018-11-07T00:00:00"/>
    <x v="0"/>
    <x v="1"/>
  </r>
  <r>
    <s v="MRWSH022814"/>
    <x v="2"/>
    <x v="7"/>
    <d v="2018-11-30T00:00:00"/>
    <d v="1999-12-30T00:00:00"/>
    <d v="2018-12-06T00:00:00"/>
    <m/>
    <x v="0"/>
    <x v="0"/>
  </r>
  <r>
    <s v="MRSTX034350"/>
    <x v="0"/>
    <x v="7"/>
    <d v="2018-11-29T00:00:00"/>
    <d v="2018-11-29T00:00:00"/>
    <d v="2018-11-20T00:00:00"/>
    <d v="2018-11-20T00:00:00"/>
    <x v="0"/>
    <x v="1"/>
  </r>
  <r>
    <s v="MRSTX034431"/>
    <x v="0"/>
    <x v="7"/>
    <d v="2018-11-21T00:00:00"/>
    <d v="2018-11-21T00:00:00"/>
    <d v="2018-11-30T00:00:00"/>
    <m/>
    <x v="0"/>
    <x v="0"/>
  </r>
  <r>
    <s v="MRSTX034444"/>
    <x v="0"/>
    <x v="7"/>
    <d v="2018-11-29T00:00:00"/>
    <d v="2018-11-29T00:00:00"/>
    <d v="2018-11-28T00:00:00"/>
    <d v="2018-11-28T00:00:00"/>
    <x v="0"/>
    <x v="1"/>
  </r>
  <r>
    <s v="MRSTX034451"/>
    <x v="0"/>
    <x v="7"/>
    <d v="2018-11-02T00:00:00"/>
    <d v="2018-12-20T00:00:00"/>
    <d v="2018-11-02T00:00:00"/>
    <d v="2018-11-02T00:00:00"/>
    <x v="0"/>
    <x v="1"/>
  </r>
  <r>
    <s v="MRSTX034465"/>
    <x v="0"/>
    <x v="7"/>
    <d v="2018-11-15T00:00:00"/>
    <d v="2018-11-29T00:00:00"/>
    <d v="2018-11-30T00:00:00"/>
    <m/>
    <x v="1"/>
    <x v="4"/>
  </r>
  <r>
    <s v="MRSTX034489"/>
    <x v="0"/>
    <x v="7"/>
    <d v="2018-11-06T00:00:00"/>
    <d v="2018-11-29T00:00:00"/>
    <d v="2018-11-19T00:00:00"/>
    <d v="2018-11-19T00:00:00"/>
    <x v="0"/>
    <x v="1"/>
  </r>
  <r>
    <s v="MRSTX034494"/>
    <x v="0"/>
    <x v="7"/>
    <d v="2018-11-29T00:00:00"/>
    <d v="2018-11-29T00:00:00"/>
    <d v="2018-11-20T00:00:00"/>
    <d v="2018-11-20T00:00:00"/>
    <x v="0"/>
    <x v="1"/>
  </r>
  <r>
    <s v="MRSTX034527"/>
    <x v="0"/>
    <x v="7"/>
    <d v="2018-11-06T00:00:00"/>
    <d v="2018-12-31T00:00:00"/>
    <d v="2018-11-13T00:00:00"/>
    <d v="2018-11-13T00:00:00"/>
    <x v="0"/>
    <x v="1"/>
  </r>
  <r>
    <s v="MRSTX034537"/>
    <x v="0"/>
    <x v="7"/>
    <d v="2018-11-06T00:00:00"/>
    <d v="2018-12-29T00:00:00"/>
    <d v="2018-11-30T00:00:00"/>
    <m/>
    <x v="1"/>
    <x v="4"/>
  </r>
  <r>
    <s v="MRWSH019954"/>
    <x v="2"/>
    <x v="7"/>
    <d v="2018-11-29T00:00:00"/>
    <d v="1999-12-30T00:00:00"/>
    <d v="2018-12-30T00:00:00"/>
    <m/>
    <x v="1"/>
    <x v="5"/>
  </r>
  <r>
    <s v="MRNTX031121"/>
    <x v="1"/>
    <x v="7"/>
    <d v="2018-11-11T00:00:00"/>
    <d v="2018-11-11T00:00:00"/>
    <d v="2019-05-30T00:00:00"/>
    <m/>
    <x v="1"/>
    <x v="5"/>
  </r>
  <r>
    <s v="MRNTX031136"/>
    <x v="1"/>
    <x v="7"/>
    <d v="2018-11-26T00:00:00"/>
    <d v="2018-11-26T00:00:00"/>
    <d v="2019-02-28T00:00:00"/>
    <m/>
    <x v="1"/>
    <x v="5"/>
  </r>
  <r>
    <s v="MRNTX031166"/>
    <x v="1"/>
    <x v="7"/>
    <d v="2018-11-23T00:00:00"/>
    <d v="2018-11-23T00:00:00"/>
    <d v="2018-12-30T00:00:00"/>
    <m/>
    <x v="1"/>
    <x v="5"/>
  </r>
  <r>
    <s v="MRNTX031198"/>
    <x v="1"/>
    <x v="7"/>
    <d v="2018-11-09T00:00:00"/>
    <d v="2018-10-17T00:00:00"/>
    <d v="2018-12-30T00:00:00"/>
    <m/>
    <x v="1"/>
    <x v="5"/>
  </r>
  <r>
    <s v="MRNTX031207"/>
    <x v="1"/>
    <x v="7"/>
    <d v="2018-11-11T00:00:00"/>
    <d v="2019-02-24T00:00:00"/>
    <d v="2019-02-28T00:00:00"/>
    <m/>
    <x v="1"/>
    <x v="4"/>
  </r>
  <r>
    <s v="MRNTX031215"/>
    <x v="1"/>
    <x v="7"/>
    <d v="2018-11-10T00:00:00"/>
    <d v="1999-12-30T00:00:00"/>
    <d v="2019-01-30T00:00:00"/>
    <m/>
    <x v="1"/>
    <x v="5"/>
  </r>
  <r>
    <s v="MRNTX031230"/>
    <x v="1"/>
    <x v="7"/>
    <d v="2018-11-11T00:00:00"/>
    <d v="2019-02-21T00:00:00"/>
    <d v="2018-12-27T00:00:00"/>
    <m/>
    <x v="1"/>
    <x v="4"/>
  </r>
  <r>
    <s v="MRNTX031234"/>
    <x v="1"/>
    <x v="7"/>
    <d v="2018-11-21T00:00:00"/>
    <d v="2018-11-21T00:00:00"/>
    <d v="2019-01-30T00:00:00"/>
    <m/>
    <x v="1"/>
    <x v="5"/>
  </r>
  <r>
    <s v="MRNTX031261"/>
    <x v="1"/>
    <x v="7"/>
    <d v="2018-11-27T00:00:00"/>
    <d v="2018-11-27T00:00:00"/>
    <d v="2018-11-07T00:00:00"/>
    <d v="2018-11-07T00:00:00"/>
    <x v="0"/>
    <x v="1"/>
  </r>
  <r>
    <s v="MRNTX031265"/>
    <x v="1"/>
    <x v="7"/>
    <d v="2018-11-04T00:00:00"/>
    <d v="2019-02-21T00:00:00"/>
    <d v="2019-02-28T00:00:00"/>
    <m/>
    <x v="1"/>
    <x v="4"/>
  </r>
  <r>
    <s v="MRNTX036228"/>
    <x v="1"/>
    <x v="7"/>
    <d v="2018-11-09T00:00:00"/>
    <d v="2018-11-09T00:00:00"/>
    <d v="2018-12-30T00:00:00"/>
    <m/>
    <x v="1"/>
    <x v="5"/>
  </r>
  <r>
    <s v="MRNTX036231"/>
    <x v="1"/>
    <x v="7"/>
    <d v="2018-11-30T00:00:00"/>
    <d v="2018-11-30T00:00:00"/>
    <d v="2018-12-30T00:00:00"/>
    <m/>
    <x v="1"/>
    <x v="5"/>
  </r>
  <r>
    <s v="MRNTX036235"/>
    <x v="1"/>
    <x v="7"/>
    <d v="2018-11-26T00:00:00"/>
    <d v="2019-02-21T00:00:00"/>
    <d v="2019-02-28T00:00:00"/>
    <m/>
    <x v="1"/>
    <x v="2"/>
  </r>
  <r>
    <s v="MRNTX036265"/>
    <x v="1"/>
    <x v="7"/>
    <d v="2018-11-27T00:00:00"/>
    <d v="2018-11-27T00:00:00"/>
    <d v="2019-01-30T00:00:00"/>
    <m/>
    <x v="1"/>
    <x v="5"/>
  </r>
  <r>
    <s v="MRNTX036270"/>
    <x v="1"/>
    <x v="7"/>
    <d v="2018-11-02T00:00:00"/>
    <d v="1999-12-30T00:00:00"/>
    <d v="2018-11-28T00:00:00"/>
    <d v="2018-11-28T00:00:00"/>
    <x v="1"/>
    <x v="1"/>
  </r>
  <r>
    <s v="MRNTX036273"/>
    <x v="1"/>
    <x v="7"/>
    <d v="2018-11-27T00:00:00"/>
    <d v="2018-11-27T00:00:00"/>
    <d v="2019-01-30T00:00:00"/>
    <m/>
    <x v="1"/>
    <x v="5"/>
  </r>
  <r>
    <s v="MRNTX036337"/>
    <x v="1"/>
    <x v="7"/>
    <d v="2018-11-13T00:00:00"/>
    <d v="2018-11-02T00:00:00"/>
    <d v="2018-11-05T00:00:00"/>
    <d v="2018-11-05T00:00:00"/>
    <x v="0"/>
    <x v="1"/>
  </r>
  <r>
    <s v="MRNTX036354"/>
    <x v="1"/>
    <x v="7"/>
    <d v="2018-11-21T00:00:00"/>
    <d v="2018-11-21T00:00:00"/>
    <d v="2018-12-30T00:00:00"/>
    <m/>
    <x v="1"/>
    <x v="5"/>
  </r>
  <r>
    <s v="MRNTX036368"/>
    <x v="1"/>
    <x v="7"/>
    <d v="2018-11-23T00:00:00"/>
    <d v="2018-11-23T00:00:00"/>
    <d v="2018-11-08T00:00:00"/>
    <d v="2018-11-08T00:00:00"/>
    <x v="0"/>
    <x v="1"/>
  </r>
  <r>
    <s v="MRNTX036418"/>
    <x v="1"/>
    <x v="7"/>
    <d v="2018-11-09T00:00:00"/>
    <d v="1999-12-30T00:00:00"/>
    <d v="2019-01-30T00:00:00"/>
    <m/>
    <x v="1"/>
    <x v="5"/>
  </r>
  <r>
    <s v="MRNTX036431"/>
    <x v="1"/>
    <x v="7"/>
    <d v="2018-11-27T00:00:00"/>
    <d v="2018-11-27T00:00:00"/>
    <d v="2019-01-30T00:00:00"/>
    <m/>
    <x v="1"/>
    <x v="5"/>
  </r>
  <r>
    <s v="MRNTX036433"/>
    <x v="1"/>
    <x v="7"/>
    <d v="2018-11-27T00:00:00"/>
    <d v="2018-11-27T00:00:00"/>
    <d v="2019-01-30T00:00:00"/>
    <m/>
    <x v="1"/>
    <x v="5"/>
  </r>
  <r>
    <s v="MRNTX036447"/>
    <x v="1"/>
    <x v="7"/>
    <d v="2018-11-27T00:00:00"/>
    <d v="2018-11-27T00:00:00"/>
    <d v="2019-01-30T00:00:00"/>
    <m/>
    <x v="1"/>
    <x v="5"/>
  </r>
  <r>
    <s v="MRNTX036452"/>
    <x v="1"/>
    <x v="7"/>
    <d v="2018-11-13T00:00:00"/>
    <d v="2019-02-14T00:00:00"/>
    <d v="2019-01-30T00:00:00"/>
    <m/>
    <x v="1"/>
    <x v="4"/>
  </r>
  <r>
    <s v="MRNTX036455"/>
    <x v="1"/>
    <x v="7"/>
    <d v="2018-11-27T00:00:00"/>
    <d v="2018-11-27T00:00:00"/>
    <d v="2019-01-30T00:00:00"/>
    <m/>
    <x v="1"/>
    <x v="5"/>
  </r>
  <r>
    <s v="MRNTX036480"/>
    <x v="1"/>
    <x v="7"/>
    <d v="2018-11-21T00:00:00"/>
    <d v="2018-11-21T00:00:00"/>
    <d v="2018-11-28T00:00:00"/>
    <d v="2018-11-28T00:00:00"/>
    <x v="0"/>
    <x v="1"/>
  </r>
  <r>
    <s v="MRNTX036578"/>
    <x v="1"/>
    <x v="7"/>
    <d v="2018-11-21T00:00:00"/>
    <d v="2018-11-21T00:00:00"/>
    <d v="2019-01-30T00:00:00"/>
    <m/>
    <x v="1"/>
    <x v="5"/>
  </r>
  <r>
    <s v="MRNTX036581"/>
    <x v="1"/>
    <x v="7"/>
    <d v="2018-11-21T00:00:00"/>
    <d v="2018-11-21T00:00:00"/>
    <d v="2018-12-30T00:00:00"/>
    <m/>
    <x v="1"/>
    <x v="5"/>
  </r>
  <r>
    <s v="MRSTX027611"/>
    <x v="0"/>
    <x v="7"/>
    <d v="2018-11-02T00:00:00"/>
    <d v="2018-12-30T00:00:00"/>
    <d v="2018-11-02T00:00:00"/>
    <d v="2018-11-02T00:00:00"/>
    <x v="0"/>
    <x v="1"/>
  </r>
  <r>
    <s v="MRNTX031294"/>
    <x v="1"/>
    <x v="7"/>
    <d v="2018-11-12T00:00:00"/>
    <d v="2018-11-12T00:00:00"/>
    <d v="2018-11-13T00:00:00"/>
    <d v="2018-11-13T00:00:00"/>
    <x v="0"/>
    <x v="1"/>
  </r>
  <r>
    <s v="MRNTX031296"/>
    <x v="1"/>
    <x v="7"/>
    <d v="2018-11-27T00:00:00"/>
    <d v="2018-11-27T00:00:00"/>
    <d v="2018-11-13T00:00:00"/>
    <d v="2018-11-13T00:00:00"/>
    <x v="0"/>
    <x v="1"/>
  </r>
  <r>
    <s v="MRNTX031332"/>
    <x v="1"/>
    <x v="7"/>
    <d v="2018-11-23T00:00:00"/>
    <d v="2018-11-23T00:00:00"/>
    <d v="2018-11-08T00:00:00"/>
    <d v="2018-11-08T00:00:00"/>
    <x v="0"/>
    <x v="1"/>
  </r>
  <r>
    <s v="MRNTX031344"/>
    <x v="1"/>
    <x v="7"/>
    <d v="2018-11-14T00:00:00"/>
    <d v="1999-12-30T00:00:00"/>
    <d v="2018-11-28T00:00:00"/>
    <d v="2018-11-28T00:00:00"/>
    <x v="0"/>
    <x v="1"/>
  </r>
  <r>
    <s v="MRNTX031351"/>
    <x v="1"/>
    <x v="7"/>
    <d v="2018-11-12T00:00:00"/>
    <d v="2018-10-26T00:00:00"/>
    <d v="2018-12-30T00:00:00"/>
    <m/>
    <x v="1"/>
    <x v="5"/>
  </r>
  <r>
    <s v="MRNTX031354"/>
    <x v="1"/>
    <x v="7"/>
    <d v="2018-11-23T00:00:00"/>
    <d v="2018-11-23T00:00:00"/>
    <d v="2019-01-30T00:00:00"/>
    <m/>
    <x v="1"/>
    <x v="5"/>
  </r>
  <r>
    <s v="MRNTX031377"/>
    <x v="1"/>
    <x v="7"/>
    <d v="2018-11-12T00:00:00"/>
    <d v="2018-10-26T00:00:00"/>
    <d v="2018-12-30T00:00:00"/>
    <m/>
    <x v="1"/>
    <x v="5"/>
  </r>
  <r>
    <s v="MRNTX031408"/>
    <x v="1"/>
    <x v="7"/>
    <d v="2018-11-21T00:00:00"/>
    <d v="2018-11-21T00:00:00"/>
    <d v="2019-01-30T00:00:00"/>
    <m/>
    <x v="1"/>
    <x v="5"/>
  </r>
  <r>
    <s v="MRNTX031425"/>
    <x v="1"/>
    <x v="7"/>
    <d v="2018-11-11T00:00:00"/>
    <d v="2018-10-24T00:00:00"/>
    <d v="2018-12-30T00:00:00"/>
    <m/>
    <x v="1"/>
    <x v="5"/>
  </r>
  <r>
    <s v="MRNTX031437"/>
    <x v="1"/>
    <x v="7"/>
    <d v="2018-11-02T00:00:00"/>
    <d v="2019-02-14T00:00:00"/>
    <d v="2019-01-30T00:00:00"/>
    <m/>
    <x v="1"/>
    <x v="4"/>
  </r>
  <r>
    <s v="MRNTX031448"/>
    <x v="1"/>
    <x v="7"/>
    <d v="2018-11-07T00:00:00"/>
    <d v="1999-12-30T00:00:00"/>
    <d v="2019-01-30T00:00:00"/>
    <m/>
    <x v="1"/>
    <x v="5"/>
  </r>
  <r>
    <s v="MRNTX031468"/>
    <x v="1"/>
    <x v="7"/>
    <d v="2018-11-21T00:00:00"/>
    <d v="2018-11-21T00:00:00"/>
    <d v="2018-12-30T00:00:00"/>
    <m/>
    <x v="1"/>
    <x v="5"/>
  </r>
  <r>
    <s v="MRNTX031500"/>
    <x v="1"/>
    <x v="7"/>
    <d v="2018-11-21T00:00:00"/>
    <d v="2018-11-21T00:00:00"/>
    <d v="2019-01-30T00:00:00"/>
    <m/>
    <x v="1"/>
    <x v="5"/>
  </r>
  <r>
    <s v="MRNTX031514"/>
    <x v="1"/>
    <x v="7"/>
    <d v="2018-11-23T00:00:00"/>
    <d v="2019-02-14T00:00:00"/>
    <d v="2019-02-28T00:00:00"/>
    <m/>
    <x v="1"/>
    <x v="2"/>
  </r>
  <r>
    <s v="MRNTX031530"/>
    <x v="1"/>
    <x v="7"/>
    <d v="2018-11-21T00:00:00"/>
    <d v="2018-11-21T00:00:00"/>
    <d v="2019-01-30T00:00:00"/>
    <m/>
    <x v="1"/>
    <x v="5"/>
  </r>
  <r>
    <s v="MRNTX031548"/>
    <x v="1"/>
    <x v="7"/>
    <d v="2018-11-23T00:00:00"/>
    <d v="2019-02-14T00:00:00"/>
    <d v="2019-02-28T00:00:00"/>
    <m/>
    <x v="1"/>
    <x v="2"/>
  </r>
  <r>
    <s v="MRNTX037073"/>
    <x v="1"/>
    <x v="7"/>
    <d v="2018-11-03T00:00:00"/>
    <d v="2019-02-24T00:00:00"/>
    <d v="2019-02-28T00:00:00"/>
    <m/>
    <x v="1"/>
    <x v="4"/>
  </r>
  <r>
    <s v="MRNTX037076"/>
    <x v="1"/>
    <x v="7"/>
    <d v="2018-11-20T00:00:00"/>
    <d v="2018-10-24T00:00:00"/>
    <d v="2018-12-30T00:00:00"/>
    <m/>
    <x v="1"/>
    <x v="5"/>
  </r>
  <r>
    <s v="MRWSH019956"/>
    <x v="2"/>
    <x v="7"/>
    <d v="2018-11-30T00:00:00"/>
    <d v="1999-12-30T00:00:00"/>
    <d v="2018-11-30T00:00:00"/>
    <m/>
    <x v="0"/>
    <x v="0"/>
  </r>
  <r>
    <s v="MRWSH019964"/>
    <x v="2"/>
    <x v="7"/>
    <d v="2018-11-25T00:00:00"/>
    <d v="1999-12-30T00:00:00"/>
    <d v="2018-11-29T00:00:00"/>
    <d v="2018-11-29T00:00:00"/>
    <x v="0"/>
    <x v="1"/>
  </r>
  <r>
    <s v="MRWSH019977"/>
    <x v="2"/>
    <x v="7"/>
    <d v="2018-11-25T00:00:00"/>
    <d v="1999-12-30T00:00:00"/>
    <d v="2018-11-21T00:00:00"/>
    <d v="2018-11-21T00:00:00"/>
    <x v="0"/>
    <x v="1"/>
  </r>
  <r>
    <s v="MRWSH020001"/>
    <x v="2"/>
    <x v="7"/>
    <d v="2018-11-30T00:00:00"/>
    <d v="1999-12-30T00:00:00"/>
    <d v="2018-11-30T00:00:00"/>
    <m/>
    <x v="0"/>
    <x v="0"/>
  </r>
  <r>
    <s v="MRWSH020009"/>
    <x v="2"/>
    <x v="7"/>
    <d v="2018-11-30T00:00:00"/>
    <d v="1999-12-30T00:00:00"/>
    <d v="2018-12-13T00:00:00"/>
    <m/>
    <x v="0"/>
    <x v="0"/>
  </r>
  <r>
    <s v="MRWSH020018"/>
    <x v="2"/>
    <x v="7"/>
    <d v="2018-11-30T00:00:00"/>
    <d v="2018-11-30T00:00:00"/>
    <d v="2018-11-20T00:00:00"/>
    <d v="2018-11-20T00:00:00"/>
    <x v="0"/>
    <x v="1"/>
  </r>
  <r>
    <s v="MRWSH020024"/>
    <x v="2"/>
    <x v="7"/>
    <d v="2018-11-25T00:00:00"/>
    <d v="1999-12-30T00:00:00"/>
    <d v="2018-12-06T00:00:00"/>
    <m/>
    <x v="0"/>
    <x v="0"/>
  </r>
  <r>
    <s v="MRWSH020030"/>
    <x v="2"/>
    <x v="7"/>
    <d v="2018-11-30T00:00:00"/>
    <d v="1999-12-30T00:00:00"/>
    <d v="2018-11-30T00:00:00"/>
    <m/>
    <x v="0"/>
    <x v="0"/>
  </r>
  <r>
    <s v="MRWSH020039"/>
    <x v="2"/>
    <x v="7"/>
    <d v="2018-11-30T00:00:00"/>
    <d v="1999-12-30T00:00:00"/>
    <d v="2018-11-30T00:00:00"/>
    <m/>
    <x v="0"/>
    <x v="0"/>
  </r>
  <r>
    <s v="MRWSH020055"/>
    <x v="2"/>
    <x v="7"/>
    <d v="2018-11-30T00:00:00"/>
    <d v="2018-11-30T00:00:00"/>
    <d v="2018-11-20T00:00:00"/>
    <d v="2018-11-20T00:00:00"/>
    <x v="0"/>
    <x v="1"/>
  </r>
  <r>
    <s v="MRWSH020078"/>
    <x v="2"/>
    <x v="7"/>
    <d v="2018-11-30T00:00:00"/>
    <d v="1999-12-30T00:00:00"/>
    <d v="2018-12-07T00:00:00"/>
    <m/>
    <x v="0"/>
    <x v="0"/>
  </r>
  <r>
    <s v="MRWSH020095"/>
    <x v="2"/>
    <x v="7"/>
    <d v="2018-11-30T00:00:00"/>
    <d v="1999-12-30T00:00:00"/>
    <d v="2018-11-30T00:00:00"/>
    <m/>
    <x v="0"/>
    <x v="0"/>
  </r>
  <r>
    <s v="MRWSH020108"/>
    <x v="2"/>
    <x v="7"/>
    <d v="2018-11-30T00:00:00"/>
    <d v="1999-12-30T00:00:00"/>
    <d v="2018-11-30T00:00:00"/>
    <m/>
    <x v="0"/>
    <x v="0"/>
  </r>
  <r>
    <s v="MRWSH020123"/>
    <x v="2"/>
    <x v="7"/>
    <d v="2018-11-25T00:00:00"/>
    <d v="1999-12-30T00:00:00"/>
    <d v="2018-12-06T00:00:00"/>
    <m/>
    <x v="0"/>
    <x v="0"/>
  </r>
  <r>
    <s v="MRWSH020133"/>
    <x v="2"/>
    <x v="7"/>
    <d v="2018-11-30T00:00:00"/>
    <d v="1999-12-30T00:00:00"/>
    <d v="2018-11-30T00:00:00"/>
    <m/>
    <x v="0"/>
    <x v="0"/>
  </r>
  <r>
    <s v="MRWSH020154"/>
    <x v="2"/>
    <x v="7"/>
    <d v="2018-11-17T00:00:00"/>
    <d v="1999-12-30T00:00:00"/>
    <d v="2018-11-30T00:00:00"/>
    <m/>
    <x v="0"/>
    <x v="0"/>
  </r>
  <r>
    <s v="MRWSH020172"/>
    <x v="2"/>
    <x v="7"/>
    <d v="2018-11-25T00:00:00"/>
    <d v="1999-12-30T00:00:00"/>
    <d v="2018-11-09T00:00:00"/>
    <d v="2018-11-09T00:00:00"/>
    <x v="0"/>
    <x v="1"/>
  </r>
  <r>
    <s v="MRWSH020187"/>
    <x v="2"/>
    <x v="7"/>
    <d v="2018-11-25T00:00:00"/>
    <d v="1999-12-30T00:00:00"/>
    <d v="2018-12-05T00:00:00"/>
    <m/>
    <x v="0"/>
    <x v="0"/>
  </r>
  <r>
    <s v="MRWSH020205"/>
    <x v="2"/>
    <x v="7"/>
    <d v="2018-11-30T00:00:00"/>
    <d v="1999-12-30T00:00:00"/>
    <d v="2018-12-13T00:00:00"/>
    <m/>
    <x v="0"/>
    <x v="0"/>
  </r>
  <r>
    <s v="MRWSH020214"/>
    <x v="2"/>
    <x v="7"/>
    <d v="2018-11-30T00:00:00"/>
    <d v="1999-12-30T00:00:00"/>
    <d v="2018-12-07T00:00:00"/>
    <m/>
    <x v="0"/>
    <x v="0"/>
  </r>
  <r>
    <s v="MRWSH020357"/>
    <x v="2"/>
    <x v="7"/>
    <d v="2018-11-17T00:00:00"/>
    <d v="1999-12-30T00:00:00"/>
    <d v="2018-11-30T00:00:00"/>
    <m/>
    <x v="0"/>
    <x v="0"/>
  </r>
  <r>
    <s v="MRSTX030873"/>
    <x v="0"/>
    <x v="7"/>
    <d v="2018-11-06T00:00:00"/>
    <d v="2018-09-28T00:00:00"/>
    <d v="2018-11-30T00:00:00"/>
    <m/>
    <x v="1"/>
    <x v="5"/>
  </r>
  <r>
    <s v="MRSTX030874"/>
    <x v="0"/>
    <x v="7"/>
    <d v="2018-11-02T00:00:00"/>
    <d v="2018-11-22T00:00:00"/>
    <d v="2018-11-02T00:00:00"/>
    <d v="2018-11-02T00:00:00"/>
    <x v="0"/>
    <x v="1"/>
  </r>
  <r>
    <s v="MRSTX030884"/>
    <x v="0"/>
    <x v="7"/>
    <d v="2018-11-15T00:00:00"/>
    <d v="2019-01-01T00:00:00"/>
    <d v="2018-11-30T00:00:00"/>
    <m/>
    <x v="1"/>
    <x v="4"/>
  </r>
  <r>
    <s v="MRSTX030892"/>
    <x v="0"/>
    <x v="7"/>
    <d v="2018-11-14T00:00:00"/>
    <d v="2018-11-29T00:00:00"/>
    <d v="2018-11-30T00:00:00"/>
    <m/>
    <x v="1"/>
    <x v="4"/>
  </r>
  <r>
    <s v="MRSTX030903"/>
    <x v="0"/>
    <x v="7"/>
    <d v="2018-11-15T00:00:00"/>
    <d v="2018-11-29T00:00:00"/>
    <d v="2018-11-30T00:00:00"/>
    <m/>
    <x v="1"/>
    <x v="4"/>
  </r>
  <r>
    <s v="MRSTX030921"/>
    <x v="0"/>
    <x v="7"/>
    <d v="2018-11-14T00:00:00"/>
    <d v="2019-03-30T00:00:00"/>
    <d v="2018-11-28T00:00:00"/>
    <d v="2018-11-28T00:00:00"/>
    <x v="0"/>
    <x v="1"/>
  </r>
  <r>
    <s v="MRSTX030930"/>
    <x v="0"/>
    <x v="7"/>
    <d v="2018-11-14T00:00:00"/>
    <d v="2019-03-30T00:00:00"/>
    <d v="2018-11-28T00:00:00"/>
    <d v="2018-11-28T00:00:00"/>
    <x v="0"/>
    <x v="1"/>
  </r>
  <r>
    <s v="MRSTX030948"/>
    <x v="0"/>
    <x v="7"/>
    <d v="2018-11-15T00:00:00"/>
    <d v="2018-11-29T00:00:00"/>
    <d v="2018-11-30T00:00:00"/>
    <m/>
    <x v="1"/>
    <x v="4"/>
  </r>
  <r>
    <s v="MRSTX031067"/>
    <x v="0"/>
    <x v="7"/>
    <d v="2018-11-29T00:00:00"/>
    <d v="2018-11-14T00:00:00"/>
    <d v="2018-11-20T00:00:00"/>
    <d v="2018-11-20T00:00:00"/>
    <x v="0"/>
    <x v="1"/>
  </r>
  <r>
    <s v="MRSTX031112"/>
    <x v="0"/>
    <x v="7"/>
    <d v="2018-11-06T00:00:00"/>
    <d v="2018-09-28T00:00:00"/>
    <d v="2018-11-30T00:00:00"/>
    <m/>
    <x v="1"/>
    <x v="5"/>
  </r>
  <r>
    <s v="MRSTX031115"/>
    <x v="0"/>
    <x v="7"/>
    <d v="2018-11-06T00:00:00"/>
    <d v="2018-12-31T00:00:00"/>
    <d v="2018-11-30T00:00:00"/>
    <m/>
    <x v="1"/>
    <x v="4"/>
  </r>
  <r>
    <s v="MRNTX037164"/>
    <x v="1"/>
    <x v="7"/>
    <d v="2018-11-20T00:00:00"/>
    <d v="2018-10-24T00:00:00"/>
    <d v="2018-12-30T00:00:00"/>
    <m/>
    <x v="1"/>
    <x v="5"/>
  </r>
  <r>
    <s v="MRNTX037208"/>
    <x v="1"/>
    <x v="7"/>
    <d v="2018-11-21T00:00:00"/>
    <d v="2018-11-21T00:00:00"/>
    <d v="2018-11-13T00:00:00"/>
    <d v="2018-11-13T00:00:00"/>
    <x v="0"/>
    <x v="1"/>
  </r>
  <r>
    <s v="MRNTX037247"/>
    <x v="1"/>
    <x v="7"/>
    <d v="2018-11-25T00:00:00"/>
    <d v="2018-11-25T00:00:00"/>
    <d v="2019-01-30T00:00:00"/>
    <m/>
    <x v="1"/>
    <x v="5"/>
  </r>
  <r>
    <s v="MRNTX037257"/>
    <x v="1"/>
    <x v="7"/>
    <d v="2018-11-24T00:00:00"/>
    <d v="2019-02-17T00:00:00"/>
    <d v="2019-01-30T00:00:00"/>
    <m/>
    <x v="1"/>
    <x v="2"/>
  </r>
  <r>
    <s v="MRNTX037268"/>
    <x v="1"/>
    <x v="7"/>
    <d v="2018-11-27T00:00:00"/>
    <d v="2018-11-27T00:00:00"/>
    <d v="2019-01-30T00:00:00"/>
    <m/>
    <x v="1"/>
    <x v="5"/>
  </r>
  <r>
    <s v="MRNTX037272"/>
    <x v="1"/>
    <x v="7"/>
    <d v="2018-11-25T00:00:00"/>
    <d v="2018-11-25T00:00:00"/>
    <d v="2019-01-30T00:00:00"/>
    <m/>
    <x v="1"/>
    <x v="5"/>
  </r>
  <r>
    <s v="MRNTX037273"/>
    <x v="1"/>
    <x v="7"/>
    <d v="2018-11-03T00:00:00"/>
    <d v="2019-02-24T00:00:00"/>
    <d v="2019-02-28T00:00:00"/>
    <m/>
    <x v="1"/>
    <x v="4"/>
  </r>
  <r>
    <s v="MRNTX037280"/>
    <x v="1"/>
    <x v="7"/>
    <d v="2018-11-08T00:00:00"/>
    <d v="2018-10-24T00:00:00"/>
    <d v="2018-11-26T00:00:00"/>
    <d v="2018-11-26T00:00:00"/>
    <x v="1"/>
    <x v="1"/>
  </r>
  <r>
    <s v="MRNTX037287"/>
    <x v="1"/>
    <x v="7"/>
    <d v="2018-11-29T00:00:00"/>
    <d v="2018-11-29T00:00:00"/>
    <d v="2019-01-30T00:00:00"/>
    <m/>
    <x v="1"/>
    <x v="5"/>
  </r>
  <r>
    <s v="MRNTX037289"/>
    <x v="1"/>
    <x v="7"/>
    <d v="2018-11-22T00:00:00"/>
    <d v="2018-11-22T00:00:00"/>
    <d v="2018-11-13T00:00:00"/>
    <d v="2018-11-13T00:00:00"/>
    <x v="0"/>
    <x v="1"/>
  </r>
  <r>
    <s v="MRNTX037297"/>
    <x v="1"/>
    <x v="7"/>
    <d v="2018-11-24T00:00:00"/>
    <d v="2019-02-17T00:00:00"/>
    <d v="2019-01-30T00:00:00"/>
    <m/>
    <x v="1"/>
    <x v="2"/>
  </r>
  <r>
    <s v="MRNTX037318"/>
    <x v="1"/>
    <x v="7"/>
    <d v="2018-11-09T00:00:00"/>
    <d v="2019-02-24T00:00:00"/>
    <d v="2019-02-28T00:00:00"/>
    <m/>
    <x v="1"/>
    <x v="4"/>
  </r>
  <r>
    <s v="MRNTX037325"/>
    <x v="1"/>
    <x v="7"/>
    <d v="2018-11-03T00:00:00"/>
    <d v="2019-02-14T00:00:00"/>
    <d v="2019-01-30T00:00:00"/>
    <m/>
    <x v="1"/>
    <x v="4"/>
  </r>
  <r>
    <s v="MRSTX032295"/>
    <x v="0"/>
    <x v="7"/>
    <d v="2018-11-14T00:00:00"/>
    <d v="2018-12-29T00:00:00"/>
    <d v="2018-11-13T00:00:00"/>
    <d v="2018-11-13T00:00:00"/>
    <x v="0"/>
    <x v="1"/>
  </r>
  <r>
    <s v="MRSTX032309"/>
    <x v="0"/>
    <x v="7"/>
    <d v="2018-11-14T00:00:00"/>
    <d v="2018-12-29T00:00:00"/>
    <d v="2018-11-13T00:00:00"/>
    <d v="2018-11-13T00:00:00"/>
    <x v="0"/>
    <x v="1"/>
  </r>
  <r>
    <s v="MRSTX032399"/>
    <x v="0"/>
    <x v="7"/>
    <d v="2018-11-06T00:00:00"/>
    <d v="2018-12-29T00:00:00"/>
    <d v="2018-11-30T00:00:00"/>
    <m/>
    <x v="1"/>
    <x v="4"/>
  </r>
  <r>
    <s v="MRSTX032420"/>
    <x v="0"/>
    <x v="7"/>
    <d v="2018-11-06T00:00:00"/>
    <d v="2018-12-29T00:00:00"/>
    <d v="2018-11-30T00:00:00"/>
    <m/>
    <x v="1"/>
    <x v="4"/>
  </r>
  <r>
    <s v="MRSTX032429"/>
    <x v="0"/>
    <x v="7"/>
    <d v="2018-11-26T00:00:00"/>
    <d v="2018-12-29T00:00:00"/>
    <d v="2018-11-30T00:00:00"/>
    <m/>
    <x v="0"/>
    <x v="3"/>
  </r>
  <r>
    <s v="MRSTX032460"/>
    <x v="0"/>
    <x v="7"/>
    <d v="2018-11-26T00:00:00"/>
    <d v="2018-12-29T00:00:00"/>
    <d v="2018-11-30T00:00:00"/>
    <m/>
    <x v="0"/>
    <x v="3"/>
  </r>
  <r>
    <s v="MRSTX032478"/>
    <x v="0"/>
    <x v="7"/>
    <d v="2018-11-14T00:00:00"/>
    <d v="2018-12-29T00:00:00"/>
    <d v="2018-11-30T00:00:00"/>
    <m/>
    <x v="1"/>
    <x v="4"/>
  </r>
  <r>
    <s v="MRSTX032487"/>
    <x v="0"/>
    <x v="7"/>
    <d v="2018-11-14T00:00:00"/>
    <d v="2018-12-29T00:00:00"/>
    <d v="2018-11-30T00:00:00"/>
    <m/>
    <x v="1"/>
    <x v="4"/>
  </r>
  <r>
    <s v="MRSTX032564"/>
    <x v="0"/>
    <x v="7"/>
    <d v="2018-11-06T00:00:00"/>
    <d v="2018-12-29T00:00:00"/>
    <d v="2018-11-30T00:00:00"/>
    <m/>
    <x v="1"/>
    <x v="4"/>
  </r>
  <r>
    <s v="MRSTX032595"/>
    <x v="0"/>
    <x v="7"/>
    <d v="2018-11-26T00:00:00"/>
    <d v="2018-12-29T00:00:00"/>
    <d v="2018-11-06T00:00:00"/>
    <d v="2018-11-06T00:00:00"/>
    <x v="0"/>
    <x v="1"/>
  </r>
  <r>
    <s v="MRSTX032603"/>
    <x v="0"/>
    <x v="7"/>
    <d v="2018-11-26T00:00:00"/>
    <d v="2018-12-29T00:00:00"/>
    <d v="2018-11-06T00:00:00"/>
    <d v="2018-11-06T00:00:00"/>
    <x v="0"/>
    <x v="1"/>
  </r>
  <r>
    <s v="MRSTX032647"/>
    <x v="0"/>
    <x v="7"/>
    <d v="2018-11-06T00:00:00"/>
    <d v="2018-12-29T00:00:00"/>
    <d v="2018-11-30T00:00:00"/>
    <m/>
    <x v="1"/>
    <x v="4"/>
  </r>
  <r>
    <s v="MRSTX032659"/>
    <x v="0"/>
    <x v="7"/>
    <d v="2018-11-06T00:00:00"/>
    <d v="2018-12-29T00:00:00"/>
    <d v="2018-11-30T00:00:00"/>
    <m/>
    <x v="1"/>
    <x v="4"/>
  </r>
  <r>
    <s v="MRSTX032689"/>
    <x v="0"/>
    <x v="7"/>
    <d v="2018-11-06T00:00:00"/>
    <d v="2018-12-31T00:00:00"/>
    <d v="2018-11-13T00:00:00"/>
    <d v="2018-11-13T00:00:00"/>
    <x v="0"/>
    <x v="1"/>
  </r>
  <r>
    <s v="MRSTX032752"/>
    <x v="0"/>
    <x v="7"/>
    <d v="2018-11-06T00:00:00"/>
    <d v="2018-12-29T00:00:00"/>
    <d v="2018-11-30T00:00:00"/>
    <m/>
    <x v="1"/>
    <x v="4"/>
  </r>
  <r>
    <s v="MRSTX032778"/>
    <x v="0"/>
    <x v="7"/>
    <d v="2018-11-15T00:00:00"/>
    <d v="2019-01-01T00:00:00"/>
    <d v="2018-11-30T00:00:00"/>
    <m/>
    <x v="1"/>
    <x v="4"/>
  </r>
  <r>
    <s v="MRSTX032803"/>
    <x v="0"/>
    <x v="7"/>
    <d v="2018-11-06T00:00:00"/>
    <d v="2018-12-29T00:00:00"/>
    <d v="2018-11-30T00:00:00"/>
    <m/>
    <x v="1"/>
    <x v="4"/>
  </r>
  <r>
    <s v="MRSTX032893"/>
    <x v="0"/>
    <x v="7"/>
    <d v="2018-11-06T00:00:00"/>
    <d v="2018-12-29T00:00:00"/>
    <d v="2018-11-30T00:00:00"/>
    <m/>
    <x v="1"/>
    <x v="4"/>
  </r>
  <r>
    <s v="MRNTX025131"/>
    <x v="1"/>
    <x v="7"/>
    <d v="2018-11-24T00:00:00"/>
    <d v="1999-12-30T00:00:00"/>
    <d v="2018-12-30T00:00:00"/>
    <m/>
    <x v="1"/>
    <x v="5"/>
  </r>
  <r>
    <s v="MRNTX025165"/>
    <x v="1"/>
    <x v="7"/>
    <d v="2018-11-11T00:00:00"/>
    <d v="2018-11-24T00:00:00"/>
    <d v="2019-02-28T00:00:00"/>
    <m/>
    <x v="1"/>
    <x v="5"/>
  </r>
  <r>
    <s v="MRNTX025308"/>
    <x v="1"/>
    <x v="7"/>
    <d v="2018-11-23T00:00:00"/>
    <d v="2018-11-23T00:00:00"/>
    <d v="2018-11-05T00:00:00"/>
    <d v="2018-11-05T00:00:00"/>
    <x v="0"/>
    <x v="1"/>
  </r>
  <r>
    <s v="MRNTX025327"/>
    <x v="1"/>
    <x v="7"/>
    <d v="2018-11-23T00:00:00"/>
    <d v="2018-11-23T00:00:00"/>
    <d v="2018-11-05T00:00:00"/>
    <d v="2018-11-05T00:00:00"/>
    <x v="0"/>
    <x v="1"/>
  </r>
  <r>
    <s v="MRNTX032627"/>
    <x v="1"/>
    <x v="7"/>
    <d v="2018-11-04T00:00:00"/>
    <d v="2019-03-17T00:00:00"/>
    <d v="2019-05-30T00:00:00"/>
    <m/>
    <x v="1"/>
    <x v="4"/>
  </r>
  <r>
    <s v="MRNTX032635"/>
    <x v="1"/>
    <x v="7"/>
    <d v="2018-11-04T00:00:00"/>
    <d v="2019-03-17T00:00:00"/>
    <d v="2019-05-30T00:00:00"/>
    <m/>
    <x v="1"/>
    <x v="4"/>
  </r>
  <r>
    <s v="MRNTX032682"/>
    <x v="1"/>
    <x v="7"/>
    <d v="2018-11-21T00:00:00"/>
    <d v="2018-11-21T00:00:00"/>
    <d v="2019-01-30T00:00:00"/>
    <m/>
    <x v="1"/>
    <x v="5"/>
  </r>
  <r>
    <s v="MRNTX032685"/>
    <x v="1"/>
    <x v="7"/>
    <d v="2018-11-29T00:00:00"/>
    <d v="2018-11-29T00:00:00"/>
    <d v="2018-11-13T00:00:00"/>
    <d v="2018-11-13T00:00:00"/>
    <x v="0"/>
    <x v="1"/>
  </r>
  <r>
    <s v="MRNTX032707"/>
    <x v="1"/>
    <x v="7"/>
    <d v="2018-11-21T00:00:00"/>
    <d v="2018-11-21T00:00:00"/>
    <d v="2019-01-30T00:00:00"/>
    <m/>
    <x v="1"/>
    <x v="5"/>
  </r>
  <r>
    <s v="MRNTX032725"/>
    <x v="1"/>
    <x v="7"/>
    <d v="2018-11-21T00:00:00"/>
    <d v="2018-11-21T00:00:00"/>
    <d v="2019-01-30T00:00:00"/>
    <m/>
    <x v="1"/>
    <x v="5"/>
  </r>
  <r>
    <s v="MRNTX032731"/>
    <x v="1"/>
    <x v="7"/>
    <d v="2018-11-29T00:00:00"/>
    <d v="2018-11-29T00:00:00"/>
    <d v="2018-11-13T00:00:00"/>
    <d v="2018-11-13T00:00:00"/>
    <x v="0"/>
    <x v="1"/>
  </r>
  <r>
    <s v="MRNTX032799"/>
    <x v="1"/>
    <x v="7"/>
    <d v="2018-11-21T00:00:00"/>
    <d v="2018-11-21T00:00:00"/>
    <d v="2018-11-28T00:00:00"/>
    <d v="2018-11-28T00:00:00"/>
    <x v="0"/>
    <x v="1"/>
  </r>
  <r>
    <s v="MRWSH006940"/>
    <x v="2"/>
    <x v="7"/>
    <d v="2018-11-30T00:00:00"/>
    <d v="2017-03-21T00:00:00"/>
    <d v="2018-11-20T00:00:00"/>
    <d v="2018-11-20T00:00:00"/>
    <x v="0"/>
    <x v="1"/>
  </r>
  <r>
    <s v="MRWSH024995"/>
    <x v="2"/>
    <x v="7"/>
    <d v="2018-11-25T00:00:00"/>
    <d v="1999-12-30T00:00:00"/>
    <d v="2018-11-15T00:00:00"/>
    <d v="2018-11-15T00:00:00"/>
    <x v="0"/>
    <x v="1"/>
  </r>
  <r>
    <s v="MRWSH025173"/>
    <x v="2"/>
    <x v="7"/>
    <d v="2018-11-17T00:00:00"/>
    <d v="1999-12-30T00:00:00"/>
    <d v="2018-11-09T00:00:00"/>
    <d v="2018-11-09T00:00:00"/>
    <x v="0"/>
    <x v="1"/>
  </r>
  <r>
    <s v="MRWSH025219"/>
    <x v="2"/>
    <x v="7"/>
    <d v="2018-11-30T00:00:00"/>
    <d v="1999-12-30T00:00:00"/>
    <d v="2018-11-30T00:00:00"/>
    <m/>
    <x v="0"/>
    <x v="0"/>
  </r>
  <r>
    <s v="MRWSH025260"/>
    <x v="2"/>
    <x v="7"/>
    <d v="2018-11-30T00:00:00"/>
    <d v="1999-12-30T00:00:00"/>
    <d v="2018-12-06T00:00:00"/>
    <m/>
    <x v="0"/>
    <x v="0"/>
  </r>
  <r>
    <s v="MRWSH025361"/>
    <x v="2"/>
    <x v="7"/>
    <d v="2018-11-30T00:00:00"/>
    <d v="1999-12-30T00:00:00"/>
    <d v="2018-11-27T00:00:00"/>
    <d v="2018-11-27T00:00:00"/>
    <x v="0"/>
    <x v="1"/>
  </r>
  <r>
    <s v="MRWSH025377"/>
    <x v="2"/>
    <x v="7"/>
    <d v="2018-11-30T00:00:00"/>
    <d v="1999-12-30T00:00:00"/>
    <d v="2018-12-14T00:00:00"/>
    <m/>
    <x v="0"/>
    <x v="0"/>
  </r>
  <r>
    <s v="MRSTX033005"/>
    <x v="0"/>
    <x v="7"/>
    <d v="2018-11-06T00:00:00"/>
    <d v="2018-12-29T00:00:00"/>
    <d v="2018-11-30T00:00:00"/>
    <m/>
    <x v="1"/>
    <x v="4"/>
  </r>
  <r>
    <s v="MRNTX032889"/>
    <x v="1"/>
    <x v="7"/>
    <d v="2018-11-21T00:00:00"/>
    <d v="2018-11-21T00:00:00"/>
    <d v="2019-01-30T00:00:00"/>
    <m/>
    <x v="1"/>
    <x v="5"/>
  </r>
  <r>
    <s v="MRNTX032937"/>
    <x v="1"/>
    <x v="7"/>
    <d v="2018-11-24T00:00:00"/>
    <d v="2018-11-24T00:00:00"/>
    <d v="2019-02-28T00:00:00"/>
    <m/>
    <x v="1"/>
    <x v="5"/>
  </r>
  <r>
    <s v="MRNTX032982"/>
    <x v="1"/>
    <x v="7"/>
    <d v="2018-11-13T00:00:00"/>
    <d v="2018-11-13T00:00:00"/>
    <d v="2018-12-30T00:00:00"/>
    <m/>
    <x v="1"/>
    <x v="5"/>
  </r>
  <r>
    <s v="MRSTX034549"/>
    <x v="0"/>
    <x v="7"/>
    <d v="2018-11-15T00:00:00"/>
    <d v="2018-12-30T00:00:00"/>
    <d v="2018-11-30T00:00:00"/>
    <m/>
    <x v="1"/>
    <x v="4"/>
  </r>
  <r>
    <s v="MRSTX034567"/>
    <x v="0"/>
    <x v="7"/>
    <d v="2018-11-15T00:00:00"/>
    <d v="2018-11-29T00:00:00"/>
    <d v="2018-11-30T00:00:00"/>
    <m/>
    <x v="1"/>
    <x v="4"/>
  </r>
  <r>
    <s v="MRSTX034603"/>
    <x v="0"/>
    <x v="7"/>
    <d v="2018-11-06T00:00:00"/>
    <d v="2018-12-29T00:00:00"/>
    <d v="2018-11-30T00:00:00"/>
    <m/>
    <x v="1"/>
    <x v="4"/>
  </r>
  <r>
    <s v="MRSTX034621"/>
    <x v="0"/>
    <x v="7"/>
    <d v="2018-11-06T00:00:00"/>
    <d v="2018-12-29T00:00:00"/>
    <d v="2018-11-30T00:00:00"/>
    <m/>
    <x v="1"/>
    <x v="4"/>
  </r>
  <r>
    <s v="MRWSH025385"/>
    <x v="2"/>
    <x v="7"/>
    <d v="2018-11-30T00:00:00"/>
    <d v="1999-12-30T00:00:00"/>
    <d v="2018-11-20T00:00:00"/>
    <d v="2018-11-20T00:00:00"/>
    <x v="0"/>
    <x v="1"/>
  </r>
  <r>
    <s v="MRNTX036612"/>
    <x v="1"/>
    <x v="7"/>
    <d v="2018-11-27T00:00:00"/>
    <d v="2018-11-27T00:00:00"/>
    <d v="2018-11-07T00:00:00"/>
    <d v="2018-11-07T00:00:00"/>
    <x v="0"/>
    <x v="1"/>
  </r>
  <r>
    <s v="MRNTX036645"/>
    <x v="1"/>
    <x v="7"/>
    <d v="2018-11-02T00:00:00"/>
    <d v="2018-11-09T00:00:00"/>
    <d v="2018-11-02T00:00:00"/>
    <d v="2018-11-02T00:00:00"/>
    <x v="0"/>
    <x v="1"/>
  </r>
  <r>
    <s v="MRNTX036648"/>
    <x v="1"/>
    <x v="7"/>
    <d v="2018-11-09T00:00:00"/>
    <d v="2019-03-10T00:00:00"/>
    <d v="2019-02-28T00:00:00"/>
    <m/>
    <x v="1"/>
    <x v="4"/>
  </r>
  <r>
    <s v="MRNTX036649"/>
    <x v="1"/>
    <x v="7"/>
    <d v="2018-11-09T00:00:00"/>
    <d v="2018-11-10T00:00:00"/>
    <d v="2018-12-30T00:00:00"/>
    <m/>
    <x v="1"/>
    <x v="5"/>
  </r>
  <r>
    <s v="MRNTX036661"/>
    <x v="1"/>
    <x v="7"/>
    <d v="2018-11-09T00:00:00"/>
    <d v="2018-11-16T00:00:00"/>
    <d v="2018-12-30T00:00:00"/>
    <m/>
    <x v="1"/>
    <x v="5"/>
  </r>
  <r>
    <s v="MRNTX036682"/>
    <x v="1"/>
    <x v="7"/>
    <d v="2018-11-09T00:00:00"/>
    <d v="2018-11-16T00:00:00"/>
    <d v="2018-12-30T00:00:00"/>
    <m/>
    <x v="1"/>
    <x v="5"/>
  </r>
  <r>
    <s v="MRNTX036688"/>
    <x v="1"/>
    <x v="7"/>
    <d v="2018-11-09T00:00:00"/>
    <d v="2018-11-16T00:00:00"/>
    <d v="2018-12-30T00:00:00"/>
    <m/>
    <x v="1"/>
    <x v="5"/>
  </r>
  <r>
    <s v="MRNTX036709"/>
    <x v="1"/>
    <x v="7"/>
    <d v="2018-11-02T00:00:00"/>
    <d v="2018-11-09T00:00:00"/>
    <d v="2018-11-02T00:00:00"/>
    <d v="2018-11-02T00:00:00"/>
    <x v="0"/>
    <x v="1"/>
  </r>
  <r>
    <s v="MRNTX036740"/>
    <x v="1"/>
    <x v="7"/>
    <d v="2018-11-27T00:00:00"/>
    <d v="2018-11-27T00:00:00"/>
    <d v="2018-11-07T00:00:00"/>
    <d v="2018-11-07T00:00:00"/>
    <x v="0"/>
    <x v="1"/>
  </r>
  <r>
    <s v="MRNTX036742"/>
    <x v="1"/>
    <x v="7"/>
    <d v="2018-11-21T00:00:00"/>
    <d v="2018-11-21T00:00:00"/>
    <d v="2018-12-30T00:00:00"/>
    <m/>
    <x v="1"/>
    <x v="5"/>
  </r>
  <r>
    <s v="MRNTX036775"/>
    <x v="1"/>
    <x v="7"/>
    <d v="2018-11-09T00:00:00"/>
    <d v="2018-11-16T00:00:00"/>
    <d v="2018-12-30T00:00:00"/>
    <m/>
    <x v="1"/>
    <x v="5"/>
  </r>
  <r>
    <s v="MRNTX036782"/>
    <x v="1"/>
    <x v="7"/>
    <d v="2018-11-21T00:00:00"/>
    <d v="2018-11-21T00:00:00"/>
    <d v="2018-12-30T00:00:00"/>
    <m/>
    <x v="1"/>
    <x v="5"/>
  </r>
  <r>
    <s v="MRNTX036789"/>
    <x v="1"/>
    <x v="7"/>
    <d v="2018-11-09T00:00:00"/>
    <d v="2018-11-10T00:00:00"/>
    <d v="2018-12-30T00:00:00"/>
    <m/>
    <x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_ntx_status" cacheId="6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rowHeaderCaption="Task" colHeaderCaption="Status">
  <location ref="A7:D17" firstHeaderRow="1" firstDataRow="2" firstDataCol="1" rowPageCount="1" colPageCount="1"/>
  <pivotFields count="9">
    <pivotField dataField="1" subtotalTop="0" showAll="0"/>
    <pivotField axis="axisPage" showAll="0">
      <items count="5">
        <item x="1"/>
        <item x="0"/>
        <item x="2"/>
        <item x="3"/>
        <item t="default"/>
      </items>
    </pivotField>
    <pivotField axis="axisRow" subtotalTop="0" showAll="0" defaultSubtotal="0">
      <items count="8">
        <item sd="0" x="3"/>
        <item sd="0" x="1"/>
        <item sd="0" x="5"/>
        <item sd="0" x="2"/>
        <item sd="0" x="7"/>
        <item sd="0" x="0"/>
        <item sd="0" x="4"/>
        <item sd="0" x="6"/>
      </items>
    </pivotField>
    <pivotField numFmtId="14" subtotalTop="0" showAll="0"/>
    <pivotField numFmtId="14" subtotalTop="0" showAll="0"/>
    <pivotField numFmtId="14" subtotalTop="0" showAll="0"/>
    <pivotField subtotalTop="0" showAll="0"/>
    <pivotField axis="axisCol" subtotalTop="0" showAll="0" defaultSubtotal="0">
      <items count="3">
        <item x="0"/>
        <item x="1"/>
        <item x="2"/>
      </items>
    </pivotField>
    <pivotField subtotalTop="0"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>
      <x v="2"/>
    </i>
  </colItems>
  <pageFields count="1">
    <pageField fld="1" item="0" hier="-1"/>
  </pageFields>
  <dataFields count="1">
    <dataField name="Forecast Accuracy" fld="0" subtotal="count" baseField="0" baseItem="0"/>
  </dataFields>
  <formats count="58">
    <format dxfId="205">
      <pivotArea type="all" dataOnly="0" outline="0" fieldPosition="0"/>
    </format>
    <format dxfId="204">
      <pivotArea outline="0" collapsedLevelsAreSubtotals="1" fieldPosition="0"/>
    </format>
    <format dxfId="203">
      <pivotArea type="origin" dataOnly="0" labelOnly="1" outline="0" fieldPosition="0"/>
    </format>
    <format dxfId="202">
      <pivotArea field="7" type="button" dataOnly="0" labelOnly="1" outline="0" axis="axisCol" fieldPosition="0"/>
    </format>
    <format dxfId="201">
      <pivotArea type="topRight" dataOnly="0" labelOnly="1" outline="0" fieldPosition="0"/>
    </format>
    <format dxfId="200">
      <pivotArea field="2" type="button" dataOnly="0" labelOnly="1" outline="0" axis="axisRow" fieldPosition="0"/>
    </format>
    <format dxfId="199">
      <pivotArea dataOnly="0" labelOnly="1" fieldPosition="0">
        <references count="1">
          <reference field="2" count="0"/>
        </references>
      </pivotArea>
    </format>
    <format dxfId="198">
      <pivotArea dataOnly="0" labelOnly="1" grandRow="1" outline="0" fieldPosition="0"/>
    </format>
    <format dxfId="197">
      <pivotArea dataOnly="0" labelOnly="1" fieldPosition="0">
        <references count="1">
          <reference field="7" count="0"/>
        </references>
      </pivotArea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type="origin" dataOnly="0" labelOnly="1" outline="0" fieldPosition="0"/>
    </format>
    <format dxfId="193">
      <pivotArea field="7" type="button" dataOnly="0" labelOnly="1" outline="0" axis="axisCol" fieldPosition="0"/>
    </format>
    <format dxfId="192">
      <pivotArea type="topRight" dataOnly="0" labelOnly="1" outline="0" fieldPosition="0"/>
    </format>
    <format dxfId="191">
      <pivotArea field="2" type="button" dataOnly="0" labelOnly="1" outline="0" axis="axisRow" fieldPosition="0"/>
    </format>
    <format dxfId="190">
      <pivotArea dataOnly="0" labelOnly="1" fieldPosition="0">
        <references count="1">
          <reference field="2" count="0"/>
        </references>
      </pivotArea>
    </format>
    <format dxfId="189">
      <pivotArea dataOnly="0" labelOnly="1" grandRow="1" outline="0" fieldPosition="0"/>
    </format>
    <format dxfId="188">
      <pivotArea dataOnly="0" labelOnly="1" fieldPosition="0">
        <references count="1">
          <reference field="7" count="0"/>
        </references>
      </pivotArea>
    </format>
    <format dxfId="187">
      <pivotArea dataOnly="0" labelOnly="1" grandCol="1" outline="0" fieldPosition="0"/>
    </format>
    <format dxfId="186">
      <pivotArea outline="0" collapsedLevelsAreSubtotals="1" fieldPosition="0"/>
    </format>
    <format dxfId="185">
      <pivotArea outline="0" collapsedLevelsAreSubtotals="1" fieldPosition="0">
        <references count="1">
          <reference field="7" count="2" selected="0">
            <x v="0"/>
            <x v="1"/>
          </reference>
        </references>
      </pivotArea>
    </format>
    <format dxfId="184">
      <pivotArea type="origin" dataOnly="0" labelOnly="1" outline="0" fieldPosition="0"/>
    </format>
    <format dxfId="183">
      <pivotArea field="7" type="button" dataOnly="0" labelOnly="1" outline="0" axis="axisCol" fieldPosition="0"/>
    </format>
    <format dxfId="182">
      <pivotArea type="topRight" dataOnly="0" labelOnly="1" outline="0" offset="A1" fieldPosition="0"/>
    </format>
    <format dxfId="181">
      <pivotArea field="2" type="button" dataOnly="0" labelOnly="1" outline="0" axis="axisRow" fieldPosition="0"/>
    </format>
    <format dxfId="180">
      <pivotArea dataOnly="0" labelOnly="1" fieldPosition="0">
        <references count="1">
          <reference field="2" count="0"/>
        </references>
      </pivotArea>
    </format>
    <format dxfId="179">
      <pivotArea dataOnly="0" labelOnly="1" grandRow="1" outline="0" fieldPosition="0"/>
    </format>
    <format dxfId="178">
      <pivotArea dataOnly="0" labelOnly="1" fieldPosition="0">
        <references count="1">
          <reference field="7" count="2">
            <x v="0"/>
            <x v="1"/>
          </reference>
        </references>
      </pivotArea>
    </format>
    <format dxfId="177">
      <pivotArea outline="0" collapsedLevelsAreSubtotals="1" fieldPosition="0">
        <references count="1">
          <reference field="7" count="2" selected="0">
            <x v="0"/>
            <x v="1"/>
          </reference>
        </references>
      </pivotArea>
    </format>
    <format dxfId="176">
      <pivotArea type="origin" dataOnly="0" labelOnly="1" outline="0" fieldPosition="0"/>
    </format>
    <format dxfId="175">
      <pivotArea field="7" type="button" dataOnly="0" labelOnly="1" outline="0" axis="axisCol" fieldPosition="0"/>
    </format>
    <format dxfId="174">
      <pivotArea type="topRight" dataOnly="0" labelOnly="1" outline="0" offset="A1" fieldPosition="0"/>
    </format>
    <format dxfId="173">
      <pivotArea field="2" type="button" dataOnly="0" labelOnly="1" outline="0" axis="axisRow" fieldPosition="0"/>
    </format>
    <format dxfId="172">
      <pivotArea dataOnly="0" labelOnly="1" fieldPosition="0">
        <references count="1">
          <reference field="2" count="0"/>
        </references>
      </pivotArea>
    </format>
    <format dxfId="171">
      <pivotArea dataOnly="0" labelOnly="1" grandRow="1" outline="0" fieldPosition="0"/>
    </format>
    <format dxfId="170">
      <pivotArea dataOnly="0" labelOnly="1" fieldPosition="0">
        <references count="1">
          <reference field="7" count="2">
            <x v="0"/>
            <x v="1"/>
          </reference>
        </references>
      </pivotArea>
    </format>
    <format dxfId="169">
      <pivotArea outline="0" collapsedLevelsAreSubtotals="1" fieldPosition="0">
        <references count="1">
          <reference field="7" count="2" selected="0">
            <x v="0"/>
            <x v="1"/>
          </reference>
        </references>
      </pivotArea>
    </format>
    <format dxfId="168">
      <pivotArea type="origin" dataOnly="0" labelOnly="1" outline="0" fieldPosition="0"/>
    </format>
    <format dxfId="167">
      <pivotArea field="7" type="button" dataOnly="0" labelOnly="1" outline="0" axis="axisCol" fieldPosition="0"/>
    </format>
    <format dxfId="166">
      <pivotArea type="topRight" dataOnly="0" labelOnly="1" outline="0" offset="A1" fieldPosition="0"/>
    </format>
    <format dxfId="165">
      <pivotArea field="2" type="button" dataOnly="0" labelOnly="1" outline="0" axis="axisRow" fieldPosition="0"/>
    </format>
    <format dxfId="164">
      <pivotArea dataOnly="0" labelOnly="1" fieldPosition="0">
        <references count="1">
          <reference field="2" count="0"/>
        </references>
      </pivotArea>
    </format>
    <format dxfId="163">
      <pivotArea dataOnly="0" labelOnly="1" grandRow="1" outline="0" fieldPosition="0"/>
    </format>
    <format dxfId="162">
      <pivotArea dataOnly="0" labelOnly="1" fieldPosition="0">
        <references count="1">
          <reference field="7" count="2">
            <x v="0"/>
            <x v="1"/>
          </reference>
        </references>
      </pivotArea>
    </format>
    <format dxfId="161">
      <pivotArea field="2" type="button" dataOnly="0" labelOnly="1" outline="0" axis="axisRow" fieldPosition="0"/>
    </format>
    <format dxfId="160">
      <pivotArea dataOnly="0" labelOnly="1" fieldPosition="0">
        <references count="1">
          <reference field="2" count="0"/>
        </references>
      </pivotArea>
    </format>
    <format dxfId="159">
      <pivotArea dataOnly="0" labelOnly="1" grandRow="1" outline="0" fieldPosition="0"/>
    </format>
    <format dxfId="158">
      <pivotArea type="origin" dataOnly="0" labelOnly="1" outline="0" fieldPosition="0"/>
    </format>
    <format dxfId="157">
      <pivotArea type="origin" dataOnly="0" labelOnly="1" outline="0" fieldPosition="0"/>
    </format>
    <format dxfId="156">
      <pivotArea field="7" type="button" dataOnly="0" labelOnly="1" outline="0" axis="axisCol" fieldPosition="0"/>
    </format>
    <format dxfId="155">
      <pivotArea type="topRight" dataOnly="0" labelOnly="1" outline="0" offset="A1" fieldPosition="0"/>
    </format>
    <format dxfId="154">
      <pivotArea field="7" type="button" dataOnly="0" labelOnly="1" outline="0" axis="axisCol" fieldPosition="0"/>
    </format>
    <format dxfId="153">
      <pivotArea dataOnly="0" labelOnly="1" fieldPosition="0">
        <references count="1">
          <reference field="2" count="0"/>
        </references>
      </pivotArea>
    </format>
    <format dxfId="152">
      <pivotArea type="origin" dataOnly="0" labelOnly="1" outline="0" fieldPosition="0"/>
    </format>
    <format dxfId="151">
      <pivotArea field="7" type="button" dataOnly="0" labelOnly="1" outline="0" axis="axisCol" fieldPosition="0"/>
    </format>
    <format dxfId="150">
      <pivotArea type="topRight" dataOnly="0" labelOnly="1" outline="0" offset="A1" fieldPosition="0"/>
    </format>
    <format dxfId="149">
      <pivotArea field="7" type="button" dataOnly="0" labelOnly="1" outline="0" axis="axisCol" fieldPosition="0"/>
    </format>
    <format dxfId="148">
      <pivotArea field="7" type="button" dataOnly="0" labelOnly="1" outline="0" axis="axisCol" fieldPosition="0"/>
    </format>
  </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ivotTable1" cacheId="6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rowHeaderCaption="Task" colHeaderCaption="Status">
  <location ref="F7:G17" firstHeaderRow="1" firstDataRow="2" firstDataCol="1" rowPageCount="1" colPageCount="1"/>
  <pivotFields count="9">
    <pivotField dataField="1" subtotalTop="0" showAll="0"/>
    <pivotField axis="axisPage" showAll="0">
      <items count="5">
        <item x="1"/>
        <item x="0"/>
        <item x="2"/>
        <item x="3"/>
        <item t="default"/>
      </items>
    </pivotField>
    <pivotField axis="axisRow" subtotalTop="0" showAll="0" defaultSubtotal="0">
      <items count="8">
        <item sd="0" x="3"/>
        <item sd="0" x="1"/>
        <item sd="0" x="5"/>
        <item sd="0" x="2"/>
        <item sd="0" x="7"/>
        <item sd="0" x="0"/>
        <item sd="0" x="4"/>
        <item sd="0" x="6"/>
      </items>
    </pivotField>
    <pivotField numFmtId="14" subtotalTop="0" showAll="0"/>
    <pivotField numFmtId="14" subtotalTop="0" showAll="0"/>
    <pivotField numFmtId="14" subtotalTop="0" showAll="0"/>
    <pivotField subtotalTop="0" showAll="0"/>
    <pivotField subtotalTop="0" showAll="0" defaultSubtotal="0">
      <items count="3">
        <item x="0"/>
        <item x="1"/>
        <item x="2"/>
      </items>
    </pivotField>
    <pivotField axis="axisCol" subtotalTop="0" showAll="0">
      <items count="8">
        <item x="1"/>
        <item h="1" x="0"/>
        <item h="1" x="3"/>
        <item h="1" x="2"/>
        <item h="1" x="5"/>
        <item h="1" x="6"/>
        <item h="1" x="4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8"/>
  </colFields>
  <colItems count="1">
    <i>
      <x/>
    </i>
  </colItems>
  <pageFields count="1">
    <pageField fld="1" item="0" hier="-1"/>
  </pageFields>
  <dataFields count="1">
    <dataField name="Forecast Accuracy" fld="0" subtotal="count" baseField="0" baseItem="0"/>
  </dataFields>
  <formats count="37">
    <format dxfId="242">
      <pivotArea type="all" dataOnly="0" outline="0" fieldPosition="0"/>
    </format>
    <format dxfId="241">
      <pivotArea outline="0" collapsedLevelsAreSubtotals="1" fieldPosition="0"/>
    </format>
    <format dxfId="240">
      <pivotArea type="origin" dataOnly="0" labelOnly="1" outline="0" fieldPosition="0"/>
    </format>
    <format dxfId="239">
      <pivotArea field="7" type="button" dataOnly="0" labelOnly="1" outline="0"/>
    </format>
    <format dxfId="238">
      <pivotArea type="topRight" dataOnly="0" labelOnly="1" outline="0" fieldPosition="0"/>
    </format>
    <format dxfId="237">
      <pivotArea field="2" type="button" dataOnly="0" labelOnly="1" outline="0" axis="axisRow" fieldPosition="0"/>
    </format>
    <format dxfId="236">
      <pivotArea dataOnly="0" labelOnly="1" fieldPosition="0">
        <references count="1">
          <reference field="2" count="0"/>
        </references>
      </pivotArea>
    </format>
    <format dxfId="235">
      <pivotArea dataOnly="0" labelOnly="1" grandRow="1" outline="0" fieldPosition="0"/>
    </format>
    <format dxfId="234">
      <pivotArea dataOnly="0" labelOnly="1" fieldPosition="0">
        <references count="2">
          <reference field="2" count="1" selected="0">
            <x v="0"/>
          </reference>
          <reference field="8" count="2">
            <x v="0"/>
            <x v="1"/>
          </reference>
        </references>
      </pivotArea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type="origin" dataOnly="0" labelOnly="1" outline="0" fieldPosition="0"/>
    </format>
    <format dxfId="230">
      <pivotArea field="7" type="button" dataOnly="0" labelOnly="1" outline="0"/>
    </format>
    <format dxfId="229">
      <pivotArea type="topRight" dataOnly="0" labelOnly="1" outline="0" fieldPosition="0"/>
    </format>
    <format dxfId="228">
      <pivotArea field="2" type="button" dataOnly="0" labelOnly="1" outline="0" axis="axisRow" fieldPosition="0"/>
    </format>
    <format dxfId="227">
      <pivotArea dataOnly="0" labelOnly="1" fieldPosition="0">
        <references count="1">
          <reference field="2" count="0"/>
        </references>
      </pivotArea>
    </format>
    <format dxfId="226">
      <pivotArea dataOnly="0" labelOnly="1" grandRow="1" outline="0" fieldPosition="0"/>
    </format>
    <format dxfId="225">
      <pivotArea dataOnly="0" labelOnly="1" grandCol="1" outline="0" fieldPosition="0"/>
    </format>
    <format dxfId="224">
      <pivotArea outline="0" collapsedLevelsAreSubtotals="1" fieldPosition="0"/>
    </format>
    <format dxfId="223">
      <pivotArea field="2" type="button" dataOnly="0" labelOnly="1" outline="0" axis="axisRow" fieldPosition="0"/>
    </format>
    <format dxfId="222">
      <pivotArea dataOnly="0" labelOnly="1" fieldPosition="0">
        <references count="1">
          <reference field="8" count="0"/>
        </references>
      </pivotArea>
    </format>
    <format dxfId="221">
      <pivotArea type="all" dataOnly="0" outline="0" fieldPosition="0"/>
    </format>
    <format dxfId="220">
      <pivotArea outline="0" collapsedLevelsAreSubtotals="1" fieldPosition="0"/>
    </format>
    <format dxfId="219">
      <pivotArea type="origin" dataOnly="0" labelOnly="1" outline="0" fieldPosition="0"/>
    </format>
    <format dxfId="218">
      <pivotArea field="8" type="button" dataOnly="0" labelOnly="1" outline="0" axis="axisCol" fieldPosition="0"/>
    </format>
    <format dxfId="217">
      <pivotArea field="2" type="button" dataOnly="0" labelOnly="1" outline="0" axis="axisRow" fieldPosition="0"/>
    </format>
    <format dxfId="216">
      <pivotArea dataOnly="0" labelOnly="1" fieldPosition="0">
        <references count="1">
          <reference field="2" count="0"/>
        </references>
      </pivotArea>
    </format>
    <format dxfId="215">
      <pivotArea dataOnly="0" labelOnly="1" grandRow="1" outline="0" fieldPosition="0"/>
    </format>
    <format dxfId="214">
      <pivotArea dataOnly="0" labelOnly="1" fieldPosition="0">
        <references count="1">
          <reference field="8" count="0"/>
        </references>
      </pivotArea>
    </format>
    <format dxfId="213">
      <pivotArea type="origin" dataOnly="0" labelOnly="1" outline="0" fieldPosition="0"/>
    </format>
    <format dxfId="212">
      <pivotArea field="8" type="button" dataOnly="0" labelOnly="1" outline="0" axis="axisCol" fieldPosition="0"/>
    </format>
    <format dxfId="211">
      <pivotArea field="2" type="button" dataOnly="0" labelOnly="1" outline="0" axis="axisRow" fieldPosition="0"/>
    </format>
    <format dxfId="210">
      <pivotArea dataOnly="0" labelOnly="1" fieldPosition="0">
        <references count="1">
          <reference field="8" count="0"/>
        </references>
      </pivotArea>
    </format>
    <format dxfId="209">
      <pivotArea outline="0" collapsedLevelsAreSubtotals="1" fieldPosition="0"/>
    </format>
    <format dxfId="208">
      <pivotArea dataOnly="0" labelOnly="1" fieldPosition="0">
        <references count="1">
          <reference field="2" count="0"/>
        </references>
      </pivotArea>
    </format>
    <format dxfId="207">
      <pivotArea dataOnly="0" labelOnly="1" grandRow="1" outline="0" fieldPosition="0"/>
    </format>
    <format dxfId="206">
      <pivotArea dataOnly="0" labelOnly="1" fieldPosition="0">
        <references count="1">
          <reference field="2" count="1">
            <x v="7"/>
          </reference>
        </references>
      </pivotArea>
    </format>
  </formats>
  <pivotTableStyleInfo name="PivotStyleDark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_stx_action" cacheId="6" applyNumberFormats="0" applyBorderFormats="0" applyFontFormats="0" applyPatternFormats="0" applyAlignmentFormats="0" applyWidthHeightFormats="1" dataCaption="Values" updatedVersion="6" minRefreshableVersion="3" showDrill="0" colGrandTotals="0" itemPrintTitles="1" createdVersion="6" indent="0" outline="1" outlineData="1" multipleFieldFilters="0" rowHeaderCaption="Task" colHeaderCaption="Status">
  <location ref="N7:O17" firstHeaderRow="1" firstDataRow="2" firstDataCol="1" rowPageCount="1" colPageCount="1"/>
  <pivotFields count="9">
    <pivotField dataField="1" subtotalTop="0" showAll="0"/>
    <pivotField axis="axisPage" showAll="0">
      <items count="5">
        <item x="1"/>
        <item x="0"/>
        <item x="2"/>
        <item x="3"/>
        <item t="default"/>
      </items>
    </pivotField>
    <pivotField axis="axisRow" subtotalTop="0" showAll="0" defaultSubtotal="0">
      <items count="8">
        <item sd="0" x="3"/>
        <item sd="0" x="1"/>
        <item sd="0" x="5"/>
        <item sd="0" x="2"/>
        <item sd="0" x="7"/>
        <item sd="0" x="0"/>
        <item sd="0" x="4"/>
        <item sd="0" x="6"/>
      </items>
    </pivotField>
    <pivotField numFmtId="14" subtotalTop="0" showAll="0"/>
    <pivotField numFmtId="14" subtotalTop="0" showAll="0"/>
    <pivotField numFmtId="14" subtotalTop="0" showAll="0"/>
    <pivotField subtotalTop="0" showAll="0"/>
    <pivotField subtotalTop="0" showAll="0" defaultSubtotal="0">
      <items count="3">
        <item x="0"/>
        <item x="1"/>
        <item x="2"/>
      </items>
    </pivotField>
    <pivotField axis="axisCol" subtotalTop="0" showAll="0">
      <items count="8">
        <item x="1"/>
        <item h="1" x="0"/>
        <item h="1" x="3"/>
        <item h="1" x="2"/>
        <item h="1" x="5"/>
        <item h="1" x="6"/>
        <item h="1" x="4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8"/>
  </colFields>
  <colItems count="1">
    <i>
      <x/>
    </i>
  </colItems>
  <pageFields count="1">
    <pageField fld="1" item="1" hier="-1"/>
  </pageFields>
  <dataFields count="1">
    <dataField name="Forecast Accuracy" fld="0" subtotal="count" baseField="0" baseItem="0"/>
  </dataFields>
  <formats count="21">
    <format dxfId="263">
      <pivotArea type="all" dataOnly="0" outline="0" fieldPosition="0"/>
    </format>
    <format dxfId="262">
      <pivotArea outline="0" collapsedLevelsAreSubtotals="1" fieldPosition="0"/>
    </format>
    <format dxfId="261">
      <pivotArea type="origin" dataOnly="0" labelOnly="1" outline="0" fieldPosition="0"/>
    </format>
    <format dxfId="260">
      <pivotArea field="7" type="button" dataOnly="0" labelOnly="1" outline="0"/>
    </format>
    <format dxfId="259">
      <pivotArea type="topRight" dataOnly="0" labelOnly="1" outline="0" fieldPosition="0"/>
    </format>
    <format dxfId="258">
      <pivotArea field="2" type="button" dataOnly="0" labelOnly="1" outline="0" axis="axisRow" fieldPosition="0"/>
    </format>
    <format dxfId="257">
      <pivotArea dataOnly="0" labelOnly="1" fieldPosition="0">
        <references count="1">
          <reference field="2" count="0"/>
        </references>
      </pivotArea>
    </format>
    <format dxfId="256">
      <pivotArea dataOnly="0" labelOnly="1" grandRow="1" outline="0" fieldPosition="0"/>
    </format>
    <format dxfId="255">
      <pivotArea dataOnly="0" labelOnly="1" fieldPosition="0">
        <references count="2">
          <reference field="2" count="1" selected="0">
            <x v="0"/>
          </reference>
          <reference field="8" count="2">
            <x v="0"/>
            <x v="1"/>
          </reference>
        </references>
      </pivotArea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type="origin" dataOnly="0" labelOnly="1" outline="0" fieldPosition="0"/>
    </format>
    <format dxfId="251">
      <pivotArea field="7" type="button" dataOnly="0" labelOnly="1" outline="0"/>
    </format>
    <format dxfId="250">
      <pivotArea type="topRight" dataOnly="0" labelOnly="1" outline="0" fieldPosition="0"/>
    </format>
    <format dxfId="249">
      <pivotArea field="2" type="button" dataOnly="0" labelOnly="1" outline="0" axis="axisRow" fieldPosition="0"/>
    </format>
    <format dxfId="248">
      <pivotArea dataOnly="0" labelOnly="1" fieldPosition="0">
        <references count="1">
          <reference field="2" count="0"/>
        </references>
      </pivotArea>
    </format>
    <format dxfId="247">
      <pivotArea dataOnly="0" labelOnly="1" grandRow="1" outline="0" fieldPosition="0"/>
    </format>
    <format dxfId="246">
      <pivotArea dataOnly="0" labelOnly="1" grandCol="1" outline="0" fieldPosition="0"/>
    </format>
    <format dxfId="245">
      <pivotArea outline="0" collapsedLevelsAreSubtotals="1" fieldPosition="0"/>
    </format>
    <format dxfId="244">
      <pivotArea field="2" type="button" dataOnly="0" labelOnly="1" outline="0" axis="axisRow" fieldPosition="0"/>
    </format>
    <format dxfId="243">
      <pivotArea dataOnly="0" labelOnly="1" fieldPosition="0">
        <references count="1">
          <reference field="8" count="0"/>
        </references>
      </pivotArea>
    </format>
  </formats>
  <pivotTableStyleInfo name="PivotStyleDark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_stx_status" cacheId="6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rowHeaderCaption="Task" colHeaderCaption="Status">
  <location ref="I7:K17" firstHeaderRow="1" firstDataRow="2" firstDataCol="1" rowPageCount="1" colPageCount="1"/>
  <pivotFields count="9">
    <pivotField dataField="1" subtotalTop="0" showAll="0"/>
    <pivotField axis="axisPage" showAll="0">
      <items count="5">
        <item x="1"/>
        <item x="0"/>
        <item x="2"/>
        <item x="3"/>
        <item t="default"/>
      </items>
    </pivotField>
    <pivotField axis="axisRow" showAll="0">
      <items count="9">
        <item sd="0" x="3"/>
        <item sd="0" x="1"/>
        <item sd="0" x="5"/>
        <item sd="0" x="2"/>
        <item sd="0" x="7"/>
        <item sd="0" x="0"/>
        <item sd="0" x="4"/>
        <item sd="0" x="6"/>
        <item t="default" sd="0"/>
      </items>
    </pivotField>
    <pivotField numFmtId="14" subtotalTop="0" showAll="0"/>
    <pivotField numFmtId="14" subtotalTop="0" showAll="0"/>
    <pivotField numFmtId="14" subtotalTop="0" showAll="0"/>
    <pivotField subtotalTop="0" showAll="0"/>
    <pivotField axis="axisCol" subtotalTop="0" showAll="0" defaultSubtotal="0">
      <items count="3">
        <item x="0"/>
        <item x="1"/>
        <item x="2"/>
      </items>
    </pivotField>
    <pivotField subtotalTop="0" showAll="0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2">
    <i>
      <x/>
    </i>
    <i>
      <x v="1"/>
    </i>
  </colItems>
  <pageFields count="1">
    <pageField fld="1" item="1" hier="-1"/>
  </pageFields>
  <dataFields count="1">
    <dataField name="Forecast Accuracy" fld="0" subtotal="count" baseField="0" baseItem="0"/>
  </dataFields>
  <formats count="20">
    <format dxfId="283">
      <pivotArea type="all" dataOnly="0" outline="0" fieldPosition="0"/>
    </format>
    <format dxfId="282">
      <pivotArea outline="0" collapsedLevelsAreSubtotals="1" fieldPosition="0"/>
    </format>
    <format dxfId="281">
      <pivotArea type="origin" dataOnly="0" labelOnly="1" outline="0" fieldPosition="0"/>
    </format>
    <format dxfId="280">
      <pivotArea field="7" type="button" dataOnly="0" labelOnly="1" outline="0" axis="axisCol" fieldPosition="0"/>
    </format>
    <format dxfId="279">
      <pivotArea type="topRight" dataOnly="0" labelOnly="1" outline="0" fieldPosition="0"/>
    </format>
    <format dxfId="278">
      <pivotArea field="2" type="button" dataOnly="0" labelOnly="1" outline="0" axis="axisRow" fieldPosition="0"/>
    </format>
    <format dxfId="277">
      <pivotArea dataOnly="0" labelOnly="1" fieldPosition="0">
        <references count="1">
          <reference field="2" count="0"/>
        </references>
      </pivotArea>
    </format>
    <format dxfId="276">
      <pivotArea dataOnly="0" labelOnly="1" grandRow="1" outline="0" fieldPosition="0"/>
    </format>
    <format dxfId="275">
      <pivotArea dataOnly="0" labelOnly="1" fieldPosition="0">
        <references count="1">
          <reference field="7" count="0"/>
        </references>
      </pivotArea>
    </format>
    <format dxfId="274">
      <pivotArea type="all" dataOnly="0" outline="0" fieldPosition="0"/>
    </format>
    <format dxfId="273">
      <pivotArea outline="0" collapsedLevelsAreSubtotals="1" fieldPosition="0"/>
    </format>
    <format dxfId="272">
      <pivotArea type="origin" dataOnly="0" labelOnly="1" outline="0" fieldPosition="0"/>
    </format>
    <format dxfId="271">
      <pivotArea field="7" type="button" dataOnly="0" labelOnly="1" outline="0" axis="axisCol" fieldPosition="0"/>
    </format>
    <format dxfId="270">
      <pivotArea type="topRight" dataOnly="0" labelOnly="1" outline="0" fieldPosition="0"/>
    </format>
    <format dxfId="269">
      <pivotArea field="2" type="button" dataOnly="0" labelOnly="1" outline="0" axis="axisRow" fieldPosition="0"/>
    </format>
    <format dxfId="268">
      <pivotArea dataOnly="0" labelOnly="1" fieldPosition="0">
        <references count="1">
          <reference field="2" count="0"/>
        </references>
      </pivotArea>
    </format>
    <format dxfId="267">
      <pivotArea dataOnly="0" labelOnly="1" grandRow="1" outline="0" fieldPosition="0"/>
    </format>
    <format dxfId="266">
      <pivotArea dataOnly="0" labelOnly="1" fieldPosition="0">
        <references count="1">
          <reference field="7" count="0"/>
        </references>
      </pivotArea>
    </format>
    <format dxfId="265">
      <pivotArea dataOnly="0" labelOnly="1" grandCol="1" outline="0" fieldPosition="0"/>
    </format>
    <format dxfId="264">
      <pivotArea outline="0" collapsedLevelsAreSubtotals="1" fieldPosition="0"/>
    </format>
  </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_forecast" displayName="tbl_forecast" ref="A1:I4843" totalsRowShown="0">
  <autoFilter ref="A1:I4843" xr:uid="{00000000-0009-0000-0100-000002000000}"/>
  <tableColumns count="9">
    <tableColumn id="1" xr3:uid="{00000000-0010-0000-0000-000001000000}" name="PACE Job Number"/>
    <tableColumn id="9" xr3:uid="{00000000-0010-0000-0000-000009000000}" name="Market" dataDxfId="147">
      <calculatedColumnFormula>MID(tbl_forecast[[#This Row],[PACE Job Number]],3,3)</calculatedColumnFormula>
    </tableColumn>
    <tableColumn id="2" xr3:uid="{00000000-0010-0000-0000-000002000000}" name="Task"/>
    <tableColumn id="8" xr3:uid="{00000000-0010-0000-0000-000008000000}" name="Initial FCST"/>
    <tableColumn id="3" xr3:uid="{00000000-0010-0000-0000-000003000000}" name="Cur FCST"/>
    <tableColumn id="4" xr3:uid="{00000000-0010-0000-0000-000004000000}" name="App FCST"/>
    <tableColumn id="5" xr3:uid="{00000000-0010-0000-0000-000005000000}" name="Actual"/>
    <tableColumn id="6" xr3:uid="{00000000-0010-0000-0000-000006000000}" name="Push Status"/>
    <tableColumn id="7" xr3:uid="{00000000-0010-0000-0000-000007000000}" name="Action Required"/>
  </tableColumns>
  <tableStyleInfo name="TableStyleDark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lock" displayName="tbl_lock" ref="A1:D5274" totalsRowShown="0">
  <autoFilter ref="A1:D5274" xr:uid="{00000000-0009-0000-0100-000001000000}"/>
  <tableColumns count="4">
    <tableColumn id="1" xr3:uid="{00000000-0010-0000-0100-000001000000}" name="PACE Job Number"/>
    <tableColumn id="4" xr3:uid="{00000000-0010-0000-0100-000004000000}" name="Market">
      <calculatedColumnFormula>MID(tbl_lock[[#This Row],[PACE Job Number]],3,3)</calculatedColumnFormula>
    </tableColumn>
    <tableColumn id="2" xr3:uid="{00000000-0010-0000-0100-000002000000}" name="Task"/>
    <tableColumn id="3" xr3:uid="{00000000-0010-0000-0100-000003000000}" name="Forecast" dataDxfId="1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9"/>
  <sheetViews>
    <sheetView tabSelected="1" workbookViewId="0">
      <selection sqref="A1:O17"/>
    </sheetView>
  </sheetViews>
  <sheetFormatPr defaultColWidth="0" defaultRowHeight="15" zeroHeight="1" x14ac:dyDescent="0.25"/>
  <cols>
    <col min="1" max="1" width="22.7109375" style="3" customWidth="1"/>
    <col min="2" max="2" width="10.7109375" style="3" bestFit="1" customWidth="1"/>
    <col min="3" max="3" width="9.5703125" style="3" bestFit="1" customWidth="1"/>
    <col min="4" max="4" width="5.7109375" style="3" hidden="1" customWidth="1"/>
    <col min="5" max="5" width="3.28515625" style="3" customWidth="1"/>
    <col min="6" max="6" width="16.28515625" style="3" customWidth="1"/>
    <col min="7" max="7" width="10.140625" style="3" customWidth="1"/>
    <col min="8" max="8" width="5.7109375" style="3" customWidth="1"/>
    <col min="9" max="9" width="22.7109375" style="3" customWidth="1"/>
    <col min="10" max="10" width="10.7109375" style="3" customWidth="1"/>
    <col min="11" max="11" width="9.5703125" style="3" customWidth="1"/>
    <col min="12" max="12" width="5.7109375" style="3" hidden="1" customWidth="1"/>
    <col min="13" max="13" width="3.28515625" style="3" customWidth="1"/>
    <col min="14" max="14" width="16.28515625" style="3" customWidth="1"/>
    <col min="15" max="15" width="12.42578125" style="3" customWidth="1"/>
    <col min="16" max="16" width="8.7109375" style="3" customWidth="1"/>
    <col min="17" max="16384" width="8.85546875" style="3" hidden="1"/>
  </cols>
  <sheetData>
    <row r="1" spans="1:16" ht="23.45" customHeight="1" x14ac:dyDescent="0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7"/>
    </row>
    <row r="2" spans="1:16" x14ac:dyDescent="0.25">
      <c r="A2" s="6" t="s">
        <v>5648</v>
      </c>
      <c r="B2" s="9" t="s">
        <v>4668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23.45" customHeight="1" thickBot="1" x14ac:dyDescent="0.3">
      <c r="A4" s="39" t="s">
        <v>1</v>
      </c>
      <c r="B4" s="39"/>
      <c r="C4" s="4">
        <f>IFERROR(1-GETPIVOTDATA("PACE Job Number",$A$7,"Push Status","Within 14")/SUM(GETPIVOTDATA("PACE Job Number",$A$7,"Push Status","Pushed 14+"),GETPIVOTDATA("PACE Job Number",$A$7,"Push Status","Within 14")),0)</f>
        <v>0.4525423728813559</v>
      </c>
      <c r="D4" s="7"/>
      <c r="E4" s="8"/>
      <c r="F4" s="7"/>
      <c r="G4" s="7"/>
      <c r="H4" s="7"/>
      <c r="I4" s="40" t="s">
        <v>2</v>
      </c>
      <c r="J4" s="40"/>
      <c r="K4" s="4">
        <f>IFERROR(1-GETPIVOTDATA("PACE Job Number",$I$7,"Push Status","Within 14")/SUM(GETPIVOTDATA("PACE Job Number",$I$7,"Push Status","Pushed 14+"),GETPIVOTDATA("PACE Job Number",$I$7,"Push Status","Within 14")),0)</f>
        <v>0.22686025408348454</v>
      </c>
      <c r="L4" s="7"/>
      <c r="M4" s="8"/>
      <c r="N4" s="7"/>
      <c r="O4" s="7"/>
      <c r="P4" s="7"/>
    </row>
    <row r="5" spans="1:16" ht="15.75" thickBot="1" x14ac:dyDescent="0.3">
      <c r="A5" s="2" t="s">
        <v>3</v>
      </c>
      <c r="B5" s="3" t="s">
        <v>4</v>
      </c>
      <c r="C5" s="7"/>
      <c r="D5" s="7"/>
      <c r="E5" s="8"/>
      <c r="F5" s="17" t="s">
        <v>3</v>
      </c>
      <c r="G5" s="15" t="s">
        <v>4</v>
      </c>
      <c r="H5" s="7"/>
      <c r="I5" s="2" t="s">
        <v>3</v>
      </c>
      <c r="J5" s="3" t="s">
        <v>5</v>
      </c>
      <c r="K5" s="7"/>
      <c r="L5" s="7"/>
      <c r="M5" s="8"/>
      <c r="N5" s="2" t="s">
        <v>3</v>
      </c>
      <c r="O5" s="3" t="s">
        <v>5</v>
      </c>
      <c r="P5" s="7"/>
    </row>
    <row r="6" spans="1:16" ht="15.75" thickBot="1" x14ac:dyDescent="0.3">
      <c r="A6" s="7"/>
      <c r="B6" s="7"/>
      <c r="C6" s="7"/>
      <c r="D6" s="7"/>
      <c r="E6" s="8"/>
      <c r="F6" s="7"/>
      <c r="G6" s="7"/>
      <c r="H6" s="7"/>
      <c r="I6" s="7"/>
      <c r="J6" s="7"/>
      <c r="K6" s="7"/>
      <c r="L6" s="7"/>
      <c r="M6" s="8"/>
      <c r="N6" s="7"/>
      <c r="O6" s="7"/>
      <c r="P6" s="7"/>
    </row>
    <row r="7" spans="1:16" ht="23.25" customHeight="1" thickBot="1" x14ac:dyDescent="0.3">
      <c r="A7" s="12" t="s">
        <v>6</v>
      </c>
      <c r="B7" s="12" t="s">
        <v>7</v>
      </c>
      <c r="C7" s="38"/>
      <c r="E7" s="8"/>
      <c r="F7" s="23" t="s">
        <v>6</v>
      </c>
      <c r="G7" s="23" t="s">
        <v>7</v>
      </c>
      <c r="H7" s="8"/>
      <c r="I7" s="2" t="s">
        <v>6</v>
      </c>
      <c r="J7" s="2" t="s">
        <v>7</v>
      </c>
      <c r="L7"/>
      <c r="M7" s="8"/>
      <c r="N7" s="2" t="s">
        <v>6</v>
      </c>
      <c r="O7" s="2" t="s">
        <v>7</v>
      </c>
      <c r="P7" s="7"/>
    </row>
    <row r="8" spans="1:16" ht="45" customHeight="1" thickBot="1" x14ac:dyDescent="0.3">
      <c r="A8" s="17" t="s">
        <v>8</v>
      </c>
      <c r="B8" s="37" t="s">
        <v>9</v>
      </c>
      <c r="C8" s="15" t="s">
        <v>4664</v>
      </c>
      <c r="D8" s="3" t="s">
        <v>5647</v>
      </c>
      <c r="E8" s="8"/>
      <c r="F8" s="25" t="s">
        <v>8</v>
      </c>
      <c r="G8" s="24" t="s">
        <v>10</v>
      </c>
      <c r="H8" s="8"/>
      <c r="I8" s="2" t="s">
        <v>8</v>
      </c>
      <c r="J8" s="3" t="s">
        <v>9</v>
      </c>
      <c r="K8" s="3" t="s">
        <v>4664</v>
      </c>
      <c r="L8"/>
      <c r="M8" s="8"/>
      <c r="N8" s="16" t="s">
        <v>8</v>
      </c>
      <c r="O8" s="5" t="s">
        <v>10</v>
      </c>
      <c r="P8" s="7"/>
    </row>
    <row r="9" spans="1:16" x14ac:dyDescent="0.25">
      <c r="A9" s="18" t="s">
        <v>11</v>
      </c>
      <c r="B9" s="31">
        <v>287</v>
      </c>
      <c r="C9" s="32">
        <v>148</v>
      </c>
      <c r="D9" s="27"/>
      <c r="E9" s="8"/>
      <c r="F9" s="19" t="s">
        <v>11</v>
      </c>
      <c r="G9" s="28">
        <v>228</v>
      </c>
      <c r="H9" s="8"/>
      <c r="I9" s="14" t="s">
        <v>11</v>
      </c>
      <c r="J9" s="27">
        <v>118</v>
      </c>
      <c r="K9" s="27">
        <v>52</v>
      </c>
      <c r="L9"/>
      <c r="M9" s="8"/>
      <c r="N9" s="14" t="s">
        <v>11</v>
      </c>
      <c r="O9" s="27">
        <v>104</v>
      </c>
      <c r="P9" s="7"/>
    </row>
    <row r="10" spans="1:16" x14ac:dyDescent="0.25">
      <c r="A10" s="13" t="s">
        <v>12</v>
      </c>
      <c r="B10" s="33">
        <v>3</v>
      </c>
      <c r="C10" s="34">
        <v>21</v>
      </c>
      <c r="D10" s="27"/>
      <c r="E10" s="8"/>
      <c r="F10" s="20" t="s">
        <v>12</v>
      </c>
      <c r="G10" s="29">
        <v>3</v>
      </c>
      <c r="H10" s="8"/>
      <c r="I10" s="14" t="s">
        <v>12</v>
      </c>
      <c r="J10" s="27">
        <v>57</v>
      </c>
      <c r="K10" s="27">
        <v>14</v>
      </c>
      <c r="L10"/>
      <c r="M10" s="8"/>
      <c r="N10" s="14" t="s">
        <v>12</v>
      </c>
      <c r="O10" s="27">
        <v>1</v>
      </c>
      <c r="P10" s="7"/>
    </row>
    <row r="11" spans="1:16" x14ac:dyDescent="0.25">
      <c r="A11" s="13" t="s">
        <v>13</v>
      </c>
      <c r="B11" s="33">
        <v>42</v>
      </c>
      <c r="C11" s="34">
        <v>33</v>
      </c>
      <c r="D11" s="27"/>
      <c r="E11" s="8"/>
      <c r="F11" s="20" t="s">
        <v>13</v>
      </c>
      <c r="G11" s="29">
        <v>42</v>
      </c>
      <c r="H11" s="8"/>
      <c r="I11" s="14" t="s">
        <v>13</v>
      </c>
      <c r="J11" s="27">
        <v>206</v>
      </c>
      <c r="K11" s="27">
        <v>32</v>
      </c>
      <c r="L11"/>
      <c r="M11" s="8"/>
      <c r="N11" s="14" t="s">
        <v>13</v>
      </c>
      <c r="O11" s="27">
        <v>112</v>
      </c>
      <c r="P11" s="7"/>
    </row>
    <row r="12" spans="1:16" x14ac:dyDescent="0.25">
      <c r="A12" s="13" t="s">
        <v>14</v>
      </c>
      <c r="B12" s="33">
        <v>176</v>
      </c>
      <c r="C12" s="34">
        <v>128</v>
      </c>
      <c r="D12" s="27"/>
      <c r="E12" s="8"/>
      <c r="F12" s="20" t="s">
        <v>14</v>
      </c>
      <c r="G12" s="29">
        <v>186</v>
      </c>
      <c r="H12" s="8"/>
      <c r="I12" s="14" t="s">
        <v>14</v>
      </c>
      <c r="J12" s="27">
        <v>91</v>
      </c>
      <c r="K12" s="27">
        <v>58</v>
      </c>
      <c r="L12"/>
      <c r="M12" s="8"/>
      <c r="N12" s="14" t="s">
        <v>14</v>
      </c>
      <c r="O12" s="27">
        <v>87</v>
      </c>
      <c r="P12" s="7"/>
    </row>
    <row r="13" spans="1:16" x14ac:dyDescent="0.25">
      <c r="A13" s="13" t="s">
        <v>15</v>
      </c>
      <c r="B13" s="33">
        <v>73</v>
      </c>
      <c r="C13" s="34">
        <v>217</v>
      </c>
      <c r="D13" s="27"/>
      <c r="E13" s="8"/>
      <c r="F13" s="20" t="s">
        <v>15</v>
      </c>
      <c r="G13" s="29">
        <v>80</v>
      </c>
      <c r="H13" s="8"/>
      <c r="I13" s="14" t="s">
        <v>15</v>
      </c>
      <c r="J13" s="27">
        <v>130</v>
      </c>
      <c r="K13" s="27">
        <v>102</v>
      </c>
      <c r="L13"/>
      <c r="M13" s="8"/>
      <c r="N13" s="14" t="s">
        <v>15</v>
      </c>
      <c r="O13" s="27">
        <v>95</v>
      </c>
      <c r="P13" s="7"/>
    </row>
    <row r="14" spans="1:16" x14ac:dyDescent="0.25">
      <c r="A14" s="13" t="s">
        <v>16</v>
      </c>
      <c r="B14" s="33">
        <v>112</v>
      </c>
      <c r="C14" s="34">
        <v>36</v>
      </c>
      <c r="D14" s="27"/>
      <c r="E14" s="8"/>
      <c r="F14" s="20" t="s">
        <v>16</v>
      </c>
      <c r="G14" s="29">
        <v>59</v>
      </c>
      <c r="H14" s="8"/>
      <c r="I14" s="14" t="s">
        <v>16</v>
      </c>
      <c r="J14" s="27">
        <v>235</v>
      </c>
      <c r="K14" s="27">
        <v>32</v>
      </c>
      <c r="L14"/>
      <c r="M14" s="8"/>
      <c r="N14" s="14" t="s">
        <v>16</v>
      </c>
      <c r="O14" s="27">
        <v>154</v>
      </c>
      <c r="P14" s="7"/>
    </row>
    <row r="15" spans="1:16" x14ac:dyDescent="0.25">
      <c r="A15" s="13" t="s">
        <v>18</v>
      </c>
      <c r="B15" s="33">
        <v>190</v>
      </c>
      <c r="C15" s="34">
        <v>206</v>
      </c>
      <c r="D15" s="27"/>
      <c r="E15" s="8"/>
      <c r="F15" s="20" t="s">
        <v>18</v>
      </c>
      <c r="G15" s="29">
        <v>148</v>
      </c>
      <c r="H15" s="8"/>
      <c r="I15" s="14" t="s">
        <v>18</v>
      </c>
      <c r="J15" s="27">
        <v>135</v>
      </c>
      <c r="K15" s="27">
        <v>66</v>
      </c>
      <c r="L15"/>
      <c r="M15" s="8"/>
      <c r="N15" s="14" t="s">
        <v>18</v>
      </c>
      <c r="O15" s="27">
        <v>67</v>
      </c>
      <c r="P15" s="7"/>
    </row>
    <row r="16" spans="1:16" ht="15.75" thickBot="1" x14ac:dyDescent="0.3">
      <c r="A16" s="13" t="s">
        <v>17</v>
      </c>
      <c r="B16" s="33">
        <v>86</v>
      </c>
      <c r="C16" s="34">
        <v>12</v>
      </c>
      <c r="D16" s="27">
        <v>3</v>
      </c>
      <c r="E16" s="8"/>
      <c r="F16" s="20" t="s">
        <v>17</v>
      </c>
      <c r="G16" s="29">
        <v>67</v>
      </c>
      <c r="H16" s="10"/>
      <c r="I16" s="14" t="s">
        <v>17</v>
      </c>
      <c r="J16" s="27">
        <v>306</v>
      </c>
      <c r="K16" s="27">
        <v>19</v>
      </c>
      <c r="L16"/>
      <c r="M16" s="8"/>
      <c r="N16" s="14" t="s">
        <v>17</v>
      </c>
      <c r="O16" s="27">
        <v>155</v>
      </c>
      <c r="P16" s="7"/>
    </row>
    <row r="17" spans="1:16" ht="15.75" thickBot="1" x14ac:dyDescent="0.3">
      <c r="A17" s="22" t="s">
        <v>19</v>
      </c>
      <c r="B17" s="35">
        <v>969</v>
      </c>
      <c r="C17" s="36">
        <v>801</v>
      </c>
      <c r="D17" s="27">
        <v>3</v>
      </c>
      <c r="E17" s="8"/>
      <c r="F17" s="21" t="s">
        <v>19</v>
      </c>
      <c r="G17" s="30">
        <v>813</v>
      </c>
      <c r="H17" s="7"/>
      <c r="I17" s="14" t="s">
        <v>19</v>
      </c>
      <c r="J17" s="27">
        <v>1278</v>
      </c>
      <c r="K17" s="27">
        <v>375</v>
      </c>
      <c r="L17"/>
      <c r="M17" s="8"/>
      <c r="N17" s="14" t="s">
        <v>19</v>
      </c>
      <c r="O17" s="27">
        <v>775</v>
      </c>
      <c r="P17" s="7"/>
    </row>
    <row r="18" spans="1:16" x14ac:dyDescent="0.25">
      <c r="A18" s="8"/>
      <c r="B18" s="8"/>
      <c r="C18" s="8"/>
      <c r="D18" s="8"/>
      <c r="E18" s="8"/>
      <c r="F18" s="8"/>
      <c r="G18" s="8"/>
      <c r="H18" s="7"/>
      <c r="I18" s="8"/>
      <c r="J18" s="8"/>
      <c r="K18" s="8"/>
      <c r="L18" s="8"/>
      <c r="M18" s="8"/>
      <c r="N18" s="8"/>
      <c r="O18" s="8"/>
      <c r="P18" s="7"/>
    </row>
    <row r="19" spans="1:16" x14ac:dyDescent="0.25">
      <c r="A19" s="8"/>
      <c r="B19" s="8"/>
      <c r="C19" s="8"/>
      <c r="D19" s="8"/>
      <c r="E19" s="8"/>
      <c r="F19" s="8"/>
      <c r="G19" s="8"/>
      <c r="H19" s="7"/>
      <c r="I19" s="8"/>
      <c r="J19" s="8"/>
      <c r="K19" s="8"/>
      <c r="L19" s="8"/>
      <c r="M19" s="8"/>
      <c r="N19" s="8"/>
      <c r="O19" s="8"/>
      <c r="P19" s="7"/>
    </row>
    <row r="20" spans="1:16" hidden="1" x14ac:dyDescent="0.25">
      <c r="A20"/>
      <c r="B20"/>
      <c r="C20"/>
      <c r="D20"/>
      <c r="I20"/>
      <c r="J20"/>
      <c r="K20"/>
      <c r="L20"/>
    </row>
    <row r="21" spans="1:16" hidden="1" x14ac:dyDescent="0.25">
      <c r="A21"/>
      <c r="B21"/>
      <c r="C21"/>
      <c r="D21"/>
      <c r="H21"/>
      <c r="I21"/>
      <c r="J21"/>
      <c r="K21"/>
      <c r="L21"/>
    </row>
    <row r="22" spans="1:16" hidden="1" x14ac:dyDescent="0.25">
      <c r="A22"/>
      <c r="B22"/>
      <c r="C22"/>
      <c r="D22"/>
      <c r="H22"/>
      <c r="I22"/>
      <c r="J22"/>
      <c r="K22"/>
      <c r="L22"/>
    </row>
    <row r="23" spans="1:16" hidden="1" x14ac:dyDescent="0.25">
      <c r="A23"/>
      <c r="B23"/>
      <c r="C23"/>
      <c r="D23"/>
      <c r="H23"/>
      <c r="I23"/>
      <c r="J23"/>
      <c r="K23"/>
      <c r="L23"/>
    </row>
    <row r="24" spans="1:16" hidden="1" x14ac:dyDescent="0.25">
      <c r="A24"/>
      <c r="B24"/>
      <c r="C24"/>
      <c r="D24"/>
      <c r="H24"/>
      <c r="I24"/>
      <c r="J24"/>
      <c r="K24"/>
      <c r="L24"/>
    </row>
    <row r="25" spans="1:16" hidden="1" x14ac:dyDescent="0.25">
      <c r="A25"/>
      <c r="B25"/>
      <c r="C25"/>
      <c r="D25"/>
      <c r="H25"/>
      <c r="I25"/>
      <c r="J25"/>
      <c r="K25"/>
      <c r="L25"/>
    </row>
    <row r="26" spans="1:16" hidden="1" x14ac:dyDescent="0.25">
      <c r="A26"/>
      <c r="B26"/>
      <c r="C26"/>
      <c r="D26"/>
      <c r="H26"/>
      <c r="I26"/>
      <c r="J26"/>
      <c r="K26"/>
      <c r="L26"/>
    </row>
    <row r="27" spans="1:16" hidden="1" x14ac:dyDescent="0.25">
      <c r="A27"/>
      <c r="B27"/>
      <c r="C27"/>
      <c r="D27"/>
      <c r="H27"/>
      <c r="I27"/>
      <c r="J27"/>
      <c r="K27"/>
      <c r="L27"/>
    </row>
    <row r="28" spans="1:16" hidden="1" x14ac:dyDescent="0.25">
      <c r="A28"/>
      <c r="B28"/>
      <c r="C28"/>
      <c r="D28"/>
      <c r="H28"/>
      <c r="I28"/>
      <c r="J28"/>
      <c r="K28"/>
      <c r="L28"/>
    </row>
    <row r="29" spans="1:16" hidden="1" x14ac:dyDescent="0.25">
      <c r="A29"/>
      <c r="B29"/>
      <c r="C29"/>
      <c r="D29"/>
      <c r="H29"/>
      <c r="I29"/>
      <c r="J29"/>
      <c r="K29"/>
      <c r="L29"/>
    </row>
    <row r="30" spans="1:16" hidden="1" x14ac:dyDescent="0.25">
      <c r="A30"/>
      <c r="B30"/>
      <c r="C30"/>
      <c r="D30"/>
      <c r="H30"/>
      <c r="I30"/>
      <c r="J30"/>
      <c r="K30"/>
      <c r="L30"/>
    </row>
    <row r="31" spans="1:16" hidden="1" x14ac:dyDescent="0.25">
      <c r="A31"/>
      <c r="B31"/>
      <c r="C31"/>
      <c r="D31"/>
      <c r="H31"/>
      <c r="I31"/>
      <c r="J31"/>
      <c r="K31"/>
      <c r="L31"/>
    </row>
    <row r="32" spans="1:16" hidden="1" x14ac:dyDescent="0.25">
      <c r="A32"/>
      <c r="B32"/>
      <c r="C32"/>
      <c r="D32"/>
      <c r="I32"/>
      <c r="J32"/>
      <c r="K32"/>
      <c r="L32"/>
    </row>
    <row r="33" spans="1:12" hidden="1" x14ac:dyDescent="0.25">
      <c r="A33"/>
      <c r="B33"/>
      <c r="C33"/>
      <c r="D33"/>
      <c r="I33"/>
      <c r="J33"/>
      <c r="K33"/>
      <c r="L33"/>
    </row>
    <row r="34" spans="1:12" hidden="1" x14ac:dyDescent="0.25">
      <c r="A34"/>
      <c r="B34"/>
      <c r="C34"/>
      <c r="D34"/>
      <c r="I34"/>
      <c r="J34"/>
      <c r="K34"/>
      <c r="L34"/>
    </row>
    <row r="35" spans="1:12" hidden="1" x14ac:dyDescent="0.25">
      <c r="A35"/>
      <c r="B35"/>
      <c r="C35"/>
      <c r="D35"/>
      <c r="I35"/>
      <c r="J35"/>
      <c r="K35"/>
      <c r="L35"/>
    </row>
    <row r="36" spans="1:12" hidden="1" x14ac:dyDescent="0.25">
      <c r="A36"/>
      <c r="B36"/>
      <c r="C36"/>
      <c r="D36"/>
      <c r="I36"/>
      <c r="J36"/>
      <c r="K36"/>
      <c r="L36"/>
    </row>
    <row r="37" spans="1:12" hidden="1" x14ac:dyDescent="0.25">
      <c r="A37"/>
      <c r="B37"/>
      <c r="C37"/>
      <c r="D37"/>
      <c r="I37"/>
      <c r="J37"/>
      <c r="K37"/>
      <c r="L37"/>
    </row>
    <row r="38" spans="1:12" hidden="1" x14ac:dyDescent="0.25">
      <c r="A38"/>
      <c r="B38"/>
      <c r="C38"/>
      <c r="D38"/>
      <c r="I38"/>
      <c r="J38"/>
      <c r="K38"/>
      <c r="L38"/>
    </row>
    <row r="39" spans="1:12" hidden="1" x14ac:dyDescent="0.25">
      <c r="A39"/>
      <c r="B39"/>
      <c r="C39"/>
      <c r="D39"/>
      <c r="I39"/>
      <c r="J39"/>
      <c r="K39"/>
      <c r="L39"/>
    </row>
    <row r="40" spans="1:12" hidden="1" x14ac:dyDescent="0.25">
      <c r="A40"/>
      <c r="B40"/>
      <c r="C40"/>
      <c r="D40"/>
      <c r="I40"/>
      <c r="J40"/>
      <c r="K40"/>
      <c r="L40"/>
    </row>
    <row r="41" spans="1:12" hidden="1" x14ac:dyDescent="0.25">
      <c r="A41"/>
      <c r="B41"/>
      <c r="C41"/>
      <c r="D41"/>
      <c r="I41"/>
      <c r="J41"/>
      <c r="K41"/>
      <c r="L41"/>
    </row>
    <row r="42" spans="1:12" hidden="1" x14ac:dyDescent="0.25">
      <c r="A42"/>
      <c r="B42"/>
      <c r="C42"/>
      <c r="D42"/>
      <c r="I42"/>
      <c r="J42"/>
      <c r="K42"/>
      <c r="L42"/>
    </row>
    <row r="43" spans="1:12" hidden="1" x14ac:dyDescent="0.25">
      <c r="A43"/>
      <c r="B43"/>
      <c r="C43"/>
      <c r="D43"/>
      <c r="I43"/>
      <c r="J43"/>
      <c r="K43"/>
      <c r="L43"/>
    </row>
    <row r="44" spans="1:12" hidden="1" x14ac:dyDescent="0.25">
      <c r="A44"/>
      <c r="B44"/>
      <c r="C44"/>
      <c r="D44"/>
      <c r="I44"/>
      <c r="J44"/>
      <c r="K44"/>
      <c r="L44"/>
    </row>
    <row r="45" spans="1:12" hidden="1" x14ac:dyDescent="0.25">
      <c r="A45"/>
      <c r="B45"/>
      <c r="C45"/>
      <c r="D45"/>
      <c r="I45"/>
      <c r="J45"/>
      <c r="K45"/>
      <c r="L45"/>
    </row>
    <row r="46" spans="1:12" hidden="1" x14ac:dyDescent="0.25">
      <c r="A46"/>
      <c r="B46"/>
      <c r="C46"/>
      <c r="D46"/>
      <c r="I46"/>
      <c r="J46"/>
      <c r="K46"/>
      <c r="L46"/>
    </row>
    <row r="47" spans="1:12" hidden="1" x14ac:dyDescent="0.25">
      <c r="A47"/>
      <c r="B47"/>
      <c r="C47"/>
      <c r="D47"/>
      <c r="I47"/>
      <c r="J47"/>
      <c r="K47"/>
      <c r="L47"/>
    </row>
    <row r="48" spans="1:12" hidden="1" x14ac:dyDescent="0.25">
      <c r="A48"/>
      <c r="B48"/>
      <c r="C48"/>
      <c r="D48"/>
      <c r="I48"/>
      <c r="J48"/>
      <c r="K48"/>
      <c r="L48"/>
    </row>
    <row r="49" spans="1:12" hidden="1" x14ac:dyDescent="0.25">
      <c r="A49"/>
      <c r="B49"/>
      <c r="C49"/>
      <c r="D49"/>
      <c r="I49"/>
      <c r="J49"/>
      <c r="K49"/>
      <c r="L49"/>
    </row>
    <row r="50" spans="1:12" hidden="1" x14ac:dyDescent="0.25">
      <c r="A50"/>
      <c r="B50"/>
      <c r="C50"/>
    </row>
    <row r="51" spans="1:12" hidden="1" x14ac:dyDescent="0.25">
      <c r="A51"/>
      <c r="B51"/>
      <c r="C51"/>
    </row>
    <row r="52" spans="1:12" hidden="1" x14ac:dyDescent="0.25">
      <c r="A52"/>
      <c r="B52"/>
      <c r="C52"/>
    </row>
    <row r="53" spans="1:12" hidden="1" x14ac:dyDescent="0.25">
      <c r="A53"/>
      <c r="B53"/>
      <c r="C53"/>
    </row>
    <row r="54" spans="1:12" hidden="1" x14ac:dyDescent="0.25">
      <c r="A54"/>
      <c r="B54"/>
      <c r="C54"/>
    </row>
    <row r="55" spans="1:12" hidden="1" x14ac:dyDescent="0.25">
      <c r="A55"/>
      <c r="B55"/>
      <c r="C55"/>
    </row>
    <row r="56" spans="1:12" hidden="1" x14ac:dyDescent="0.25">
      <c r="A56"/>
      <c r="B56"/>
      <c r="C56"/>
    </row>
    <row r="57" spans="1:12" hidden="1" x14ac:dyDescent="0.25">
      <c r="A57"/>
      <c r="B57"/>
      <c r="C57"/>
    </row>
    <row r="58" spans="1:12" hidden="1" x14ac:dyDescent="0.25">
      <c r="A58"/>
      <c r="B58"/>
      <c r="C58"/>
    </row>
    <row r="59" spans="1:12" hidden="1" x14ac:dyDescent="0.25">
      <c r="A59"/>
      <c r="B59"/>
      <c r="C59"/>
    </row>
  </sheetData>
  <mergeCells count="3">
    <mergeCell ref="A4:B4"/>
    <mergeCell ref="I4:J4"/>
    <mergeCell ref="A1:O1"/>
  </mergeCells>
  <conditionalFormatting sqref="C4">
    <cfRule type="expression" dxfId="145" priority="6">
      <formula>IF(C4&gt;0.45,1,0)</formula>
    </cfRule>
    <cfRule type="expression" dxfId="144" priority="7">
      <formula>IF(AND(C4&gt;0.35,C4&lt;=0.45),1,0)</formula>
    </cfRule>
    <cfRule type="expression" dxfId="143" priority="8">
      <formula>IF(AND(C4&gt;0.25,C4&lt;=0.35),1,0)</formula>
    </cfRule>
    <cfRule type="expression" dxfId="142" priority="9">
      <formula>IF(AND(C4&gt;0.1,C4&lt;=0.25),1,0)</formula>
    </cfRule>
    <cfRule type="expression" dxfId="141" priority="10">
      <formula>IF(C4&lt;=0.1,1,0)</formula>
    </cfRule>
  </conditionalFormatting>
  <conditionalFormatting sqref="K4">
    <cfRule type="expression" dxfId="140" priority="1">
      <formula>IF(K4&gt;0.45,1,0)</formula>
    </cfRule>
    <cfRule type="expression" dxfId="139" priority="2">
      <formula>IF(AND(K4&gt;0.35,K4&lt;=0.45),1,0)</formula>
    </cfRule>
    <cfRule type="expression" dxfId="138" priority="3">
      <formula>IF(AND(K4&gt;0.25,K4&lt;=0.35),1,0)</formula>
    </cfRule>
    <cfRule type="expression" dxfId="137" priority="4">
      <formula>IF(AND(K4&gt;0.1,K4&lt;=0.25),1,0)</formula>
    </cfRule>
    <cfRule type="expression" dxfId="136" priority="5">
      <formula>IF(K4&lt;=0.1,1,0)</formula>
    </cfRule>
  </conditionalFormatting>
  <pageMargins left="0.7" right="0.7" top="0.75" bottom="0.75" header="0.3" footer="0.3"/>
  <pageSetup orientation="portrait" verticalDpi="120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4843"/>
  <sheetViews>
    <sheetView workbookViewId="0">
      <selection activeCell="F11" sqref="F11"/>
    </sheetView>
  </sheetViews>
  <sheetFormatPr defaultRowHeight="15" x14ac:dyDescent="0.25"/>
  <cols>
    <col min="1" max="2" width="18" customWidth="1"/>
    <col min="4" max="7" width="12" customWidth="1"/>
    <col min="8" max="8" width="12.42578125" customWidth="1"/>
    <col min="9" max="9" width="17.140625" bestFit="1" customWidth="1"/>
  </cols>
  <sheetData>
    <row r="1" spans="1:9" x14ac:dyDescent="0.25">
      <c r="A1" t="s">
        <v>20</v>
      </c>
      <c r="B1" t="s">
        <v>3</v>
      </c>
      <c r="C1" t="s">
        <v>8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</row>
    <row r="2" spans="1:9" x14ac:dyDescent="0.25">
      <c r="A2" t="s">
        <v>4817</v>
      </c>
      <c r="B2" s="26" t="str">
        <f>MID(tbl_forecast[[#This Row],[PACE Job Number]],3,3)</f>
        <v>STX</v>
      </c>
      <c r="C2" t="s">
        <v>16</v>
      </c>
      <c r="D2" s="1">
        <v>43434</v>
      </c>
      <c r="E2" s="1">
        <v>43434</v>
      </c>
      <c r="F2" s="1">
        <v>43434</v>
      </c>
      <c r="H2" t="s">
        <v>9</v>
      </c>
      <c r="I2" t="s">
        <v>27</v>
      </c>
    </row>
    <row r="3" spans="1:9" x14ac:dyDescent="0.25">
      <c r="A3" t="s">
        <v>4818</v>
      </c>
      <c r="B3" s="26" t="str">
        <f>MID(tbl_forecast[[#This Row],[PACE Job Number]],3,3)</f>
        <v>STX</v>
      </c>
      <c r="C3" t="s">
        <v>16</v>
      </c>
      <c r="D3" s="1">
        <v>43430</v>
      </c>
      <c r="E3" s="1">
        <v>36524</v>
      </c>
      <c r="F3" s="1">
        <v>43430</v>
      </c>
      <c r="H3" t="s">
        <v>9</v>
      </c>
      <c r="I3" t="s">
        <v>27</v>
      </c>
    </row>
    <row r="4" spans="1:9" x14ac:dyDescent="0.25">
      <c r="A4" t="s">
        <v>4819</v>
      </c>
      <c r="B4" s="26" t="str">
        <f>MID(tbl_forecast[[#This Row],[PACE Job Number]],3,3)</f>
        <v>STX</v>
      </c>
      <c r="C4" t="s">
        <v>16</v>
      </c>
      <c r="D4" s="1">
        <v>43420</v>
      </c>
      <c r="E4" s="1">
        <v>43420</v>
      </c>
      <c r="F4" s="1">
        <v>43420</v>
      </c>
      <c r="G4" s="1">
        <v>43420</v>
      </c>
      <c r="H4" t="s">
        <v>9</v>
      </c>
      <c r="I4" t="s">
        <v>10</v>
      </c>
    </row>
    <row r="5" spans="1:9" x14ac:dyDescent="0.25">
      <c r="A5" t="s">
        <v>4820</v>
      </c>
      <c r="B5" s="26" t="str">
        <f>MID(tbl_forecast[[#This Row],[PACE Job Number]],3,3)</f>
        <v>STX</v>
      </c>
      <c r="C5" t="s">
        <v>16</v>
      </c>
      <c r="D5" s="1">
        <v>43405</v>
      </c>
      <c r="E5" s="1">
        <v>36524</v>
      </c>
      <c r="F5" s="1">
        <v>43405</v>
      </c>
      <c r="G5" s="1">
        <v>43405</v>
      </c>
      <c r="H5" t="s">
        <v>9</v>
      </c>
      <c r="I5" t="s">
        <v>10</v>
      </c>
    </row>
    <row r="6" spans="1:9" x14ac:dyDescent="0.25">
      <c r="A6" t="s">
        <v>4821</v>
      </c>
      <c r="B6" s="26" t="str">
        <f>MID(tbl_forecast[[#This Row],[PACE Job Number]],3,3)</f>
        <v>STX</v>
      </c>
      <c r="C6" t="s">
        <v>16</v>
      </c>
      <c r="D6" s="1">
        <v>43421</v>
      </c>
      <c r="E6" s="1">
        <v>43421</v>
      </c>
      <c r="F6" s="1">
        <v>43421</v>
      </c>
      <c r="G6" s="1">
        <v>43421</v>
      </c>
      <c r="H6" t="s">
        <v>9</v>
      </c>
      <c r="I6" t="s">
        <v>10</v>
      </c>
    </row>
    <row r="7" spans="1:9" x14ac:dyDescent="0.25">
      <c r="A7" t="s">
        <v>4822</v>
      </c>
      <c r="B7" s="26" t="str">
        <f>MID(tbl_forecast[[#This Row],[PACE Job Number]],3,3)</f>
        <v>STX</v>
      </c>
      <c r="C7" t="s">
        <v>16</v>
      </c>
      <c r="D7" s="1">
        <v>43421</v>
      </c>
      <c r="E7" s="1">
        <v>43434</v>
      </c>
      <c r="F7" s="1">
        <v>43434</v>
      </c>
      <c r="G7" s="1">
        <v>43434</v>
      </c>
      <c r="H7" t="s">
        <v>9</v>
      </c>
      <c r="I7" t="s">
        <v>10</v>
      </c>
    </row>
    <row r="8" spans="1:9" x14ac:dyDescent="0.25">
      <c r="A8" t="s">
        <v>3567</v>
      </c>
      <c r="B8" s="26" t="str">
        <f>MID(tbl_forecast[[#This Row],[PACE Job Number]],3,3)</f>
        <v>STX</v>
      </c>
      <c r="C8" t="s">
        <v>16</v>
      </c>
      <c r="D8" s="1">
        <v>43421</v>
      </c>
      <c r="E8" s="1">
        <v>43421</v>
      </c>
      <c r="F8" s="1">
        <v>43419</v>
      </c>
      <c r="G8" s="1">
        <v>43419</v>
      </c>
      <c r="H8" t="s">
        <v>9</v>
      </c>
      <c r="I8" t="s">
        <v>10</v>
      </c>
    </row>
    <row r="9" spans="1:9" x14ac:dyDescent="0.25">
      <c r="A9" t="s">
        <v>4823</v>
      </c>
      <c r="B9" s="26" t="str">
        <f>MID(tbl_forecast[[#This Row],[PACE Job Number]],3,3)</f>
        <v>STX</v>
      </c>
      <c r="C9" t="s">
        <v>16</v>
      </c>
      <c r="D9" s="1">
        <v>43434</v>
      </c>
      <c r="E9" s="1">
        <v>36524</v>
      </c>
      <c r="F9" s="1">
        <v>43434</v>
      </c>
      <c r="G9" s="1"/>
      <c r="H9" t="s">
        <v>9</v>
      </c>
      <c r="I9" t="s">
        <v>27</v>
      </c>
    </row>
    <row r="10" spans="1:9" x14ac:dyDescent="0.25">
      <c r="A10" t="s">
        <v>4824</v>
      </c>
      <c r="B10" s="26" t="str">
        <f>MID(tbl_forecast[[#This Row],[PACE Job Number]],3,3)</f>
        <v>STX</v>
      </c>
      <c r="C10" t="s">
        <v>16</v>
      </c>
      <c r="D10" s="1">
        <v>43421</v>
      </c>
      <c r="E10" s="1">
        <v>43454</v>
      </c>
      <c r="F10" s="1">
        <v>43454</v>
      </c>
      <c r="G10" s="1"/>
      <c r="H10" t="s">
        <v>4664</v>
      </c>
      <c r="I10" t="s">
        <v>4665</v>
      </c>
    </row>
    <row r="11" spans="1:9" x14ac:dyDescent="0.25">
      <c r="A11" t="s">
        <v>2314</v>
      </c>
      <c r="B11" s="26" t="str">
        <f>MID(tbl_forecast[[#This Row],[PACE Job Number]],3,3)</f>
        <v>NTX</v>
      </c>
      <c r="C11" t="s">
        <v>16</v>
      </c>
      <c r="D11" s="1">
        <v>43434</v>
      </c>
      <c r="E11" s="1">
        <v>43434</v>
      </c>
      <c r="F11" s="1">
        <v>43424</v>
      </c>
      <c r="G11" s="1">
        <v>43424</v>
      </c>
      <c r="H11" t="s">
        <v>9</v>
      </c>
      <c r="I11" t="s">
        <v>10</v>
      </c>
    </row>
    <row r="12" spans="1:9" x14ac:dyDescent="0.25">
      <c r="A12" t="s">
        <v>4825</v>
      </c>
      <c r="B12" s="26" t="str">
        <f>MID(tbl_forecast[[#This Row],[PACE Job Number]],3,3)</f>
        <v>NTX</v>
      </c>
      <c r="C12" t="s">
        <v>16</v>
      </c>
      <c r="D12" s="1">
        <v>43430</v>
      </c>
      <c r="E12" s="1">
        <v>43434</v>
      </c>
      <c r="F12" s="1">
        <v>43430</v>
      </c>
      <c r="G12" s="1"/>
      <c r="H12" t="s">
        <v>9</v>
      </c>
      <c r="I12" t="s">
        <v>27</v>
      </c>
    </row>
    <row r="13" spans="1:9" x14ac:dyDescent="0.25">
      <c r="A13" t="s">
        <v>4826</v>
      </c>
      <c r="B13" s="26" t="str">
        <f>MID(tbl_forecast[[#This Row],[PACE Job Number]],3,3)</f>
        <v>STX</v>
      </c>
      <c r="C13" t="s">
        <v>16</v>
      </c>
      <c r="D13" s="1">
        <v>43420</v>
      </c>
      <c r="E13" s="1">
        <v>43224</v>
      </c>
      <c r="F13" s="1">
        <v>43424</v>
      </c>
      <c r="G13" s="1">
        <v>43424</v>
      </c>
      <c r="H13" t="s">
        <v>9</v>
      </c>
      <c r="I13" t="s">
        <v>10</v>
      </c>
    </row>
    <row r="14" spans="1:9" x14ac:dyDescent="0.25">
      <c r="A14" t="s">
        <v>4827</v>
      </c>
      <c r="B14" s="26" t="str">
        <f>MID(tbl_forecast[[#This Row],[PACE Job Number]],3,3)</f>
        <v>STX</v>
      </c>
      <c r="C14" t="s">
        <v>16</v>
      </c>
      <c r="D14" s="1">
        <v>43432</v>
      </c>
      <c r="E14" s="1">
        <v>43432</v>
      </c>
      <c r="F14" s="1">
        <v>43423</v>
      </c>
      <c r="G14" s="1">
        <v>43423</v>
      </c>
      <c r="H14" t="s">
        <v>9</v>
      </c>
      <c r="I14" t="s">
        <v>10</v>
      </c>
    </row>
    <row r="15" spans="1:9" x14ac:dyDescent="0.25">
      <c r="A15" t="s">
        <v>4828</v>
      </c>
      <c r="B15" s="26" t="str">
        <f>MID(tbl_forecast[[#This Row],[PACE Job Number]],3,3)</f>
        <v>STX</v>
      </c>
      <c r="C15" t="s">
        <v>16</v>
      </c>
      <c r="D15" s="1">
        <v>43420</v>
      </c>
      <c r="E15" s="1">
        <v>43441</v>
      </c>
      <c r="F15" s="1">
        <v>43434</v>
      </c>
      <c r="G15" s="1"/>
      <c r="H15" t="s">
        <v>9</v>
      </c>
      <c r="I15" t="s">
        <v>44</v>
      </c>
    </row>
    <row r="16" spans="1:9" x14ac:dyDescent="0.25">
      <c r="A16" t="s">
        <v>4829</v>
      </c>
      <c r="B16" s="26" t="str">
        <f>MID(tbl_forecast[[#This Row],[PACE Job Number]],3,3)</f>
        <v>STX</v>
      </c>
      <c r="C16" t="s">
        <v>16</v>
      </c>
      <c r="D16" s="1">
        <v>43434</v>
      </c>
      <c r="E16" s="1">
        <v>43434</v>
      </c>
      <c r="F16" s="1">
        <v>43434</v>
      </c>
      <c r="G16" s="1"/>
      <c r="H16" t="s">
        <v>9</v>
      </c>
      <c r="I16" t="s">
        <v>27</v>
      </c>
    </row>
    <row r="17" spans="1:9" x14ac:dyDescent="0.25">
      <c r="A17" t="s">
        <v>4830</v>
      </c>
      <c r="B17" s="26" t="str">
        <f>MID(tbl_forecast[[#This Row],[PACE Job Number]],3,3)</f>
        <v>STX</v>
      </c>
      <c r="C17" t="s">
        <v>16</v>
      </c>
      <c r="D17" s="1">
        <v>43420</v>
      </c>
      <c r="E17" s="1">
        <v>43420</v>
      </c>
      <c r="F17" s="1">
        <v>43411</v>
      </c>
      <c r="G17" s="1">
        <v>43411</v>
      </c>
      <c r="H17" t="s">
        <v>9</v>
      </c>
      <c r="I17" t="s">
        <v>10</v>
      </c>
    </row>
    <row r="18" spans="1:9" x14ac:dyDescent="0.25">
      <c r="A18" t="s">
        <v>4831</v>
      </c>
      <c r="B18" s="26" t="str">
        <f>MID(tbl_forecast[[#This Row],[PACE Job Number]],3,3)</f>
        <v>STX</v>
      </c>
      <c r="C18" t="s">
        <v>16</v>
      </c>
      <c r="D18" s="1">
        <v>43420</v>
      </c>
      <c r="E18" s="1">
        <v>43420</v>
      </c>
      <c r="F18" s="1">
        <v>43426</v>
      </c>
      <c r="G18" s="1">
        <v>43426</v>
      </c>
      <c r="H18" t="s">
        <v>9</v>
      </c>
      <c r="I18" t="s">
        <v>10</v>
      </c>
    </row>
    <row r="19" spans="1:9" x14ac:dyDescent="0.25">
      <c r="A19" t="s">
        <v>4832</v>
      </c>
      <c r="B19" s="26" t="str">
        <f>MID(tbl_forecast[[#This Row],[PACE Job Number]],3,3)</f>
        <v>STX</v>
      </c>
      <c r="C19" t="s">
        <v>16</v>
      </c>
      <c r="D19" s="1">
        <v>43427</v>
      </c>
      <c r="E19" s="1">
        <v>43434</v>
      </c>
      <c r="F19" s="1">
        <v>43431</v>
      </c>
      <c r="G19" s="1">
        <v>43431</v>
      </c>
      <c r="H19" t="s">
        <v>9</v>
      </c>
      <c r="I19" t="s">
        <v>10</v>
      </c>
    </row>
    <row r="20" spans="1:9" x14ac:dyDescent="0.25">
      <c r="A20" t="s">
        <v>4124</v>
      </c>
      <c r="B20" s="26" t="str">
        <f>MID(tbl_forecast[[#This Row],[PACE Job Number]],3,3)</f>
        <v>STX</v>
      </c>
      <c r="C20" t="s">
        <v>16</v>
      </c>
      <c r="D20" s="1">
        <v>43420</v>
      </c>
      <c r="E20" s="1">
        <v>43464</v>
      </c>
      <c r="F20" s="1">
        <v>43464</v>
      </c>
      <c r="G20" s="1"/>
      <c r="H20" t="s">
        <v>4664</v>
      </c>
      <c r="I20" t="s">
        <v>5645</v>
      </c>
    </row>
    <row r="21" spans="1:9" x14ac:dyDescent="0.25">
      <c r="A21" t="s">
        <v>4833</v>
      </c>
      <c r="B21" s="26" t="str">
        <f>MID(tbl_forecast[[#This Row],[PACE Job Number]],3,3)</f>
        <v>STX</v>
      </c>
      <c r="C21" t="s">
        <v>16</v>
      </c>
      <c r="D21" s="1">
        <v>43419</v>
      </c>
      <c r="E21" s="1">
        <v>43434</v>
      </c>
      <c r="F21" s="1">
        <v>43434</v>
      </c>
      <c r="G21" s="1"/>
      <c r="H21" t="s">
        <v>4664</v>
      </c>
      <c r="I21" t="s">
        <v>5645</v>
      </c>
    </row>
    <row r="22" spans="1:9" x14ac:dyDescent="0.25">
      <c r="A22" t="s">
        <v>4834</v>
      </c>
      <c r="B22" s="26" t="str">
        <f>MID(tbl_forecast[[#This Row],[PACE Job Number]],3,3)</f>
        <v>STX</v>
      </c>
      <c r="C22" t="s">
        <v>16</v>
      </c>
      <c r="D22" s="1">
        <v>43434</v>
      </c>
      <c r="E22" s="1">
        <v>36524</v>
      </c>
      <c r="F22" s="1">
        <v>43434</v>
      </c>
      <c r="G22" s="1"/>
      <c r="H22" t="s">
        <v>9</v>
      </c>
      <c r="I22" t="s">
        <v>27</v>
      </c>
    </row>
    <row r="23" spans="1:9" x14ac:dyDescent="0.25">
      <c r="A23" t="s">
        <v>4125</v>
      </c>
      <c r="B23" s="26" t="str">
        <f>MID(tbl_forecast[[#This Row],[PACE Job Number]],3,3)</f>
        <v>STX</v>
      </c>
      <c r="C23" t="s">
        <v>16</v>
      </c>
      <c r="D23" s="1">
        <v>43413</v>
      </c>
      <c r="E23" s="1">
        <v>43441</v>
      </c>
      <c r="F23" s="1">
        <v>43434</v>
      </c>
      <c r="G23" s="1"/>
      <c r="H23" t="s">
        <v>4664</v>
      </c>
      <c r="I23" t="s">
        <v>5645</v>
      </c>
    </row>
    <row r="24" spans="1:9" x14ac:dyDescent="0.25">
      <c r="A24" t="s">
        <v>4835</v>
      </c>
      <c r="B24" s="26" t="str">
        <f>MID(tbl_forecast[[#This Row],[PACE Job Number]],3,3)</f>
        <v>STX</v>
      </c>
      <c r="C24" t="s">
        <v>16</v>
      </c>
      <c r="D24" s="1">
        <v>43406</v>
      </c>
      <c r="E24" s="1">
        <v>43413</v>
      </c>
      <c r="F24" s="1">
        <v>43406</v>
      </c>
      <c r="G24" s="1">
        <v>43406</v>
      </c>
      <c r="H24" t="s">
        <v>9</v>
      </c>
      <c r="I24" t="s">
        <v>10</v>
      </c>
    </row>
    <row r="25" spans="1:9" x14ac:dyDescent="0.25">
      <c r="A25" t="s">
        <v>4836</v>
      </c>
      <c r="B25" s="26" t="str">
        <f>MID(tbl_forecast[[#This Row],[PACE Job Number]],3,3)</f>
        <v>STX</v>
      </c>
      <c r="C25" t="s">
        <v>16</v>
      </c>
      <c r="D25" s="1">
        <v>43434</v>
      </c>
      <c r="E25" s="1">
        <v>43434</v>
      </c>
      <c r="F25" s="1">
        <v>43466</v>
      </c>
      <c r="G25" s="1"/>
      <c r="H25" t="s">
        <v>4664</v>
      </c>
      <c r="I25" t="s">
        <v>4666</v>
      </c>
    </row>
    <row r="26" spans="1:9" x14ac:dyDescent="0.25">
      <c r="A26" t="s">
        <v>4837</v>
      </c>
      <c r="B26" s="26" t="str">
        <f>MID(tbl_forecast[[#This Row],[PACE Job Number]],3,3)</f>
        <v>STX</v>
      </c>
      <c r="C26" t="s">
        <v>16</v>
      </c>
      <c r="D26" s="1">
        <v>43413</v>
      </c>
      <c r="E26" s="1">
        <v>43420</v>
      </c>
      <c r="F26" s="1">
        <v>43420</v>
      </c>
      <c r="G26" s="1">
        <v>43420</v>
      </c>
      <c r="H26" t="s">
        <v>9</v>
      </c>
      <c r="I26" t="s">
        <v>10</v>
      </c>
    </row>
    <row r="27" spans="1:9" x14ac:dyDescent="0.25">
      <c r="A27" t="s">
        <v>4838</v>
      </c>
      <c r="B27" s="26" t="str">
        <f>MID(tbl_forecast[[#This Row],[PACE Job Number]],3,3)</f>
        <v>STX</v>
      </c>
      <c r="C27" t="s">
        <v>16</v>
      </c>
      <c r="D27" s="1">
        <v>43413</v>
      </c>
      <c r="E27" s="1">
        <v>43420</v>
      </c>
      <c r="F27" s="1">
        <v>43420</v>
      </c>
      <c r="G27" s="1">
        <v>43420</v>
      </c>
      <c r="H27" t="s">
        <v>9</v>
      </c>
      <c r="I27" t="s">
        <v>10</v>
      </c>
    </row>
    <row r="28" spans="1:9" x14ac:dyDescent="0.25">
      <c r="A28" t="s">
        <v>4839</v>
      </c>
      <c r="B28" s="26" t="str">
        <f>MID(tbl_forecast[[#This Row],[PACE Job Number]],3,3)</f>
        <v>STX</v>
      </c>
      <c r="C28" t="s">
        <v>16</v>
      </c>
      <c r="D28" s="1">
        <v>43420</v>
      </c>
      <c r="E28" s="1">
        <v>43434</v>
      </c>
      <c r="F28" s="1">
        <v>43434</v>
      </c>
      <c r="G28" s="1"/>
      <c r="H28" t="s">
        <v>9</v>
      </c>
      <c r="I28" t="s">
        <v>27</v>
      </c>
    </row>
    <row r="29" spans="1:9" x14ac:dyDescent="0.25">
      <c r="A29" t="s">
        <v>4840</v>
      </c>
      <c r="B29" s="26" t="str">
        <f>MID(tbl_forecast[[#This Row],[PACE Job Number]],3,3)</f>
        <v>STX</v>
      </c>
      <c r="C29" t="s">
        <v>16</v>
      </c>
      <c r="D29" s="1">
        <v>43419</v>
      </c>
      <c r="E29" s="1">
        <v>43434</v>
      </c>
      <c r="F29" s="1">
        <v>43434</v>
      </c>
      <c r="G29" s="1"/>
      <c r="H29" t="s">
        <v>4664</v>
      </c>
      <c r="I29" t="s">
        <v>5645</v>
      </c>
    </row>
    <row r="30" spans="1:9" x14ac:dyDescent="0.25">
      <c r="A30" t="s">
        <v>4126</v>
      </c>
      <c r="B30" s="26" t="str">
        <f>MID(tbl_forecast[[#This Row],[PACE Job Number]],3,3)</f>
        <v>STX</v>
      </c>
      <c r="C30" t="s">
        <v>16</v>
      </c>
      <c r="D30" s="1">
        <v>43413</v>
      </c>
      <c r="E30" s="1">
        <v>43441</v>
      </c>
      <c r="F30" s="1">
        <v>43434</v>
      </c>
      <c r="G30" s="1"/>
      <c r="H30" t="s">
        <v>4664</v>
      </c>
      <c r="I30" t="s">
        <v>5645</v>
      </c>
    </row>
    <row r="31" spans="1:9" x14ac:dyDescent="0.25">
      <c r="A31" t="s">
        <v>4841</v>
      </c>
      <c r="B31" s="26" t="str">
        <f>MID(tbl_forecast[[#This Row],[PACE Job Number]],3,3)</f>
        <v>STX</v>
      </c>
      <c r="C31" t="s">
        <v>16</v>
      </c>
      <c r="D31" s="1">
        <v>43419</v>
      </c>
      <c r="E31" s="1">
        <v>43434</v>
      </c>
      <c r="F31" s="1">
        <v>43434</v>
      </c>
      <c r="G31" s="1"/>
      <c r="H31" t="s">
        <v>4664</v>
      </c>
      <c r="I31" t="s">
        <v>5645</v>
      </c>
    </row>
    <row r="32" spans="1:9" x14ac:dyDescent="0.25">
      <c r="A32" t="s">
        <v>4842</v>
      </c>
      <c r="B32" s="26" t="str">
        <f>MID(tbl_forecast[[#This Row],[PACE Job Number]],3,3)</f>
        <v>STX</v>
      </c>
      <c r="C32" t="s">
        <v>16</v>
      </c>
      <c r="D32" s="1">
        <v>43420</v>
      </c>
      <c r="E32" s="1">
        <v>43420</v>
      </c>
      <c r="F32" s="1">
        <v>43418</v>
      </c>
      <c r="G32" s="1">
        <v>43418</v>
      </c>
      <c r="H32" t="s">
        <v>9</v>
      </c>
      <c r="I32" t="s">
        <v>10</v>
      </c>
    </row>
    <row r="33" spans="1:9" x14ac:dyDescent="0.25">
      <c r="A33" t="s">
        <v>4843</v>
      </c>
      <c r="B33" s="26" t="str">
        <f>MID(tbl_forecast[[#This Row],[PACE Job Number]],3,3)</f>
        <v>STX</v>
      </c>
      <c r="C33" t="s">
        <v>16</v>
      </c>
      <c r="D33" s="1">
        <v>43420</v>
      </c>
      <c r="E33" s="1">
        <v>43427</v>
      </c>
      <c r="F33" s="1">
        <v>43430</v>
      </c>
      <c r="G33" s="1">
        <v>43430</v>
      </c>
      <c r="H33" t="s">
        <v>9</v>
      </c>
      <c r="I33" t="s">
        <v>10</v>
      </c>
    </row>
    <row r="34" spans="1:9" x14ac:dyDescent="0.25">
      <c r="A34" t="s">
        <v>4844</v>
      </c>
      <c r="B34" s="26" t="str">
        <f>MID(tbl_forecast[[#This Row],[PACE Job Number]],3,3)</f>
        <v>STX</v>
      </c>
      <c r="C34" t="s">
        <v>16</v>
      </c>
      <c r="D34" s="1">
        <v>43420</v>
      </c>
      <c r="E34" s="1">
        <v>43420</v>
      </c>
      <c r="F34" s="1">
        <v>43426</v>
      </c>
      <c r="G34" s="1">
        <v>43426</v>
      </c>
      <c r="H34" t="s">
        <v>9</v>
      </c>
      <c r="I34" t="s">
        <v>10</v>
      </c>
    </row>
    <row r="35" spans="1:9" x14ac:dyDescent="0.25">
      <c r="A35" t="s">
        <v>4845</v>
      </c>
      <c r="B35" s="26" t="str">
        <f>MID(tbl_forecast[[#This Row],[PACE Job Number]],3,3)</f>
        <v>STX</v>
      </c>
      <c r="C35" t="s">
        <v>16</v>
      </c>
      <c r="D35" s="1">
        <v>43406</v>
      </c>
      <c r="E35" s="1">
        <v>43413</v>
      </c>
      <c r="F35" s="1">
        <v>43406</v>
      </c>
      <c r="G35" s="1">
        <v>43406</v>
      </c>
      <c r="H35" t="s">
        <v>9</v>
      </c>
      <c r="I35" t="s">
        <v>10</v>
      </c>
    </row>
    <row r="36" spans="1:9" x14ac:dyDescent="0.25">
      <c r="A36" t="s">
        <v>4846</v>
      </c>
      <c r="B36" s="26" t="str">
        <f>MID(tbl_forecast[[#This Row],[PACE Job Number]],3,3)</f>
        <v>STX</v>
      </c>
      <c r="C36" t="s">
        <v>16</v>
      </c>
      <c r="D36" s="1">
        <v>43434</v>
      </c>
      <c r="E36" s="1">
        <v>43441</v>
      </c>
      <c r="F36" s="1">
        <v>43434</v>
      </c>
      <c r="G36" s="1"/>
      <c r="H36" t="s">
        <v>9</v>
      </c>
      <c r="I36" t="s">
        <v>27</v>
      </c>
    </row>
    <row r="37" spans="1:9" x14ac:dyDescent="0.25">
      <c r="A37" t="s">
        <v>4847</v>
      </c>
      <c r="B37" s="26" t="str">
        <f>MID(tbl_forecast[[#This Row],[PACE Job Number]],3,3)</f>
        <v>STX</v>
      </c>
      <c r="C37" t="s">
        <v>16</v>
      </c>
      <c r="D37" s="1">
        <v>43420</v>
      </c>
      <c r="E37" s="1">
        <v>43420</v>
      </c>
      <c r="F37" s="1">
        <v>43418</v>
      </c>
      <c r="G37" s="1">
        <v>43418</v>
      </c>
      <c r="H37" t="s">
        <v>9</v>
      </c>
      <c r="I37" t="s">
        <v>10</v>
      </c>
    </row>
    <row r="38" spans="1:9" x14ac:dyDescent="0.25">
      <c r="A38" t="s">
        <v>4848</v>
      </c>
      <c r="B38" s="26" t="str">
        <f>MID(tbl_forecast[[#This Row],[PACE Job Number]],3,3)</f>
        <v>STX</v>
      </c>
      <c r="C38" t="s">
        <v>16</v>
      </c>
      <c r="D38" s="1">
        <v>43418</v>
      </c>
      <c r="E38" s="1">
        <v>43434</v>
      </c>
      <c r="F38" s="1">
        <v>43434</v>
      </c>
      <c r="G38" s="1"/>
      <c r="H38" t="s">
        <v>4664</v>
      </c>
      <c r="I38" t="s">
        <v>5645</v>
      </c>
    </row>
    <row r="39" spans="1:9" x14ac:dyDescent="0.25">
      <c r="A39" t="s">
        <v>4849</v>
      </c>
      <c r="B39" s="26" t="str">
        <f>MID(tbl_forecast[[#This Row],[PACE Job Number]],3,3)</f>
        <v>STX</v>
      </c>
      <c r="C39" t="s">
        <v>16</v>
      </c>
      <c r="D39" s="1">
        <v>43419</v>
      </c>
      <c r="E39" s="1">
        <v>43426</v>
      </c>
      <c r="F39" s="1">
        <v>43419</v>
      </c>
      <c r="G39" s="1">
        <v>43419</v>
      </c>
      <c r="H39" t="s">
        <v>9</v>
      </c>
      <c r="I39" t="s">
        <v>10</v>
      </c>
    </row>
    <row r="40" spans="1:9" x14ac:dyDescent="0.25">
      <c r="A40" t="s">
        <v>4850</v>
      </c>
      <c r="B40" s="26" t="str">
        <f>MID(tbl_forecast[[#This Row],[PACE Job Number]],3,3)</f>
        <v>STX</v>
      </c>
      <c r="C40" t="s">
        <v>16</v>
      </c>
      <c r="D40" s="1">
        <v>43419</v>
      </c>
      <c r="E40" s="1">
        <v>43426</v>
      </c>
      <c r="F40" s="1">
        <v>43419</v>
      </c>
      <c r="G40" s="1">
        <v>43419</v>
      </c>
      <c r="H40" t="s">
        <v>9</v>
      </c>
      <c r="I40" t="s">
        <v>10</v>
      </c>
    </row>
    <row r="41" spans="1:9" x14ac:dyDescent="0.25">
      <c r="A41" t="s">
        <v>4127</v>
      </c>
      <c r="B41" s="26" t="str">
        <f>MID(tbl_forecast[[#This Row],[PACE Job Number]],3,3)</f>
        <v>STX</v>
      </c>
      <c r="C41" t="s">
        <v>16</v>
      </c>
      <c r="D41" s="1">
        <v>43420</v>
      </c>
      <c r="E41" s="1">
        <v>43464</v>
      </c>
      <c r="F41" s="1">
        <v>43464</v>
      </c>
      <c r="G41" s="1"/>
      <c r="H41" t="s">
        <v>4664</v>
      </c>
      <c r="I41" t="s">
        <v>5645</v>
      </c>
    </row>
    <row r="42" spans="1:9" x14ac:dyDescent="0.25">
      <c r="A42" t="s">
        <v>4851</v>
      </c>
      <c r="B42" s="26" t="str">
        <f>MID(tbl_forecast[[#This Row],[PACE Job Number]],3,3)</f>
        <v>STX</v>
      </c>
      <c r="C42" t="s">
        <v>16</v>
      </c>
      <c r="D42" s="1">
        <v>43406</v>
      </c>
      <c r="E42" s="1">
        <v>43420</v>
      </c>
      <c r="F42" s="1">
        <v>43406</v>
      </c>
      <c r="G42" s="1">
        <v>43406</v>
      </c>
      <c r="H42" t="s">
        <v>9</v>
      </c>
      <c r="I42" t="s">
        <v>10</v>
      </c>
    </row>
    <row r="43" spans="1:9" x14ac:dyDescent="0.25">
      <c r="A43" t="s">
        <v>4852</v>
      </c>
      <c r="B43" s="26" t="str">
        <f>MID(tbl_forecast[[#This Row],[PACE Job Number]],3,3)</f>
        <v>STX</v>
      </c>
      <c r="C43" t="s">
        <v>16</v>
      </c>
      <c r="D43" s="1">
        <v>43434</v>
      </c>
      <c r="E43" s="1">
        <v>43448</v>
      </c>
      <c r="F43" s="1">
        <v>43434</v>
      </c>
      <c r="G43" s="1"/>
      <c r="H43" t="s">
        <v>9</v>
      </c>
      <c r="I43" t="s">
        <v>27</v>
      </c>
    </row>
    <row r="44" spans="1:9" x14ac:dyDescent="0.25">
      <c r="A44" t="s">
        <v>4853</v>
      </c>
      <c r="B44" s="26" t="str">
        <f>MID(tbl_forecast[[#This Row],[PACE Job Number]],3,3)</f>
        <v>STX</v>
      </c>
      <c r="C44" t="s">
        <v>16</v>
      </c>
      <c r="D44" s="1">
        <v>43419</v>
      </c>
      <c r="E44" s="1">
        <v>43434</v>
      </c>
      <c r="F44" s="1">
        <v>43434</v>
      </c>
      <c r="G44" s="1"/>
      <c r="H44" t="s">
        <v>4664</v>
      </c>
      <c r="I44" t="s">
        <v>5645</v>
      </c>
    </row>
    <row r="45" spans="1:9" x14ac:dyDescent="0.25">
      <c r="A45" t="s">
        <v>4854</v>
      </c>
      <c r="B45" s="26" t="str">
        <f>MID(tbl_forecast[[#This Row],[PACE Job Number]],3,3)</f>
        <v>STX</v>
      </c>
      <c r="C45" t="s">
        <v>16</v>
      </c>
      <c r="D45" s="1">
        <v>43413</v>
      </c>
      <c r="E45" s="1">
        <v>43420</v>
      </c>
      <c r="F45" s="1">
        <v>43420</v>
      </c>
      <c r="G45" s="1">
        <v>43420</v>
      </c>
      <c r="H45" t="s">
        <v>9</v>
      </c>
      <c r="I45" t="s">
        <v>10</v>
      </c>
    </row>
    <row r="46" spans="1:9" x14ac:dyDescent="0.25">
      <c r="A46" t="s">
        <v>4128</v>
      </c>
      <c r="B46" s="26" t="str">
        <f>MID(tbl_forecast[[#This Row],[PACE Job Number]],3,3)</f>
        <v>STX</v>
      </c>
      <c r="C46" t="s">
        <v>16</v>
      </c>
      <c r="D46" s="1">
        <v>43413</v>
      </c>
      <c r="E46" s="1">
        <v>43413</v>
      </c>
      <c r="F46" s="1">
        <v>43416</v>
      </c>
      <c r="G46" s="1">
        <v>43416</v>
      </c>
      <c r="H46" t="s">
        <v>9</v>
      </c>
      <c r="I46" t="s">
        <v>10</v>
      </c>
    </row>
    <row r="47" spans="1:9" x14ac:dyDescent="0.25">
      <c r="A47" t="s">
        <v>4855</v>
      </c>
      <c r="B47" s="26" t="str">
        <f>MID(tbl_forecast[[#This Row],[PACE Job Number]],3,3)</f>
        <v>STX</v>
      </c>
      <c r="C47" t="s">
        <v>16</v>
      </c>
      <c r="D47" s="1">
        <v>43434</v>
      </c>
      <c r="E47" s="1">
        <v>43448</v>
      </c>
      <c r="F47" s="1">
        <v>43434</v>
      </c>
      <c r="G47" s="1"/>
      <c r="H47" t="s">
        <v>9</v>
      </c>
      <c r="I47" t="s">
        <v>27</v>
      </c>
    </row>
    <row r="48" spans="1:9" x14ac:dyDescent="0.25">
      <c r="A48" t="s">
        <v>4856</v>
      </c>
      <c r="B48" s="26" t="str">
        <f>MID(tbl_forecast[[#This Row],[PACE Job Number]],3,3)</f>
        <v>STX</v>
      </c>
      <c r="C48" t="s">
        <v>16</v>
      </c>
      <c r="D48" s="1">
        <v>43434</v>
      </c>
      <c r="E48" s="1">
        <v>43434</v>
      </c>
      <c r="F48" s="1">
        <v>43434</v>
      </c>
      <c r="G48" s="1"/>
      <c r="H48" t="s">
        <v>9</v>
      </c>
      <c r="I48" t="s">
        <v>27</v>
      </c>
    </row>
    <row r="49" spans="1:9" x14ac:dyDescent="0.25">
      <c r="A49" t="s">
        <v>4857</v>
      </c>
      <c r="B49" s="26" t="str">
        <f>MID(tbl_forecast[[#This Row],[PACE Job Number]],3,3)</f>
        <v>STX</v>
      </c>
      <c r="C49" t="s">
        <v>16</v>
      </c>
      <c r="D49" s="1">
        <v>43419</v>
      </c>
      <c r="E49" s="1">
        <v>43434</v>
      </c>
      <c r="F49" s="1">
        <v>43434</v>
      </c>
      <c r="G49" s="1"/>
      <c r="H49" t="s">
        <v>4664</v>
      </c>
      <c r="I49" t="s">
        <v>5645</v>
      </c>
    </row>
    <row r="50" spans="1:9" x14ac:dyDescent="0.25">
      <c r="A50" t="s">
        <v>4858</v>
      </c>
      <c r="B50" s="26" t="str">
        <f>MID(tbl_forecast[[#This Row],[PACE Job Number]],3,3)</f>
        <v>STX</v>
      </c>
      <c r="C50" t="s">
        <v>16</v>
      </c>
      <c r="D50" s="1">
        <v>43434</v>
      </c>
      <c r="E50" s="1">
        <v>43434</v>
      </c>
      <c r="F50" s="1">
        <v>43432</v>
      </c>
      <c r="G50" s="1">
        <v>43432</v>
      </c>
      <c r="H50" t="s">
        <v>9</v>
      </c>
      <c r="I50" t="s">
        <v>10</v>
      </c>
    </row>
    <row r="51" spans="1:9" x14ac:dyDescent="0.25">
      <c r="A51" t="s">
        <v>4859</v>
      </c>
      <c r="B51" s="26" t="str">
        <f>MID(tbl_forecast[[#This Row],[PACE Job Number]],3,3)</f>
        <v>STX</v>
      </c>
      <c r="C51" t="s">
        <v>16</v>
      </c>
      <c r="D51" s="1">
        <v>43406</v>
      </c>
      <c r="E51" s="1">
        <v>43420</v>
      </c>
      <c r="F51" s="1">
        <v>43406</v>
      </c>
      <c r="G51" s="1">
        <v>43406</v>
      </c>
      <c r="H51" t="s">
        <v>9</v>
      </c>
      <c r="I51" t="s">
        <v>10</v>
      </c>
    </row>
    <row r="52" spans="1:9" x14ac:dyDescent="0.25">
      <c r="A52" t="s">
        <v>4129</v>
      </c>
      <c r="B52" s="26" t="str">
        <f>MID(tbl_forecast[[#This Row],[PACE Job Number]],3,3)</f>
        <v>STX</v>
      </c>
      <c r="C52" t="s">
        <v>16</v>
      </c>
      <c r="D52" s="1">
        <v>43413</v>
      </c>
      <c r="E52" s="1">
        <v>43413</v>
      </c>
      <c r="F52" s="1">
        <v>43411</v>
      </c>
      <c r="G52" s="1">
        <v>43411</v>
      </c>
      <c r="H52" t="s">
        <v>9</v>
      </c>
      <c r="I52" t="s">
        <v>10</v>
      </c>
    </row>
    <row r="53" spans="1:9" x14ac:dyDescent="0.25">
      <c r="A53" t="s">
        <v>4860</v>
      </c>
      <c r="B53" s="26" t="str">
        <f>MID(tbl_forecast[[#This Row],[PACE Job Number]],3,3)</f>
        <v>NTX</v>
      </c>
      <c r="C53" t="s">
        <v>16</v>
      </c>
      <c r="D53" s="1">
        <v>43420</v>
      </c>
      <c r="E53" s="1">
        <v>43424</v>
      </c>
      <c r="F53" s="1">
        <v>43431</v>
      </c>
      <c r="G53" s="1">
        <v>43431</v>
      </c>
      <c r="H53" t="s">
        <v>9</v>
      </c>
      <c r="I53" t="s">
        <v>10</v>
      </c>
    </row>
    <row r="54" spans="1:9" x14ac:dyDescent="0.25">
      <c r="A54" t="s">
        <v>4861</v>
      </c>
      <c r="B54" s="26" t="str">
        <f>MID(tbl_forecast[[#This Row],[PACE Job Number]],3,3)</f>
        <v>NTX</v>
      </c>
      <c r="C54" t="s">
        <v>16</v>
      </c>
      <c r="D54" s="1">
        <v>43420</v>
      </c>
      <c r="E54" s="1">
        <v>43424</v>
      </c>
      <c r="F54" s="1">
        <v>43431</v>
      </c>
      <c r="G54" s="1">
        <v>43431</v>
      </c>
      <c r="H54" t="s">
        <v>9</v>
      </c>
      <c r="I54" t="s">
        <v>10</v>
      </c>
    </row>
    <row r="55" spans="1:9" x14ac:dyDescent="0.25">
      <c r="A55" t="s">
        <v>4862</v>
      </c>
      <c r="B55" s="26" t="str">
        <f>MID(tbl_forecast[[#This Row],[PACE Job Number]],3,3)</f>
        <v>NTX</v>
      </c>
      <c r="C55" t="s">
        <v>16</v>
      </c>
      <c r="D55" s="1">
        <v>43415</v>
      </c>
      <c r="E55" s="1">
        <v>43434</v>
      </c>
      <c r="F55" s="1">
        <v>43432</v>
      </c>
      <c r="G55" s="1"/>
      <c r="H55" t="s">
        <v>4664</v>
      </c>
      <c r="I55" t="s">
        <v>5645</v>
      </c>
    </row>
    <row r="56" spans="1:9" x14ac:dyDescent="0.25">
      <c r="A56" t="s">
        <v>4863</v>
      </c>
      <c r="B56" s="26" t="str">
        <f>MID(tbl_forecast[[#This Row],[PACE Job Number]],3,3)</f>
        <v>NTX</v>
      </c>
      <c r="C56" t="s">
        <v>16</v>
      </c>
      <c r="D56" s="1">
        <v>43405</v>
      </c>
      <c r="E56" s="1">
        <v>43406</v>
      </c>
      <c r="F56" s="1">
        <v>43405</v>
      </c>
      <c r="G56" s="1">
        <v>43405</v>
      </c>
      <c r="H56" t="s">
        <v>9</v>
      </c>
      <c r="I56" t="s">
        <v>10</v>
      </c>
    </row>
    <row r="57" spans="1:9" x14ac:dyDescent="0.25">
      <c r="A57" t="s">
        <v>4864</v>
      </c>
      <c r="B57" s="26" t="str">
        <f>MID(tbl_forecast[[#This Row],[PACE Job Number]],3,3)</f>
        <v>NTX</v>
      </c>
      <c r="C57" t="s">
        <v>16</v>
      </c>
      <c r="D57" s="1">
        <v>43405</v>
      </c>
      <c r="E57" s="1">
        <v>43434</v>
      </c>
      <c r="F57" s="1">
        <v>43405</v>
      </c>
      <c r="G57" s="1">
        <v>43405</v>
      </c>
      <c r="H57" t="s">
        <v>9</v>
      </c>
      <c r="I57" t="s">
        <v>10</v>
      </c>
    </row>
    <row r="58" spans="1:9" x14ac:dyDescent="0.25">
      <c r="A58" t="s">
        <v>4865</v>
      </c>
      <c r="B58" s="26" t="str">
        <f>MID(tbl_forecast[[#This Row],[PACE Job Number]],3,3)</f>
        <v>NTX</v>
      </c>
      <c r="C58" t="s">
        <v>16</v>
      </c>
      <c r="D58" s="1">
        <v>43434</v>
      </c>
      <c r="E58" s="1">
        <v>43434</v>
      </c>
      <c r="F58" s="1">
        <v>43434</v>
      </c>
      <c r="G58" s="1">
        <v>43433</v>
      </c>
      <c r="H58" t="s">
        <v>9</v>
      </c>
      <c r="I58" t="s">
        <v>10</v>
      </c>
    </row>
    <row r="59" spans="1:9" x14ac:dyDescent="0.25">
      <c r="A59" t="s">
        <v>4866</v>
      </c>
      <c r="B59" s="26" t="str">
        <f>MID(tbl_forecast[[#This Row],[PACE Job Number]],3,3)</f>
        <v>NTX</v>
      </c>
      <c r="C59" t="s">
        <v>16</v>
      </c>
      <c r="D59" s="1">
        <v>43434</v>
      </c>
      <c r="E59" s="1">
        <v>43462</v>
      </c>
      <c r="F59" s="1">
        <v>43462</v>
      </c>
      <c r="G59" s="1"/>
      <c r="H59" t="s">
        <v>4664</v>
      </c>
      <c r="I59" t="s">
        <v>4665</v>
      </c>
    </row>
    <row r="60" spans="1:9" x14ac:dyDescent="0.25">
      <c r="A60" t="s">
        <v>4867</v>
      </c>
      <c r="B60" s="26" t="str">
        <f>MID(tbl_forecast[[#This Row],[PACE Job Number]],3,3)</f>
        <v>NTX</v>
      </c>
      <c r="C60" t="s">
        <v>16</v>
      </c>
      <c r="D60" s="1">
        <v>43406</v>
      </c>
      <c r="E60" s="1">
        <v>43434</v>
      </c>
      <c r="F60" s="1">
        <v>43418</v>
      </c>
      <c r="G60" s="1">
        <v>43418</v>
      </c>
      <c r="H60" t="s">
        <v>9</v>
      </c>
      <c r="I60" t="s">
        <v>10</v>
      </c>
    </row>
    <row r="61" spans="1:9" x14ac:dyDescent="0.25">
      <c r="A61" t="s">
        <v>4868</v>
      </c>
      <c r="B61" s="26" t="str">
        <f>MID(tbl_forecast[[#This Row],[PACE Job Number]],3,3)</f>
        <v>NTX</v>
      </c>
      <c r="C61" t="s">
        <v>16</v>
      </c>
      <c r="D61" s="1">
        <v>43405</v>
      </c>
      <c r="E61" s="1">
        <v>43434</v>
      </c>
      <c r="F61" s="1">
        <v>43405</v>
      </c>
      <c r="G61" s="1">
        <v>43405</v>
      </c>
      <c r="H61" t="s">
        <v>9</v>
      </c>
      <c r="I61" t="s">
        <v>10</v>
      </c>
    </row>
    <row r="62" spans="1:9" x14ac:dyDescent="0.25">
      <c r="A62" t="s">
        <v>4869</v>
      </c>
      <c r="B62" s="26" t="str">
        <f>MID(tbl_forecast[[#This Row],[PACE Job Number]],3,3)</f>
        <v>NTX</v>
      </c>
      <c r="C62" t="s">
        <v>16</v>
      </c>
      <c r="D62" s="1">
        <v>43424</v>
      </c>
      <c r="E62" s="1">
        <v>43432</v>
      </c>
      <c r="F62" s="1">
        <v>43432</v>
      </c>
      <c r="G62" s="1">
        <v>43433</v>
      </c>
      <c r="H62" t="s">
        <v>9</v>
      </c>
      <c r="I62" t="s">
        <v>10</v>
      </c>
    </row>
    <row r="63" spans="1:9" x14ac:dyDescent="0.25">
      <c r="A63" t="s">
        <v>4870</v>
      </c>
      <c r="B63" s="26" t="str">
        <f>MID(tbl_forecast[[#This Row],[PACE Job Number]],3,3)</f>
        <v>NTX</v>
      </c>
      <c r="C63" t="s">
        <v>16</v>
      </c>
      <c r="D63" s="1">
        <v>43405</v>
      </c>
      <c r="E63" s="1">
        <v>43406</v>
      </c>
      <c r="F63" s="1">
        <v>43405</v>
      </c>
      <c r="G63" s="1">
        <v>43405</v>
      </c>
      <c r="H63" t="s">
        <v>9</v>
      </c>
      <c r="I63" t="s">
        <v>10</v>
      </c>
    </row>
    <row r="64" spans="1:9" x14ac:dyDescent="0.25">
      <c r="A64" t="s">
        <v>4871</v>
      </c>
      <c r="B64" s="26" t="str">
        <f>MID(tbl_forecast[[#This Row],[PACE Job Number]],3,3)</f>
        <v>NTX</v>
      </c>
      <c r="C64" t="s">
        <v>16</v>
      </c>
      <c r="D64" s="1">
        <v>43405</v>
      </c>
      <c r="E64" s="1">
        <v>43434</v>
      </c>
      <c r="F64" s="1">
        <v>43405</v>
      </c>
      <c r="G64" s="1">
        <v>43405</v>
      </c>
      <c r="H64" t="s">
        <v>9</v>
      </c>
      <c r="I64" t="s">
        <v>10</v>
      </c>
    </row>
    <row r="65" spans="1:9" x14ac:dyDescent="0.25">
      <c r="A65" t="s">
        <v>4872</v>
      </c>
      <c r="B65" s="26" t="str">
        <f>MID(tbl_forecast[[#This Row],[PACE Job Number]],3,3)</f>
        <v>NTX</v>
      </c>
      <c r="C65" t="s">
        <v>16</v>
      </c>
      <c r="D65" s="1">
        <v>43434</v>
      </c>
      <c r="E65" s="1">
        <v>43434</v>
      </c>
      <c r="F65" s="1">
        <v>43430</v>
      </c>
      <c r="G65" s="1">
        <v>43430</v>
      </c>
      <c r="H65" t="s">
        <v>9</v>
      </c>
      <c r="I65" t="s">
        <v>10</v>
      </c>
    </row>
    <row r="66" spans="1:9" x14ac:dyDescent="0.25">
      <c r="A66" t="s">
        <v>4873</v>
      </c>
      <c r="B66" s="26" t="str">
        <f>MID(tbl_forecast[[#This Row],[PACE Job Number]],3,3)</f>
        <v>NTX</v>
      </c>
      <c r="C66" t="s">
        <v>16</v>
      </c>
      <c r="D66" s="1">
        <v>43434</v>
      </c>
      <c r="E66" s="1">
        <v>43448</v>
      </c>
      <c r="F66" s="1">
        <v>43430</v>
      </c>
      <c r="G66" s="1">
        <v>43430</v>
      </c>
      <c r="H66" t="s">
        <v>9</v>
      </c>
      <c r="I66" t="s">
        <v>10</v>
      </c>
    </row>
    <row r="67" spans="1:9" x14ac:dyDescent="0.25">
      <c r="A67" t="s">
        <v>4874</v>
      </c>
      <c r="B67" s="26" t="str">
        <f>MID(tbl_forecast[[#This Row],[PACE Job Number]],3,3)</f>
        <v>NTX</v>
      </c>
      <c r="C67" t="s">
        <v>16</v>
      </c>
      <c r="D67" s="1">
        <v>43420</v>
      </c>
      <c r="E67" s="1">
        <v>43420</v>
      </c>
      <c r="F67" s="1">
        <v>43423</v>
      </c>
      <c r="G67" s="1">
        <v>43423</v>
      </c>
      <c r="H67" t="s">
        <v>9</v>
      </c>
      <c r="I67" t="s">
        <v>10</v>
      </c>
    </row>
    <row r="68" spans="1:9" x14ac:dyDescent="0.25">
      <c r="A68" t="s">
        <v>4875</v>
      </c>
      <c r="B68" s="26" t="str">
        <f>MID(tbl_forecast[[#This Row],[PACE Job Number]],3,3)</f>
        <v>NTX</v>
      </c>
      <c r="C68" t="s">
        <v>16</v>
      </c>
      <c r="D68" s="1">
        <v>43432</v>
      </c>
      <c r="E68" s="1">
        <v>43432</v>
      </c>
      <c r="F68" s="1">
        <v>43430</v>
      </c>
      <c r="G68" s="1">
        <v>43430</v>
      </c>
      <c r="H68" t="s">
        <v>9</v>
      </c>
      <c r="I68" t="s">
        <v>10</v>
      </c>
    </row>
    <row r="69" spans="1:9" x14ac:dyDescent="0.25">
      <c r="A69" t="s">
        <v>4876</v>
      </c>
      <c r="B69" s="26" t="str">
        <f>MID(tbl_forecast[[#This Row],[PACE Job Number]],3,3)</f>
        <v>NTX</v>
      </c>
      <c r="C69" t="s">
        <v>16</v>
      </c>
      <c r="D69" s="1">
        <v>43405</v>
      </c>
      <c r="E69" s="1">
        <v>43406</v>
      </c>
      <c r="F69" s="1">
        <v>43405</v>
      </c>
      <c r="G69" s="1">
        <v>43405</v>
      </c>
      <c r="H69" t="s">
        <v>9</v>
      </c>
      <c r="I69" t="s">
        <v>10</v>
      </c>
    </row>
    <row r="70" spans="1:9" x14ac:dyDescent="0.25">
      <c r="A70" t="s">
        <v>4877</v>
      </c>
      <c r="B70" s="26" t="str">
        <f>MID(tbl_forecast[[#This Row],[PACE Job Number]],3,3)</f>
        <v>NTX</v>
      </c>
      <c r="C70" t="s">
        <v>16</v>
      </c>
      <c r="D70" s="1">
        <v>43434</v>
      </c>
      <c r="E70" s="1">
        <v>43434</v>
      </c>
      <c r="F70" s="1">
        <v>43431</v>
      </c>
      <c r="G70" s="1">
        <v>43431</v>
      </c>
      <c r="H70" t="s">
        <v>9</v>
      </c>
      <c r="I70" t="s">
        <v>10</v>
      </c>
    </row>
    <row r="71" spans="1:9" x14ac:dyDescent="0.25">
      <c r="A71" t="s">
        <v>4878</v>
      </c>
      <c r="B71" s="26" t="str">
        <f>MID(tbl_forecast[[#This Row],[PACE Job Number]],3,3)</f>
        <v>NTX</v>
      </c>
      <c r="C71" t="s">
        <v>16</v>
      </c>
      <c r="D71" s="1">
        <v>43420</v>
      </c>
      <c r="E71" s="1">
        <v>43462</v>
      </c>
      <c r="F71" s="1">
        <v>43462</v>
      </c>
      <c r="G71" s="1"/>
      <c r="H71" t="s">
        <v>4664</v>
      </c>
      <c r="I71" t="s">
        <v>5645</v>
      </c>
    </row>
    <row r="72" spans="1:9" x14ac:dyDescent="0.25">
      <c r="A72" t="s">
        <v>4879</v>
      </c>
      <c r="B72" s="26" t="str">
        <f>MID(tbl_forecast[[#This Row],[PACE Job Number]],3,3)</f>
        <v>NTX</v>
      </c>
      <c r="C72" t="s">
        <v>16</v>
      </c>
      <c r="D72" s="1">
        <v>43434</v>
      </c>
      <c r="E72" s="1">
        <v>43434</v>
      </c>
      <c r="F72" s="1">
        <v>43430</v>
      </c>
      <c r="G72" s="1">
        <v>43430</v>
      </c>
      <c r="H72" t="s">
        <v>9</v>
      </c>
      <c r="I72" t="s">
        <v>10</v>
      </c>
    </row>
    <row r="73" spans="1:9" x14ac:dyDescent="0.25">
      <c r="A73" t="s">
        <v>4880</v>
      </c>
      <c r="B73" s="26" t="str">
        <f>MID(tbl_forecast[[#This Row],[PACE Job Number]],3,3)</f>
        <v>NTX</v>
      </c>
      <c r="C73" t="s">
        <v>16</v>
      </c>
      <c r="D73" s="1">
        <v>43415</v>
      </c>
      <c r="E73" s="1">
        <v>43434</v>
      </c>
      <c r="F73" s="1">
        <v>43432</v>
      </c>
      <c r="G73" s="1"/>
      <c r="H73" t="s">
        <v>4664</v>
      </c>
      <c r="I73" t="s">
        <v>5645</v>
      </c>
    </row>
    <row r="74" spans="1:9" x14ac:dyDescent="0.25">
      <c r="A74" t="s">
        <v>4881</v>
      </c>
      <c r="B74" s="26" t="str">
        <f>MID(tbl_forecast[[#This Row],[PACE Job Number]],3,3)</f>
        <v>NTX</v>
      </c>
      <c r="C74" t="s">
        <v>16</v>
      </c>
      <c r="D74" s="1">
        <v>43434</v>
      </c>
      <c r="E74" s="1">
        <v>43434</v>
      </c>
      <c r="F74" s="1">
        <v>43434</v>
      </c>
      <c r="G74" s="1"/>
      <c r="H74" t="s">
        <v>9</v>
      </c>
      <c r="I74" t="s">
        <v>27</v>
      </c>
    </row>
    <row r="75" spans="1:9" x14ac:dyDescent="0.25">
      <c r="A75" t="s">
        <v>4882</v>
      </c>
      <c r="B75" s="26" t="str">
        <f>MID(tbl_forecast[[#This Row],[PACE Job Number]],3,3)</f>
        <v>NTX</v>
      </c>
      <c r="C75" t="s">
        <v>16</v>
      </c>
      <c r="D75" s="1">
        <v>43420</v>
      </c>
      <c r="E75" s="1">
        <v>43424</v>
      </c>
      <c r="F75" s="1">
        <v>43431</v>
      </c>
      <c r="G75" s="1">
        <v>43431</v>
      </c>
      <c r="H75" t="s">
        <v>9</v>
      </c>
      <c r="I75" t="s">
        <v>10</v>
      </c>
    </row>
    <row r="76" spans="1:9" x14ac:dyDescent="0.25">
      <c r="A76" t="s">
        <v>4883</v>
      </c>
      <c r="B76" s="26" t="str">
        <f>MID(tbl_forecast[[#This Row],[PACE Job Number]],3,3)</f>
        <v>NTX</v>
      </c>
      <c r="C76" t="s">
        <v>16</v>
      </c>
      <c r="D76" s="1">
        <v>43434</v>
      </c>
      <c r="E76" s="1">
        <v>43434</v>
      </c>
      <c r="F76" s="1">
        <v>43430</v>
      </c>
      <c r="G76" s="1">
        <v>43430</v>
      </c>
      <c r="H76" t="s">
        <v>9</v>
      </c>
      <c r="I76" t="s">
        <v>10</v>
      </c>
    </row>
    <row r="77" spans="1:9" x14ac:dyDescent="0.25">
      <c r="A77" t="s">
        <v>4884</v>
      </c>
      <c r="B77" s="26" t="str">
        <f>MID(tbl_forecast[[#This Row],[PACE Job Number]],3,3)</f>
        <v>NTX</v>
      </c>
      <c r="C77" t="s">
        <v>16</v>
      </c>
      <c r="D77" s="1">
        <v>43434</v>
      </c>
      <c r="E77" s="1">
        <v>43448</v>
      </c>
      <c r="F77" s="1">
        <v>43430</v>
      </c>
      <c r="G77" s="1">
        <v>43430</v>
      </c>
      <c r="H77" t="s">
        <v>9</v>
      </c>
      <c r="I77" t="s">
        <v>10</v>
      </c>
    </row>
    <row r="78" spans="1:9" x14ac:dyDescent="0.25">
      <c r="A78" t="s">
        <v>4885</v>
      </c>
      <c r="B78" s="26" t="str">
        <f>MID(tbl_forecast[[#This Row],[PACE Job Number]],3,3)</f>
        <v>NTX</v>
      </c>
      <c r="C78" t="s">
        <v>16</v>
      </c>
      <c r="D78" s="1">
        <v>43420</v>
      </c>
      <c r="E78" s="1">
        <v>43424</v>
      </c>
      <c r="F78" s="1">
        <v>43431</v>
      </c>
      <c r="G78" s="1">
        <v>43431</v>
      </c>
      <c r="H78" t="s">
        <v>9</v>
      </c>
      <c r="I78" t="s">
        <v>10</v>
      </c>
    </row>
    <row r="79" spans="1:9" x14ac:dyDescent="0.25">
      <c r="A79" t="s">
        <v>4886</v>
      </c>
      <c r="B79" s="26" t="str">
        <f>MID(tbl_forecast[[#This Row],[PACE Job Number]],3,3)</f>
        <v>NTX</v>
      </c>
      <c r="C79" t="s">
        <v>16</v>
      </c>
      <c r="D79" s="1">
        <v>43424</v>
      </c>
      <c r="E79" s="1">
        <v>43432</v>
      </c>
      <c r="F79" s="1">
        <v>43432</v>
      </c>
      <c r="G79" s="1"/>
      <c r="H79" t="s">
        <v>9</v>
      </c>
      <c r="I79" t="s">
        <v>27</v>
      </c>
    </row>
    <row r="80" spans="1:9" x14ac:dyDescent="0.25">
      <c r="A80" t="s">
        <v>4887</v>
      </c>
      <c r="B80" s="26" t="str">
        <f>MID(tbl_forecast[[#This Row],[PACE Job Number]],3,3)</f>
        <v>NTX</v>
      </c>
      <c r="C80" t="s">
        <v>16</v>
      </c>
      <c r="D80" s="1">
        <v>43434</v>
      </c>
      <c r="E80" s="1">
        <v>43434</v>
      </c>
      <c r="F80" s="1">
        <v>43431</v>
      </c>
      <c r="G80" s="1">
        <v>43431</v>
      </c>
      <c r="H80" t="s">
        <v>9</v>
      </c>
      <c r="I80" t="s">
        <v>10</v>
      </c>
    </row>
    <row r="81" spans="1:9" x14ac:dyDescent="0.25">
      <c r="A81" t="s">
        <v>4888</v>
      </c>
      <c r="B81" s="26" t="str">
        <f>MID(tbl_forecast[[#This Row],[PACE Job Number]],3,3)</f>
        <v>NTX</v>
      </c>
      <c r="C81" t="s">
        <v>16</v>
      </c>
      <c r="D81" s="1">
        <v>43434</v>
      </c>
      <c r="E81" s="1">
        <v>43434</v>
      </c>
      <c r="F81" s="1">
        <v>43434</v>
      </c>
      <c r="G81" s="1"/>
      <c r="H81" t="s">
        <v>9</v>
      </c>
      <c r="I81" t="s">
        <v>27</v>
      </c>
    </row>
    <row r="82" spans="1:9" x14ac:dyDescent="0.25">
      <c r="A82" t="s">
        <v>4889</v>
      </c>
      <c r="B82" s="26" t="str">
        <f>MID(tbl_forecast[[#This Row],[PACE Job Number]],3,3)</f>
        <v>NTX</v>
      </c>
      <c r="C82" t="s">
        <v>16</v>
      </c>
      <c r="D82" s="1">
        <v>43406</v>
      </c>
      <c r="E82" s="1">
        <v>43434</v>
      </c>
      <c r="F82" s="1">
        <v>43418</v>
      </c>
      <c r="G82" s="1">
        <v>43418</v>
      </c>
      <c r="H82" t="s">
        <v>9</v>
      </c>
      <c r="I82" t="s">
        <v>10</v>
      </c>
    </row>
    <row r="83" spans="1:9" x14ac:dyDescent="0.25">
      <c r="A83" t="s">
        <v>4890</v>
      </c>
      <c r="B83" s="26" t="str">
        <f>MID(tbl_forecast[[#This Row],[PACE Job Number]],3,3)</f>
        <v>NTX</v>
      </c>
      <c r="C83" t="s">
        <v>16</v>
      </c>
      <c r="D83" s="1">
        <v>43413</v>
      </c>
      <c r="E83" s="1">
        <v>43413</v>
      </c>
      <c r="F83" s="1">
        <v>43413</v>
      </c>
      <c r="G83" s="1"/>
      <c r="H83" t="s">
        <v>9</v>
      </c>
      <c r="I83" t="s">
        <v>27</v>
      </c>
    </row>
    <row r="84" spans="1:9" x14ac:dyDescent="0.25">
      <c r="A84" t="s">
        <v>4891</v>
      </c>
      <c r="B84" s="26" t="str">
        <f>MID(tbl_forecast[[#This Row],[PACE Job Number]],3,3)</f>
        <v>WSH</v>
      </c>
      <c r="C84" t="s">
        <v>16</v>
      </c>
      <c r="D84" s="1">
        <v>43420</v>
      </c>
      <c r="E84" s="1">
        <v>36524</v>
      </c>
      <c r="F84" s="1">
        <v>43419</v>
      </c>
      <c r="G84" s="1">
        <v>43419</v>
      </c>
      <c r="H84" t="s">
        <v>9</v>
      </c>
      <c r="I84" t="s">
        <v>10</v>
      </c>
    </row>
    <row r="85" spans="1:9" x14ac:dyDescent="0.25">
      <c r="A85" t="s">
        <v>4892</v>
      </c>
      <c r="B85" s="26" t="str">
        <f>MID(tbl_forecast[[#This Row],[PACE Job Number]],3,3)</f>
        <v>WSH</v>
      </c>
      <c r="C85" t="s">
        <v>16</v>
      </c>
      <c r="D85" s="1">
        <v>43434</v>
      </c>
      <c r="E85" s="1">
        <v>36524</v>
      </c>
      <c r="F85" s="1">
        <v>43430</v>
      </c>
      <c r="G85" s="1">
        <v>43430</v>
      </c>
      <c r="H85" t="s">
        <v>9</v>
      </c>
      <c r="I85" t="s">
        <v>10</v>
      </c>
    </row>
    <row r="86" spans="1:9" x14ac:dyDescent="0.25">
      <c r="A86" t="s">
        <v>4144</v>
      </c>
      <c r="B86" s="26" t="str">
        <f>MID(tbl_forecast[[#This Row],[PACE Job Number]],3,3)</f>
        <v>WSH</v>
      </c>
      <c r="C86" t="s">
        <v>16</v>
      </c>
      <c r="D86" s="1">
        <v>43405</v>
      </c>
      <c r="E86" s="1">
        <v>36524</v>
      </c>
      <c r="F86" s="1">
        <v>43437</v>
      </c>
      <c r="G86" s="1"/>
      <c r="H86" t="s">
        <v>4664</v>
      </c>
      <c r="I86" t="s">
        <v>4666</v>
      </c>
    </row>
    <row r="87" spans="1:9" x14ac:dyDescent="0.25">
      <c r="A87" t="s">
        <v>3818</v>
      </c>
      <c r="B87" s="26" t="str">
        <f>MID(tbl_forecast[[#This Row],[PACE Job Number]],3,3)</f>
        <v>WSH</v>
      </c>
      <c r="C87" t="s">
        <v>16</v>
      </c>
      <c r="D87" s="1">
        <v>43405</v>
      </c>
      <c r="E87" s="1">
        <v>36524</v>
      </c>
      <c r="F87" s="1">
        <v>43437</v>
      </c>
      <c r="G87" s="1"/>
      <c r="H87" t="s">
        <v>4664</v>
      </c>
      <c r="I87" t="s">
        <v>4666</v>
      </c>
    </row>
    <row r="88" spans="1:9" x14ac:dyDescent="0.25">
      <c r="A88" t="s">
        <v>4893</v>
      </c>
      <c r="B88" s="26" t="str">
        <f>MID(tbl_forecast[[#This Row],[PACE Job Number]],3,3)</f>
        <v>STX</v>
      </c>
      <c r="C88" t="s">
        <v>16</v>
      </c>
      <c r="D88" s="1">
        <v>43427</v>
      </c>
      <c r="E88" s="1">
        <v>43434</v>
      </c>
      <c r="F88" s="1">
        <v>43434</v>
      </c>
      <c r="G88" s="1"/>
      <c r="H88" t="s">
        <v>9</v>
      </c>
      <c r="I88" t="s">
        <v>27</v>
      </c>
    </row>
    <row r="89" spans="1:9" x14ac:dyDescent="0.25">
      <c r="A89" t="s">
        <v>4894</v>
      </c>
      <c r="B89" s="26" t="str">
        <f>MID(tbl_forecast[[#This Row],[PACE Job Number]],3,3)</f>
        <v>STX</v>
      </c>
      <c r="C89" t="s">
        <v>16</v>
      </c>
      <c r="D89" s="1">
        <v>43420</v>
      </c>
      <c r="E89" s="1">
        <v>36524</v>
      </c>
      <c r="F89" s="1">
        <v>43416</v>
      </c>
      <c r="G89" s="1">
        <v>43416</v>
      </c>
      <c r="H89" t="s">
        <v>9</v>
      </c>
      <c r="I89" t="s">
        <v>10</v>
      </c>
    </row>
    <row r="90" spans="1:9" x14ac:dyDescent="0.25">
      <c r="A90" t="s">
        <v>4895</v>
      </c>
      <c r="B90" s="26" t="str">
        <f>MID(tbl_forecast[[#This Row],[PACE Job Number]],3,3)</f>
        <v>STX</v>
      </c>
      <c r="C90" t="s">
        <v>16</v>
      </c>
      <c r="D90" s="1">
        <v>43420</v>
      </c>
      <c r="E90" s="1">
        <v>43427</v>
      </c>
      <c r="F90" s="1">
        <v>43423</v>
      </c>
      <c r="G90" s="1">
        <v>43423</v>
      </c>
      <c r="H90" t="s">
        <v>9</v>
      </c>
      <c r="I90" t="s">
        <v>10</v>
      </c>
    </row>
    <row r="91" spans="1:9" x14ac:dyDescent="0.25">
      <c r="A91" t="s">
        <v>4896</v>
      </c>
      <c r="B91" s="26" t="str">
        <f>MID(tbl_forecast[[#This Row],[PACE Job Number]],3,3)</f>
        <v>STX</v>
      </c>
      <c r="C91" t="s">
        <v>16</v>
      </c>
      <c r="D91" s="1">
        <v>43434</v>
      </c>
      <c r="E91" s="1">
        <v>36524</v>
      </c>
      <c r="F91" s="1">
        <v>43410</v>
      </c>
      <c r="G91" s="1">
        <v>43410</v>
      </c>
      <c r="H91" t="s">
        <v>9</v>
      </c>
      <c r="I91" t="s">
        <v>10</v>
      </c>
    </row>
    <row r="92" spans="1:9" x14ac:dyDescent="0.25">
      <c r="A92" t="s">
        <v>4897</v>
      </c>
      <c r="B92" s="26" t="str">
        <f>MID(tbl_forecast[[#This Row],[PACE Job Number]],3,3)</f>
        <v>STX</v>
      </c>
      <c r="C92" t="s">
        <v>16</v>
      </c>
      <c r="D92" s="1">
        <v>43420</v>
      </c>
      <c r="E92" s="1">
        <v>43427</v>
      </c>
      <c r="F92" s="1">
        <v>43423</v>
      </c>
      <c r="G92" s="1">
        <v>43423</v>
      </c>
      <c r="H92" t="s">
        <v>9</v>
      </c>
      <c r="I92" t="s">
        <v>10</v>
      </c>
    </row>
    <row r="93" spans="1:9" x14ac:dyDescent="0.25">
      <c r="A93" t="s">
        <v>4898</v>
      </c>
      <c r="B93" s="26" t="str">
        <f>MID(tbl_forecast[[#This Row],[PACE Job Number]],3,3)</f>
        <v>STX</v>
      </c>
      <c r="C93" t="s">
        <v>16</v>
      </c>
      <c r="D93" s="1">
        <v>43427</v>
      </c>
      <c r="E93" s="1">
        <v>43434</v>
      </c>
      <c r="F93" s="1">
        <v>43434</v>
      </c>
      <c r="G93" s="1"/>
      <c r="H93" t="s">
        <v>9</v>
      </c>
      <c r="I93" t="s">
        <v>27</v>
      </c>
    </row>
    <row r="94" spans="1:9" x14ac:dyDescent="0.25">
      <c r="A94" t="s">
        <v>4899</v>
      </c>
      <c r="B94" s="26" t="str">
        <f>MID(tbl_forecast[[#This Row],[PACE Job Number]],3,3)</f>
        <v>STX</v>
      </c>
      <c r="C94" t="s">
        <v>16</v>
      </c>
      <c r="D94" s="1">
        <v>43427</v>
      </c>
      <c r="E94" s="1">
        <v>43434</v>
      </c>
      <c r="F94" s="1">
        <v>43434</v>
      </c>
      <c r="G94" s="1"/>
      <c r="H94" t="s">
        <v>9</v>
      </c>
      <c r="I94" t="s">
        <v>27</v>
      </c>
    </row>
    <row r="95" spans="1:9" x14ac:dyDescent="0.25">
      <c r="A95" t="s">
        <v>4900</v>
      </c>
      <c r="B95" s="26" t="str">
        <f>MID(tbl_forecast[[#This Row],[PACE Job Number]],3,3)</f>
        <v>STX</v>
      </c>
      <c r="C95" t="s">
        <v>16</v>
      </c>
      <c r="D95" s="1">
        <v>43434</v>
      </c>
      <c r="E95" s="1">
        <v>36524</v>
      </c>
      <c r="F95" s="1">
        <v>43434</v>
      </c>
      <c r="G95" s="1"/>
      <c r="H95" t="s">
        <v>9</v>
      </c>
      <c r="I95" t="s">
        <v>27</v>
      </c>
    </row>
    <row r="96" spans="1:9" x14ac:dyDescent="0.25">
      <c r="A96" t="s">
        <v>4901</v>
      </c>
      <c r="B96" s="26" t="str">
        <f>MID(tbl_forecast[[#This Row],[PACE Job Number]],3,3)</f>
        <v>STX</v>
      </c>
      <c r="C96" t="s">
        <v>16</v>
      </c>
      <c r="D96" s="1">
        <v>43434</v>
      </c>
      <c r="E96" s="1">
        <v>36524</v>
      </c>
      <c r="F96" s="1">
        <v>43434</v>
      </c>
      <c r="G96" s="1"/>
      <c r="H96" t="s">
        <v>9</v>
      </c>
      <c r="I96" t="s">
        <v>27</v>
      </c>
    </row>
    <row r="97" spans="1:9" x14ac:dyDescent="0.25">
      <c r="A97" t="s">
        <v>4902</v>
      </c>
      <c r="B97" s="26" t="str">
        <f>MID(tbl_forecast[[#This Row],[PACE Job Number]],3,3)</f>
        <v>STX</v>
      </c>
      <c r="C97" t="s">
        <v>16</v>
      </c>
      <c r="D97" s="1">
        <v>43434</v>
      </c>
      <c r="E97" s="1">
        <v>36524</v>
      </c>
      <c r="F97" s="1">
        <v>43434</v>
      </c>
      <c r="G97" s="1"/>
      <c r="H97" t="s">
        <v>9</v>
      </c>
      <c r="I97" t="s">
        <v>27</v>
      </c>
    </row>
    <row r="98" spans="1:9" x14ac:dyDescent="0.25">
      <c r="A98" t="s">
        <v>4903</v>
      </c>
      <c r="B98" s="26" t="str">
        <f>MID(tbl_forecast[[#This Row],[PACE Job Number]],3,3)</f>
        <v>STX</v>
      </c>
      <c r="C98" t="s">
        <v>16</v>
      </c>
      <c r="D98" s="1">
        <v>43434</v>
      </c>
      <c r="E98" s="1">
        <v>36524</v>
      </c>
      <c r="F98" s="1">
        <v>43434</v>
      </c>
      <c r="G98" s="1"/>
      <c r="H98" t="s">
        <v>9</v>
      </c>
      <c r="I98" t="s">
        <v>27</v>
      </c>
    </row>
    <row r="99" spans="1:9" x14ac:dyDescent="0.25">
      <c r="A99" t="s">
        <v>4904</v>
      </c>
      <c r="B99" s="26" t="str">
        <f>MID(tbl_forecast[[#This Row],[PACE Job Number]],3,3)</f>
        <v>STX</v>
      </c>
      <c r="C99" t="s">
        <v>16</v>
      </c>
      <c r="D99" s="1">
        <v>43434</v>
      </c>
      <c r="E99" s="1">
        <v>36524</v>
      </c>
      <c r="F99" s="1">
        <v>43434</v>
      </c>
      <c r="G99" s="1"/>
      <c r="H99" t="s">
        <v>9</v>
      </c>
      <c r="I99" t="s">
        <v>27</v>
      </c>
    </row>
    <row r="100" spans="1:9" x14ac:dyDescent="0.25">
      <c r="A100" t="s">
        <v>4905</v>
      </c>
      <c r="B100" s="26" t="str">
        <f>MID(tbl_forecast[[#This Row],[PACE Job Number]],3,3)</f>
        <v>STX</v>
      </c>
      <c r="C100" t="s">
        <v>16</v>
      </c>
      <c r="D100" s="1">
        <v>43434</v>
      </c>
      <c r="E100" s="1">
        <v>36524</v>
      </c>
      <c r="F100" s="1">
        <v>43434</v>
      </c>
      <c r="G100" s="1"/>
      <c r="H100" t="s">
        <v>9</v>
      </c>
      <c r="I100" t="s">
        <v>27</v>
      </c>
    </row>
    <row r="101" spans="1:9" x14ac:dyDescent="0.25">
      <c r="A101" t="s">
        <v>4906</v>
      </c>
      <c r="B101" s="26" t="str">
        <f>MID(tbl_forecast[[#This Row],[PACE Job Number]],3,3)</f>
        <v>STX</v>
      </c>
      <c r="C101" t="s">
        <v>16</v>
      </c>
      <c r="D101" s="1">
        <v>43421</v>
      </c>
      <c r="E101" s="1">
        <v>43427</v>
      </c>
      <c r="F101" s="1">
        <v>43427</v>
      </c>
      <c r="G101" s="1">
        <v>43427</v>
      </c>
      <c r="H101" t="s">
        <v>9</v>
      </c>
      <c r="I101" t="s">
        <v>10</v>
      </c>
    </row>
    <row r="102" spans="1:9" x14ac:dyDescent="0.25">
      <c r="A102" t="s">
        <v>4907</v>
      </c>
      <c r="B102" s="26" t="str">
        <f>MID(tbl_forecast[[#This Row],[PACE Job Number]],3,3)</f>
        <v>STX</v>
      </c>
      <c r="C102" t="s">
        <v>16</v>
      </c>
      <c r="D102" s="1">
        <v>43421</v>
      </c>
      <c r="E102" s="1">
        <v>43421</v>
      </c>
      <c r="F102" s="1">
        <v>43413</v>
      </c>
      <c r="G102" s="1">
        <v>43413</v>
      </c>
      <c r="H102" t="s">
        <v>9</v>
      </c>
      <c r="I102" t="s">
        <v>10</v>
      </c>
    </row>
    <row r="103" spans="1:9" x14ac:dyDescent="0.25">
      <c r="A103" t="s">
        <v>4908</v>
      </c>
      <c r="B103" s="26" t="str">
        <f>MID(tbl_forecast[[#This Row],[PACE Job Number]],3,3)</f>
        <v>STX</v>
      </c>
      <c r="C103" t="s">
        <v>16</v>
      </c>
      <c r="D103" s="1">
        <v>43434</v>
      </c>
      <c r="E103" s="1">
        <v>36524</v>
      </c>
      <c r="F103" s="1">
        <v>43434</v>
      </c>
      <c r="G103" s="1"/>
      <c r="H103" t="s">
        <v>9</v>
      </c>
      <c r="I103" t="s">
        <v>27</v>
      </c>
    </row>
    <row r="104" spans="1:9" x14ac:dyDescent="0.25">
      <c r="A104" t="s">
        <v>4909</v>
      </c>
      <c r="B104" s="26" t="str">
        <f>MID(tbl_forecast[[#This Row],[PACE Job Number]],3,3)</f>
        <v>STX</v>
      </c>
      <c r="C104" t="s">
        <v>16</v>
      </c>
      <c r="D104" s="1">
        <v>43427</v>
      </c>
      <c r="E104" s="1">
        <v>43427</v>
      </c>
      <c r="F104" s="1">
        <v>43416</v>
      </c>
      <c r="G104" s="1">
        <v>43416</v>
      </c>
      <c r="H104" t="s">
        <v>9</v>
      </c>
      <c r="I104" t="s">
        <v>10</v>
      </c>
    </row>
    <row r="105" spans="1:9" x14ac:dyDescent="0.25">
      <c r="A105" t="s">
        <v>4910</v>
      </c>
      <c r="B105" s="26" t="str">
        <f>MID(tbl_forecast[[#This Row],[PACE Job Number]],3,3)</f>
        <v>STX</v>
      </c>
      <c r="C105" t="s">
        <v>16</v>
      </c>
      <c r="D105" s="1">
        <v>43427</v>
      </c>
      <c r="E105" s="1">
        <v>43427</v>
      </c>
      <c r="F105" s="1">
        <v>43418</v>
      </c>
      <c r="G105" s="1">
        <v>43418</v>
      </c>
      <c r="H105" t="s">
        <v>9</v>
      </c>
      <c r="I105" t="s">
        <v>10</v>
      </c>
    </row>
    <row r="106" spans="1:9" x14ac:dyDescent="0.25">
      <c r="A106" t="s">
        <v>4911</v>
      </c>
      <c r="B106" s="26" t="str">
        <f>MID(tbl_forecast[[#This Row],[PACE Job Number]],3,3)</f>
        <v>STX</v>
      </c>
      <c r="C106" t="s">
        <v>16</v>
      </c>
      <c r="D106" s="1">
        <v>43434</v>
      </c>
      <c r="E106" s="1">
        <v>36524</v>
      </c>
      <c r="F106" s="1">
        <v>43410</v>
      </c>
      <c r="G106" s="1">
        <v>43410</v>
      </c>
      <c r="H106" t="s">
        <v>9</v>
      </c>
      <c r="I106" t="s">
        <v>10</v>
      </c>
    </row>
    <row r="107" spans="1:9" x14ac:dyDescent="0.25">
      <c r="A107" t="s">
        <v>4912</v>
      </c>
      <c r="B107" s="26" t="str">
        <f>MID(tbl_forecast[[#This Row],[PACE Job Number]],3,3)</f>
        <v>STX</v>
      </c>
      <c r="C107" t="s">
        <v>16</v>
      </c>
      <c r="D107" s="1">
        <v>43434</v>
      </c>
      <c r="E107" s="1">
        <v>36524</v>
      </c>
      <c r="F107" s="1">
        <v>43410</v>
      </c>
      <c r="G107" s="1">
        <v>43410</v>
      </c>
      <c r="H107" t="s">
        <v>9</v>
      </c>
      <c r="I107" t="s">
        <v>10</v>
      </c>
    </row>
    <row r="108" spans="1:9" x14ac:dyDescent="0.25">
      <c r="A108" t="s">
        <v>4913</v>
      </c>
      <c r="B108" s="26" t="str">
        <f>MID(tbl_forecast[[#This Row],[PACE Job Number]],3,3)</f>
        <v>STX</v>
      </c>
      <c r="C108" t="s">
        <v>16</v>
      </c>
      <c r="D108" s="1">
        <v>43434</v>
      </c>
      <c r="E108" s="1">
        <v>36524</v>
      </c>
      <c r="F108" s="1">
        <v>43410</v>
      </c>
      <c r="G108" s="1">
        <v>43410</v>
      </c>
      <c r="H108" t="s">
        <v>9</v>
      </c>
      <c r="I108" t="s">
        <v>10</v>
      </c>
    </row>
    <row r="109" spans="1:9" x14ac:dyDescent="0.25">
      <c r="A109" t="s">
        <v>4914</v>
      </c>
      <c r="B109" s="26" t="str">
        <f>MID(tbl_forecast[[#This Row],[PACE Job Number]],3,3)</f>
        <v>STX</v>
      </c>
      <c r="C109" t="s">
        <v>16</v>
      </c>
      <c r="D109" s="1">
        <v>43413</v>
      </c>
      <c r="E109" s="1">
        <v>43413</v>
      </c>
      <c r="F109" s="1">
        <v>43411</v>
      </c>
      <c r="G109" s="1">
        <v>43411</v>
      </c>
      <c r="H109" t="s">
        <v>9</v>
      </c>
      <c r="I109" t="s">
        <v>10</v>
      </c>
    </row>
    <row r="110" spans="1:9" x14ac:dyDescent="0.25">
      <c r="A110" t="s">
        <v>4915</v>
      </c>
      <c r="B110" s="26" t="str">
        <f>MID(tbl_forecast[[#This Row],[PACE Job Number]],3,3)</f>
        <v>STX</v>
      </c>
      <c r="C110" t="s">
        <v>16</v>
      </c>
      <c r="D110" s="1">
        <v>43413</v>
      </c>
      <c r="E110" s="1">
        <v>43413</v>
      </c>
      <c r="F110" s="1">
        <v>43411</v>
      </c>
      <c r="G110" s="1">
        <v>43411</v>
      </c>
      <c r="H110" t="s">
        <v>9</v>
      </c>
      <c r="I110" t="s">
        <v>10</v>
      </c>
    </row>
    <row r="111" spans="1:9" x14ac:dyDescent="0.25">
      <c r="A111" t="s">
        <v>4916</v>
      </c>
      <c r="B111" s="26" t="str">
        <f>MID(tbl_forecast[[#This Row],[PACE Job Number]],3,3)</f>
        <v>STX</v>
      </c>
      <c r="C111" t="s">
        <v>16</v>
      </c>
      <c r="D111" s="1">
        <v>43434</v>
      </c>
      <c r="E111" s="1">
        <v>36524</v>
      </c>
      <c r="F111" s="1">
        <v>43410</v>
      </c>
      <c r="G111" s="1">
        <v>43410</v>
      </c>
      <c r="H111" t="s">
        <v>9</v>
      </c>
      <c r="I111" t="s">
        <v>10</v>
      </c>
    </row>
    <row r="112" spans="1:9" x14ac:dyDescent="0.25">
      <c r="A112" t="s">
        <v>4917</v>
      </c>
      <c r="B112" s="26" t="str">
        <f>MID(tbl_forecast[[#This Row],[PACE Job Number]],3,3)</f>
        <v>STX</v>
      </c>
      <c r="C112" t="s">
        <v>16</v>
      </c>
      <c r="D112" s="1">
        <v>43434</v>
      </c>
      <c r="E112" s="1">
        <v>36524</v>
      </c>
      <c r="F112" s="1">
        <v>43410</v>
      </c>
      <c r="G112" s="1">
        <v>43410</v>
      </c>
      <c r="H112" t="s">
        <v>9</v>
      </c>
      <c r="I112" t="s">
        <v>10</v>
      </c>
    </row>
    <row r="113" spans="1:9" x14ac:dyDescent="0.25">
      <c r="A113" t="s">
        <v>4918</v>
      </c>
      <c r="B113" s="26" t="str">
        <f>MID(tbl_forecast[[#This Row],[PACE Job Number]],3,3)</f>
        <v>STX</v>
      </c>
      <c r="C113" t="s">
        <v>16</v>
      </c>
      <c r="D113" s="1">
        <v>43434</v>
      </c>
      <c r="E113" s="1">
        <v>36524</v>
      </c>
      <c r="F113" s="1">
        <v>43410</v>
      </c>
      <c r="G113" s="1">
        <v>43410</v>
      </c>
      <c r="H113" t="s">
        <v>9</v>
      </c>
      <c r="I113" t="s">
        <v>10</v>
      </c>
    </row>
    <row r="114" spans="1:9" x14ac:dyDescent="0.25">
      <c r="A114" t="s">
        <v>4919</v>
      </c>
      <c r="B114" s="26" t="str">
        <f>MID(tbl_forecast[[#This Row],[PACE Job Number]],3,3)</f>
        <v>STX</v>
      </c>
      <c r="C114" t="s">
        <v>16</v>
      </c>
      <c r="D114" s="1">
        <v>43434</v>
      </c>
      <c r="E114" s="1">
        <v>36524</v>
      </c>
      <c r="F114" s="1">
        <v>43410</v>
      </c>
      <c r="G114" s="1">
        <v>43410</v>
      </c>
      <c r="H114" t="s">
        <v>9</v>
      </c>
      <c r="I114" t="s">
        <v>10</v>
      </c>
    </row>
    <row r="115" spans="1:9" x14ac:dyDescent="0.25">
      <c r="A115" t="s">
        <v>4920</v>
      </c>
      <c r="B115" s="26" t="str">
        <f>MID(tbl_forecast[[#This Row],[PACE Job Number]],3,3)</f>
        <v>STX</v>
      </c>
      <c r="C115" t="s">
        <v>16</v>
      </c>
      <c r="D115" s="1">
        <v>43413</v>
      </c>
      <c r="E115" s="1">
        <v>43413</v>
      </c>
      <c r="F115" s="1">
        <v>43411</v>
      </c>
      <c r="G115" s="1">
        <v>43411</v>
      </c>
      <c r="H115" t="s">
        <v>9</v>
      </c>
      <c r="I115" t="s">
        <v>10</v>
      </c>
    </row>
    <row r="116" spans="1:9" x14ac:dyDescent="0.25">
      <c r="A116" t="s">
        <v>4921</v>
      </c>
      <c r="B116" s="26" t="str">
        <f>MID(tbl_forecast[[#This Row],[PACE Job Number]],3,3)</f>
        <v>STX</v>
      </c>
      <c r="C116" t="s">
        <v>16</v>
      </c>
      <c r="D116" s="1">
        <v>43420</v>
      </c>
      <c r="E116" s="1">
        <v>36524</v>
      </c>
      <c r="F116" s="1">
        <v>43416</v>
      </c>
      <c r="G116" s="1">
        <v>43416</v>
      </c>
      <c r="H116" t="s">
        <v>9</v>
      </c>
      <c r="I116" t="s">
        <v>10</v>
      </c>
    </row>
    <row r="117" spans="1:9" x14ac:dyDescent="0.25">
      <c r="A117" t="s">
        <v>4922</v>
      </c>
      <c r="B117" s="26" t="str">
        <f>MID(tbl_forecast[[#This Row],[PACE Job Number]],3,3)</f>
        <v>STX</v>
      </c>
      <c r="C117" t="s">
        <v>16</v>
      </c>
      <c r="D117" s="1">
        <v>43421</v>
      </c>
      <c r="E117" s="1">
        <v>43427</v>
      </c>
      <c r="F117" s="1">
        <v>43427</v>
      </c>
      <c r="G117" s="1">
        <v>43427</v>
      </c>
      <c r="H117" t="s">
        <v>9</v>
      </c>
      <c r="I117" t="s">
        <v>10</v>
      </c>
    </row>
    <row r="118" spans="1:9" x14ac:dyDescent="0.25">
      <c r="A118" t="s">
        <v>4923</v>
      </c>
      <c r="B118" s="26" t="str">
        <f>MID(tbl_forecast[[#This Row],[PACE Job Number]],3,3)</f>
        <v>NTX</v>
      </c>
      <c r="C118" t="s">
        <v>16</v>
      </c>
      <c r="D118" s="1">
        <v>43420</v>
      </c>
      <c r="E118" s="1">
        <v>43462</v>
      </c>
      <c r="F118" s="1">
        <v>43462</v>
      </c>
      <c r="G118" s="1"/>
      <c r="H118" t="s">
        <v>4664</v>
      </c>
      <c r="I118" t="s">
        <v>5645</v>
      </c>
    </row>
    <row r="119" spans="1:9" x14ac:dyDescent="0.25">
      <c r="A119" t="s">
        <v>4924</v>
      </c>
      <c r="B119" s="26" t="str">
        <f>MID(tbl_forecast[[#This Row],[PACE Job Number]],3,3)</f>
        <v>STX</v>
      </c>
      <c r="C119" t="s">
        <v>16</v>
      </c>
      <c r="D119" s="1">
        <v>43432</v>
      </c>
      <c r="E119" s="1">
        <v>43432</v>
      </c>
      <c r="F119" s="1">
        <v>43423</v>
      </c>
      <c r="G119" s="1">
        <v>43423</v>
      </c>
      <c r="H119" t="s">
        <v>9</v>
      </c>
      <c r="I119" t="s">
        <v>10</v>
      </c>
    </row>
    <row r="120" spans="1:9" x14ac:dyDescent="0.25">
      <c r="A120" t="s">
        <v>3211</v>
      </c>
      <c r="B120" s="26" t="str">
        <f>MID(tbl_forecast[[#This Row],[PACE Job Number]],3,3)</f>
        <v>STX</v>
      </c>
      <c r="C120" t="s">
        <v>16</v>
      </c>
      <c r="D120" s="1">
        <v>43434</v>
      </c>
      <c r="E120" s="1">
        <v>43434</v>
      </c>
      <c r="F120" s="1">
        <v>43410</v>
      </c>
      <c r="G120" s="1">
        <v>43410</v>
      </c>
      <c r="H120" t="s">
        <v>9</v>
      </c>
      <c r="I120" t="s">
        <v>10</v>
      </c>
    </row>
    <row r="121" spans="1:9" x14ac:dyDescent="0.25">
      <c r="A121" t="s">
        <v>4131</v>
      </c>
      <c r="B121" s="26" t="str">
        <f>MID(tbl_forecast[[#This Row],[PACE Job Number]],3,3)</f>
        <v>STX</v>
      </c>
      <c r="C121" t="s">
        <v>16</v>
      </c>
      <c r="D121" s="1">
        <v>43413</v>
      </c>
      <c r="E121" s="1">
        <v>43427</v>
      </c>
      <c r="F121" s="1">
        <v>43423</v>
      </c>
      <c r="G121" s="1">
        <v>43423</v>
      </c>
      <c r="H121" t="s">
        <v>9</v>
      </c>
      <c r="I121" t="s">
        <v>10</v>
      </c>
    </row>
    <row r="122" spans="1:9" x14ac:dyDescent="0.25">
      <c r="A122" t="s">
        <v>4925</v>
      </c>
      <c r="B122" s="26" t="str">
        <f>MID(tbl_forecast[[#This Row],[PACE Job Number]],3,3)</f>
        <v>STX</v>
      </c>
      <c r="C122" t="s">
        <v>16</v>
      </c>
      <c r="D122" s="1">
        <v>43434</v>
      </c>
      <c r="E122" s="1">
        <v>43434</v>
      </c>
      <c r="F122" s="1">
        <v>43434</v>
      </c>
      <c r="G122" s="1"/>
      <c r="H122" t="s">
        <v>9</v>
      </c>
      <c r="I122" t="s">
        <v>27</v>
      </c>
    </row>
    <row r="123" spans="1:9" x14ac:dyDescent="0.25">
      <c r="A123" t="s">
        <v>3425</v>
      </c>
      <c r="B123" s="26" t="str">
        <f>MID(tbl_forecast[[#This Row],[PACE Job Number]],3,3)</f>
        <v>STX</v>
      </c>
      <c r="C123" t="s">
        <v>16</v>
      </c>
      <c r="D123" s="1">
        <v>43427</v>
      </c>
      <c r="E123" s="1">
        <v>43427</v>
      </c>
      <c r="F123" s="1">
        <v>43418</v>
      </c>
      <c r="G123" s="1">
        <v>43418</v>
      </c>
      <c r="H123" t="s">
        <v>9</v>
      </c>
      <c r="I123" t="s">
        <v>10</v>
      </c>
    </row>
    <row r="124" spans="1:9" x14ac:dyDescent="0.25">
      <c r="A124" t="s">
        <v>3367</v>
      </c>
      <c r="B124" s="26" t="str">
        <f>MID(tbl_forecast[[#This Row],[PACE Job Number]],3,3)</f>
        <v>STX</v>
      </c>
      <c r="C124" t="s">
        <v>16</v>
      </c>
      <c r="D124" s="1">
        <v>43434</v>
      </c>
      <c r="E124" s="1">
        <v>43434</v>
      </c>
      <c r="F124" s="1">
        <v>43434</v>
      </c>
      <c r="G124" s="1"/>
      <c r="H124" t="s">
        <v>9</v>
      </c>
      <c r="I124" t="s">
        <v>27</v>
      </c>
    </row>
    <row r="125" spans="1:9" x14ac:dyDescent="0.25">
      <c r="A125" t="s">
        <v>4926</v>
      </c>
      <c r="B125" s="26" t="str">
        <f>MID(tbl_forecast[[#This Row],[PACE Job Number]],3,3)</f>
        <v>STX</v>
      </c>
      <c r="C125" t="s">
        <v>16</v>
      </c>
      <c r="D125" s="1">
        <v>43420</v>
      </c>
      <c r="E125" s="1">
        <v>36524</v>
      </c>
      <c r="F125" s="1">
        <v>43420</v>
      </c>
      <c r="G125" s="1"/>
      <c r="H125" t="s">
        <v>9</v>
      </c>
      <c r="I125" t="s">
        <v>27</v>
      </c>
    </row>
    <row r="126" spans="1:9" x14ac:dyDescent="0.25">
      <c r="A126" t="s">
        <v>3551</v>
      </c>
      <c r="B126" s="26" t="str">
        <f>MID(tbl_forecast[[#This Row],[PACE Job Number]],3,3)</f>
        <v>STX</v>
      </c>
      <c r="C126" t="s">
        <v>16</v>
      </c>
      <c r="D126" s="1">
        <v>43434</v>
      </c>
      <c r="E126" s="1">
        <v>36524</v>
      </c>
      <c r="F126" s="1">
        <v>43434</v>
      </c>
      <c r="G126" s="1"/>
      <c r="H126" t="s">
        <v>9</v>
      </c>
      <c r="I126" t="s">
        <v>27</v>
      </c>
    </row>
    <row r="127" spans="1:9" x14ac:dyDescent="0.25">
      <c r="A127" t="s">
        <v>4927</v>
      </c>
      <c r="B127" s="26" t="str">
        <f>MID(tbl_forecast[[#This Row],[PACE Job Number]],3,3)</f>
        <v>STX</v>
      </c>
      <c r="C127" t="s">
        <v>16</v>
      </c>
      <c r="D127" s="1">
        <v>43434</v>
      </c>
      <c r="E127" s="1">
        <v>36524</v>
      </c>
      <c r="F127" s="1">
        <v>43413</v>
      </c>
      <c r="G127" s="1">
        <v>43413</v>
      </c>
      <c r="H127" t="s">
        <v>9</v>
      </c>
      <c r="I127" t="s">
        <v>10</v>
      </c>
    </row>
    <row r="128" spans="1:9" x14ac:dyDescent="0.25">
      <c r="A128" t="s">
        <v>3552</v>
      </c>
      <c r="B128" s="26" t="str">
        <f>MID(tbl_forecast[[#This Row],[PACE Job Number]],3,3)</f>
        <v>STX</v>
      </c>
      <c r="C128" t="s">
        <v>16</v>
      </c>
      <c r="D128" s="1">
        <v>43434</v>
      </c>
      <c r="E128" s="1">
        <v>36524</v>
      </c>
      <c r="F128" s="1">
        <v>43434</v>
      </c>
      <c r="G128" s="1"/>
      <c r="H128" t="s">
        <v>9</v>
      </c>
      <c r="I128" t="s">
        <v>27</v>
      </c>
    </row>
    <row r="129" spans="1:9" x14ac:dyDescent="0.25">
      <c r="A129" t="s">
        <v>4928</v>
      </c>
      <c r="B129" s="26" t="str">
        <f>MID(tbl_forecast[[#This Row],[PACE Job Number]],3,3)</f>
        <v>STX</v>
      </c>
      <c r="C129" t="s">
        <v>16</v>
      </c>
      <c r="D129" s="1">
        <v>43434</v>
      </c>
      <c r="E129" s="1">
        <v>36524</v>
      </c>
      <c r="F129" s="1">
        <v>43434</v>
      </c>
      <c r="G129" s="1"/>
      <c r="H129" t="s">
        <v>9</v>
      </c>
      <c r="I129" t="s">
        <v>27</v>
      </c>
    </row>
    <row r="130" spans="1:9" x14ac:dyDescent="0.25">
      <c r="A130" t="s">
        <v>4929</v>
      </c>
      <c r="B130" s="26" t="str">
        <f>MID(tbl_forecast[[#This Row],[PACE Job Number]],3,3)</f>
        <v>STX</v>
      </c>
      <c r="C130" t="s">
        <v>16</v>
      </c>
      <c r="D130" s="1">
        <v>43421</v>
      </c>
      <c r="E130" s="1">
        <v>43421</v>
      </c>
      <c r="F130" s="1">
        <v>43420</v>
      </c>
      <c r="G130" s="1">
        <v>43420</v>
      </c>
      <c r="H130" t="s">
        <v>9</v>
      </c>
      <c r="I130" t="s">
        <v>10</v>
      </c>
    </row>
    <row r="131" spans="1:9" x14ac:dyDescent="0.25">
      <c r="A131" t="s">
        <v>4930</v>
      </c>
      <c r="B131" s="26" t="str">
        <f>MID(tbl_forecast[[#This Row],[PACE Job Number]],3,3)</f>
        <v>STX</v>
      </c>
      <c r="C131" t="s">
        <v>16</v>
      </c>
      <c r="D131" s="1">
        <v>43421</v>
      </c>
      <c r="E131" s="1">
        <v>43434</v>
      </c>
      <c r="F131" s="1">
        <v>43434</v>
      </c>
      <c r="G131" s="1"/>
      <c r="H131" t="s">
        <v>9</v>
      </c>
      <c r="I131" t="s">
        <v>27</v>
      </c>
    </row>
    <row r="132" spans="1:9" x14ac:dyDescent="0.25">
      <c r="A132" t="s">
        <v>3553</v>
      </c>
      <c r="B132" s="26" t="str">
        <f>MID(tbl_forecast[[#This Row],[PACE Job Number]],3,3)</f>
        <v>STX</v>
      </c>
      <c r="C132" t="s">
        <v>16</v>
      </c>
      <c r="D132" s="1">
        <v>43420</v>
      </c>
      <c r="E132" s="1">
        <v>36524</v>
      </c>
      <c r="F132" s="1">
        <v>43418</v>
      </c>
      <c r="G132" s="1">
        <v>43418</v>
      </c>
      <c r="H132" t="s">
        <v>9</v>
      </c>
      <c r="I132" t="s">
        <v>10</v>
      </c>
    </row>
    <row r="133" spans="1:9" x14ac:dyDescent="0.25">
      <c r="A133" t="s">
        <v>4931</v>
      </c>
      <c r="B133" s="26" t="str">
        <f>MID(tbl_forecast[[#This Row],[PACE Job Number]],3,3)</f>
        <v>STX</v>
      </c>
      <c r="C133" t="s">
        <v>16</v>
      </c>
      <c r="D133" s="1">
        <v>43434</v>
      </c>
      <c r="E133" s="1">
        <v>36524</v>
      </c>
      <c r="F133" s="1">
        <v>43418</v>
      </c>
      <c r="G133" s="1">
        <v>43418</v>
      </c>
      <c r="H133" t="s">
        <v>9</v>
      </c>
      <c r="I133" t="s">
        <v>10</v>
      </c>
    </row>
    <row r="134" spans="1:9" x14ac:dyDescent="0.25">
      <c r="A134" t="s">
        <v>4932</v>
      </c>
      <c r="B134" s="26" t="str">
        <f>MID(tbl_forecast[[#This Row],[PACE Job Number]],3,3)</f>
        <v>STX</v>
      </c>
      <c r="C134" t="s">
        <v>16</v>
      </c>
      <c r="D134" s="1">
        <v>43421</v>
      </c>
      <c r="E134" s="1">
        <v>43434</v>
      </c>
      <c r="F134" s="1">
        <v>43434</v>
      </c>
      <c r="G134" s="1"/>
      <c r="H134" t="s">
        <v>9</v>
      </c>
      <c r="I134" t="s">
        <v>27</v>
      </c>
    </row>
    <row r="135" spans="1:9" x14ac:dyDescent="0.25">
      <c r="A135" t="s">
        <v>4933</v>
      </c>
      <c r="B135" s="26" t="str">
        <f>MID(tbl_forecast[[#This Row],[PACE Job Number]],3,3)</f>
        <v>STX</v>
      </c>
      <c r="C135" t="s">
        <v>16</v>
      </c>
      <c r="D135" s="1">
        <v>43421</v>
      </c>
      <c r="E135" s="1">
        <v>43434</v>
      </c>
      <c r="F135" s="1">
        <v>43434</v>
      </c>
      <c r="G135" s="1"/>
      <c r="H135" t="s">
        <v>9</v>
      </c>
      <c r="I135" t="s">
        <v>27</v>
      </c>
    </row>
    <row r="136" spans="1:9" x14ac:dyDescent="0.25">
      <c r="A136" t="s">
        <v>4934</v>
      </c>
      <c r="B136" s="26" t="str">
        <f>MID(tbl_forecast[[#This Row],[PACE Job Number]],3,3)</f>
        <v>STX</v>
      </c>
      <c r="C136" t="s">
        <v>16</v>
      </c>
      <c r="D136" s="1">
        <v>43420</v>
      </c>
      <c r="E136" s="1">
        <v>36524</v>
      </c>
      <c r="F136" s="1">
        <v>43420</v>
      </c>
      <c r="G136" s="1"/>
      <c r="H136" t="s">
        <v>9</v>
      </c>
      <c r="I136" t="s">
        <v>27</v>
      </c>
    </row>
    <row r="137" spans="1:9" x14ac:dyDescent="0.25">
      <c r="A137" t="s">
        <v>4935</v>
      </c>
      <c r="B137" s="26" t="str">
        <f>MID(tbl_forecast[[#This Row],[PACE Job Number]],3,3)</f>
        <v>STX</v>
      </c>
      <c r="C137" t="s">
        <v>16</v>
      </c>
      <c r="D137" s="1">
        <v>43421</v>
      </c>
      <c r="E137" s="1">
        <v>43444</v>
      </c>
      <c r="F137" s="1">
        <v>43444</v>
      </c>
      <c r="G137" s="1"/>
      <c r="H137" t="s">
        <v>4664</v>
      </c>
      <c r="I137" t="s">
        <v>4665</v>
      </c>
    </row>
    <row r="138" spans="1:9" x14ac:dyDescent="0.25">
      <c r="A138" t="s">
        <v>4936</v>
      </c>
      <c r="B138" s="26" t="str">
        <f>MID(tbl_forecast[[#This Row],[PACE Job Number]],3,3)</f>
        <v>STX</v>
      </c>
      <c r="C138" t="s">
        <v>16</v>
      </c>
      <c r="D138" s="1">
        <v>43434</v>
      </c>
      <c r="E138" s="1">
        <v>36524</v>
      </c>
      <c r="F138" s="1">
        <v>43434</v>
      </c>
      <c r="G138" s="1"/>
      <c r="H138" t="s">
        <v>9</v>
      </c>
      <c r="I138" t="s">
        <v>27</v>
      </c>
    </row>
    <row r="139" spans="1:9" x14ac:dyDescent="0.25">
      <c r="A139" t="s">
        <v>3654</v>
      </c>
      <c r="B139" s="26" t="str">
        <f>MID(tbl_forecast[[#This Row],[PACE Job Number]],3,3)</f>
        <v>STX</v>
      </c>
      <c r="C139" t="s">
        <v>16</v>
      </c>
      <c r="D139" s="1">
        <v>43420</v>
      </c>
      <c r="E139" s="1">
        <v>43420</v>
      </c>
      <c r="F139" s="1">
        <v>43418</v>
      </c>
      <c r="G139" s="1">
        <v>43418</v>
      </c>
      <c r="H139" t="s">
        <v>9</v>
      </c>
      <c r="I139" t="s">
        <v>10</v>
      </c>
    </row>
    <row r="140" spans="1:9" x14ac:dyDescent="0.25">
      <c r="A140" t="s">
        <v>4937</v>
      </c>
      <c r="B140" s="26" t="str">
        <f>MID(tbl_forecast[[#This Row],[PACE Job Number]],3,3)</f>
        <v>STX</v>
      </c>
      <c r="C140" t="s">
        <v>16</v>
      </c>
      <c r="D140" s="1">
        <v>43421</v>
      </c>
      <c r="E140" s="1">
        <v>43421</v>
      </c>
      <c r="F140" s="1">
        <v>43413</v>
      </c>
      <c r="G140" s="1">
        <v>43413</v>
      </c>
      <c r="H140" t="s">
        <v>9</v>
      </c>
      <c r="I140" t="s">
        <v>10</v>
      </c>
    </row>
    <row r="141" spans="1:9" x14ac:dyDescent="0.25">
      <c r="A141" t="s">
        <v>3555</v>
      </c>
      <c r="B141" s="26" t="str">
        <f>MID(tbl_forecast[[#This Row],[PACE Job Number]],3,3)</f>
        <v>STX</v>
      </c>
      <c r="C141" t="s">
        <v>16</v>
      </c>
      <c r="D141" s="1">
        <v>43420</v>
      </c>
      <c r="E141" s="1">
        <v>43434</v>
      </c>
      <c r="F141" s="1">
        <v>43431</v>
      </c>
      <c r="G141" s="1">
        <v>43431</v>
      </c>
      <c r="H141" t="s">
        <v>9</v>
      </c>
      <c r="I141" t="s">
        <v>10</v>
      </c>
    </row>
    <row r="142" spans="1:9" x14ac:dyDescent="0.25">
      <c r="A142" t="s">
        <v>4160</v>
      </c>
      <c r="B142" s="26" t="str">
        <f>MID(tbl_forecast[[#This Row],[PACE Job Number]],3,3)</f>
        <v>NTX</v>
      </c>
      <c r="C142" t="s">
        <v>16</v>
      </c>
      <c r="D142" s="1">
        <v>43420</v>
      </c>
      <c r="E142" s="1">
        <v>43450</v>
      </c>
      <c r="F142" s="1">
        <v>43450</v>
      </c>
      <c r="G142" s="1"/>
      <c r="H142" t="s">
        <v>4664</v>
      </c>
      <c r="I142" t="s">
        <v>5645</v>
      </c>
    </row>
    <row r="143" spans="1:9" x14ac:dyDescent="0.25">
      <c r="A143" t="s">
        <v>4938</v>
      </c>
      <c r="B143" s="26" t="str">
        <f>MID(tbl_forecast[[#This Row],[PACE Job Number]],3,3)</f>
        <v>NTX</v>
      </c>
      <c r="C143" t="s">
        <v>16</v>
      </c>
      <c r="D143" s="1">
        <v>43426</v>
      </c>
      <c r="E143" s="1">
        <v>43430</v>
      </c>
      <c r="F143" s="1">
        <v>43424</v>
      </c>
      <c r="G143" s="1">
        <v>43424</v>
      </c>
      <c r="H143" t="s">
        <v>9</v>
      </c>
      <c r="I143" t="s">
        <v>10</v>
      </c>
    </row>
    <row r="144" spans="1:9" x14ac:dyDescent="0.25">
      <c r="A144" t="s">
        <v>3664</v>
      </c>
      <c r="B144" s="26" t="str">
        <f>MID(tbl_forecast[[#This Row],[PACE Job Number]],3,3)</f>
        <v>STX</v>
      </c>
      <c r="C144" t="s">
        <v>16</v>
      </c>
      <c r="D144" s="1">
        <v>43421</v>
      </c>
      <c r="E144" s="1">
        <v>43448</v>
      </c>
      <c r="F144" s="1">
        <v>43448</v>
      </c>
      <c r="G144" s="1"/>
      <c r="H144" t="s">
        <v>4664</v>
      </c>
      <c r="I144" t="s">
        <v>4665</v>
      </c>
    </row>
    <row r="145" spans="1:9" x14ac:dyDescent="0.25">
      <c r="A145" t="s">
        <v>4939</v>
      </c>
      <c r="B145" s="26" t="str">
        <f>MID(tbl_forecast[[#This Row],[PACE Job Number]],3,3)</f>
        <v>STX</v>
      </c>
      <c r="C145" t="s">
        <v>16</v>
      </c>
      <c r="D145" s="1">
        <v>43421</v>
      </c>
      <c r="E145" s="1">
        <v>43431</v>
      </c>
      <c r="F145" s="1">
        <v>43431</v>
      </c>
      <c r="G145" s="1">
        <v>43431</v>
      </c>
      <c r="H145" t="s">
        <v>9</v>
      </c>
      <c r="I145" t="s">
        <v>10</v>
      </c>
    </row>
    <row r="146" spans="1:9" x14ac:dyDescent="0.25">
      <c r="A146" t="s">
        <v>4940</v>
      </c>
      <c r="B146" s="26" t="str">
        <f>MID(tbl_forecast[[#This Row],[PACE Job Number]],3,3)</f>
        <v>STX</v>
      </c>
      <c r="C146" t="s">
        <v>16</v>
      </c>
      <c r="D146" s="1">
        <v>43420</v>
      </c>
      <c r="E146" s="1">
        <v>36524</v>
      </c>
      <c r="F146" s="1">
        <v>43420</v>
      </c>
      <c r="G146" s="1"/>
      <c r="H146" t="s">
        <v>9</v>
      </c>
      <c r="I146" t="s">
        <v>27</v>
      </c>
    </row>
    <row r="147" spans="1:9" x14ac:dyDescent="0.25">
      <c r="A147" t="s">
        <v>1681</v>
      </c>
      <c r="B147" s="26" t="str">
        <f>MID(tbl_forecast[[#This Row],[PACE Job Number]],3,3)</f>
        <v>NTX</v>
      </c>
      <c r="C147" t="s">
        <v>16</v>
      </c>
      <c r="D147" s="1">
        <v>43419</v>
      </c>
      <c r="E147" s="1">
        <v>43434</v>
      </c>
      <c r="F147" s="1">
        <v>43434</v>
      </c>
      <c r="G147" s="1"/>
      <c r="H147" t="s">
        <v>4664</v>
      </c>
      <c r="I147" t="s">
        <v>5645</v>
      </c>
    </row>
    <row r="148" spans="1:9" x14ac:dyDescent="0.25">
      <c r="A148" t="s">
        <v>2514</v>
      </c>
      <c r="B148" s="26" t="str">
        <f>MID(tbl_forecast[[#This Row],[PACE Job Number]],3,3)</f>
        <v>STX</v>
      </c>
      <c r="C148" t="s">
        <v>16</v>
      </c>
      <c r="D148" s="1">
        <v>43419</v>
      </c>
      <c r="E148" s="1">
        <v>43434</v>
      </c>
      <c r="F148" s="1">
        <v>43434</v>
      </c>
      <c r="G148" s="1"/>
      <c r="H148" t="s">
        <v>4664</v>
      </c>
      <c r="I148" t="s">
        <v>5645</v>
      </c>
    </row>
    <row r="149" spans="1:9" x14ac:dyDescent="0.25">
      <c r="A149" t="s">
        <v>2515</v>
      </c>
      <c r="B149" s="26" t="str">
        <f>MID(tbl_forecast[[#This Row],[PACE Job Number]],3,3)</f>
        <v>STX</v>
      </c>
      <c r="C149" t="s">
        <v>16</v>
      </c>
      <c r="D149" s="1">
        <v>43434</v>
      </c>
      <c r="E149" s="1">
        <v>43464</v>
      </c>
      <c r="F149" s="1">
        <v>43434</v>
      </c>
      <c r="G149" s="1"/>
      <c r="H149" t="s">
        <v>9</v>
      </c>
      <c r="I149" t="s">
        <v>44</v>
      </c>
    </row>
    <row r="150" spans="1:9" x14ac:dyDescent="0.25">
      <c r="A150" t="s">
        <v>2518</v>
      </c>
      <c r="B150" s="26" t="str">
        <f>MID(tbl_forecast[[#This Row],[PACE Job Number]],3,3)</f>
        <v>STX</v>
      </c>
      <c r="C150" t="s">
        <v>16</v>
      </c>
      <c r="D150" s="1">
        <v>43419</v>
      </c>
      <c r="E150" s="1">
        <v>43434</v>
      </c>
      <c r="F150" s="1">
        <v>43434</v>
      </c>
      <c r="G150" s="1"/>
      <c r="H150" t="s">
        <v>4664</v>
      </c>
      <c r="I150" t="s">
        <v>5645</v>
      </c>
    </row>
    <row r="151" spans="1:9" x14ac:dyDescent="0.25">
      <c r="A151" t="s">
        <v>4941</v>
      </c>
      <c r="B151" s="26" t="str">
        <f>MID(tbl_forecast[[#This Row],[PACE Job Number]],3,3)</f>
        <v>STX</v>
      </c>
      <c r="C151" t="s">
        <v>16</v>
      </c>
      <c r="D151" s="1">
        <v>43406</v>
      </c>
      <c r="E151" s="1">
        <v>43434</v>
      </c>
      <c r="F151" s="1">
        <v>43406</v>
      </c>
      <c r="G151" s="1">
        <v>43406</v>
      </c>
      <c r="H151" t="s">
        <v>9</v>
      </c>
      <c r="I151" t="s">
        <v>10</v>
      </c>
    </row>
    <row r="152" spans="1:9" x14ac:dyDescent="0.25">
      <c r="A152" t="s">
        <v>4942</v>
      </c>
      <c r="B152" s="26" t="str">
        <f>MID(tbl_forecast[[#This Row],[PACE Job Number]],3,3)</f>
        <v>STX</v>
      </c>
      <c r="C152" t="s">
        <v>16</v>
      </c>
      <c r="D152" s="1">
        <v>43406</v>
      </c>
      <c r="E152" s="1">
        <v>43434</v>
      </c>
      <c r="F152" s="1">
        <v>43406</v>
      </c>
      <c r="G152" s="1">
        <v>43406</v>
      </c>
      <c r="H152" t="s">
        <v>9</v>
      </c>
      <c r="I152" t="s">
        <v>10</v>
      </c>
    </row>
    <row r="153" spans="1:9" x14ac:dyDescent="0.25">
      <c r="A153" t="s">
        <v>4943</v>
      </c>
      <c r="B153" s="26" t="str">
        <f>MID(tbl_forecast[[#This Row],[PACE Job Number]],3,3)</f>
        <v>STX</v>
      </c>
      <c r="C153" t="s">
        <v>16</v>
      </c>
      <c r="D153" s="1">
        <v>43406</v>
      </c>
      <c r="E153" s="1">
        <v>43434</v>
      </c>
      <c r="F153" s="1">
        <v>43406</v>
      </c>
      <c r="G153" s="1">
        <v>43406</v>
      </c>
      <c r="H153" t="s">
        <v>9</v>
      </c>
      <c r="I153" t="s">
        <v>10</v>
      </c>
    </row>
    <row r="154" spans="1:9" x14ac:dyDescent="0.25">
      <c r="A154" t="s">
        <v>4944</v>
      </c>
      <c r="B154" s="26" t="str">
        <f>MID(tbl_forecast[[#This Row],[PACE Job Number]],3,3)</f>
        <v>STX</v>
      </c>
      <c r="C154" t="s">
        <v>16</v>
      </c>
      <c r="D154" s="1">
        <v>43406</v>
      </c>
      <c r="E154" s="1">
        <v>43434</v>
      </c>
      <c r="F154" s="1">
        <v>43406</v>
      </c>
      <c r="G154" s="1">
        <v>43406</v>
      </c>
      <c r="H154" t="s">
        <v>9</v>
      </c>
      <c r="I154" t="s">
        <v>10</v>
      </c>
    </row>
    <row r="155" spans="1:9" x14ac:dyDescent="0.25">
      <c r="A155" t="s">
        <v>3775</v>
      </c>
      <c r="B155" s="26" t="str">
        <f>MID(tbl_forecast[[#This Row],[PACE Job Number]],3,3)</f>
        <v>NTX</v>
      </c>
      <c r="C155" t="s">
        <v>16</v>
      </c>
      <c r="D155" s="1">
        <v>43419</v>
      </c>
      <c r="E155" s="1">
        <v>36524</v>
      </c>
      <c r="F155" s="1">
        <v>43449</v>
      </c>
      <c r="G155" s="1"/>
      <c r="H155" t="s">
        <v>4664</v>
      </c>
      <c r="I155" t="s">
        <v>4666</v>
      </c>
    </row>
    <row r="156" spans="1:9" x14ac:dyDescent="0.25">
      <c r="A156" t="s">
        <v>4945</v>
      </c>
      <c r="B156" s="26" t="str">
        <f>MID(tbl_forecast[[#This Row],[PACE Job Number]],3,3)</f>
        <v>STX</v>
      </c>
      <c r="C156" t="s">
        <v>16</v>
      </c>
      <c r="D156" s="1">
        <v>43434</v>
      </c>
      <c r="E156" s="1">
        <v>43434</v>
      </c>
      <c r="F156" s="1">
        <v>43434</v>
      </c>
      <c r="G156" s="1"/>
      <c r="H156" t="s">
        <v>9</v>
      </c>
      <c r="I156" t="s">
        <v>27</v>
      </c>
    </row>
    <row r="157" spans="1:9" x14ac:dyDescent="0.25">
      <c r="A157" t="s">
        <v>4946</v>
      </c>
      <c r="B157" s="26" t="str">
        <f>MID(tbl_forecast[[#This Row],[PACE Job Number]],3,3)</f>
        <v>STX</v>
      </c>
      <c r="C157" t="s">
        <v>16</v>
      </c>
      <c r="D157" s="1">
        <v>43420</v>
      </c>
      <c r="E157" s="1">
        <v>43427</v>
      </c>
      <c r="F157" s="1">
        <v>43430</v>
      </c>
      <c r="G157" s="1">
        <v>43430</v>
      </c>
      <c r="H157" t="s">
        <v>9</v>
      </c>
      <c r="I157" t="s">
        <v>10</v>
      </c>
    </row>
    <row r="158" spans="1:9" x14ac:dyDescent="0.25">
      <c r="A158" t="s">
        <v>4947</v>
      </c>
      <c r="B158" s="26" t="str">
        <f>MID(tbl_forecast[[#This Row],[PACE Job Number]],3,3)</f>
        <v>STX</v>
      </c>
      <c r="C158" t="s">
        <v>16</v>
      </c>
      <c r="D158" s="1">
        <v>43405</v>
      </c>
      <c r="E158" s="1">
        <v>43419</v>
      </c>
      <c r="F158" s="1">
        <v>43405</v>
      </c>
      <c r="G158" s="1">
        <v>43405</v>
      </c>
      <c r="H158" t="s">
        <v>9</v>
      </c>
      <c r="I158" t="s">
        <v>10</v>
      </c>
    </row>
    <row r="159" spans="1:9" x14ac:dyDescent="0.25">
      <c r="A159" t="s">
        <v>4948</v>
      </c>
      <c r="B159" s="26" t="str">
        <f>MID(tbl_forecast[[#This Row],[PACE Job Number]],3,3)</f>
        <v>STX</v>
      </c>
      <c r="C159" t="s">
        <v>16</v>
      </c>
      <c r="D159" s="1">
        <v>43434</v>
      </c>
      <c r="E159" s="1">
        <v>36524</v>
      </c>
      <c r="F159" s="1">
        <v>43434</v>
      </c>
      <c r="G159" s="1"/>
      <c r="H159" t="s">
        <v>9</v>
      </c>
      <c r="I159" t="s">
        <v>27</v>
      </c>
    </row>
    <row r="160" spans="1:9" x14ac:dyDescent="0.25">
      <c r="A160" t="s">
        <v>4949</v>
      </c>
      <c r="B160" s="26" t="str">
        <f>MID(tbl_forecast[[#This Row],[PACE Job Number]],3,3)</f>
        <v>STX</v>
      </c>
      <c r="C160" t="s">
        <v>16</v>
      </c>
      <c r="D160" s="1">
        <v>43420</v>
      </c>
      <c r="E160" s="1">
        <v>36524</v>
      </c>
      <c r="F160" s="1">
        <v>43420</v>
      </c>
      <c r="G160" s="1"/>
      <c r="H160" t="s">
        <v>9</v>
      </c>
      <c r="I160" t="s">
        <v>27</v>
      </c>
    </row>
    <row r="161" spans="1:9" x14ac:dyDescent="0.25">
      <c r="A161" t="s">
        <v>4950</v>
      </c>
      <c r="B161" s="26" t="str">
        <f>MID(tbl_forecast[[#This Row],[PACE Job Number]],3,3)</f>
        <v>STX</v>
      </c>
      <c r="C161" t="s">
        <v>16</v>
      </c>
      <c r="D161" s="1">
        <v>43434</v>
      </c>
      <c r="E161" s="1">
        <v>43434</v>
      </c>
      <c r="F161" s="1">
        <v>43434</v>
      </c>
      <c r="G161" s="1"/>
      <c r="H161" t="s">
        <v>9</v>
      </c>
      <c r="I161" t="s">
        <v>27</v>
      </c>
    </row>
    <row r="162" spans="1:9" x14ac:dyDescent="0.25">
      <c r="A162" t="s">
        <v>4951</v>
      </c>
      <c r="B162" s="26" t="str">
        <f>MID(tbl_forecast[[#This Row],[PACE Job Number]],3,3)</f>
        <v>STX</v>
      </c>
      <c r="C162" t="s">
        <v>16</v>
      </c>
      <c r="D162" s="1">
        <v>43434</v>
      </c>
      <c r="E162" s="1">
        <v>36524</v>
      </c>
      <c r="F162" s="1">
        <v>43434</v>
      </c>
      <c r="G162" s="1"/>
      <c r="H162" t="s">
        <v>9</v>
      </c>
      <c r="I162" t="s">
        <v>27</v>
      </c>
    </row>
    <row r="163" spans="1:9" x14ac:dyDescent="0.25">
      <c r="A163" t="s">
        <v>4952</v>
      </c>
      <c r="B163" s="26" t="str">
        <f>MID(tbl_forecast[[#This Row],[PACE Job Number]],3,3)</f>
        <v>WSH</v>
      </c>
      <c r="C163" t="s">
        <v>16</v>
      </c>
      <c r="D163" s="1">
        <v>43434</v>
      </c>
      <c r="E163" s="1">
        <v>36524</v>
      </c>
      <c r="F163" s="1">
        <v>43430</v>
      </c>
      <c r="G163" s="1">
        <v>43430</v>
      </c>
      <c r="H163" t="s">
        <v>9</v>
      </c>
      <c r="I163" t="s">
        <v>10</v>
      </c>
    </row>
    <row r="164" spans="1:9" x14ac:dyDescent="0.25">
      <c r="A164" t="s">
        <v>4211</v>
      </c>
      <c r="B164" s="26" t="str">
        <f>MID(tbl_forecast[[#This Row],[PACE Job Number]],3,3)</f>
        <v>WSH</v>
      </c>
      <c r="C164" t="s">
        <v>16</v>
      </c>
      <c r="D164" s="1">
        <v>43434</v>
      </c>
      <c r="E164" s="1">
        <v>36524</v>
      </c>
      <c r="F164" s="1">
        <v>43434</v>
      </c>
      <c r="G164" s="1"/>
      <c r="H164" t="s">
        <v>9</v>
      </c>
      <c r="I164" t="s">
        <v>27</v>
      </c>
    </row>
    <row r="165" spans="1:9" x14ac:dyDescent="0.25">
      <c r="A165" t="s">
        <v>4132</v>
      </c>
      <c r="B165" s="26" t="str">
        <f>MID(tbl_forecast[[#This Row],[PACE Job Number]],3,3)</f>
        <v>NTX</v>
      </c>
      <c r="C165" t="s">
        <v>16</v>
      </c>
      <c r="D165" s="1">
        <v>43413</v>
      </c>
      <c r="E165" s="1">
        <v>43465</v>
      </c>
      <c r="F165" s="1">
        <v>43465</v>
      </c>
      <c r="G165" s="1"/>
      <c r="H165" t="s">
        <v>4664</v>
      </c>
      <c r="I165" t="s">
        <v>5645</v>
      </c>
    </row>
    <row r="166" spans="1:9" x14ac:dyDescent="0.25">
      <c r="A166" t="s">
        <v>4953</v>
      </c>
      <c r="B166" s="26" t="str">
        <f>MID(tbl_forecast[[#This Row],[PACE Job Number]],3,3)</f>
        <v>NTX</v>
      </c>
      <c r="C166" t="s">
        <v>16</v>
      </c>
      <c r="D166" s="1">
        <v>43434</v>
      </c>
      <c r="E166" s="1">
        <v>43434</v>
      </c>
      <c r="F166" s="1">
        <v>43434</v>
      </c>
      <c r="G166" s="1"/>
      <c r="H166" t="s">
        <v>9</v>
      </c>
      <c r="I166" t="s">
        <v>27</v>
      </c>
    </row>
    <row r="167" spans="1:9" x14ac:dyDescent="0.25">
      <c r="A167" t="s">
        <v>4954</v>
      </c>
      <c r="B167" s="26" t="str">
        <f>MID(tbl_forecast[[#This Row],[PACE Job Number]],3,3)</f>
        <v>NTX</v>
      </c>
      <c r="C167" t="s">
        <v>16</v>
      </c>
      <c r="D167" s="1">
        <v>43405</v>
      </c>
      <c r="E167" s="1">
        <v>43406</v>
      </c>
      <c r="F167" s="1">
        <v>43405</v>
      </c>
      <c r="G167" s="1">
        <v>43405</v>
      </c>
      <c r="H167" t="s">
        <v>9</v>
      </c>
      <c r="I167" t="s">
        <v>10</v>
      </c>
    </row>
    <row r="168" spans="1:9" x14ac:dyDescent="0.25">
      <c r="A168" t="s">
        <v>4710</v>
      </c>
      <c r="B168" s="26" t="str">
        <f>MID(tbl_forecast[[#This Row],[PACE Job Number]],3,3)</f>
        <v>NTX</v>
      </c>
      <c r="C168" t="s">
        <v>16</v>
      </c>
      <c r="D168" s="1">
        <v>43405</v>
      </c>
      <c r="E168" s="1">
        <v>43434</v>
      </c>
      <c r="F168" s="1">
        <v>43405</v>
      </c>
      <c r="G168" s="1">
        <v>43405</v>
      </c>
      <c r="H168" t="s">
        <v>9</v>
      </c>
      <c r="I168" t="s">
        <v>10</v>
      </c>
    </row>
    <row r="169" spans="1:9" x14ac:dyDescent="0.25">
      <c r="A169" t="s">
        <v>4955</v>
      </c>
      <c r="B169" s="26" t="str">
        <f>MID(tbl_forecast[[#This Row],[PACE Job Number]],3,3)</f>
        <v>NTX</v>
      </c>
      <c r="C169" t="s">
        <v>16</v>
      </c>
      <c r="D169" s="1">
        <v>43405</v>
      </c>
      <c r="E169" s="1">
        <v>43434</v>
      </c>
      <c r="F169" s="1">
        <v>43405</v>
      </c>
      <c r="G169" s="1">
        <v>43405</v>
      </c>
      <c r="H169" t="s">
        <v>9</v>
      </c>
      <c r="I169" t="s">
        <v>10</v>
      </c>
    </row>
    <row r="170" spans="1:9" x14ac:dyDescent="0.25">
      <c r="A170" t="s">
        <v>4956</v>
      </c>
      <c r="B170" s="26" t="str">
        <f>MID(tbl_forecast[[#This Row],[PACE Job Number]],3,3)</f>
        <v>NTX</v>
      </c>
      <c r="C170" t="s">
        <v>16</v>
      </c>
      <c r="D170" s="1">
        <v>43434</v>
      </c>
      <c r="E170" s="1">
        <v>43434</v>
      </c>
      <c r="F170" s="1">
        <v>43434</v>
      </c>
      <c r="G170" s="1"/>
      <c r="H170" t="s">
        <v>9</v>
      </c>
      <c r="I170" t="s">
        <v>27</v>
      </c>
    </row>
    <row r="171" spans="1:9" x14ac:dyDescent="0.25">
      <c r="A171" t="s">
        <v>4957</v>
      </c>
      <c r="B171" s="26" t="str">
        <f>MID(tbl_forecast[[#This Row],[PACE Job Number]],3,3)</f>
        <v>NTX</v>
      </c>
      <c r="C171" t="s">
        <v>16</v>
      </c>
      <c r="D171" s="1">
        <v>43434</v>
      </c>
      <c r="E171" s="1">
        <v>43448</v>
      </c>
      <c r="F171" s="1">
        <v>43430</v>
      </c>
      <c r="G171" s="1">
        <v>43430</v>
      </c>
      <c r="H171" t="s">
        <v>9</v>
      </c>
      <c r="I171" t="s">
        <v>10</v>
      </c>
    </row>
    <row r="172" spans="1:9" x14ac:dyDescent="0.25">
      <c r="A172" t="s">
        <v>4958</v>
      </c>
      <c r="B172" s="26" t="str">
        <f>MID(tbl_forecast[[#This Row],[PACE Job Number]],3,3)</f>
        <v>NTX</v>
      </c>
      <c r="C172" t="s">
        <v>16</v>
      </c>
      <c r="D172" s="1">
        <v>43420</v>
      </c>
      <c r="E172" s="1">
        <v>43420</v>
      </c>
      <c r="F172" s="1">
        <v>43423</v>
      </c>
      <c r="G172" s="1">
        <v>43423</v>
      </c>
      <c r="H172" t="s">
        <v>9</v>
      </c>
      <c r="I172" t="s">
        <v>10</v>
      </c>
    </row>
    <row r="173" spans="1:9" x14ac:dyDescent="0.25">
      <c r="A173" t="s">
        <v>4959</v>
      </c>
      <c r="B173" s="26" t="str">
        <f>MID(tbl_forecast[[#This Row],[PACE Job Number]],3,3)</f>
        <v>NTX</v>
      </c>
      <c r="C173" t="s">
        <v>16</v>
      </c>
      <c r="D173" s="1">
        <v>43434</v>
      </c>
      <c r="E173" s="1">
        <v>43434</v>
      </c>
      <c r="F173" s="1">
        <v>43434</v>
      </c>
      <c r="G173" s="1"/>
      <c r="H173" t="s">
        <v>9</v>
      </c>
      <c r="I173" t="s">
        <v>27</v>
      </c>
    </row>
    <row r="174" spans="1:9" x14ac:dyDescent="0.25">
      <c r="A174" t="s">
        <v>4960</v>
      </c>
      <c r="B174" s="26" t="str">
        <f>MID(tbl_forecast[[#This Row],[PACE Job Number]],3,3)</f>
        <v>NTX</v>
      </c>
      <c r="C174" t="s">
        <v>16</v>
      </c>
      <c r="D174" s="1">
        <v>43434</v>
      </c>
      <c r="E174" s="1">
        <v>43462</v>
      </c>
      <c r="F174" s="1">
        <v>43462</v>
      </c>
      <c r="G174" s="1"/>
      <c r="H174" t="s">
        <v>4664</v>
      </c>
      <c r="I174" t="s">
        <v>4665</v>
      </c>
    </row>
    <row r="175" spans="1:9" x14ac:dyDescent="0.25">
      <c r="A175" t="s">
        <v>4961</v>
      </c>
      <c r="B175" s="26" t="str">
        <f>MID(tbl_forecast[[#This Row],[PACE Job Number]],3,3)</f>
        <v>NTX</v>
      </c>
      <c r="C175" t="s">
        <v>16</v>
      </c>
      <c r="D175" s="1">
        <v>43434</v>
      </c>
      <c r="E175" s="1">
        <v>43462</v>
      </c>
      <c r="F175" s="1">
        <v>43462</v>
      </c>
      <c r="G175" s="1"/>
      <c r="H175" t="s">
        <v>4664</v>
      </c>
      <c r="I175" t="s">
        <v>4665</v>
      </c>
    </row>
    <row r="176" spans="1:9" x14ac:dyDescent="0.25">
      <c r="A176" t="s">
        <v>4962</v>
      </c>
      <c r="B176" s="26" t="str">
        <f>MID(tbl_forecast[[#This Row],[PACE Job Number]],3,3)</f>
        <v>NTX</v>
      </c>
      <c r="C176" t="s">
        <v>16</v>
      </c>
      <c r="D176" s="1">
        <v>43434</v>
      </c>
      <c r="E176" s="1">
        <v>43434</v>
      </c>
      <c r="F176" s="1">
        <v>43434</v>
      </c>
      <c r="G176" s="1"/>
      <c r="H176" t="s">
        <v>9</v>
      </c>
      <c r="I176" t="s">
        <v>27</v>
      </c>
    </row>
    <row r="177" spans="1:9" x14ac:dyDescent="0.25">
      <c r="A177" t="s">
        <v>4963</v>
      </c>
      <c r="B177" s="26" t="str">
        <f>MID(tbl_forecast[[#This Row],[PACE Job Number]],3,3)</f>
        <v>NTX</v>
      </c>
      <c r="C177" t="s">
        <v>16</v>
      </c>
      <c r="D177" s="1">
        <v>43428</v>
      </c>
      <c r="E177" s="1">
        <v>43490</v>
      </c>
      <c r="F177" s="1">
        <v>43428</v>
      </c>
      <c r="G177" s="1"/>
      <c r="H177" t="s">
        <v>9</v>
      </c>
      <c r="I177" t="s">
        <v>44</v>
      </c>
    </row>
    <row r="178" spans="1:9" x14ac:dyDescent="0.25">
      <c r="A178" t="s">
        <v>4964</v>
      </c>
      <c r="B178" s="26" t="str">
        <f>MID(tbl_forecast[[#This Row],[PACE Job Number]],3,3)</f>
        <v>NTX</v>
      </c>
      <c r="C178" t="s">
        <v>16</v>
      </c>
      <c r="D178" s="1">
        <v>43434</v>
      </c>
      <c r="E178" s="1">
        <v>43439</v>
      </c>
      <c r="F178" s="1">
        <v>43461</v>
      </c>
      <c r="G178" s="1"/>
      <c r="H178" t="s">
        <v>4664</v>
      </c>
      <c r="I178" t="s">
        <v>4667</v>
      </c>
    </row>
    <row r="179" spans="1:9" x14ac:dyDescent="0.25">
      <c r="A179" t="s">
        <v>4965</v>
      </c>
      <c r="B179" s="26" t="str">
        <f>MID(tbl_forecast[[#This Row],[PACE Job Number]],3,3)</f>
        <v>NTX</v>
      </c>
      <c r="C179" t="s">
        <v>16</v>
      </c>
      <c r="D179" s="1">
        <v>43434</v>
      </c>
      <c r="E179" s="1">
        <v>43434</v>
      </c>
      <c r="F179" s="1">
        <v>43424</v>
      </c>
      <c r="G179" s="1">
        <v>43424</v>
      </c>
      <c r="H179" t="s">
        <v>9</v>
      </c>
      <c r="I179" t="s">
        <v>10</v>
      </c>
    </row>
    <row r="180" spans="1:9" x14ac:dyDescent="0.25">
      <c r="A180" t="s">
        <v>4966</v>
      </c>
      <c r="B180" s="26" t="str">
        <f>MID(tbl_forecast[[#This Row],[PACE Job Number]],3,3)</f>
        <v>NTX</v>
      </c>
      <c r="C180" t="s">
        <v>16</v>
      </c>
      <c r="D180" s="1">
        <v>43434</v>
      </c>
      <c r="E180" s="1">
        <v>43439</v>
      </c>
      <c r="F180" s="1">
        <v>43461</v>
      </c>
      <c r="G180" s="1"/>
      <c r="H180" t="s">
        <v>4664</v>
      </c>
      <c r="I180" t="s">
        <v>4667</v>
      </c>
    </row>
    <row r="181" spans="1:9" x14ac:dyDescent="0.25">
      <c r="A181" t="s">
        <v>4967</v>
      </c>
      <c r="B181" s="26" t="str">
        <f>MID(tbl_forecast[[#This Row],[PACE Job Number]],3,3)</f>
        <v>NTX</v>
      </c>
      <c r="C181" t="s">
        <v>16</v>
      </c>
      <c r="D181" s="1">
        <v>43434</v>
      </c>
      <c r="E181" s="1">
        <v>43455</v>
      </c>
      <c r="F181" s="1">
        <v>43447</v>
      </c>
      <c r="G181" s="1"/>
      <c r="H181" t="s">
        <v>9</v>
      </c>
      <c r="I181" t="s">
        <v>44</v>
      </c>
    </row>
    <row r="182" spans="1:9" x14ac:dyDescent="0.25">
      <c r="A182" t="s">
        <v>4968</v>
      </c>
      <c r="B182" s="26" t="str">
        <f>MID(tbl_forecast[[#This Row],[PACE Job Number]],3,3)</f>
        <v>NTX</v>
      </c>
      <c r="C182" t="s">
        <v>16</v>
      </c>
      <c r="D182" s="1">
        <v>43434</v>
      </c>
      <c r="E182" s="1">
        <v>43455</v>
      </c>
      <c r="F182" s="1">
        <v>43447</v>
      </c>
      <c r="G182" s="1"/>
      <c r="H182" t="s">
        <v>9</v>
      </c>
      <c r="I182" t="s">
        <v>44</v>
      </c>
    </row>
    <row r="183" spans="1:9" x14ac:dyDescent="0.25">
      <c r="A183" t="s">
        <v>4969</v>
      </c>
      <c r="B183" s="26" t="str">
        <f>MID(tbl_forecast[[#This Row],[PACE Job Number]],3,3)</f>
        <v>NTX</v>
      </c>
      <c r="C183" t="s">
        <v>16</v>
      </c>
      <c r="D183" s="1">
        <v>43434</v>
      </c>
      <c r="E183" s="1">
        <v>43439</v>
      </c>
      <c r="F183" s="1">
        <v>43461</v>
      </c>
      <c r="G183" s="1"/>
      <c r="H183" t="s">
        <v>4664</v>
      </c>
      <c r="I183" t="s">
        <v>4667</v>
      </c>
    </row>
    <row r="184" spans="1:9" x14ac:dyDescent="0.25">
      <c r="A184" t="s">
        <v>4970</v>
      </c>
      <c r="B184" s="26" t="str">
        <f>MID(tbl_forecast[[#This Row],[PACE Job Number]],3,3)</f>
        <v>NTX</v>
      </c>
      <c r="C184" t="s">
        <v>16</v>
      </c>
      <c r="D184" s="1">
        <v>43428</v>
      </c>
      <c r="E184" s="1">
        <v>43490</v>
      </c>
      <c r="F184" s="1">
        <v>43428</v>
      </c>
      <c r="G184" s="1"/>
      <c r="H184" t="s">
        <v>9</v>
      </c>
      <c r="I184" t="s">
        <v>44</v>
      </c>
    </row>
    <row r="185" spans="1:9" x14ac:dyDescent="0.25">
      <c r="A185" t="s">
        <v>4971</v>
      </c>
      <c r="B185" s="26" t="str">
        <f>MID(tbl_forecast[[#This Row],[PACE Job Number]],3,3)</f>
        <v>NTX</v>
      </c>
      <c r="C185" t="s">
        <v>16</v>
      </c>
      <c r="D185" s="1">
        <v>43434</v>
      </c>
      <c r="E185" s="1">
        <v>43434</v>
      </c>
      <c r="F185" s="1">
        <v>43434</v>
      </c>
      <c r="G185" s="1"/>
      <c r="H185" t="s">
        <v>9</v>
      </c>
      <c r="I185" t="s">
        <v>27</v>
      </c>
    </row>
    <row r="186" spans="1:9" x14ac:dyDescent="0.25">
      <c r="A186" t="s">
        <v>4972</v>
      </c>
      <c r="B186" s="26" t="str">
        <f>MID(tbl_forecast[[#This Row],[PACE Job Number]],3,3)</f>
        <v>NTX</v>
      </c>
      <c r="C186" t="s">
        <v>16</v>
      </c>
      <c r="D186" s="1">
        <v>43434</v>
      </c>
      <c r="E186" s="1">
        <v>43434</v>
      </c>
      <c r="F186" s="1">
        <v>43424</v>
      </c>
      <c r="G186" s="1">
        <v>43424</v>
      </c>
      <c r="H186" t="s">
        <v>9</v>
      </c>
      <c r="I186" t="s">
        <v>10</v>
      </c>
    </row>
    <row r="187" spans="1:9" x14ac:dyDescent="0.25">
      <c r="A187" t="s">
        <v>4973</v>
      </c>
      <c r="B187" s="26" t="str">
        <f>MID(tbl_forecast[[#This Row],[PACE Job Number]],3,3)</f>
        <v>NTX</v>
      </c>
      <c r="C187" t="s">
        <v>16</v>
      </c>
      <c r="D187" s="1">
        <v>43434</v>
      </c>
      <c r="E187" s="1">
        <v>43455</v>
      </c>
      <c r="F187" s="1">
        <v>43447</v>
      </c>
      <c r="G187" s="1"/>
      <c r="H187" t="s">
        <v>9</v>
      </c>
      <c r="I187" t="s">
        <v>44</v>
      </c>
    </row>
    <row r="188" spans="1:9" x14ac:dyDescent="0.25">
      <c r="A188" t="s">
        <v>4974</v>
      </c>
      <c r="B188" s="26" t="str">
        <f>MID(tbl_forecast[[#This Row],[PACE Job Number]],3,3)</f>
        <v>NTX</v>
      </c>
      <c r="C188" t="s">
        <v>16</v>
      </c>
      <c r="D188" s="1">
        <v>43428</v>
      </c>
      <c r="E188" s="1">
        <v>43490</v>
      </c>
      <c r="F188" s="1">
        <v>43428</v>
      </c>
      <c r="G188" s="1"/>
      <c r="H188" t="s">
        <v>9</v>
      </c>
      <c r="I188" t="s">
        <v>44</v>
      </c>
    </row>
    <row r="189" spans="1:9" x14ac:dyDescent="0.25">
      <c r="A189" t="s">
        <v>4975</v>
      </c>
      <c r="B189" s="26" t="str">
        <f>MID(tbl_forecast[[#This Row],[PACE Job Number]],3,3)</f>
        <v>NTX</v>
      </c>
      <c r="C189" t="s">
        <v>16</v>
      </c>
      <c r="D189" s="1">
        <v>43405</v>
      </c>
      <c r="E189" s="1">
        <v>43406</v>
      </c>
      <c r="F189" s="1">
        <v>43405</v>
      </c>
      <c r="G189" s="1">
        <v>43405</v>
      </c>
      <c r="H189" t="s">
        <v>9</v>
      </c>
      <c r="I189" t="s">
        <v>10</v>
      </c>
    </row>
    <row r="190" spans="1:9" x14ac:dyDescent="0.25">
      <c r="A190" t="s">
        <v>4976</v>
      </c>
      <c r="B190" s="26" t="str">
        <f>MID(tbl_forecast[[#This Row],[PACE Job Number]],3,3)</f>
        <v>NTX</v>
      </c>
      <c r="C190" t="s">
        <v>16</v>
      </c>
      <c r="D190" s="1">
        <v>43406</v>
      </c>
      <c r="E190" s="1">
        <v>43434</v>
      </c>
      <c r="F190" s="1">
        <v>43417</v>
      </c>
      <c r="G190" s="1">
        <v>43417</v>
      </c>
      <c r="H190" t="s">
        <v>9</v>
      </c>
      <c r="I190" t="s">
        <v>10</v>
      </c>
    </row>
    <row r="191" spans="1:9" x14ac:dyDescent="0.25">
      <c r="A191" t="s">
        <v>4147</v>
      </c>
      <c r="B191" s="26" t="str">
        <f>MID(tbl_forecast[[#This Row],[PACE Job Number]],3,3)</f>
        <v>WSH</v>
      </c>
      <c r="C191" t="s">
        <v>16</v>
      </c>
      <c r="D191" s="1">
        <v>43405</v>
      </c>
      <c r="E191" s="1">
        <v>36524</v>
      </c>
      <c r="F191" s="1">
        <v>43437</v>
      </c>
      <c r="G191" s="1"/>
      <c r="H191" t="s">
        <v>4664</v>
      </c>
      <c r="I191" t="s">
        <v>4666</v>
      </c>
    </row>
    <row r="192" spans="1:9" x14ac:dyDescent="0.25">
      <c r="A192" t="s">
        <v>4977</v>
      </c>
      <c r="B192" s="26" t="str">
        <f>MID(tbl_forecast[[#This Row],[PACE Job Number]],3,3)</f>
        <v>WSH</v>
      </c>
      <c r="C192" t="s">
        <v>16</v>
      </c>
      <c r="D192" s="1">
        <v>43434</v>
      </c>
      <c r="E192" s="1">
        <v>36524</v>
      </c>
      <c r="F192" s="1">
        <v>43430</v>
      </c>
      <c r="G192" s="1">
        <v>43430</v>
      </c>
      <c r="H192" t="s">
        <v>9</v>
      </c>
      <c r="I192" t="s">
        <v>10</v>
      </c>
    </row>
    <row r="193" spans="1:9" x14ac:dyDescent="0.25">
      <c r="A193" t="s">
        <v>4978</v>
      </c>
      <c r="B193" s="26" t="str">
        <f>MID(tbl_forecast[[#This Row],[PACE Job Number]],3,3)</f>
        <v>WSH</v>
      </c>
      <c r="C193" t="s">
        <v>16</v>
      </c>
      <c r="D193" s="1">
        <v>43434</v>
      </c>
      <c r="E193" s="1">
        <v>36524</v>
      </c>
      <c r="F193" s="1">
        <v>43431</v>
      </c>
      <c r="G193" s="1">
        <v>43431</v>
      </c>
      <c r="H193" t="s">
        <v>9</v>
      </c>
      <c r="I193" t="s">
        <v>10</v>
      </c>
    </row>
    <row r="194" spans="1:9" x14ac:dyDescent="0.25">
      <c r="A194" t="s">
        <v>4979</v>
      </c>
      <c r="B194" s="26" t="str">
        <f>MID(tbl_forecast[[#This Row],[PACE Job Number]],3,3)</f>
        <v>WSH</v>
      </c>
      <c r="C194" t="s">
        <v>16</v>
      </c>
      <c r="D194" s="1">
        <v>43430</v>
      </c>
      <c r="E194" s="1">
        <v>36524</v>
      </c>
      <c r="F194" s="1">
        <v>43419</v>
      </c>
      <c r="G194" s="1">
        <v>43419</v>
      </c>
      <c r="H194" t="s">
        <v>9</v>
      </c>
      <c r="I194" t="s">
        <v>10</v>
      </c>
    </row>
    <row r="195" spans="1:9" x14ac:dyDescent="0.25">
      <c r="A195" t="s">
        <v>4148</v>
      </c>
      <c r="B195" s="26" t="str">
        <f>MID(tbl_forecast[[#This Row],[PACE Job Number]],3,3)</f>
        <v>WSH</v>
      </c>
      <c r="C195" t="s">
        <v>16</v>
      </c>
      <c r="D195" s="1">
        <v>43405</v>
      </c>
      <c r="E195" s="1">
        <v>36524</v>
      </c>
      <c r="F195" s="1">
        <v>43425</v>
      </c>
      <c r="G195" s="1">
        <v>43425</v>
      </c>
      <c r="H195" t="s">
        <v>4664</v>
      </c>
      <c r="I195" t="s">
        <v>10</v>
      </c>
    </row>
    <row r="196" spans="1:9" x14ac:dyDescent="0.25">
      <c r="A196" t="s">
        <v>4980</v>
      </c>
      <c r="B196" s="26" t="str">
        <f>MID(tbl_forecast[[#This Row],[PACE Job Number]],3,3)</f>
        <v>WSH</v>
      </c>
      <c r="C196" t="s">
        <v>16</v>
      </c>
      <c r="D196" s="1">
        <v>43432</v>
      </c>
      <c r="E196" s="1">
        <v>36524</v>
      </c>
      <c r="F196" s="1">
        <v>43432</v>
      </c>
      <c r="G196" s="1"/>
      <c r="H196" t="s">
        <v>9</v>
      </c>
      <c r="I196" t="s">
        <v>27</v>
      </c>
    </row>
    <row r="197" spans="1:9" x14ac:dyDescent="0.25">
      <c r="A197" t="s">
        <v>4981</v>
      </c>
      <c r="B197" s="26" t="str">
        <f>MID(tbl_forecast[[#This Row],[PACE Job Number]],3,3)</f>
        <v>WSH</v>
      </c>
      <c r="C197" t="s">
        <v>16</v>
      </c>
      <c r="D197" s="1">
        <v>43434</v>
      </c>
      <c r="E197" s="1">
        <v>36524</v>
      </c>
      <c r="F197" s="1">
        <v>43419</v>
      </c>
      <c r="G197" s="1">
        <v>43419</v>
      </c>
      <c r="H197" t="s">
        <v>9</v>
      </c>
      <c r="I197" t="s">
        <v>10</v>
      </c>
    </row>
    <row r="198" spans="1:9" x14ac:dyDescent="0.25">
      <c r="A198" t="s">
        <v>4149</v>
      </c>
      <c r="B198" s="26" t="str">
        <f>MID(tbl_forecast[[#This Row],[PACE Job Number]],3,3)</f>
        <v>WSH</v>
      </c>
      <c r="C198" t="s">
        <v>16</v>
      </c>
      <c r="D198" s="1">
        <v>43405</v>
      </c>
      <c r="E198" s="1">
        <v>36524</v>
      </c>
      <c r="F198" s="1">
        <v>43437</v>
      </c>
      <c r="G198" s="1"/>
      <c r="H198" t="s">
        <v>4664</v>
      </c>
      <c r="I198" t="s">
        <v>4666</v>
      </c>
    </row>
    <row r="199" spans="1:9" x14ac:dyDescent="0.25">
      <c r="A199" t="s">
        <v>4982</v>
      </c>
      <c r="B199" s="26" t="str">
        <f>MID(tbl_forecast[[#This Row],[PACE Job Number]],3,3)</f>
        <v>WSH</v>
      </c>
      <c r="C199" t="s">
        <v>16</v>
      </c>
      <c r="D199" s="1">
        <v>43430</v>
      </c>
      <c r="E199" s="1">
        <v>36524</v>
      </c>
      <c r="F199" s="1">
        <v>43419</v>
      </c>
      <c r="G199" s="1">
        <v>43419</v>
      </c>
      <c r="H199" t="s">
        <v>9</v>
      </c>
      <c r="I199" t="s">
        <v>10</v>
      </c>
    </row>
    <row r="200" spans="1:9" x14ac:dyDescent="0.25">
      <c r="A200" t="s">
        <v>4983</v>
      </c>
      <c r="B200" s="26" t="str">
        <f>MID(tbl_forecast[[#This Row],[PACE Job Number]],3,3)</f>
        <v>WSH</v>
      </c>
      <c r="C200" t="s">
        <v>16</v>
      </c>
      <c r="D200" s="1">
        <v>43416</v>
      </c>
      <c r="E200" s="1">
        <v>36524</v>
      </c>
      <c r="F200" s="1">
        <v>43413</v>
      </c>
      <c r="G200" s="1">
        <v>43413</v>
      </c>
      <c r="H200" t="s">
        <v>9</v>
      </c>
      <c r="I200" t="s">
        <v>10</v>
      </c>
    </row>
    <row r="201" spans="1:9" x14ac:dyDescent="0.25">
      <c r="A201" t="s">
        <v>4984</v>
      </c>
      <c r="B201" s="26" t="str">
        <f>MID(tbl_forecast[[#This Row],[PACE Job Number]],3,3)</f>
        <v>WSH</v>
      </c>
      <c r="C201" t="s">
        <v>16</v>
      </c>
      <c r="D201" s="1">
        <v>43434</v>
      </c>
      <c r="E201" s="1">
        <v>36524</v>
      </c>
      <c r="F201" s="1">
        <v>43430</v>
      </c>
      <c r="G201" s="1">
        <v>43430</v>
      </c>
      <c r="H201" t="s">
        <v>9</v>
      </c>
      <c r="I201" t="s">
        <v>10</v>
      </c>
    </row>
    <row r="202" spans="1:9" x14ac:dyDescent="0.25">
      <c r="A202" t="s">
        <v>3829</v>
      </c>
      <c r="B202" s="26" t="str">
        <f>MID(tbl_forecast[[#This Row],[PACE Job Number]],3,3)</f>
        <v>WSH</v>
      </c>
      <c r="C202" t="s">
        <v>16</v>
      </c>
      <c r="D202" s="1">
        <v>43405</v>
      </c>
      <c r="E202" s="1">
        <v>36524</v>
      </c>
      <c r="F202" s="1">
        <v>43437</v>
      </c>
      <c r="G202" s="1"/>
      <c r="H202" t="s">
        <v>4664</v>
      </c>
      <c r="I202" t="s">
        <v>4666</v>
      </c>
    </row>
    <row r="203" spans="1:9" x14ac:dyDescent="0.25">
      <c r="A203" t="s">
        <v>4985</v>
      </c>
      <c r="B203" s="26" t="str">
        <f>MID(tbl_forecast[[#This Row],[PACE Job Number]],3,3)</f>
        <v>WSH</v>
      </c>
      <c r="C203" t="s">
        <v>16</v>
      </c>
      <c r="D203" s="1">
        <v>43432</v>
      </c>
      <c r="E203" s="1">
        <v>36524</v>
      </c>
      <c r="F203" s="1">
        <v>43432</v>
      </c>
      <c r="G203" s="1"/>
      <c r="H203" t="s">
        <v>9</v>
      </c>
      <c r="I203" t="s">
        <v>27</v>
      </c>
    </row>
    <row r="204" spans="1:9" x14ac:dyDescent="0.25">
      <c r="A204" t="s">
        <v>4150</v>
      </c>
      <c r="B204" s="26" t="str">
        <f>MID(tbl_forecast[[#This Row],[PACE Job Number]],3,3)</f>
        <v>WSH</v>
      </c>
      <c r="C204" t="s">
        <v>16</v>
      </c>
      <c r="D204" s="1">
        <v>43405</v>
      </c>
      <c r="E204" s="1">
        <v>36524</v>
      </c>
      <c r="F204" s="1">
        <v>43437</v>
      </c>
      <c r="G204" s="1"/>
      <c r="H204" t="s">
        <v>4664</v>
      </c>
      <c r="I204" t="s">
        <v>4666</v>
      </c>
    </row>
    <row r="205" spans="1:9" x14ac:dyDescent="0.25">
      <c r="A205" t="s">
        <v>4151</v>
      </c>
      <c r="B205" s="26" t="str">
        <f>MID(tbl_forecast[[#This Row],[PACE Job Number]],3,3)</f>
        <v>WSH</v>
      </c>
      <c r="C205" t="s">
        <v>16</v>
      </c>
      <c r="D205" s="1">
        <v>43405</v>
      </c>
      <c r="E205" s="1">
        <v>36524</v>
      </c>
      <c r="F205" s="1">
        <v>43425</v>
      </c>
      <c r="G205" s="1">
        <v>43425</v>
      </c>
      <c r="H205" t="s">
        <v>4664</v>
      </c>
      <c r="I205" t="s">
        <v>10</v>
      </c>
    </row>
    <row r="206" spans="1:9" x14ac:dyDescent="0.25">
      <c r="A206" t="s">
        <v>4986</v>
      </c>
      <c r="B206" s="26" t="str">
        <f>MID(tbl_forecast[[#This Row],[PACE Job Number]],3,3)</f>
        <v>WSH</v>
      </c>
      <c r="C206" t="s">
        <v>16</v>
      </c>
      <c r="D206" s="1">
        <v>43434</v>
      </c>
      <c r="E206" s="1">
        <v>36524</v>
      </c>
      <c r="F206" s="1">
        <v>43430</v>
      </c>
      <c r="G206" s="1">
        <v>43430</v>
      </c>
      <c r="H206" t="s">
        <v>9</v>
      </c>
      <c r="I206" t="s">
        <v>10</v>
      </c>
    </row>
    <row r="207" spans="1:9" x14ac:dyDescent="0.25">
      <c r="A207" t="s">
        <v>4987</v>
      </c>
      <c r="B207" s="26" t="str">
        <f>MID(tbl_forecast[[#This Row],[PACE Job Number]],3,3)</f>
        <v>WSH</v>
      </c>
      <c r="C207" t="s">
        <v>16</v>
      </c>
      <c r="D207" s="1">
        <v>43430</v>
      </c>
      <c r="E207" s="1">
        <v>36524</v>
      </c>
      <c r="F207" s="1">
        <v>43412</v>
      </c>
      <c r="G207" s="1">
        <v>43412</v>
      </c>
      <c r="H207" t="s">
        <v>9</v>
      </c>
      <c r="I207" t="s">
        <v>10</v>
      </c>
    </row>
    <row r="208" spans="1:9" x14ac:dyDescent="0.25">
      <c r="A208" t="s">
        <v>4133</v>
      </c>
      <c r="B208" s="26" t="str">
        <f>MID(tbl_forecast[[#This Row],[PACE Job Number]],3,3)</f>
        <v>STX</v>
      </c>
      <c r="C208" t="s">
        <v>16</v>
      </c>
      <c r="D208" s="1">
        <v>43413</v>
      </c>
      <c r="E208" s="1">
        <v>43427</v>
      </c>
      <c r="F208" s="1">
        <v>43423</v>
      </c>
      <c r="G208" s="1">
        <v>43423</v>
      </c>
      <c r="H208" t="s">
        <v>9</v>
      </c>
      <c r="I208" t="s">
        <v>10</v>
      </c>
    </row>
    <row r="209" spans="1:9" x14ac:dyDescent="0.25">
      <c r="A209" t="s">
        <v>3231</v>
      </c>
      <c r="B209" s="26" t="str">
        <f>MID(tbl_forecast[[#This Row],[PACE Job Number]],3,3)</f>
        <v>STX</v>
      </c>
      <c r="C209" t="s">
        <v>16</v>
      </c>
      <c r="D209" s="1">
        <v>43434</v>
      </c>
      <c r="E209" s="1">
        <v>43434</v>
      </c>
      <c r="F209" s="1">
        <v>43410</v>
      </c>
      <c r="G209" s="1">
        <v>43410</v>
      </c>
      <c r="H209" t="s">
        <v>9</v>
      </c>
      <c r="I209" t="s">
        <v>10</v>
      </c>
    </row>
    <row r="210" spans="1:9" x14ac:dyDescent="0.25">
      <c r="A210" t="s">
        <v>4988</v>
      </c>
      <c r="B210" s="26" t="str">
        <f>MID(tbl_forecast[[#This Row],[PACE Job Number]],3,3)</f>
        <v>STX</v>
      </c>
      <c r="C210" t="s">
        <v>16</v>
      </c>
      <c r="D210" s="1">
        <v>43434</v>
      </c>
      <c r="E210" s="1">
        <v>36524</v>
      </c>
      <c r="F210" s="1">
        <v>43434</v>
      </c>
      <c r="G210" s="1"/>
      <c r="H210" t="s">
        <v>9</v>
      </c>
      <c r="I210" t="s">
        <v>27</v>
      </c>
    </row>
    <row r="211" spans="1:9" x14ac:dyDescent="0.25">
      <c r="A211" t="s">
        <v>4989</v>
      </c>
      <c r="B211" s="26" t="str">
        <f>MID(tbl_forecast[[#This Row],[PACE Job Number]],3,3)</f>
        <v>STX</v>
      </c>
      <c r="C211" t="s">
        <v>16</v>
      </c>
      <c r="D211" s="1">
        <v>43421</v>
      </c>
      <c r="E211" s="1">
        <v>43434</v>
      </c>
      <c r="F211" s="1">
        <v>43434</v>
      </c>
      <c r="G211" s="1"/>
      <c r="H211" t="s">
        <v>9</v>
      </c>
      <c r="I211" t="s">
        <v>27</v>
      </c>
    </row>
    <row r="212" spans="1:9" x14ac:dyDescent="0.25">
      <c r="A212" t="s">
        <v>4990</v>
      </c>
      <c r="B212" s="26" t="str">
        <f>MID(tbl_forecast[[#This Row],[PACE Job Number]],3,3)</f>
        <v>STX</v>
      </c>
      <c r="C212" t="s">
        <v>16</v>
      </c>
      <c r="D212" s="1">
        <v>43421</v>
      </c>
      <c r="E212" s="1">
        <v>43421</v>
      </c>
      <c r="F212" s="1">
        <v>43416</v>
      </c>
      <c r="G212" s="1">
        <v>43416</v>
      </c>
      <c r="H212" t="s">
        <v>9</v>
      </c>
      <c r="I212" t="s">
        <v>10</v>
      </c>
    </row>
    <row r="213" spans="1:9" x14ac:dyDescent="0.25">
      <c r="A213" t="s">
        <v>4991</v>
      </c>
      <c r="B213" s="26" t="str">
        <f>MID(tbl_forecast[[#This Row],[PACE Job Number]],3,3)</f>
        <v>STX</v>
      </c>
      <c r="C213" t="s">
        <v>16</v>
      </c>
      <c r="D213" s="1">
        <v>43421</v>
      </c>
      <c r="E213" s="1">
        <v>43434</v>
      </c>
      <c r="F213" s="1">
        <v>43423</v>
      </c>
      <c r="G213" s="1">
        <v>43423</v>
      </c>
      <c r="H213" t="s">
        <v>9</v>
      </c>
      <c r="I213" t="s">
        <v>10</v>
      </c>
    </row>
    <row r="214" spans="1:9" x14ac:dyDescent="0.25">
      <c r="A214" t="s">
        <v>4992</v>
      </c>
      <c r="B214" s="26" t="str">
        <f>MID(tbl_forecast[[#This Row],[PACE Job Number]],3,3)</f>
        <v>STX</v>
      </c>
      <c r="C214" t="s">
        <v>16</v>
      </c>
      <c r="D214" s="1">
        <v>43421</v>
      </c>
      <c r="E214" s="1">
        <v>43431</v>
      </c>
      <c r="F214" s="1">
        <v>43431</v>
      </c>
      <c r="G214" s="1">
        <v>43431</v>
      </c>
      <c r="H214" t="s">
        <v>9</v>
      </c>
      <c r="I214" t="s">
        <v>10</v>
      </c>
    </row>
    <row r="215" spans="1:9" x14ac:dyDescent="0.25">
      <c r="A215" t="s">
        <v>4993</v>
      </c>
      <c r="B215" s="26" t="str">
        <f>MID(tbl_forecast[[#This Row],[PACE Job Number]],3,3)</f>
        <v>STX</v>
      </c>
      <c r="C215" t="s">
        <v>16</v>
      </c>
      <c r="D215" s="1">
        <v>43434</v>
      </c>
      <c r="E215" s="1">
        <v>36524</v>
      </c>
      <c r="F215" s="1">
        <v>43434</v>
      </c>
      <c r="G215" s="1"/>
      <c r="H215" t="s">
        <v>9</v>
      </c>
      <c r="I215" t="s">
        <v>27</v>
      </c>
    </row>
    <row r="216" spans="1:9" x14ac:dyDescent="0.25">
      <c r="A216" t="s">
        <v>4994</v>
      </c>
      <c r="B216" s="26" t="str">
        <f>MID(tbl_forecast[[#This Row],[PACE Job Number]],3,3)</f>
        <v>STX</v>
      </c>
      <c r="C216" t="s">
        <v>16</v>
      </c>
      <c r="D216" s="1">
        <v>43434</v>
      </c>
      <c r="E216" s="1">
        <v>36524</v>
      </c>
      <c r="F216" s="1">
        <v>43413</v>
      </c>
      <c r="G216" s="1">
        <v>43413</v>
      </c>
      <c r="H216" t="s">
        <v>9</v>
      </c>
      <c r="I216" t="s">
        <v>10</v>
      </c>
    </row>
    <row r="217" spans="1:9" x14ac:dyDescent="0.25">
      <c r="A217" t="s">
        <v>4995</v>
      </c>
      <c r="B217" s="26" t="str">
        <f>MID(tbl_forecast[[#This Row],[PACE Job Number]],3,3)</f>
        <v>STX</v>
      </c>
      <c r="C217" t="s">
        <v>16</v>
      </c>
      <c r="D217" s="1">
        <v>43434</v>
      </c>
      <c r="E217" s="1">
        <v>43434</v>
      </c>
      <c r="F217" s="1">
        <v>43466</v>
      </c>
      <c r="G217" s="1"/>
      <c r="H217" t="s">
        <v>4664</v>
      </c>
      <c r="I217" t="s">
        <v>4666</v>
      </c>
    </row>
    <row r="218" spans="1:9" x14ac:dyDescent="0.25">
      <c r="A218" t="s">
        <v>4996</v>
      </c>
      <c r="B218" s="26" t="str">
        <f>MID(tbl_forecast[[#This Row],[PACE Job Number]],3,3)</f>
        <v>STX</v>
      </c>
      <c r="C218" t="s">
        <v>16</v>
      </c>
      <c r="D218" s="1">
        <v>43434</v>
      </c>
      <c r="E218" s="1">
        <v>36524</v>
      </c>
      <c r="F218" s="1">
        <v>43434</v>
      </c>
      <c r="G218" s="1"/>
      <c r="H218" t="s">
        <v>9</v>
      </c>
      <c r="I218" t="s">
        <v>27</v>
      </c>
    </row>
    <row r="219" spans="1:9" x14ac:dyDescent="0.25">
      <c r="A219" t="s">
        <v>4997</v>
      </c>
      <c r="B219" s="26" t="str">
        <f>MID(tbl_forecast[[#This Row],[PACE Job Number]],3,3)</f>
        <v>STX</v>
      </c>
      <c r="C219" t="s">
        <v>16</v>
      </c>
      <c r="D219" s="1">
        <v>43434</v>
      </c>
      <c r="E219" s="1">
        <v>36524</v>
      </c>
      <c r="F219" s="1">
        <v>43434</v>
      </c>
      <c r="G219" s="1"/>
      <c r="H219" t="s">
        <v>9</v>
      </c>
      <c r="I219" t="s">
        <v>27</v>
      </c>
    </row>
    <row r="220" spans="1:9" x14ac:dyDescent="0.25">
      <c r="A220" t="s">
        <v>4998</v>
      </c>
      <c r="B220" s="26" t="str">
        <f>MID(tbl_forecast[[#This Row],[PACE Job Number]],3,3)</f>
        <v>STX</v>
      </c>
      <c r="C220" t="s">
        <v>16</v>
      </c>
      <c r="D220" s="1">
        <v>43434</v>
      </c>
      <c r="E220" s="1">
        <v>36524</v>
      </c>
      <c r="F220" s="1">
        <v>43434</v>
      </c>
      <c r="G220" s="1"/>
      <c r="H220" t="s">
        <v>9</v>
      </c>
      <c r="I220" t="s">
        <v>27</v>
      </c>
    </row>
    <row r="221" spans="1:9" x14ac:dyDescent="0.25">
      <c r="A221" t="s">
        <v>4999</v>
      </c>
      <c r="B221" s="26" t="str">
        <f>MID(tbl_forecast[[#This Row],[PACE Job Number]],3,3)</f>
        <v>STX</v>
      </c>
      <c r="C221" t="s">
        <v>16</v>
      </c>
      <c r="D221" s="1">
        <v>43434</v>
      </c>
      <c r="E221" s="1">
        <v>43448</v>
      </c>
      <c r="F221" s="1">
        <v>43434</v>
      </c>
      <c r="G221" s="1"/>
      <c r="H221" t="s">
        <v>9</v>
      </c>
      <c r="I221" t="s">
        <v>27</v>
      </c>
    </row>
    <row r="222" spans="1:9" x14ac:dyDescent="0.25">
      <c r="A222" t="s">
        <v>5000</v>
      </c>
      <c r="B222" s="26" t="str">
        <f>MID(tbl_forecast[[#This Row],[PACE Job Number]],3,3)</f>
        <v>STX</v>
      </c>
      <c r="C222" t="s">
        <v>16</v>
      </c>
      <c r="D222" s="1">
        <v>43420</v>
      </c>
      <c r="E222" s="1">
        <v>43420</v>
      </c>
      <c r="F222" s="1">
        <v>43413</v>
      </c>
      <c r="G222" s="1">
        <v>43413</v>
      </c>
      <c r="H222" t="s">
        <v>9</v>
      </c>
      <c r="I222" t="s">
        <v>10</v>
      </c>
    </row>
    <row r="223" spans="1:9" x14ac:dyDescent="0.25">
      <c r="A223" t="s">
        <v>5001</v>
      </c>
      <c r="B223" s="26" t="str">
        <f>MID(tbl_forecast[[#This Row],[PACE Job Number]],3,3)</f>
        <v>STX</v>
      </c>
      <c r="C223" t="s">
        <v>16</v>
      </c>
      <c r="D223" s="1">
        <v>43421</v>
      </c>
      <c r="E223" s="1">
        <v>43421</v>
      </c>
      <c r="F223" s="1">
        <v>43416</v>
      </c>
      <c r="G223" s="1">
        <v>43416</v>
      </c>
      <c r="H223" t="s">
        <v>9</v>
      </c>
      <c r="I223" t="s">
        <v>10</v>
      </c>
    </row>
    <row r="224" spans="1:9" x14ac:dyDescent="0.25">
      <c r="A224" t="s">
        <v>5002</v>
      </c>
      <c r="B224" s="26" t="str">
        <f>MID(tbl_forecast[[#This Row],[PACE Job Number]],3,3)</f>
        <v>STX</v>
      </c>
      <c r="C224" t="s">
        <v>16</v>
      </c>
      <c r="D224" s="1">
        <v>43420</v>
      </c>
      <c r="E224" s="1">
        <v>36524</v>
      </c>
      <c r="F224" s="1">
        <v>43420</v>
      </c>
      <c r="G224" s="1"/>
      <c r="H224" t="s">
        <v>9</v>
      </c>
      <c r="I224" t="s">
        <v>27</v>
      </c>
    </row>
    <row r="225" spans="1:9" x14ac:dyDescent="0.25">
      <c r="A225" t="s">
        <v>5003</v>
      </c>
      <c r="B225" s="26" t="str">
        <f>MID(tbl_forecast[[#This Row],[PACE Job Number]],3,3)</f>
        <v>STX</v>
      </c>
      <c r="C225" t="s">
        <v>16</v>
      </c>
      <c r="D225" s="1">
        <v>43434</v>
      </c>
      <c r="E225" s="1">
        <v>36524</v>
      </c>
      <c r="F225" s="1">
        <v>43413</v>
      </c>
      <c r="G225" s="1">
        <v>43413</v>
      </c>
      <c r="H225" t="s">
        <v>9</v>
      </c>
      <c r="I225" t="s">
        <v>10</v>
      </c>
    </row>
    <row r="226" spans="1:9" x14ac:dyDescent="0.25">
      <c r="A226" t="s">
        <v>3558</v>
      </c>
      <c r="B226" s="26" t="str">
        <f>MID(tbl_forecast[[#This Row],[PACE Job Number]],3,3)</f>
        <v>STX</v>
      </c>
      <c r="C226" t="s">
        <v>16</v>
      </c>
      <c r="D226" s="1">
        <v>43420</v>
      </c>
      <c r="E226" s="1">
        <v>36524</v>
      </c>
      <c r="F226" s="1">
        <v>43434</v>
      </c>
      <c r="G226" s="1"/>
      <c r="H226" t="s">
        <v>9</v>
      </c>
      <c r="I226" t="s">
        <v>27</v>
      </c>
    </row>
    <row r="227" spans="1:9" x14ac:dyDescent="0.25">
      <c r="A227" t="s">
        <v>5004</v>
      </c>
      <c r="B227" s="26" t="str">
        <f>MID(tbl_forecast[[#This Row],[PACE Job Number]],3,3)</f>
        <v>STX</v>
      </c>
      <c r="C227" t="s">
        <v>16</v>
      </c>
      <c r="D227" s="1">
        <v>43420</v>
      </c>
      <c r="E227" s="1">
        <v>36524</v>
      </c>
      <c r="F227" s="1">
        <v>43420</v>
      </c>
      <c r="G227" s="1"/>
      <c r="H227" t="s">
        <v>9</v>
      </c>
      <c r="I227" t="s">
        <v>27</v>
      </c>
    </row>
    <row r="228" spans="1:9" x14ac:dyDescent="0.25">
      <c r="A228" t="s">
        <v>5005</v>
      </c>
      <c r="B228" s="26" t="str">
        <f>MID(tbl_forecast[[#This Row],[PACE Job Number]],3,3)</f>
        <v>STX</v>
      </c>
      <c r="C228" t="s">
        <v>16</v>
      </c>
      <c r="D228" s="1">
        <v>43434</v>
      </c>
      <c r="E228" s="1">
        <v>36524</v>
      </c>
      <c r="F228" s="1">
        <v>43413</v>
      </c>
      <c r="G228" s="1">
        <v>43413</v>
      </c>
      <c r="H228" t="s">
        <v>9</v>
      </c>
      <c r="I228" t="s">
        <v>10</v>
      </c>
    </row>
    <row r="229" spans="1:9" x14ac:dyDescent="0.25">
      <c r="A229" t="s">
        <v>5006</v>
      </c>
      <c r="B229" s="26" t="str">
        <f>MID(tbl_forecast[[#This Row],[PACE Job Number]],3,3)</f>
        <v>STX</v>
      </c>
      <c r="C229" t="s">
        <v>16</v>
      </c>
      <c r="D229" s="1">
        <v>43421</v>
      </c>
      <c r="E229" s="1">
        <v>43444</v>
      </c>
      <c r="F229" s="1">
        <v>43444</v>
      </c>
      <c r="G229" s="1"/>
      <c r="H229" t="s">
        <v>4664</v>
      </c>
      <c r="I229" t="s">
        <v>4665</v>
      </c>
    </row>
    <row r="230" spans="1:9" x14ac:dyDescent="0.25">
      <c r="A230" t="s">
        <v>5007</v>
      </c>
      <c r="B230" s="26" t="str">
        <f>MID(tbl_forecast[[#This Row],[PACE Job Number]],3,3)</f>
        <v>STX</v>
      </c>
      <c r="C230" t="s">
        <v>16</v>
      </c>
      <c r="D230" s="1">
        <v>43434</v>
      </c>
      <c r="E230" s="1">
        <v>36524</v>
      </c>
      <c r="F230" s="1">
        <v>43413</v>
      </c>
      <c r="G230" s="1">
        <v>43413</v>
      </c>
      <c r="H230" t="s">
        <v>9</v>
      </c>
      <c r="I230" t="s">
        <v>10</v>
      </c>
    </row>
    <row r="231" spans="1:9" x14ac:dyDescent="0.25">
      <c r="A231" t="s">
        <v>3537</v>
      </c>
      <c r="B231" s="26" t="str">
        <f>MID(tbl_forecast[[#This Row],[PACE Job Number]],3,3)</f>
        <v>NTX</v>
      </c>
      <c r="C231" t="s">
        <v>16</v>
      </c>
      <c r="D231" s="1">
        <v>43405</v>
      </c>
      <c r="E231" s="1">
        <v>43476</v>
      </c>
      <c r="F231" s="1">
        <v>43405</v>
      </c>
      <c r="G231" s="1">
        <v>43405</v>
      </c>
      <c r="H231" t="s">
        <v>9</v>
      </c>
      <c r="I231" t="s">
        <v>10</v>
      </c>
    </row>
    <row r="232" spans="1:9" x14ac:dyDescent="0.25">
      <c r="A232" t="s">
        <v>4171</v>
      </c>
      <c r="B232" s="26" t="str">
        <f>MID(tbl_forecast[[#This Row],[PACE Job Number]],3,3)</f>
        <v>NTX</v>
      </c>
      <c r="C232" t="s">
        <v>16</v>
      </c>
      <c r="D232" s="1">
        <v>43405</v>
      </c>
      <c r="E232" s="1">
        <v>43410</v>
      </c>
      <c r="F232" s="1">
        <v>43405</v>
      </c>
      <c r="G232" s="1">
        <v>43405</v>
      </c>
      <c r="H232" t="s">
        <v>9</v>
      </c>
      <c r="I232" t="s">
        <v>10</v>
      </c>
    </row>
    <row r="233" spans="1:9" x14ac:dyDescent="0.25">
      <c r="A233" t="s">
        <v>1690</v>
      </c>
      <c r="B233" s="26" t="str">
        <f>MID(tbl_forecast[[#This Row],[PACE Job Number]],3,3)</f>
        <v>NTX</v>
      </c>
      <c r="C233" t="s">
        <v>16</v>
      </c>
      <c r="D233" s="1">
        <v>43419</v>
      </c>
      <c r="E233" s="1">
        <v>43434</v>
      </c>
      <c r="F233" s="1">
        <v>43434</v>
      </c>
      <c r="G233" s="1"/>
      <c r="H233" t="s">
        <v>4664</v>
      </c>
      <c r="I233" t="s">
        <v>5645</v>
      </c>
    </row>
    <row r="234" spans="1:9" x14ac:dyDescent="0.25">
      <c r="A234" t="s">
        <v>5008</v>
      </c>
      <c r="B234" s="26" t="str">
        <f>MID(tbl_forecast[[#This Row],[PACE Job Number]],3,3)</f>
        <v>STX</v>
      </c>
      <c r="C234" t="s">
        <v>16</v>
      </c>
      <c r="D234" s="1">
        <v>43427</v>
      </c>
      <c r="E234" s="1">
        <v>43210</v>
      </c>
      <c r="F234" s="1">
        <v>43434</v>
      </c>
      <c r="G234" s="1"/>
      <c r="H234" t="s">
        <v>9</v>
      </c>
      <c r="I234" t="s">
        <v>27</v>
      </c>
    </row>
    <row r="235" spans="1:9" x14ac:dyDescent="0.25">
      <c r="A235" t="s">
        <v>5009</v>
      </c>
      <c r="B235" s="26" t="str">
        <f>MID(tbl_forecast[[#This Row],[PACE Job Number]],3,3)</f>
        <v>STX</v>
      </c>
      <c r="C235" t="s">
        <v>16</v>
      </c>
      <c r="D235" s="1">
        <v>43420</v>
      </c>
      <c r="E235" s="1">
        <v>43224</v>
      </c>
      <c r="F235" s="1">
        <v>43424</v>
      </c>
      <c r="G235" s="1">
        <v>43424</v>
      </c>
      <c r="H235" t="s">
        <v>9</v>
      </c>
      <c r="I235" t="s">
        <v>10</v>
      </c>
    </row>
    <row r="236" spans="1:9" x14ac:dyDescent="0.25">
      <c r="A236" t="s">
        <v>2715</v>
      </c>
      <c r="B236" s="26" t="str">
        <f>MID(tbl_forecast[[#This Row],[PACE Job Number]],3,3)</f>
        <v>STX</v>
      </c>
      <c r="C236" t="s">
        <v>16</v>
      </c>
      <c r="D236" s="1">
        <v>43420</v>
      </c>
      <c r="E236" s="1">
        <v>43420</v>
      </c>
      <c r="F236" s="1">
        <v>43418</v>
      </c>
      <c r="G236" s="1">
        <v>43418</v>
      </c>
      <c r="H236" t="s">
        <v>9</v>
      </c>
      <c r="I236" t="s">
        <v>10</v>
      </c>
    </row>
    <row r="237" spans="1:9" x14ac:dyDescent="0.25">
      <c r="A237" t="s">
        <v>5010</v>
      </c>
      <c r="B237" s="26" t="str">
        <f>MID(tbl_forecast[[#This Row],[PACE Job Number]],3,3)</f>
        <v>ANM</v>
      </c>
      <c r="C237" t="s">
        <v>16</v>
      </c>
      <c r="D237" s="1">
        <v>43420</v>
      </c>
      <c r="E237" s="1">
        <v>36524</v>
      </c>
      <c r="F237" s="1">
        <v>43455</v>
      </c>
      <c r="G237" s="1"/>
      <c r="H237" t="s">
        <v>4664</v>
      </c>
      <c r="I237" t="s">
        <v>4666</v>
      </c>
    </row>
    <row r="238" spans="1:9" x14ac:dyDescent="0.25">
      <c r="A238" t="s">
        <v>3781</v>
      </c>
      <c r="B238" s="26" t="str">
        <f>MID(tbl_forecast[[#This Row],[PACE Job Number]],3,3)</f>
        <v>NTX</v>
      </c>
      <c r="C238" t="s">
        <v>16</v>
      </c>
      <c r="D238" s="1">
        <v>43419</v>
      </c>
      <c r="E238" s="1">
        <v>36524</v>
      </c>
      <c r="F238" s="1">
        <v>43449</v>
      </c>
      <c r="G238" s="1"/>
      <c r="H238" t="s">
        <v>4664</v>
      </c>
      <c r="I238" t="s">
        <v>4666</v>
      </c>
    </row>
    <row r="239" spans="1:9" x14ac:dyDescent="0.25">
      <c r="A239" t="s">
        <v>4137</v>
      </c>
      <c r="B239" s="26" t="str">
        <f>MID(tbl_forecast[[#This Row],[PACE Job Number]],3,3)</f>
        <v>NTX</v>
      </c>
      <c r="C239" t="s">
        <v>16</v>
      </c>
      <c r="D239" s="1">
        <v>43405</v>
      </c>
      <c r="E239" s="1">
        <v>43410</v>
      </c>
      <c r="F239" s="1">
        <v>43405</v>
      </c>
      <c r="G239" s="1">
        <v>43405</v>
      </c>
      <c r="H239" t="s">
        <v>9</v>
      </c>
      <c r="I239" t="s">
        <v>10</v>
      </c>
    </row>
    <row r="240" spans="1:9" x14ac:dyDescent="0.25">
      <c r="A240" t="s">
        <v>3783</v>
      </c>
      <c r="B240" s="26" t="str">
        <f>MID(tbl_forecast[[#This Row],[PACE Job Number]],3,3)</f>
        <v>NTX</v>
      </c>
      <c r="C240" t="s">
        <v>16</v>
      </c>
      <c r="D240" s="1">
        <v>43419</v>
      </c>
      <c r="E240" s="1">
        <v>36524</v>
      </c>
      <c r="F240" s="1">
        <v>43449</v>
      </c>
      <c r="G240" s="1"/>
      <c r="H240" t="s">
        <v>4664</v>
      </c>
      <c r="I240" t="s">
        <v>4666</v>
      </c>
    </row>
    <row r="241" spans="1:9" x14ac:dyDescent="0.25">
      <c r="A241" t="s">
        <v>2717</v>
      </c>
      <c r="B241" s="26" t="str">
        <f>MID(tbl_forecast[[#This Row],[PACE Job Number]],3,3)</f>
        <v>STX</v>
      </c>
      <c r="C241" t="s">
        <v>16</v>
      </c>
      <c r="D241" s="1">
        <v>43413</v>
      </c>
      <c r="E241" s="1">
        <v>43413</v>
      </c>
      <c r="F241" s="1">
        <v>43418</v>
      </c>
      <c r="G241" s="1">
        <v>43418</v>
      </c>
      <c r="H241" t="s">
        <v>9</v>
      </c>
      <c r="I241" t="s">
        <v>10</v>
      </c>
    </row>
    <row r="242" spans="1:9" x14ac:dyDescent="0.25">
      <c r="A242" t="s">
        <v>2718</v>
      </c>
      <c r="B242" s="26" t="str">
        <f>MID(tbl_forecast[[#This Row],[PACE Job Number]],3,3)</f>
        <v>STX</v>
      </c>
      <c r="C242" t="s">
        <v>16</v>
      </c>
      <c r="D242" s="1">
        <v>43420</v>
      </c>
      <c r="E242" s="1">
        <v>43420</v>
      </c>
      <c r="F242" s="1">
        <v>43418</v>
      </c>
      <c r="G242" s="1">
        <v>43418</v>
      </c>
      <c r="H242" t="s">
        <v>9</v>
      </c>
      <c r="I242" t="s">
        <v>10</v>
      </c>
    </row>
    <row r="243" spans="1:9" x14ac:dyDescent="0.25">
      <c r="A243" t="s">
        <v>5011</v>
      </c>
      <c r="B243" s="26" t="str">
        <f>MID(tbl_forecast[[#This Row],[PACE Job Number]],3,3)</f>
        <v>WSH</v>
      </c>
      <c r="C243" t="s">
        <v>16</v>
      </c>
      <c r="D243" s="1">
        <v>43434</v>
      </c>
      <c r="E243" s="1">
        <v>36524</v>
      </c>
      <c r="F243" s="1">
        <v>43432</v>
      </c>
      <c r="G243" s="1">
        <v>43432</v>
      </c>
      <c r="H243" t="s">
        <v>9</v>
      </c>
      <c r="I243" t="s">
        <v>10</v>
      </c>
    </row>
    <row r="244" spans="1:9" x14ac:dyDescent="0.25">
      <c r="A244" t="s">
        <v>5012</v>
      </c>
      <c r="B244" s="26" t="str">
        <f>MID(tbl_forecast[[#This Row],[PACE Job Number]],3,3)</f>
        <v>WSH</v>
      </c>
      <c r="C244" t="s">
        <v>16</v>
      </c>
      <c r="D244" s="1">
        <v>43430</v>
      </c>
      <c r="E244" s="1">
        <v>36524</v>
      </c>
      <c r="F244" s="1">
        <v>43412</v>
      </c>
      <c r="G244" s="1">
        <v>43412</v>
      </c>
      <c r="H244" t="s">
        <v>9</v>
      </c>
      <c r="I244" t="s">
        <v>10</v>
      </c>
    </row>
    <row r="245" spans="1:9" x14ac:dyDescent="0.25">
      <c r="A245" t="s">
        <v>5013</v>
      </c>
      <c r="B245" s="26" t="str">
        <f>MID(tbl_forecast[[#This Row],[PACE Job Number]],3,3)</f>
        <v>WSH</v>
      </c>
      <c r="C245" t="s">
        <v>16</v>
      </c>
      <c r="D245" s="1">
        <v>43427</v>
      </c>
      <c r="E245" s="1">
        <v>36524</v>
      </c>
      <c r="F245" s="1">
        <v>43419</v>
      </c>
      <c r="G245" s="1">
        <v>43419</v>
      </c>
      <c r="H245" t="s">
        <v>9</v>
      </c>
      <c r="I245" t="s">
        <v>10</v>
      </c>
    </row>
    <row r="246" spans="1:9" x14ac:dyDescent="0.25">
      <c r="A246" t="s">
        <v>5014</v>
      </c>
      <c r="B246" s="26" t="str">
        <f>MID(tbl_forecast[[#This Row],[PACE Job Number]],3,3)</f>
        <v>WSH</v>
      </c>
      <c r="C246" t="s">
        <v>16</v>
      </c>
      <c r="D246" s="1">
        <v>43430</v>
      </c>
      <c r="E246" s="1">
        <v>36524</v>
      </c>
      <c r="F246" s="1">
        <v>43419</v>
      </c>
      <c r="G246" s="1">
        <v>43419</v>
      </c>
      <c r="H246" t="s">
        <v>9</v>
      </c>
      <c r="I246" t="s">
        <v>10</v>
      </c>
    </row>
    <row r="247" spans="1:9" x14ac:dyDescent="0.25">
      <c r="A247" t="s">
        <v>5015</v>
      </c>
      <c r="B247" s="26" t="str">
        <f>MID(tbl_forecast[[#This Row],[PACE Job Number]],3,3)</f>
        <v>NTX</v>
      </c>
      <c r="C247" t="s">
        <v>16</v>
      </c>
      <c r="D247" s="1">
        <v>43432</v>
      </c>
      <c r="E247" s="1">
        <v>43432</v>
      </c>
      <c r="F247" s="1">
        <v>43432</v>
      </c>
      <c r="G247" s="1">
        <v>43433</v>
      </c>
      <c r="H247" t="s">
        <v>9</v>
      </c>
      <c r="I247" t="s">
        <v>10</v>
      </c>
    </row>
    <row r="248" spans="1:9" x14ac:dyDescent="0.25">
      <c r="A248" t="s">
        <v>5016</v>
      </c>
      <c r="B248" s="26" t="str">
        <f>MID(tbl_forecast[[#This Row],[PACE Job Number]],3,3)</f>
        <v>NTX</v>
      </c>
      <c r="C248" t="s">
        <v>16</v>
      </c>
      <c r="D248" s="1">
        <v>43434</v>
      </c>
      <c r="E248" s="1">
        <v>43488</v>
      </c>
      <c r="F248" s="1">
        <v>43434</v>
      </c>
      <c r="G248" s="1"/>
      <c r="H248" t="s">
        <v>9</v>
      </c>
      <c r="I248" t="s">
        <v>44</v>
      </c>
    </row>
    <row r="249" spans="1:9" x14ac:dyDescent="0.25">
      <c r="A249" t="s">
        <v>5017</v>
      </c>
      <c r="B249" s="26" t="str">
        <f>MID(tbl_forecast[[#This Row],[PACE Job Number]],3,3)</f>
        <v>NTX</v>
      </c>
      <c r="C249" t="s">
        <v>16</v>
      </c>
      <c r="D249" s="1">
        <v>43434</v>
      </c>
      <c r="E249" s="1">
        <v>43488</v>
      </c>
      <c r="F249" s="1">
        <v>43434</v>
      </c>
      <c r="G249" s="1"/>
      <c r="H249" t="s">
        <v>9</v>
      </c>
      <c r="I249" t="s">
        <v>44</v>
      </c>
    </row>
    <row r="250" spans="1:9" x14ac:dyDescent="0.25">
      <c r="A250" t="s">
        <v>5018</v>
      </c>
      <c r="B250" s="26" t="str">
        <f>MID(tbl_forecast[[#This Row],[PACE Job Number]],3,3)</f>
        <v>NTX</v>
      </c>
      <c r="C250" t="s">
        <v>16</v>
      </c>
      <c r="D250" s="1">
        <v>43434</v>
      </c>
      <c r="E250" s="1">
        <v>43434</v>
      </c>
      <c r="F250" s="1">
        <v>43434</v>
      </c>
      <c r="G250" s="1"/>
      <c r="H250" t="s">
        <v>9</v>
      </c>
      <c r="I250" t="s">
        <v>27</v>
      </c>
    </row>
    <row r="251" spans="1:9" x14ac:dyDescent="0.25">
      <c r="A251" t="s">
        <v>5019</v>
      </c>
      <c r="B251" s="26" t="str">
        <f>MID(tbl_forecast[[#This Row],[PACE Job Number]],3,3)</f>
        <v>NTX</v>
      </c>
      <c r="C251" t="s">
        <v>16</v>
      </c>
      <c r="D251" s="1">
        <v>43434</v>
      </c>
      <c r="E251" s="1">
        <v>43434</v>
      </c>
      <c r="F251" s="1">
        <v>43434</v>
      </c>
      <c r="G251" s="1"/>
      <c r="H251" t="s">
        <v>9</v>
      </c>
      <c r="I251" t="s">
        <v>27</v>
      </c>
    </row>
    <row r="252" spans="1:9" x14ac:dyDescent="0.25">
      <c r="A252" t="s">
        <v>5020</v>
      </c>
      <c r="B252" s="26" t="str">
        <f>MID(tbl_forecast[[#This Row],[PACE Job Number]],3,3)</f>
        <v>NTX</v>
      </c>
      <c r="C252" t="s">
        <v>16</v>
      </c>
      <c r="D252" s="1">
        <v>43405</v>
      </c>
      <c r="E252" s="1">
        <v>43434</v>
      </c>
      <c r="F252" s="1">
        <v>43405</v>
      </c>
      <c r="G252" s="1">
        <v>43405</v>
      </c>
      <c r="H252" t="s">
        <v>9</v>
      </c>
      <c r="I252" t="s">
        <v>10</v>
      </c>
    </row>
    <row r="253" spans="1:9" x14ac:dyDescent="0.25">
      <c r="A253" t="s">
        <v>5021</v>
      </c>
      <c r="B253" s="26" t="str">
        <f>MID(tbl_forecast[[#This Row],[PACE Job Number]],3,3)</f>
        <v>NTX</v>
      </c>
      <c r="C253" t="s">
        <v>16</v>
      </c>
      <c r="D253" s="1">
        <v>43434</v>
      </c>
      <c r="E253" s="1">
        <v>43488</v>
      </c>
      <c r="F253" s="1">
        <v>43434</v>
      </c>
      <c r="G253" s="1"/>
      <c r="H253" t="s">
        <v>9</v>
      </c>
      <c r="I253" t="s">
        <v>44</v>
      </c>
    </row>
    <row r="254" spans="1:9" x14ac:dyDescent="0.25">
      <c r="A254" t="s">
        <v>5022</v>
      </c>
      <c r="B254" s="26" t="str">
        <f>MID(tbl_forecast[[#This Row],[PACE Job Number]],3,3)</f>
        <v>NTX</v>
      </c>
      <c r="C254" t="s">
        <v>16</v>
      </c>
      <c r="D254" s="1">
        <v>43434</v>
      </c>
      <c r="E254" s="1">
        <v>43434</v>
      </c>
      <c r="F254" s="1">
        <v>43434</v>
      </c>
      <c r="G254" s="1"/>
      <c r="H254" t="s">
        <v>9</v>
      </c>
      <c r="I254" t="s">
        <v>27</v>
      </c>
    </row>
    <row r="255" spans="1:9" x14ac:dyDescent="0.25">
      <c r="A255" t="s">
        <v>5023</v>
      </c>
      <c r="B255" s="26" t="str">
        <f>MID(tbl_forecast[[#This Row],[PACE Job Number]],3,3)</f>
        <v>NTX</v>
      </c>
      <c r="C255" t="s">
        <v>16</v>
      </c>
      <c r="D255" s="1">
        <v>43434</v>
      </c>
      <c r="E255" s="1">
        <v>43434</v>
      </c>
      <c r="F255" s="1">
        <v>43434</v>
      </c>
      <c r="G255" s="1"/>
      <c r="H255" t="s">
        <v>9</v>
      </c>
      <c r="I255" t="s">
        <v>27</v>
      </c>
    </row>
    <row r="256" spans="1:9" x14ac:dyDescent="0.25">
      <c r="A256" t="s">
        <v>5024</v>
      </c>
      <c r="B256" s="26" t="str">
        <f>MID(tbl_forecast[[#This Row],[PACE Job Number]],3,3)</f>
        <v>NTX</v>
      </c>
      <c r="C256" t="s">
        <v>16</v>
      </c>
      <c r="D256" s="1">
        <v>43434</v>
      </c>
      <c r="E256" s="1">
        <v>43434</v>
      </c>
      <c r="F256" s="1">
        <v>43434</v>
      </c>
      <c r="G256" s="1"/>
      <c r="H256" t="s">
        <v>9</v>
      </c>
      <c r="I256" t="s">
        <v>27</v>
      </c>
    </row>
    <row r="257" spans="1:9" x14ac:dyDescent="0.25">
      <c r="A257" t="s">
        <v>5025</v>
      </c>
      <c r="B257" s="26" t="str">
        <f>MID(tbl_forecast[[#This Row],[PACE Job Number]],3,3)</f>
        <v>NTX</v>
      </c>
      <c r="C257" t="s">
        <v>16</v>
      </c>
      <c r="D257" s="1">
        <v>43434</v>
      </c>
      <c r="E257" s="1">
        <v>43434</v>
      </c>
      <c r="F257" s="1">
        <v>43432</v>
      </c>
      <c r="G257" s="1">
        <v>43432</v>
      </c>
      <c r="H257" t="s">
        <v>9</v>
      </c>
      <c r="I257" t="s">
        <v>10</v>
      </c>
    </row>
    <row r="258" spans="1:9" x14ac:dyDescent="0.25">
      <c r="A258" t="s">
        <v>5026</v>
      </c>
      <c r="B258" s="26" t="str">
        <f>MID(tbl_forecast[[#This Row],[PACE Job Number]],3,3)</f>
        <v>NTX</v>
      </c>
      <c r="C258" t="s">
        <v>16</v>
      </c>
      <c r="D258" s="1">
        <v>43419</v>
      </c>
      <c r="E258" s="1">
        <v>43419</v>
      </c>
      <c r="F258" s="1">
        <v>43423</v>
      </c>
      <c r="G258" s="1">
        <v>43423</v>
      </c>
      <c r="H258" t="s">
        <v>9</v>
      </c>
      <c r="I258" t="s">
        <v>10</v>
      </c>
    </row>
    <row r="259" spans="1:9" x14ac:dyDescent="0.25">
      <c r="A259" t="s">
        <v>5027</v>
      </c>
      <c r="B259" s="26" t="str">
        <f>MID(tbl_forecast[[#This Row],[PACE Job Number]],3,3)</f>
        <v>NTX</v>
      </c>
      <c r="C259" t="s">
        <v>16</v>
      </c>
      <c r="D259" s="1">
        <v>43419</v>
      </c>
      <c r="E259" s="1">
        <v>43419</v>
      </c>
      <c r="F259" s="1">
        <v>43423</v>
      </c>
      <c r="G259" s="1">
        <v>43423</v>
      </c>
      <c r="H259" t="s">
        <v>9</v>
      </c>
      <c r="I259" t="s">
        <v>10</v>
      </c>
    </row>
    <row r="260" spans="1:9" x14ac:dyDescent="0.25">
      <c r="A260" t="s">
        <v>5028</v>
      </c>
      <c r="B260" s="26" t="str">
        <f>MID(tbl_forecast[[#This Row],[PACE Job Number]],3,3)</f>
        <v>NTX</v>
      </c>
      <c r="C260" t="s">
        <v>16</v>
      </c>
      <c r="D260" s="1">
        <v>43434</v>
      </c>
      <c r="E260" s="1">
        <v>43434</v>
      </c>
      <c r="F260" s="1">
        <v>43434</v>
      </c>
      <c r="G260" s="1"/>
      <c r="H260" t="s">
        <v>9</v>
      </c>
      <c r="I260" t="s">
        <v>27</v>
      </c>
    </row>
    <row r="261" spans="1:9" x14ac:dyDescent="0.25">
      <c r="A261" t="s">
        <v>5029</v>
      </c>
      <c r="B261" s="26" t="str">
        <f>MID(tbl_forecast[[#This Row],[PACE Job Number]],3,3)</f>
        <v>NTX</v>
      </c>
      <c r="C261" t="s">
        <v>16</v>
      </c>
      <c r="D261" s="1">
        <v>43434</v>
      </c>
      <c r="E261" s="1">
        <v>43434</v>
      </c>
      <c r="F261" s="1">
        <v>43434</v>
      </c>
      <c r="G261" s="1"/>
      <c r="H261" t="s">
        <v>9</v>
      </c>
      <c r="I261" t="s">
        <v>27</v>
      </c>
    </row>
    <row r="262" spans="1:9" x14ac:dyDescent="0.25">
      <c r="A262" t="s">
        <v>5030</v>
      </c>
      <c r="B262" s="26" t="str">
        <f>MID(tbl_forecast[[#This Row],[PACE Job Number]],3,3)</f>
        <v>NTX</v>
      </c>
      <c r="C262" t="s">
        <v>16</v>
      </c>
      <c r="D262" s="1">
        <v>43434</v>
      </c>
      <c r="E262" s="1">
        <v>43434</v>
      </c>
      <c r="F262" s="1">
        <v>43434</v>
      </c>
      <c r="G262" s="1"/>
      <c r="H262" t="s">
        <v>9</v>
      </c>
      <c r="I262" t="s">
        <v>27</v>
      </c>
    </row>
    <row r="263" spans="1:9" x14ac:dyDescent="0.25">
      <c r="A263" t="s">
        <v>5031</v>
      </c>
      <c r="B263" s="26" t="str">
        <f>MID(tbl_forecast[[#This Row],[PACE Job Number]],3,3)</f>
        <v>NTX</v>
      </c>
      <c r="C263" t="s">
        <v>16</v>
      </c>
      <c r="D263" s="1">
        <v>43434</v>
      </c>
      <c r="E263" s="1">
        <v>43434</v>
      </c>
      <c r="F263" s="1">
        <v>43434</v>
      </c>
      <c r="G263" s="1"/>
      <c r="H263" t="s">
        <v>9</v>
      </c>
      <c r="I263" t="s">
        <v>27</v>
      </c>
    </row>
    <row r="264" spans="1:9" x14ac:dyDescent="0.25">
      <c r="A264" t="s">
        <v>5032</v>
      </c>
      <c r="B264" s="26" t="str">
        <f>MID(tbl_forecast[[#This Row],[PACE Job Number]],3,3)</f>
        <v>NTX</v>
      </c>
      <c r="C264" t="s">
        <v>16</v>
      </c>
      <c r="D264" s="1">
        <v>43405</v>
      </c>
      <c r="E264" s="1">
        <v>43434</v>
      </c>
      <c r="F264" s="1">
        <v>43405</v>
      </c>
      <c r="G264" s="1">
        <v>43405</v>
      </c>
      <c r="H264" t="s">
        <v>9</v>
      </c>
      <c r="I264" t="s">
        <v>10</v>
      </c>
    </row>
    <row r="265" spans="1:9" x14ac:dyDescent="0.25">
      <c r="A265" t="s">
        <v>5033</v>
      </c>
      <c r="B265" s="26" t="str">
        <f>MID(tbl_forecast[[#This Row],[PACE Job Number]],3,3)</f>
        <v>NTX</v>
      </c>
      <c r="C265" t="s">
        <v>16</v>
      </c>
      <c r="D265" s="1">
        <v>43434</v>
      </c>
      <c r="E265" s="1">
        <v>43434</v>
      </c>
      <c r="F265" s="1">
        <v>43434</v>
      </c>
      <c r="G265" s="1"/>
      <c r="H265" t="s">
        <v>9</v>
      </c>
      <c r="I265" t="s">
        <v>27</v>
      </c>
    </row>
    <row r="266" spans="1:9" x14ac:dyDescent="0.25">
      <c r="A266" t="s">
        <v>5034</v>
      </c>
      <c r="B266" s="26" t="str">
        <f>MID(tbl_forecast[[#This Row],[PACE Job Number]],3,3)</f>
        <v>NTX</v>
      </c>
      <c r="C266" t="s">
        <v>16</v>
      </c>
      <c r="D266" s="1">
        <v>43434</v>
      </c>
      <c r="E266" s="1">
        <v>43434</v>
      </c>
      <c r="F266" s="1">
        <v>43434</v>
      </c>
      <c r="G266" s="1"/>
      <c r="H266" t="s">
        <v>9</v>
      </c>
      <c r="I266" t="s">
        <v>27</v>
      </c>
    </row>
    <row r="267" spans="1:9" x14ac:dyDescent="0.25">
      <c r="A267" t="s">
        <v>5035</v>
      </c>
      <c r="B267" s="26" t="str">
        <f>MID(tbl_forecast[[#This Row],[PACE Job Number]],3,3)</f>
        <v>NTX</v>
      </c>
      <c r="C267" t="s">
        <v>16</v>
      </c>
      <c r="D267" s="1">
        <v>43434</v>
      </c>
      <c r="E267" s="1">
        <v>43434</v>
      </c>
      <c r="F267" s="1">
        <v>43434</v>
      </c>
      <c r="G267" s="1"/>
      <c r="H267" t="s">
        <v>9</v>
      </c>
      <c r="I267" t="s">
        <v>27</v>
      </c>
    </row>
    <row r="268" spans="1:9" x14ac:dyDescent="0.25">
      <c r="A268" t="s">
        <v>5036</v>
      </c>
      <c r="B268" s="26" t="str">
        <f>MID(tbl_forecast[[#This Row],[PACE Job Number]],3,3)</f>
        <v>NTX</v>
      </c>
      <c r="C268" t="s">
        <v>16</v>
      </c>
      <c r="D268" s="1">
        <v>43434</v>
      </c>
      <c r="E268" s="1">
        <v>43539</v>
      </c>
      <c r="F268" s="1">
        <v>43487</v>
      </c>
      <c r="G268" s="1"/>
      <c r="H268" t="s">
        <v>4664</v>
      </c>
      <c r="I268" t="s">
        <v>4665</v>
      </c>
    </row>
    <row r="269" spans="1:9" x14ac:dyDescent="0.25">
      <c r="A269" t="s">
        <v>5037</v>
      </c>
      <c r="B269" s="26" t="str">
        <f>MID(tbl_forecast[[#This Row],[PACE Job Number]],3,3)</f>
        <v>NTX</v>
      </c>
      <c r="C269" t="s">
        <v>16</v>
      </c>
      <c r="D269" s="1">
        <v>43434</v>
      </c>
      <c r="E269" s="1">
        <v>43434</v>
      </c>
      <c r="F269" s="1">
        <v>43434</v>
      </c>
      <c r="G269" s="1"/>
      <c r="H269" t="s">
        <v>9</v>
      </c>
      <c r="I269" t="s">
        <v>27</v>
      </c>
    </row>
    <row r="270" spans="1:9" x14ac:dyDescent="0.25">
      <c r="A270" t="s">
        <v>5038</v>
      </c>
      <c r="B270" s="26" t="str">
        <f>MID(tbl_forecast[[#This Row],[PACE Job Number]],3,3)</f>
        <v>NTX</v>
      </c>
      <c r="C270" t="s">
        <v>16</v>
      </c>
      <c r="D270" s="1">
        <v>43434</v>
      </c>
      <c r="E270" s="1">
        <v>43434</v>
      </c>
      <c r="F270" s="1">
        <v>43434</v>
      </c>
      <c r="G270" s="1"/>
      <c r="H270" t="s">
        <v>9</v>
      </c>
      <c r="I270" t="s">
        <v>27</v>
      </c>
    </row>
    <row r="271" spans="1:9" x14ac:dyDescent="0.25">
      <c r="A271" t="s">
        <v>5039</v>
      </c>
      <c r="B271" s="26" t="str">
        <f>MID(tbl_forecast[[#This Row],[PACE Job Number]],3,3)</f>
        <v>NTX</v>
      </c>
      <c r="C271" t="s">
        <v>16</v>
      </c>
      <c r="D271" s="1">
        <v>43434</v>
      </c>
      <c r="E271" s="1">
        <v>43434</v>
      </c>
      <c r="F271" s="1">
        <v>43434</v>
      </c>
      <c r="G271" s="1"/>
      <c r="H271" t="s">
        <v>9</v>
      </c>
      <c r="I271" t="s">
        <v>27</v>
      </c>
    </row>
    <row r="272" spans="1:9" x14ac:dyDescent="0.25">
      <c r="A272" t="s">
        <v>3251</v>
      </c>
      <c r="B272" s="26" t="str">
        <f>MID(tbl_forecast[[#This Row],[PACE Job Number]],3,3)</f>
        <v>STX</v>
      </c>
      <c r="C272" t="s">
        <v>16</v>
      </c>
      <c r="D272" s="1">
        <v>43434</v>
      </c>
      <c r="E272" s="1">
        <v>43434</v>
      </c>
      <c r="F272" s="1">
        <v>43410</v>
      </c>
      <c r="G272" s="1">
        <v>43410</v>
      </c>
      <c r="H272" t="s">
        <v>9</v>
      </c>
      <c r="I272" t="s">
        <v>10</v>
      </c>
    </row>
    <row r="273" spans="1:9" x14ac:dyDescent="0.25">
      <c r="A273" t="s">
        <v>349</v>
      </c>
      <c r="B273" s="26" t="str">
        <f>MID(tbl_forecast[[#This Row],[PACE Job Number]],3,3)</f>
        <v>ANM</v>
      </c>
      <c r="C273" t="s">
        <v>16</v>
      </c>
      <c r="D273" s="1">
        <v>43434</v>
      </c>
      <c r="E273" s="1">
        <v>43189</v>
      </c>
      <c r="F273" s="1">
        <v>43434</v>
      </c>
      <c r="G273" s="1"/>
      <c r="H273" t="s">
        <v>9</v>
      </c>
      <c r="I273" t="s">
        <v>27</v>
      </c>
    </row>
    <row r="274" spans="1:9" x14ac:dyDescent="0.25">
      <c r="A274" t="s">
        <v>4130</v>
      </c>
      <c r="B274" s="26" t="str">
        <f>MID(tbl_forecast[[#This Row],[PACE Job Number]],3,3)</f>
        <v>ANM</v>
      </c>
      <c r="C274" t="s">
        <v>16</v>
      </c>
      <c r="D274" s="1">
        <v>43420</v>
      </c>
      <c r="E274" s="1">
        <v>42646</v>
      </c>
      <c r="F274" s="1">
        <v>43431</v>
      </c>
      <c r="G274" s="1">
        <v>43431</v>
      </c>
      <c r="H274" t="s">
        <v>9</v>
      </c>
      <c r="I274" t="s">
        <v>10</v>
      </c>
    </row>
    <row r="275" spans="1:9" x14ac:dyDescent="0.25">
      <c r="A275" t="s">
        <v>4139</v>
      </c>
      <c r="B275" s="26" t="str">
        <f>MID(tbl_forecast[[#This Row],[PACE Job Number]],3,3)</f>
        <v>STX</v>
      </c>
      <c r="C275" t="s">
        <v>16</v>
      </c>
      <c r="D275" s="1">
        <v>43413</v>
      </c>
      <c r="E275" s="1">
        <v>43427</v>
      </c>
      <c r="F275" s="1">
        <v>43423</v>
      </c>
      <c r="G275" s="1">
        <v>43423</v>
      </c>
      <c r="H275" t="s">
        <v>9</v>
      </c>
      <c r="I275" t="s">
        <v>10</v>
      </c>
    </row>
    <row r="276" spans="1:9" x14ac:dyDescent="0.25">
      <c r="A276" t="s">
        <v>3346</v>
      </c>
      <c r="B276" s="26" t="str">
        <f>MID(tbl_forecast[[#This Row],[PACE Job Number]],3,3)</f>
        <v>STX</v>
      </c>
      <c r="C276" t="s">
        <v>16</v>
      </c>
      <c r="D276" s="1">
        <v>43434</v>
      </c>
      <c r="E276" s="1">
        <v>43434</v>
      </c>
      <c r="F276" s="1">
        <v>43434</v>
      </c>
      <c r="G276" s="1"/>
      <c r="H276" t="s">
        <v>9</v>
      </c>
      <c r="I276" t="s">
        <v>27</v>
      </c>
    </row>
    <row r="277" spans="1:9" x14ac:dyDescent="0.25">
      <c r="A277" t="s">
        <v>5040</v>
      </c>
      <c r="B277" s="26" t="str">
        <f>MID(tbl_forecast[[#This Row],[PACE Job Number]],3,3)</f>
        <v>STX</v>
      </c>
      <c r="C277" t="s">
        <v>16</v>
      </c>
      <c r="D277" s="1">
        <v>43434</v>
      </c>
      <c r="E277" s="1">
        <v>43434</v>
      </c>
      <c r="F277" s="1">
        <v>43434</v>
      </c>
      <c r="G277" s="1"/>
      <c r="H277" t="s">
        <v>9</v>
      </c>
      <c r="I277" t="s">
        <v>27</v>
      </c>
    </row>
    <row r="278" spans="1:9" x14ac:dyDescent="0.25">
      <c r="A278" t="s">
        <v>3100</v>
      </c>
      <c r="B278" s="26" t="str">
        <f>MID(tbl_forecast[[#This Row],[PACE Job Number]],3,3)</f>
        <v>STX</v>
      </c>
      <c r="C278" t="s">
        <v>16</v>
      </c>
      <c r="D278" s="1">
        <v>43434</v>
      </c>
      <c r="E278" s="1">
        <v>43434</v>
      </c>
      <c r="F278" s="1">
        <v>43410</v>
      </c>
      <c r="G278" s="1">
        <v>43410</v>
      </c>
      <c r="H278" t="s">
        <v>9</v>
      </c>
      <c r="I278" t="s">
        <v>10</v>
      </c>
    </row>
    <row r="279" spans="1:9" x14ac:dyDescent="0.25">
      <c r="A279" t="s">
        <v>3131</v>
      </c>
      <c r="B279" s="26" t="str">
        <f>MID(tbl_forecast[[#This Row],[PACE Job Number]],3,3)</f>
        <v>STX</v>
      </c>
      <c r="C279" t="s">
        <v>16</v>
      </c>
      <c r="D279" s="1">
        <v>43434</v>
      </c>
      <c r="E279" s="1">
        <v>43434</v>
      </c>
      <c r="F279" s="1">
        <v>43410</v>
      </c>
      <c r="G279" s="1">
        <v>43410</v>
      </c>
      <c r="H279" t="s">
        <v>9</v>
      </c>
      <c r="I279" t="s">
        <v>10</v>
      </c>
    </row>
    <row r="280" spans="1:9" x14ac:dyDescent="0.25">
      <c r="A280" t="s">
        <v>5041</v>
      </c>
      <c r="B280" s="26" t="str">
        <f>MID(tbl_forecast[[#This Row],[PACE Job Number]],3,3)</f>
        <v>STX</v>
      </c>
      <c r="C280" t="s">
        <v>16</v>
      </c>
      <c r="D280" s="1">
        <v>43421</v>
      </c>
      <c r="E280" s="1">
        <v>43434</v>
      </c>
      <c r="F280" s="1">
        <v>43434</v>
      </c>
      <c r="G280" s="1"/>
      <c r="H280" t="s">
        <v>9</v>
      </c>
      <c r="I280" t="s">
        <v>27</v>
      </c>
    </row>
    <row r="281" spans="1:9" x14ac:dyDescent="0.25">
      <c r="A281" t="s">
        <v>5042</v>
      </c>
      <c r="B281" s="26" t="str">
        <f>MID(tbl_forecast[[#This Row],[PACE Job Number]],3,3)</f>
        <v>STX</v>
      </c>
      <c r="C281" t="s">
        <v>16</v>
      </c>
      <c r="D281" s="1">
        <v>43421</v>
      </c>
      <c r="E281" s="1">
        <v>43421</v>
      </c>
      <c r="F281" s="1">
        <v>43420</v>
      </c>
      <c r="G281" s="1">
        <v>43420</v>
      </c>
      <c r="H281" t="s">
        <v>9</v>
      </c>
      <c r="I281" t="s">
        <v>10</v>
      </c>
    </row>
    <row r="282" spans="1:9" x14ac:dyDescent="0.25">
      <c r="A282" t="s">
        <v>3559</v>
      </c>
      <c r="B282" s="26" t="str">
        <f>MID(tbl_forecast[[#This Row],[PACE Job Number]],3,3)</f>
        <v>STX</v>
      </c>
      <c r="C282" t="s">
        <v>16</v>
      </c>
      <c r="D282" s="1">
        <v>43420</v>
      </c>
      <c r="E282" s="1">
        <v>43434</v>
      </c>
      <c r="F282" s="1">
        <v>43431</v>
      </c>
      <c r="G282" s="1">
        <v>43431</v>
      </c>
      <c r="H282" t="s">
        <v>9</v>
      </c>
      <c r="I282" t="s">
        <v>10</v>
      </c>
    </row>
    <row r="283" spans="1:9" x14ac:dyDescent="0.25">
      <c r="A283" t="s">
        <v>5043</v>
      </c>
      <c r="B283" s="26" t="str">
        <f>MID(tbl_forecast[[#This Row],[PACE Job Number]],3,3)</f>
        <v>STX</v>
      </c>
      <c r="C283" t="s">
        <v>16</v>
      </c>
      <c r="D283" s="1">
        <v>43434</v>
      </c>
      <c r="E283" s="1">
        <v>36524</v>
      </c>
      <c r="F283" s="1">
        <v>43413</v>
      </c>
      <c r="G283" s="1">
        <v>43413</v>
      </c>
      <c r="H283" t="s">
        <v>9</v>
      </c>
      <c r="I283" t="s">
        <v>10</v>
      </c>
    </row>
    <row r="284" spans="1:9" x14ac:dyDescent="0.25">
      <c r="A284" t="s">
        <v>5044</v>
      </c>
      <c r="B284" s="26" t="str">
        <f>MID(tbl_forecast[[#This Row],[PACE Job Number]],3,3)</f>
        <v>STX</v>
      </c>
      <c r="C284" t="s">
        <v>16</v>
      </c>
      <c r="D284" s="1">
        <v>43434</v>
      </c>
      <c r="E284" s="1">
        <v>36524</v>
      </c>
      <c r="F284" s="1">
        <v>43434</v>
      </c>
      <c r="G284" s="1"/>
      <c r="H284" t="s">
        <v>9</v>
      </c>
      <c r="I284" t="s">
        <v>27</v>
      </c>
    </row>
    <row r="285" spans="1:9" x14ac:dyDescent="0.25">
      <c r="A285" t="s">
        <v>5045</v>
      </c>
      <c r="B285" s="26" t="str">
        <f>MID(tbl_forecast[[#This Row],[PACE Job Number]],3,3)</f>
        <v>STX</v>
      </c>
      <c r="C285" t="s">
        <v>16</v>
      </c>
      <c r="D285" s="1">
        <v>43420</v>
      </c>
      <c r="E285" s="1">
        <v>36524</v>
      </c>
      <c r="F285" s="1">
        <v>43420</v>
      </c>
      <c r="G285" s="1"/>
      <c r="H285" t="s">
        <v>9</v>
      </c>
      <c r="I285" t="s">
        <v>27</v>
      </c>
    </row>
    <row r="286" spans="1:9" x14ac:dyDescent="0.25">
      <c r="A286" t="s">
        <v>3560</v>
      </c>
      <c r="B286" s="26" t="str">
        <f>MID(tbl_forecast[[#This Row],[PACE Job Number]],3,3)</f>
        <v>STX</v>
      </c>
      <c r="C286" t="s">
        <v>16</v>
      </c>
      <c r="D286" s="1">
        <v>43420</v>
      </c>
      <c r="E286" s="1">
        <v>36524</v>
      </c>
      <c r="F286" s="1">
        <v>43434</v>
      </c>
      <c r="G286" s="1"/>
      <c r="H286" t="s">
        <v>9</v>
      </c>
      <c r="I286" t="s">
        <v>27</v>
      </c>
    </row>
    <row r="287" spans="1:9" x14ac:dyDescent="0.25">
      <c r="A287" t="s">
        <v>5046</v>
      </c>
      <c r="B287" s="26" t="str">
        <f>MID(tbl_forecast[[#This Row],[PACE Job Number]],3,3)</f>
        <v>STX</v>
      </c>
      <c r="C287" t="s">
        <v>16</v>
      </c>
      <c r="D287" s="1">
        <v>43406</v>
      </c>
      <c r="E287" s="1">
        <v>43406</v>
      </c>
      <c r="F287" s="1">
        <v>43404</v>
      </c>
      <c r="G287" s="1">
        <v>43404</v>
      </c>
      <c r="H287" t="s">
        <v>9</v>
      </c>
      <c r="I287" t="s">
        <v>10</v>
      </c>
    </row>
    <row r="288" spans="1:9" x14ac:dyDescent="0.25">
      <c r="A288" t="s">
        <v>5047</v>
      </c>
      <c r="B288" s="26" t="str">
        <f>MID(tbl_forecast[[#This Row],[PACE Job Number]],3,3)</f>
        <v>STX</v>
      </c>
      <c r="C288" t="s">
        <v>16</v>
      </c>
      <c r="D288" s="1">
        <v>43421</v>
      </c>
      <c r="E288" s="1">
        <v>43434</v>
      </c>
      <c r="F288" s="1">
        <v>43434</v>
      </c>
      <c r="G288" s="1">
        <v>43434</v>
      </c>
      <c r="H288" t="s">
        <v>9</v>
      </c>
      <c r="I288" t="s">
        <v>10</v>
      </c>
    </row>
    <row r="289" spans="1:9" x14ac:dyDescent="0.25">
      <c r="A289" t="s">
        <v>5048</v>
      </c>
      <c r="B289" s="26" t="str">
        <f>MID(tbl_forecast[[#This Row],[PACE Job Number]],3,3)</f>
        <v>STX</v>
      </c>
      <c r="C289" t="s">
        <v>16</v>
      </c>
      <c r="D289" s="1">
        <v>43421</v>
      </c>
      <c r="E289" s="1">
        <v>43421</v>
      </c>
      <c r="F289" s="1">
        <v>43421</v>
      </c>
      <c r="G289" s="1">
        <v>43421</v>
      </c>
      <c r="H289" t="s">
        <v>9</v>
      </c>
      <c r="I289" t="s">
        <v>10</v>
      </c>
    </row>
    <row r="290" spans="1:9" x14ac:dyDescent="0.25">
      <c r="A290" t="s">
        <v>5049</v>
      </c>
      <c r="B290" s="26" t="str">
        <f>MID(tbl_forecast[[#This Row],[PACE Job Number]],3,3)</f>
        <v>STX</v>
      </c>
      <c r="C290" t="s">
        <v>16</v>
      </c>
      <c r="D290" s="1">
        <v>43420</v>
      </c>
      <c r="E290" s="1">
        <v>36524</v>
      </c>
      <c r="F290" s="1">
        <v>43413</v>
      </c>
      <c r="G290" s="1">
        <v>43413</v>
      </c>
      <c r="H290" t="s">
        <v>9</v>
      </c>
      <c r="I290" t="s">
        <v>10</v>
      </c>
    </row>
    <row r="291" spans="1:9" x14ac:dyDescent="0.25">
      <c r="A291" t="s">
        <v>5050</v>
      </c>
      <c r="B291" s="26" t="str">
        <f>MID(tbl_forecast[[#This Row],[PACE Job Number]],3,3)</f>
        <v>STX</v>
      </c>
      <c r="C291" t="s">
        <v>16</v>
      </c>
      <c r="D291" s="1">
        <v>43434</v>
      </c>
      <c r="E291" s="1">
        <v>36524</v>
      </c>
      <c r="F291" s="1">
        <v>43434</v>
      </c>
      <c r="G291" s="1"/>
      <c r="H291" t="s">
        <v>9</v>
      </c>
      <c r="I291" t="s">
        <v>27</v>
      </c>
    </row>
    <row r="292" spans="1:9" x14ac:dyDescent="0.25">
      <c r="A292" t="s">
        <v>5051</v>
      </c>
      <c r="B292" s="26" t="str">
        <f>MID(tbl_forecast[[#This Row],[PACE Job Number]],3,3)</f>
        <v>STX</v>
      </c>
      <c r="C292" t="s">
        <v>16</v>
      </c>
      <c r="D292" s="1">
        <v>43434</v>
      </c>
      <c r="E292" s="1">
        <v>36524</v>
      </c>
      <c r="F292" s="1">
        <v>43434</v>
      </c>
      <c r="G292" s="1"/>
      <c r="H292" t="s">
        <v>9</v>
      </c>
      <c r="I292" t="s">
        <v>27</v>
      </c>
    </row>
    <row r="293" spans="1:9" x14ac:dyDescent="0.25">
      <c r="A293" t="s">
        <v>3561</v>
      </c>
      <c r="B293" s="26" t="str">
        <f>MID(tbl_forecast[[#This Row],[PACE Job Number]],3,3)</f>
        <v>STX</v>
      </c>
      <c r="C293" t="s">
        <v>16</v>
      </c>
      <c r="D293" s="1">
        <v>43427</v>
      </c>
      <c r="E293" s="1">
        <v>36524</v>
      </c>
      <c r="F293" s="1">
        <v>43413</v>
      </c>
      <c r="G293" s="1">
        <v>43413</v>
      </c>
      <c r="H293" t="s">
        <v>9</v>
      </c>
      <c r="I293" t="s">
        <v>10</v>
      </c>
    </row>
    <row r="294" spans="1:9" x14ac:dyDescent="0.25">
      <c r="A294" t="s">
        <v>5052</v>
      </c>
      <c r="B294" s="26" t="str">
        <f>MID(tbl_forecast[[#This Row],[PACE Job Number]],3,3)</f>
        <v>STX</v>
      </c>
      <c r="C294" t="s">
        <v>16</v>
      </c>
      <c r="D294" s="1">
        <v>43405</v>
      </c>
      <c r="E294" s="1">
        <v>36524</v>
      </c>
      <c r="F294" s="1">
        <v>43405</v>
      </c>
      <c r="G294" s="1">
        <v>43405</v>
      </c>
      <c r="H294" t="s">
        <v>9</v>
      </c>
      <c r="I294" t="s">
        <v>10</v>
      </c>
    </row>
    <row r="295" spans="1:9" x14ac:dyDescent="0.25">
      <c r="A295" t="s">
        <v>3562</v>
      </c>
      <c r="B295" s="26" t="str">
        <f>MID(tbl_forecast[[#This Row],[PACE Job Number]],3,3)</f>
        <v>STX</v>
      </c>
      <c r="C295" t="s">
        <v>16</v>
      </c>
      <c r="D295" s="1">
        <v>43434</v>
      </c>
      <c r="E295" s="1">
        <v>36524</v>
      </c>
      <c r="F295" s="1">
        <v>43434</v>
      </c>
      <c r="G295" s="1"/>
      <c r="H295" t="s">
        <v>9</v>
      </c>
      <c r="I295" t="s">
        <v>27</v>
      </c>
    </row>
    <row r="296" spans="1:9" x14ac:dyDescent="0.25">
      <c r="A296" t="s">
        <v>5053</v>
      </c>
      <c r="B296" s="26" t="str">
        <f>MID(tbl_forecast[[#This Row],[PACE Job Number]],3,3)</f>
        <v>STX</v>
      </c>
      <c r="C296" t="s">
        <v>16</v>
      </c>
      <c r="D296" s="1">
        <v>43434</v>
      </c>
      <c r="E296" s="1">
        <v>43434</v>
      </c>
      <c r="F296" s="1">
        <v>43423</v>
      </c>
      <c r="G296" s="1">
        <v>43423</v>
      </c>
      <c r="H296" t="s">
        <v>9</v>
      </c>
      <c r="I296" t="s">
        <v>10</v>
      </c>
    </row>
    <row r="297" spans="1:9" x14ac:dyDescent="0.25">
      <c r="A297" t="s">
        <v>5054</v>
      </c>
      <c r="B297" s="26" t="str">
        <f>MID(tbl_forecast[[#This Row],[PACE Job Number]],3,3)</f>
        <v>STX</v>
      </c>
      <c r="C297" t="s">
        <v>16</v>
      </c>
      <c r="D297" s="1">
        <v>43420</v>
      </c>
      <c r="E297" s="1">
        <v>43420</v>
      </c>
      <c r="F297" s="1">
        <v>43413</v>
      </c>
      <c r="G297" s="1">
        <v>43413</v>
      </c>
      <c r="H297" t="s">
        <v>9</v>
      </c>
      <c r="I297" t="s">
        <v>10</v>
      </c>
    </row>
    <row r="298" spans="1:9" x14ac:dyDescent="0.25">
      <c r="A298" t="s">
        <v>5055</v>
      </c>
      <c r="B298" s="26" t="str">
        <f>MID(tbl_forecast[[#This Row],[PACE Job Number]],3,3)</f>
        <v>STX</v>
      </c>
      <c r="C298" t="s">
        <v>16</v>
      </c>
      <c r="D298" s="1">
        <v>43434</v>
      </c>
      <c r="E298" s="1">
        <v>43448</v>
      </c>
      <c r="F298" s="1">
        <v>43434</v>
      </c>
      <c r="G298" s="1"/>
      <c r="H298" t="s">
        <v>9</v>
      </c>
      <c r="I298" t="s">
        <v>27</v>
      </c>
    </row>
    <row r="299" spans="1:9" x14ac:dyDescent="0.25">
      <c r="A299" t="s">
        <v>5056</v>
      </c>
      <c r="B299" s="26" t="str">
        <f>MID(tbl_forecast[[#This Row],[PACE Job Number]],3,3)</f>
        <v>NTX</v>
      </c>
      <c r="C299" t="s">
        <v>16</v>
      </c>
      <c r="D299" s="1">
        <v>43430</v>
      </c>
      <c r="E299" s="1">
        <v>43432</v>
      </c>
      <c r="F299" s="1">
        <v>43432</v>
      </c>
      <c r="G299" s="1"/>
      <c r="H299" t="s">
        <v>9</v>
      </c>
      <c r="I299" t="s">
        <v>27</v>
      </c>
    </row>
    <row r="300" spans="1:9" x14ac:dyDescent="0.25">
      <c r="A300" t="s">
        <v>5057</v>
      </c>
      <c r="B300" s="26" t="str">
        <f>MID(tbl_forecast[[#This Row],[PACE Job Number]],3,3)</f>
        <v>NTX</v>
      </c>
      <c r="C300" t="s">
        <v>16</v>
      </c>
      <c r="D300" s="1">
        <v>43409</v>
      </c>
      <c r="E300" s="1">
        <v>36524</v>
      </c>
      <c r="F300" s="1">
        <v>43449</v>
      </c>
      <c r="G300" s="1"/>
      <c r="H300" t="s">
        <v>4664</v>
      </c>
      <c r="I300" t="s">
        <v>4666</v>
      </c>
    </row>
    <row r="301" spans="1:9" x14ac:dyDescent="0.25">
      <c r="A301" t="s">
        <v>4162</v>
      </c>
      <c r="B301" s="26" t="str">
        <f>MID(tbl_forecast[[#This Row],[PACE Job Number]],3,3)</f>
        <v>NTX</v>
      </c>
      <c r="C301" t="s">
        <v>16</v>
      </c>
      <c r="D301" s="1">
        <v>43413</v>
      </c>
      <c r="E301" s="1">
        <v>43465</v>
      </c>
      <c r="F301" s="1">
        <v>43465</v>
      </c>
      <c r="G301" s="1"/>
      <c r="H301" t="s">
        <v>4664</v>
      </c>
      <c r="I301" t="s">
        <v>5645</v>
      </c>
    </row>
    <row r="302" spans="1:9" x14ac:dyDescent="0.25">
      <c r="A302" t="s">
        <v>5058</v>
      </c>
      <c r="B302" s="26" t="str">
        <f>MID(tbl_forecast[[#This Row],[PACE Job Number]],3,3)</f>
        <v>NTX</v>
      </c>
      <c r="C302" t="s">
        <v>16</v>
      </c>
      <c r="D302" s="1">
        <v>43434</v>
      </c>
      <c r="E302" s="1">
        <v>43434</v>
      </c>
      <c r="F302" s="1">
        <v>43424</v>
      </c>
      <c r="G302" s="1">
        <v>43424</v>
      </c>
      <c r="H302" t="s">
        <v>9</v>
      </c>
      <c r="I302" t="s">
        <v>10</v>
      </c>
    </row>
    <row r="303" spans="1:9" x14ac:dyDescent="0.25">
      <c r="A303" t="s">
        <v>5059</v>
      </c>
      <c r="B303" s="26" t="str">
        <f>MID(tbl_forecast[[#This Row],[PACE Job Number]],3,3)</f>
        <v>NTX</v>
      </c>
      <c r="C303" t="s">
        <v>16</v>
      </c>
      <c r="D303" s="1">
        <v>43434</v>
      </c>
      <c r="E303" s="1">
        <v>43434</v>
      </c>
      <c r="F303" s="1">
        <v>43426</v>
      </c>
      <c r="G303" s="1">
        <v>43426</v>
      </c>
      <c r="H303" t="s">
        <v>9</v>
      </c>
      <c r="I303" t="s">
        <v>10</v>
      </c>
    </row>
    <row r="304" spans="1:9" x14ac:dyDescent="0.25">
      <c r="A304" t="s">
        <v>4161</v>
      </c>
      <c r="B304" s="26" t="str">
        <f>MID(tbl_forecast[[#This Row],[PACE Job Number]],3,3)</f>
        <v>NTX</v>
      </c>
      <c r="C304" t="s">
        <v>16</v>
      </c>
      <c r="D304" s="1">
        <v>43420</v>
      </c>
      <c r="E304" s="1">
        <v>43450</v>
      </c>
      <c r="F304" s="1">
        <v>43450</v>
      </c>
      <c r="G304" s="1"/>
      <c r="H304" t="s">
        <v>4664</v>
      </c>
      <c r="I304" t="s">
        <v>5645</v>
      </c>
    </row>
    <row r="305" spans="1:9" x14ac:dyDescent="0.25">
      <c r="A305" t="s">
        <v>5060</v>
      </c>
      <c r="B305" s="26" t="str">
        <f>MID(tbl_forecast[[#This Row],[PACE Job Number]],3,3)</f>
        <v>NTX</v>
      </c>
      <c r="C305" t="s">
        <v>16</v>
      </c>
      <c r="D305" s="1">
        <v>43427</v>
      </c>
      <c r="E305" s="1">
        <v>43455</v>
      </c>
      <c r="F305" s="1">
        <v>43455</v>
      </c>
      <c r="G305" s="1"/>
      <c r="H305" t="s">
        <v>4664</v>
      </c>
      <c r="I305" t="s">
        <v>4665</v>
      </c>
    </row>
    <row r="306" spans="1:9" x14ac:dyDescent="0.25">
      <c r="A306" t="s">
        <v>4164</v>
      </c>
      <c r="B306" s="26" t="str">
        <f>MID(tbl_forecast[[#This Row],[PACE Job Number]],3,3)</f>
        <v>NTX</v>
      </c>
      <c r="C306" t="s">
        <v>16</v>
      </c>
      <c r="D306" s="1">
        <v>43420</v>
      </c>
      <c r="E306" s="1">
        <v>43450</v>
      </c>
      <c r="F306" s="1">
        <v>43450</v>
      </c>
      <c r="G306" s="1"/>
      <c r="H306" t="s">
        <v>4664</v>
      </c>
      <c r="I306" t="s">
        <v>5645</v>
      </c>
    </row>
    <row r="307" spans="1:9" x14ac:dyDescent="0.25">
      <c r="A307" t="s">
        <v>5061</v>
      </c>
      <c r="B307" s="26" t="str">
        <f>MID(tbl_forecast[[#This Row],[PACE Job Number]],3,3)</f>
        <v>NTX</v>
      </c>
      <c r="C307" t="s">
        <v>16</v>
      </c>
      <c r="D307" s="1">
        <v>43427</v>
      </c>
      <c r="E307" s="1">
        <v>43455</v>
      </c>
      <c r="F307" s="1">
        <v>43455</v>
      </c>
      <c r="G307" s="1"/>
      <c r="H307" t="s">
        <v>4664</v>
      </c>
      <c r="I307" t="s">
        <v>4665</v>
      </c>
    </row>
    <row r="308" spans="1:9" x14ac:dyDescent="0.25">
      <c r="A308" t="s">
        <v>4165</v>
      </c>
      <c r="B308" s="26" t="str">
        <f>MID(tbl_forecast[[#This Row],[PACE Job Number]],3,3)</f>
        <v>NTX</v>
      </c>
      <c r="C308" t="s">
        <v>16</v>
      </c>
      <c r="D308" s="1">
        <v>43420</v>
      </c>
      <c r="E308" s="1">
        <v>43450</v>
      </c>
      <c r="F308" s="1">
        <v>43450</v>
      </c>
      <c r="G308" s="1"/>
      <c r="H308" t="s">
        <v>4664</v>
      </c>
      <c r="I308" t="s">
        <v>5645</v>
      </c>
    </row>
    <row r="309" spans="1:9" x14ac:dyDescent="0.25">
      <c r="A309" t="s">
        <v>1682</v>
      </c>
      <c r="B309" s="26" t="str">
        <f>MID(tbl_forecast[[#This Row],[PACE Job Number]],3,3)</f>
        <v>NTX</v>
      </c>
      <c r="C309" t="s">
        <v>16</v>
      </c>
      <c r="D309" s="1">
        <v>43419</v>
      </c>
      <c r="E309" s="1">
        <v>43434</v>
      </c>
      <c r="F309" s="1">
        <v>43434</v>
      </c>
      <c r="G309" s="1"/>
      <c r="H309" t="s">
        <v>4664</v>
      </c>
      <c r="I309" t="s">
        <v>5645</v>
      </c>
    </row>
    <row r="310" spans="1:9" x14ac:dyDescent="0.25">
      <c r="A310" t="s">
        <v>5062</v>
      </c>
      <c r="B310" s="26" t="str">
        <f>MID(tbl_forecast[[#This Row],[PACE Job Number]],3,3)</f>
        <v>NTX</v>
      </c>
      <c r="C310" t="s">
        <v>16</v>
      </c>
      <c r="D310" s="1">
        <v>43426</v>
      </c>
      <c r="E310" s="1">
        <v>43430</v>
      </c>
      <c r="F310" s="1">
        <v>43424</v>
      </c>
      <c r="G310" s="1">
        <v>43424</v>
      </c>
      <c r="H310" t="s">
        <v>9</v>
      </c>
      <c r="I310" t="s">
        <v>10</v>
      </c>
    </row>
    <row r="311" spans="1:9" x14ac:dyDescent="0.25">
      <c r="A311" t="s">
        <v>1689</v>
      </c>
      <c r="B311" s="26" t="str">
        <f>MID(tbl_forecast[[#This Row],[PACE Job Number]],3,3)</f>
        <v>NTX</v>
      </c>
      <c r="C311" t="s">
        <v>16</v>
      </c>
      <c r="D311" s="1">
        <v>43419</v>
      </c>
      <c r="E311" s="1">
        <v>43434</v>
      </c>
      <c r="F311" s="1">
        <v>43434</v>
      </c>
      <c r="G311" s="1"/>
      <c r="H311" t="s">
        <v>4664</v>
      </c>
      <c r="I311" t="s">
        <v>5645</v>
      </c>
    </row>
    <row r="312" spans="1:9" x14ac:dyDescent="0.25">
      <c r="A312" t="s">
        <v>5063</v>
      </c>
      <c r="B312" s="26" t="str">
        <f>MID(tbl_forecast[[#This Row],[PACE Job Number]],3,3)</f>
        <v>WSH</v>
      </c>
      <c r="C312" t="s">
        <v>16</v>
      </c>
      <c r="D312" s="1">
        <v>43434</v>
      </c>
      <c r="E312" s="1">
        <v>36524</v>
      </c>
      <c r="F312" s="1">
        <v>43430</v>
      </c>
      <c r="G312" s="1">
        <v>43430</v>
      </c>
      <c r="H312" t="s">
        <v>9</v>
      </c>
      <c r="I312" t="s">
        <v>10</v>
      </c>
    </row>
    <row r="313" spans="1:9" x14ac:dyDescent="0.25">
      <c r="A313" t="s">
        <v>5064</v>
      </c>
      <c r="B313" s="26" t="str">
        <f>MID(tbl_forecast[[#This Row],[PACE Job Number]],3,3)</f>
        <v>WSH</v>
      </c>
      <c r="C313" t="s">
        <v>16</v>
      </c>
      <c r="D313" s="1">
        <v>43434</v>
      </c>
      <c r="E313" s="1">
        <v>36524</v>
      </c>
      <c r="F313" s="1">
        <v>43430</v>
      </c>
      <c r="G313" s="1">
        <v>43430</v>
      </c>
      <c r="H313" t="s">
        <v>9</v>
      </c>
      <c r="I313" t="s">
        <v>10</v>
      </c>
    </row>
    <row r="314" spans="1:9" x14ac:dyDescent="0.25">
      <c r="A314" t="s">
        <v>1696</v>
      </c>
      <c r="B314" s="26" t="str">
        <f>MID(tbl_forecast[[#This Row],[PACE Job Number]],3,3)</f>
        <v>ANM</v>
      </c>
      <c r="C314" t="s">
        <v>16</v>
      </c>
      <c r="D314" s="1">
        <v>43420</v>
      </c>
      <c r="E314" s="1">
        <v>36524</v>
      </c>
      <c r="F314" s="1">
        <v>43434</v>
      </c>
      <c r="G314" s="1"/>
      <c r="H314" t="s">
        <v>9</v>
      </c>
      <c r="I314" t="s">
        <v>27</v>
      </c>
    </row>
    <row r="315" spans="1:9" x14ac:dyDescent="0.25">
      <c r="A315" t="s">
        <v>5065</v>
      </c>
      <c r="B315" s="26" t="str">
        <f>MID(tbl_forecast[[#This Row],[PACE Job Number]],3,3)</f>
        <v>ANM</v>
      </c>
      <c r="C315" t="s">
        <v>16</v>
      </c>
      <c r="D315" s="1">
        <v>43420</v>
      </c>
      <c r="E315" s="1">
        <v>36524</v>
      </c>
      <c r="F315" s="1">
        <v>43441</v>
      </c>
      <c r="G315" s="1"/>
      <c r="H315" t="s">
        <v>4664</v>
      </c>
      <c r="I315" t="s">
        <v>4666</v>
      </c>
    </row>
    <row r="316" spans="1:9" x14ac:dyDescent="0.25">
      <c r="A316" t="s">
        <v>4153</v>
      </c>
      <c r="B316" s="26" t="str">
        <f>MID(tbl_forecast[[#This Row],[PACE Job Number]],3,3)</f>
        <v>ANM</v>
      </c>
      <c r="C316" t="s">
        <v>16</v>
      </c>
      <c r="D316" s="1">
        <v>43434</v>
      </c>
      <c r="E316" s="1">
        <v>36524</v>
      </c>
      <c r="F316" s="1">
        <v>43448</v>
      </c>
      <c r="G316" s="1"/>
      <c r="H316" t="s">
        <v>9</v>
      </c>
      <c r="I316" t="s">
        <v>27</v>
      </c>
    </row>
    <row r="317" spans="1:9" x14ac:dyDescent="0.25">
      <c r="A317" t="s">
        <v>1680</v>
      </c>
      <c r="B317" s="26" t="str">
        <f>MID(tbl_forecast[[#This Row],[PACE Job Number]],3,3)</f>
        <v>ANM</v>
      </c>
      <c r="C317" t="s">
        <v>16</v>
      </c>
      <c r="D317" s="1">
        <v>43420</v>
      </c>
      <c r="E317" s="1">
        <v>36524</v>
      </c>
      <c r="F317" s="1">
        <v>43434</v>
      </c>
      <c r="G317" s="1"/>
      <c r="H317" t="s">
        <v>9</v>
      </c>
      <c r="I317" t="s">
        <v>27</v>
      </c>
    </row>
    <row r="318" spans="1:9" x14ac:dyDescent="0.25">
      <c r="A318" t="s">
        <v>5066</v>
      </c>
      <c r="B318" s="26" t="str">
        <f>MID(tbl_forecast[[#This Row],[PACE Job Number]],3,3)</f>
        <v>ANM</v>
      </c>
      <c r="C318" t="s">
        <v>16</v>
      </c>
      <c r="D318" s="1">
        <v>43432</v>
      </c>
      <c r="E318" s="1">
        <v>36524</v>
      </c>
      <c r="F318" s="1">
        <v>43448</v>
      </c>
      <c r="G318" s="1"/>
      <c r="H318" t="s">
        <v>4664</v>
      </c>
      <c r="I318" t="s">
        <v>4666</v>
      </c>
    </row>
    <row r="319" spans="1:9" x14ac:dyDescent="0.25">
      <c r="A319" t="s">
        <v>4156</v>
      </c>
      <c r="B319" s="26" t="str">
        <f>MID(tbl_forecast[[#This Row],[PACE Job Number]],3,3)</f>
        <v>ANM</v>
      </c>
      <c r="C319" t="s">
        <v>16</v>
      </c>
      <c r="D319" s="1">
        <v>43434</v>
      </c>
      <c r="E319" s="1">
        <v>36524</v>
      </c>
      <c r="F319" s="1">
        <v>43448</v>
      </c>
      <c r="G319" s="1"/>
      <c r="H319" t="s">
        <v>9</v>
      </c>
      <c r="I319" t="s">
        <v>27</v>
      </c>
    </row>
    <row r="320" spans="1:9" x14ac:dyDescent="0.25">
      <c r="A320" t="s">
        <v>1694</v>
      </c>
      <c r="B320" s="26" t="str">
        <f>MID(tbl_forecast[[#This Row],[PACE Job Number]],3,3)</f>
        <v>ANM</v>
      </c>
      <c r="C320" t="s">
        <v>16</v>
      </c>
      <c r="D320" s="1">
        <v>43420</v>
      </c>
      <c r="E320" s="1">
        <v>36524</v>
      </c>
      <c r="F320" s="1">
        <v>43434</v>
      </c>
      <c r="G320" s="1"/>
      <c r="H320" t="s">
        <v>9</v>
      </c>
      <c r="I320" t="s">
        <v>27</v>
      </c>
    </row>
    <row r="321" spans="1:9" x14ac:dyDescent="0.25">
      <c r="A321" t="s">
        <v>5067</v>
      </c>
      <c r="B321" s="26" t="str">
        <f>MID(tbl_forecast[[#This Row],[PACE Job Number]],3,3)</f>
        <v>ANM</v>
      </c>
      <c r="C321" t="s">
        <v>16</v>
      </c>
      <c r="D321" s="1">
        <v>43420</v>
      </c>
      <c r="E321" s="1">
        <v>36524</v>
      </c>
      <c r="F321" s="1">
        <v>43441</v>
      </c>
      <c r="G321" s="1"/>
      <c r="H321" t="s">
        <v>4664</v>
      </c>
      <c r="I321" t="s">
        <v>4666</v>
      </c>
    </row>
    <row r="322" spans="1:9" x14ac:dyDescent="0.25">
      <c r="A322" t="s">
        <v>5068</v>
      </c>
      <c r="B322" s="26" t="str">
        <f>MID(tbl_forecast[[#This Row],[PACE Job Number]],3,3)</f>
        <v>ANM</v>
      </c>
      <c r="C322" t="s">
        <v>16</v>
      </c>
      <c r="D322" s="1">
        <v>43420</v>
      </c>
      <c r="E322" s="1">
        <v>36524</v>
      </c>
      <c r="F322" s="1">
        <v>43441</v>
      </c>
      <c r="G322" s="1"/>
      <c r="H322" t="s">
        <v>4664</v>
      </c>
      <c r="I322" t="s">
        <v>4666</v>
      </c>
    </row>
    <row r="323" spans="1:9" x14ac:dyDescent="0.25">
      <c r="A323" t="s">
        <v>5069</v>
      </c>
      <c r="B323" s="26" t="str">
        <f>MID(tbl_forecast[[#This Row],[PACE Job Number]],3,3)</f>
        <v>ANM</v>
      </c>
      <c r="C323" t="s">
        <v>16</v>
      </c>
      <c r="D323" s="1">
        <v>43432</v>
      </c>
      <c r="E323" s="1">
        <v>36524</v>
      </c>
      <c r="F323" s="1">
        <v>43448</v>
      </c>
      <c r="G323" s="1"/>
      <c r="H323" t="s">
        <v>4664</v>
      </c>
      <c r="I323" t="s">
        <v>4666</v>
      </c>
    </row>
    <row r="324" spans="1:9" x14ac:dyDescent="0.25">
      <c r="A324" t="s">
        <v>2699</v>
      </c>
      <c r="B324" s="26" t="str">
        <f>MID(tbl_forecast[[#This Row],[PACE Job Number]],3,3)</f>
        <v>STX</v>
      </c>
      <c r="C324" t="s">
        <v>16</v>
      </c>
      <c r="D324" s="1">
        <v>43420</v>
      </c>
      <c r="E324" s="1">
        <v>43420</v>
      </c>
      <c r="F324" s="1">
        <v>43418</v>
      </c>
      <c r="G324" s="1">
        <v>43418</v>
      </c>
      <c r="H324" t="s">
        <v>9</v>
      </c>
      <c r="I324" t="s">
        <v>10</v>
      </c>
    </row>
    <row r="325" spans="1:9" x14ac:dyDescent="0.25">
      <c r="A325" t="s">
        <v>2714</v>
      </c>
      <c r="B325" s="26" t="str">
        <f>MID(tbl_forecast[[#This Row],[PACE Job Number]],3,3)</f>
        <v>STX</v>
      </c>
      <c r="C325" t="s">
        <v>16</v>
      </c>
      <c r="D325" s="1">
        <v>43413</v>
      </c>
      <c r="E325" s="1">
        <v>43413</v>
      </c>
      <c r="F325" s="1">
        <v>43418</v>
      </c>
      <c r="G325" s="1">
        <v>43418</v>
      </c>
      <c r="H325" t="s">
        <v>9</v>
      </c>
      <c r="I325" t="s">
        <v>10</v>
      </c>
    </row>
    <row r="326" spans="1:9" x14ac:dyDescent="0.25">
      <c r="A326" t="s">
        <v>5070</v>
      </c>
      <c r="B326" s="26" t="str">
        <f>MID(tbl_forecast[[#This Row],[PACE Job Number]],3,3)</f>
        <v>STX</v>
      </c>
      <c r="C326" t="s">
        <v>16</v>
      </c>
      <c r="D326" s="1">
        <v>43419</v>
      </c>
      <c r="E326" s="1">
        <v>43434</v>
      </c>
      <c r="F326" s="1">
        <v>43434</v>
      </c>
      <c r="G326" s="1">
        <v>43434</v>
      </c>
      <c r="H326" t="s">
        <v>4664</v>
      </c>
      <c r="I326" t="s">
        <v>10</v>
      </c>
    </row>
    <row r="327" spans="1:9" x14ac:dyDescent="0.25">
      <c r="A327" t="s">
        <v>5071</v>
      </c>
      <c r="B327" s="26" t="str">
        <f>MID(tbl_forecast[[#This Row],[PACE Job Number]],3,3)</f>
        <v>STX</v>
      </c>
      <c r="C327" t="s">
        <v>16</v>
      </c>
      <c r="D327" s="1">
        <v>43434</v>
      </c>
      <c r="E327" s="1">
        <v>43434</v>
      </c>
      <c r="F327" s="1">
        <v>43434</v>
      </c>
      <c r="G327" s="1">
        <v>43433</v>
      </c>
      <c r="H327" t="s">
        <v>9</v>
      </c>
      <c r="I327" t="s">
        <v>10</v>
      </c>
    </row>
    <row r="328" spans="1:9" x14ac:dyDescent="0.25">
      <c r="A328" t="s">
        <v>5072</v>
      </c>
      <c r="B328" s="26" t="str">
        <f>MID(tbl_forecast[[#This Row],[PACE Job Number]],3,3)</f>
        <v>WSH</v>
      </c>
      <c r="C328" t="s">
        <v>16</v>
      </c>
      <c r="D328" s="1">
        <v>43434</v>
      </c>
      <c r="E328" s="1">
        <v>36524</v>
      </c>
      <c r="F328" s="1">
        <v>43432</v>
      </c>
      <c r="G328" s="1">
        <v>43432</v>
      </c>
      <c r="H328" t="s">
        <v>9</v>
      </c>
      <c r="I328" t="s">
        <v>10</v>
      </c>
    </row>
    <row r="329" spans="1:9" x14ac:dyDescent="0.25">
      <c r="A329" t="s">
        <v>5073</v>
      </c>
      <c r="B329" s="26" t="str">
        <f>MID(tbl_forecast[[#This Row],[PACE Job Number]],3,3)</f>
        <v>WSH</v>
      </c>
      <c r="C329" t="s">
        <v>16</v>
      </c>
      <c r="D329" s="1">
        <v>43434</v>
      </c>
      <c r="E329" s="1">
        <v>36524</v>
      </c>
      <c r="F329" s="1">
        <v>43430</v>
      </c>
      <c r="G329" s="1">
        <v>43430</v>
      </c>
      <c r="H329" t="s">
        <v>9</v>
      </c>
      <c r="I329" t="s">
        <v>10</v>
      </c>
    </row>
    <row r="330" spans="1:9" x14ac:dyDescent="0.25">
      <c r="A330" t="s">
        <v>3832</v>
      </c>
      <c r="B330" s="26" t="str">
        <f>MID(tbl_forecast[[#This Row],[PACE Job Number]],3,3)</f>
        <v>WSH</v>
      </c>
      <c r="C330" t="s">
        <v>16</v>
      </c>
      <c r="D330" s="1">
        <v>43405</v>
      </c>
      <c r="E330" s="1">
        <v>36524</v>
      </c>
      <c r="F330" s="1">
        <v>43437</v>
      </c>
      <c r="G330" s="1"/>
      <c r="H330" t="s">
        <v>4664</v>
      </c>
      <c r="I330" t="s">
        <v>4666</v>
      </c>
    </row>
    <row r="331" spans="1:9" x14ac:dyDescent="0.25">
      <c r="A331" t="s">
        <v>5074</v>
      </c>
      <c r="B331" s="26" t="str">
        <f>MID(tbl_forecast[[#This Row],[PACE Job Number]],3,3)</f>
        <v>WSH</v>
      </c>
      <c r="C331" t="s">
        <v>16</v>
      </c>
      <c r="D331" s="1">
        <v>43420</v>
      </c>
      <c r="E331" s="1">
        <v>36524</v>
      </c>
      <c r="F331" s="1">
        <v>43419</v>
      </c>
      <c r="G331" s="1">
        <v>43419</v>
      </c>
      <c r="H331" t="s">
        <v>9</v>
      </c>
      <c r="I331" t="s">
        <v>10</v>
      </c>
    </row>
    <row r="332" spans="1:9" x14ac:dyDescent="0.25">
      <c r="A332" t="s">
        <v>4140</v>
      </c>
      <c r="B332" s="26" t="str">
        <f>MID(tbl_forecast[[#This Row],[PACE Job Number]],3,3)</f>
        <v>NTX</v>
      </c>
      <c r="C332" t="s">
        <v>16</v>
      </c>
      <c r="D332" s="1">
        <v>43405</v>
      </c>
      <c r="E332" s="1">
        <v>43410</v>
      </c>
      <c r="F332" s="1">
        <v>43405</v>
      </c>
      <c r="G332" s="1">
        <v>43405</v>
      </c>
      <c r="H332" t="s">
        <v>9</v>
      </c>
      <c r="I332" t="s">
        <v>10</v>
      </c>
    </row>
    <row r="333" spans="1:9" x14ac:dyDescent="0.25">
      <c r="A333" t="s">
        <v>1901</v>
      </c>
      <c r="B333" s="26" t="str">
        <f>MID(tbl_forecast[[#This Row],[PACE Job Number]],3,3)</f>
        <v>NTX</v>
      </c>
      <c r="C333" t="s">
        <v>16</v>
      </c>
      <c r="D333" s="1">
        <v>43427</v>
      </c>
      <c r="E333" s="1">
        <v>43430</v>
      </c>
      <c r="F333" s="1">
        <v>43408</v>
      </c>
      <c r="G333" s="1">
        <v>43408</v>
      </c>
      <c r="H333" t="s">
        <v>9</v>
      </c>
      <c r="I333" t="s">
        <v>10</v>
      </c>
    </row>
    <row r="334" spans="1:9" x14ac:dyDescent="0.25">
      <c r="A334" t="s">
        <v>5075</v>
      </c>
      <c r="B334" s="26" t="str">
        <f>MID(tbl_forecast[[#This Row],[PACE Job Number]],3,3)</f>
        <v>NTX</v>
      </c>
      <c r="C334" t="s">
        <v>16</v>
      </c>
      <c r="D334" s="1">
        <v>43405</v>
      </c>
      <c r="E334" s="1">
        <v>43434</v>
      </c>
      <c r="F334" s="1">
        <v>43405</v>
      </c>
      <c r="G334" s="1">
        <v>43405</v>
      </c>
      <c r="H334" t="s">
        <v>9</v>
      </c>
      <c r="I334" t="s">
        <v>10</v>
      </c>
    </row>
    <row r="335" spans="1:9" x14ac:dyDescent="0.25">
      <c r="A335" t="s">
        <v>5076</v>
      </c>
      <c r="B335" s="26" t="str">
        <f>MID(tbl_forecast[[#This Row],[PACE Job Number]],3,3)</f>
        <v>NTX</v>
      </c>
      <c r="C335" t="s">
        <v>16</v>
      </c>
      <c r="D335" s="1">
        <v>43406</v>
      </c>
      <c r="E335" s="1">
        <v>43434</v>
      </c>
      <c r="F335" s="1">
        <v>43417</v>
      </c>
      <c r="G335" s="1">
        <v>43417</v>
      </c>
      <c r="H335" t="s">
        <v>9</v>
      </c>
      <c r="I335" t="s">
        <v>10</v>
      </c>
    </row>
    <row r="336" spans="1:9" x14ac:dyDescent="0.25">
      <c r="A336" t="s">
        <v>5077</v>
      </c>
      <c r="B336" s="26" t="str">
        <f>MID(tbl_forecast[[#This Row],[PACE Job Number]],3,3)</f>
        <v>WSH</v>
      </c>
      <c r="C336" t="s">
        <v>16</v>
      </c>
      <c r="D336" s="1">
        <v>43420</v>
      </c>
      <c r="E336" s="1">
        <v>36524</v>
      </c>
      <c r="F336" s="1">
        <v>43424</v>
      </c>
      <c r="G336" s="1">
        <v>43424</v>
      </c>
      <c r="H336" t="s">
        <v>9</v>
      </c>
      <c r="I336" t="s">
        <v>10</v>
      </c>
    </row>
    <row r="337" spans="1:9" x14ac:dyDescent="0.25">
      <c r="A337" t="s">
        <v>5078</v>
      </c>
      <c r="B337" s="26" t="str">
        <f>MID(tbl_forecast[[#This Row],[PACE Job Number]],3,3)</f>
        <v>WSH</v>
      </c>
      <c r="C337" t="s">
        <v>16</v>
      </c>
      <c r="D337" s="1">
        <v>43430</v>
      </c>
      <c r="E337" s="1">
        <v>36524</v>
      </c>
      <c r="F337" s="1">
        <v>43413</v>
      </c>
      <c r="G337" s="1">
        <v>43413</v>
      </c>
      <c r="H337" t="s">
        <v>9</v>
      </c>
      <c r="I337" t="s">
        <v>10</v>
      </c>
    </row>
    <row r="338" spans="1:9" x14ac:dyDescent="0.25">
      <c r="A338" t="s">
        <v>5079</v>
      </c>
      <c r="B338" s="26" t="str">
        <f>MID(tbl_forecast[[#This Row],[PACE Job Number]],3,3)</f>
        <v>WSH</v>
      </c>
      <c r="C338" t="s">
        <v>16</v>
      </c>
      <c r="D338" s="1">
        <v>43420</v>
      </c>
      <c r="E338" s="1">
        <v>36524</v>
      </c>
      <c r="F338" s="1">
        <v>43427</v>
      </c>
      <c r="G338" s="1"/>
      <c r="H338" t="s">
        <v>9</v>
      </c>
      <c r="I338" t="s">
        <v>27</v>
      </c>
    </row>
    <row r="339" spans="1:9" x14ac:dyDescent="0.25">
      <c r="A339" t="s">
        <v>3838</v>
      </c>
      <c r="B339" s="26" t="str">
        <f>MID(tbl_forecast[[#This Row],[PACE Job Number]],3,3)</f>
        <v>WSH</v>
      </c>
      <c r="C339" t="s">
        <v>16</v>
      </c>
      <c r="D339" s="1">
        <v>43406</v>
      </c>
      <c r="E339" s="1">
        <v>36524</v>
      </c>
      <c r="F339" s="1">
        <v>43406</v>
      </c>
      <c r="G339" s="1">
        <v>43406</v>
      </c>
      <c r="H339" t="s">
        <v>9</v>
      </c>
      <c r="I339" t="s">
        <v>10</v>
      </c>
    </row>
    <row r="340" spans="1:9" x14ac:dyDescent="0.25">
      <c r="A340" t="s">
        <v>4158</v>
      </c>
      <c r="B340" s="26" t="str">
        <f>MID(tbl_forecast[[#This Row],[PACE Job Number]],3,3)</f>
        <v>WSH</v>
      </c>
      <c r="C340" t="s">
        <v>16</v>
      </c>
      <c r="D340" s="1">
        <v>43434</v>
      </c>
      <c r="E340" s="1">
        <v>36524</v>
      </c>
      <c r="F340" s="1">
        <v>43417</v>
      </c>
      <c r="G340" s="1">
        <v>43417</v>
      </c>
      <c r="H340" t="s">
        <v>9</v>
      </c>
      <c r="I340" t="s">
        <v>10</v>
      </c>
    </row>
    <row r="341" spans="1:9" x14ac:dyDescent="0.25">
      <c r="A341" t="s">
        <v>5080</v>
      </c>
      <c r="B341" s="26" t="str">
        <f>MID(tbl_forecast[[#This Row],[PACE Job Number]],3,3)</f>
        <v>STX</v>
      </c>
      <c r="C341" t="s">
        <v>16</v>
      </c>
      <c r="D341" s="1">
        <v>43434</v>
      </c>
      <c r="E341" s="1">
        <v>43434</v>
      </c>
      <c r="F341" s="1">
        <v>43434</v>
      </c>
      <c r="G341" s="1"/>
      <c r="H341" t="s">
        <v>9</v>
      </c>
      <c r="I341" t="s">
        <v>27</v>
      </c>
    </row>
    <row r="342" spans="1:9" x14ac:dyDescent="0.25">
      <c r="A342" t="s">
        <v>3413</v>
      </c>
      <c r="B342" s="26" t="str">
        <f>MID(tbl_forecast[[#This Row],[PACE Job Number]],3,3)</f>
        <v>STX</v>
      </c>
      <c r="C342" t="s">
        <v>16</v>
      </c>
      <c r="D342" s="1">
        <v>43427</v>
      </c>
      <c r="E342" s="1">
        <v>43427</v>
      </c>
      <c r="F342" s="1">
        <v>43418</v>
      </c>
      <c r="G342" s="1">
        <v>43418</v>
      </c>
      <c r="H342" t="s">
        <v>9</v>
      </c>
      <c r="I342" t="s">
        <v>10</v>
      </c>
    </row>
    <row r="343" spans="1:9" x14ac:dyDescent="0.25">
      <c r="A343" t="s">
        <v>5081</v>
      </c>
      <c r="B343" s="26" t="str">
        <f>MID(tbl_forecast[[#This Row],[PACE Job Number]],3,3)</f>
        <v>STX</v>
      </c>
      <c r="C343" t="s">
        <v>16</v>
      </c>
      <c r="D343" s="1">
        <v>43434</v>
      </c>
      <c r="E343" s="1">
        <v>36524</v>
      </c>
      <c r="F343" s="1">
        <v>43413</v>
      </c>
      <c r="G343" s="1">
        <v>43413</v>
      </c>
      <c r="H343" t="s">
        <v>9</v>
      </c>
      <c r="I343" t="s">
        <v>10</v>
      </c>
    </row>
    <row r="344" spans="1:9" x14ac:dyDescent="0.25">
      <c r="A344" t="s">
        <v>5082</v>
      </c>
      <c r="B344" s="26" t="str">
        <f>MID(tbl_forecast[[#This Row],[PACE Job Number]],3,3)</f>
        <v>STX</v>
      </c>
      <c r="C344" t="s">
        <v>16</v>
      </c>
      <c r="D344" s="1">
        <v>43434</v>
      </c>
      <c r="E344" s="1">
        <v>43434</v>
      </c>
      <c r="F344" s="1">
        <v>43423</v>
      </c>
      <c r="G344" s="1">
        <v>43423</v>
      </c>
      <c r="H344" t="s">
        <v>9</v>
      </c>
      <c r="I344" t="s">
        <v>10</v>
      </c>
    </row>
    <row r="345" spans="1:9" x14ac:dyDescent="0.25">
      <c r="A345" t="s">
        <v>3563</v>
      </c>
      <c r="B345" s="26" t="str">
        <f>MID(tbl_forecast[[#This Row],[PACE Job Number]],3,3)</f>
        <v>STX</v>
      </c>
      <c r="C345" t="s">
        <v>16</v>
      </c>
      <c r="D345" s="1">
        <v>43421</v>
      </c>
      <c r="E345" s="1">
        <v>43421</v>
      </c>
      <c r="F345" s="1">
        <v>43419</v>
      </c>
      <c r="G345" s="1">
        <v>43419</v>
      </c>
      <c r="H345" t="s">
        <v>9</v>
      </c>
      <c r="I345" t="s">
        <v>10</v>
      </c>
    </row>
    <row r="346" spans="1:9" x14ac:dyDescent="0.25">
      <c r="A346" t="s">
        <v>5083</v>
      </c>
      <c r="B346" s="26" t="str">
        <f>MID(tbl_forecast[[#This Row],[PACE Job Number]],3,3)</f>
        <v>STX</v>
      </c>
      <c r="C346" t="s">
        <v>16</v>
      </c>
      <c r="D346" s="1">
        <v>43421</v>
      </c>
      <c r="E346" s="1">
        <v>43431</v>
      </c>
      <c r="F346" s="1">
        <v>43431</v>
      </c>
      <c r="G346" s="1">
        <v>43431</v>
      </c>
      <c r="H346" t="s">
        <v>9</v>
      </c>
      <c r="I346" t="s">
        <v>10</v>
      </c>
    </row>
    <row r="347" spans="1:9" x14ac:dyDescent="0.25">
      <c r="A347" t="s">
        <v>5084</v>
      </c>
      <c r="B347" s="26" t="str">
        <f>MID(tbl_forecast[[#This Row],[PACE Job Number]],3,3)</f>
        <v>STX</v>
      </c>
      <c r="C347" t="s">
        <v>16</v>
      </c>
      <c r="D347" s="1">
        <v>43421</v>
      </c>
      <c r="E347" s="1">
        <v>43421</v>
      </c>
      <c r="F347" s="1">
        <v>43418</v>
      </c>
      <c r="G347" s="1">
        <v>43418</v>
      </c>
      <c r="H347" t="s">
        <v>9</v>
      </c>
      <c r="I347" t="s">
        <v>10</v>
      </c>
    </row>
    <row r="348" spans="1:9" x14ac:dyDescent="0.25">
      <c r="A348" t="s">
        <v>5085</v>
      </c>
      <c r="B348" s="26" t="str">
        <f>MID(tbl_forecast[[#This Row],[PACE Job Number]],3,3)</f>
        <v>STX</v>
      </c>
      <c r="C348" t="s">
        <v>16</v>
      </c>
      <c r="D348" s="1">
        <v>43420</v>
      </c>
      <c r="E348" s="1">
        <v>43420</v>
      </c>
      <c r="F348" s="1">
        <v>43413</v>
      </c>
      <c r="G348" s="1">
        <v>43413</v>
      </c>
      <c r="H348" t="s">
        <v>9</v>
      </c>
      <c r="I348" t="s">
        <v>10</v>
      </c>
    </row>
    <row r="349" spans="1:9" x14ac:dyDescent="0.25">
      <c r="A349" t="s">
        <v>5086</v>
      </c>
      <c r="B349" s="26" t="str">
        <f>MID(tbl_forecast[[#This Row],[PACE Job Number]],3,3)</f>
        <v>STX</v>
      </c>
      <c r="C349" t="s">
        <v>16</v>
      </c>
      <c r="D349" s="1">
        <v>43434</v>
      </c>
      <c r="E349" s="1">
        <v>36524</v>
      </c>
      <c r="F349" s="1">
        <v>43434</v>
      </c>
      <c r="G349" s="1"/>
      <c r="H349" t="s">
        <v>9</v>
      </c>
      <c r="I349" t="s">
        <v>27</v>
      </c>
    </row>
    <row r="350" spans="1:9" x14ac:dyDescent="0.25">
      <c r="A350" t="s">
        <v>5087</v>
      </c>
      <c r="B350" s="26" t="str">
        <f>MID(tbl_forecast[[#This Row],[PACE Job Number]],3,3)</f>
        <v>STX</v>
      </c>
      <c r="C350" t="s">
        <v>16</v>
      </c>
      <c r="D350" s="1">
        <v>43421</v>
      </c>
      <c r="E350" s="1">
        <v>43434</v>
      </c>
      <c r="F350" s="1">
        <v>43434</v>
      </c>
      <c r="G350" s="1"/>
      <c r="H350" t="s">
        <v>9</v>
      </c>
      <c r="I350" t="s">
        <v>27</v>
      </c>
    </row>
    <row r="351" spans="1:9" x14ac:dyDescent="0.25">
      <c r="A351" t="s">
        <v>3564</v>
      </c>
      <c r="B351" s="26" t="str">
        <f>MID(tbl_forecast[[#This Row],[PACE Job Number]],3,3)</f>
        <v>STX</v>
      </c>
      <c r="C351" t="s">
        <v>16</v>
      </c>
      <c r="D351" s="1">
        <v>43420</v>
      </c>
      <c r="E351" s="1">
        <v>43420</v>
      </c>
      <c r="F351" s="1">
        <v>43420</v>
      </c>
      <c r="G351" s="1">
        <v>43420</v>
      </c>
      <c r="H351" t="s">
        <v>9</v>
      </c>
      <c r="I351" t="s">
        <v>10</v>
      </c>
    </row>
    <row r="352" spans="1:9" x14ac:dyDescent="0.25">
      <c r="A352" t="s">
        <v>5088</v>
      </c>
      <c r="B352" s="26" t="str">
        <f>MID(tbl_forecast[[#This Row],[PACE Job Number]],3,3)</f>
        <v>STX</v>
      </c>
      <c r="C352" t="s">
        <v>16</v>
      </c>
      <c r="D352" s="1">
        <v>43420</v>
      </c>
      <c r="E352" s="1">
        <v>43420</v>
      </c>
      <c r="F352" s="1">
        <v>43413</v>
      </c>
      <c r="G352" s="1">
        <v>43413</v>
      </c>
      <c r="H352" t="s">
        <v>9</v>
      </c>
      <c r="I352" t="s">
        <v>10</v>
      </c>
    </row>
    <row r="353" spans="1:9" x14ac:dyDescent="0.25">
      <c r="A353" t="s">
        <v>5089</v>
      </c>
      <c r="B353" s="26" t="str">
        <f>MID(tbl_forecast[[#This Row],[PACE Job Number]],3,3)</f>
        <v>STX</v>
      </c>
      <c r="C353" t="s">
        <v>16</v>
      </c>
      <c r="D353" s="1">
        <v>43420</v>
      </c>
      <c r="E353" s="1">
        <v>36524</v>
      </c>
      <c r="F353" s="1">
        <v>43413</v>
      </c>
      <c r="G353" s="1">
        <v>43413</v>
      </c>
      <c r="H353" t="s">
        <v>9</v>
      </c>
      <c r="I353" t="s">
        <v>10</v>
      </c>
    </row>
    <row r="354" spans="1:9" x14ac:dyDescent="0.25">
      <c r="A354" t="s">
        <v>5090</v>
      </c>
      <c r="B354" s="26" t="str">
        <f>MID(tbl_forecast[[#This Row],[PACE Job Number]],3,3)</f>
        <v>STX</v>
      </c>
      <c r="C354" t="s">
        <v>16</v>
      </c>
      <c r="D354" s="1">
        <v>43420</v>
      </c>
      <c r="E354" s="1">
        <v>36524</v>
      </c>
      <c r="F354" s="1">
        <v>43420</v>
      </c>
      <c r="G354" s="1"/>
      <c r="H354" t="s">
        <v>9</v>
      </c>
      <c r="I354" t="s">
        <v>27</v>
      </c>
    </row>
    <row r="355" spans="1:9" x14ac:dyDescent="0.25">
      <c r="A355" t="s">
        <v>2274</v>
      </c>
      <c r="B355" s="26" t="str">
        <f>MID(tbl_forecast[[#This Row],[PACE Job Number]],3,3)</f>
        <v>NTX</v>
      </c>
      <c r="C355" t="s">
        <v>16</v>
      </c>
      <c r="D355" s="1">
        <v>43420</v>
      </c>
      <c r="E355" s="1">
        <v>43476</v>
      </c>
      <c r="F355" s="1">
        <v>43420</v>
      </c>
      <c r="G355" s="1"/>
      <c r="H355" t="s">
        <v>9</v>
      </c>
      <c r="I355" t="s">
        <v>44</v>
      </c>
    </row>
    <row r="356" spans="1:9" x14ac:dyDescent="0.25">
      <c r="A356" t="s">
        <v>2297</v>
      </c>
      <c r="B356" s="26" t="str">
        <f>MID(tbl_forecast[[#This Row],[PACE Job Number]],3,3)</f>
        <v>NTX</v>
      </c>
      <c r="C356" t="s">
        <v>16</v>
      </c>
      <c r="D356" s="1">
        <v>43420</v>
      </c>
      <c r="E356" s="1">
        <v>43476</v>
      </c>
      <c r="F356" s="1">
        <v>43420</v>
      </c>
      <c r="G356" s="1"/>
      <c r="H356" t="s">
        <v>9</v>
      </c>
      <c r="I356" t="s">
        <v>44</v>
      </c>
    </row>
    <row r="357" spans="1:9" x14ac:dyDescent="0.25">
      <c r="A357" t="s">
        <v>5091</v>
      </c>
      <c r="B357" s="26" t="str">
        <f>MID(tbl_forecast[[#This Row],[PACE Job Number]],3,3)</f>
        <v>NTX</v>
      </c>
      <c r="C357" t="s">
        <v>16</v>
      </c>
      <c r="D357" s="1">
        <v>43427</v>
      </c>
      <c r="E357" s="1">
        <v>43455</v>
      </c>
      <c r="F357" s="1">
        <v>43455</v>
      </c>
      <c r="G357" s="1"/>
      <c r="H357" t="s">
        <v>4664</v>
      </c>
      <c r="I357" t="s">
        <v>4665</v>
      </c>
    </row>
    <row r="358" spans="1:9" x14ac:dyDescent="0.25">
      <c r="A358" t="s">
        <v>4172</v>
      </c>
      <c r="B358" s="26" t="str">
        <f>MID(tbl_forecast[[#This Row],[PACE Job Number]],3,3)</f>
        <v>NTX</v>
      </c>
      <c r="C358" t="s">
        <v>16</v>
      </c>
      <c r="D358" s="1">
        <v>43420</v>
      </c>
      <c r="E358" s="1">
        <v>43450</v>
      </c>
      <c r="F358" s="1">
        <v>43450</v>
      </c>
      <c r="G358" s="1"/>
      <c r="H358" t="s">
        <v>4664</v>
      </c>
      <c r="I358" t="s">
        <v>5645</v>
      </c>
    </row>
    <row r="359" spans="1:9" x14ac:dyDescent="0.25">
      <c r="A359" t="s">
        <v>4173</v>
      </c>
      <c r="B359" s="26" t="str">
        <f>MID(tbl_forecast[[#This Row],[PACE Job Number]],3,3)</f>
        <v>NTX</v>
      </c>
      <c r="C359" t="s">
        <v>16</v>
      </c>
      <c r="D359" s="1">
        <v>43426</v>
      </c>
      <c r="E359" s="1">
        <v>43434</v>
      </c>
      <c r="F359" s="1">
        <v>43434</v>
      </c>
      <c r="G359" s="1"/>
      <c r="H359" t="s">
        <v>9</v>
      </c>
      <c r="I359" t="s">
        <v>27</v>
      </c>
    </row>
    <row r="360" spans="1:9" x14ac:dyDescent="0.25">
      <c r="A360" t="s">
        <v>5092</v>
      </c>
      <c r="B360" s="26" t="str">
        <f>MID(tbl_forecast[[#This Row],[PACE Job Number]],3,3)</f>
        <v>NTX</v>
      </c>
      <c r="C360" t="s">
        <v>16</v>
      </c>
      <c r="D360" s="1">
        <v>43409</v>
      </c>
      <c r="E360" s="1">
        <v>36524</v>
      </c>
      <c r="F360" s="1">
        <v>43449</v>
      </c>
      <c r="G360" s="1"/>
      <c r="H360" t="s">
        <v>4664</v>
      </c>
      <c r="I360" t="s">
        <v>4666</v>
      </c>
    </row>
    <row r="361" spans="1:9" x14ac:dyDescent="0.25">
      <c r="A361" t="s">
        <v>5093</v>
      </c>
      <c r="B361" s="26" t="str">
        <f>MID(tbl_forecast[[#This Row],[PACE Job Number]],3,3)</f>
        <v>NTX</v>
      </c>
      <c r="C361" t="s">
        <v>16</v>
      </c>
      <c r="D361" s="1">
        <v>43430</v>
      </c>
      <c r="E361" s="1">
        <v>43432</v>
      </c>
      <c r="F361" s="1">
        <v>43432</v>
      </c>
      <c r="G361" s="1"/>
      <c r="H361" t="s">
        <v>9</v>
      </c>
      <c r="I361" t="s">
        <v>27</v>
      </c>
    </row>
    <row r="362" spans="1:9" x14ac:dyDescent="0.25">
      <c r="A362" t="s">
        <v>5094</v>
      </c>
      <c r="B362" s="26" t="str">
        <f>MID(tbl_forecast[[#This Row],[PACE Job Number]],3,3)</f>
        <v>NTX</v>
      </c>
      <c r="C362" t="s">
        <v>16</v>
      </c>
      <c r="D362" s="1">
        <v>43409</v>
      </c>
      <c r="E362" s="1">
        <v>36524</v>
      </c>
      <c r="F362" s="1">
        <v>43449</v>
      </c>
      <c r="G362" s="1"/>
      <c r="H362" t="s">
        <v>4664</v>
      </c>
      <c r="I362" t="s">
        <v>4666</v>
      </c>
    </row>
    <row r="363" spans="1:9" x14ac:dyDescent="0.25">
      <c r="A363" t="s">
        <v>5095</v>
      </c>
      <c r="B363" s="26" t="str">
        <f>MID(tbl_forecast[[#This Row],[PACE Job Number]],3,3)</f>
        <v>WSH</v>
      </c>
      <c r="C363" t="s">
        <v>16</v>
      </c>
      <c r="D363" s="1">
        <v>43420</v>
      </c>
      <c r="E363" s="1">
        <v>36524</v>
      </c>
      <c r="F363" s="1">
        <v>43419</v>
      </c>
      <c r="G363" s="1">
        <v>43419</v>
      </c>
      <c r="H363" t="s">
        <v>9</v>
      </c>
      <c r="I363" t="s">
        <v>10</v>
      </c>
    </row>
    <row r="364" spans="1:9" x14ac:dyDescent="0.25">
      <c r="A364" t="s">
        <v>5096</v>
      </c>
      <c r="B364" s="26" t="str">
        <f>MID(tbl_forecast[[#This Row],[PACE Job Number]],3,3)</f>
        <v>WSH</v>
      </c>
      <c r="C364" t="s">
        <v>16</v>
      </c>
      <c r="D364" s="1">
        <v>43420</v>
      </c>
      <c r="E364" s="1">
        <v>36524</v>
      </c>
      <c r="F364" s="1">
        <v>43424</v>
      </c>
      <c r="G364" s="1">
        <v>43424</v>
      </c>
      <c r="H364" t="s">
        <v>9</v>
      </c>
      <c r="I364" t="s">
        <v>10</v>
      </c>
    </row>
    <row r="365" spans="1:9" x14ac:dyDescent="0.25">
      <c r="A365" t="s">
        <v>4201</v>
      </c>
      <c r="B365" s="26" t="str">
        <f>MID(tbl_forecast[[#This Row],[PACE Job Number]],3,3)</f>
        <v>WSH</v>
      </c>
      <c r="C365" t="s">
        <v>16</v>
      </c>
      <c r="D365" s="1">
        <v>43434</v>
      </c>
      <c r="E365" s="1">
        <v>36524</v>
      </c>
      <c r="F365" s="1">
        <v>43434</v>
      </c>
      <c r="G365" s="1"/>
      <c r="H365" t="s">
        <v>9</v>
      </c>
      <c r="I365" t="s">
        <v>27</v>
      </c>
    </row>
    <row r="366" spans="1:9" x14ac:dyDescent="0.25">
      <c r="A366" t="s">
        <v>5097</v>
      </c>
      <c r="B366" s="26" t="str">
        <f>MID(tbl_forecast[[#This Row],[PACE Job Number]],3,3)</f>
        <v>WSH</v>
      </c>
      <c r="C366" t="s">
        <v>16</v>
      </c>
      <c r="D366" s="1">
        <v>43420</v>
      </c>
      <c r="E366" s="1">
        <v>36524</v>
      </c>
      <c r="F366" s="1">
        <v>43419</v>
      </c>
      <c r="G366" s="1">
        <v>43419</v>
      </c>
      <c r="H366" t="s">
        <v>9</v>
      </c>
      <c r="I366" t="s">
        <v>10</v>
      </c>
    </row>
    <row r="367" spans="1:9" x14ac:dyDescent="0.25">
      <c r="A367" t="s">
        <v>5098</v>
      </c>
      <c r="B367" s="26" t="str">
        <f>MID(tbl_forecast[[#This Row],[PACE Job Number]],3,3)</f>
        <v>WSH</v>
      </c>
      <c r="C367" t="s">
        <v>16</v>
      </c>
      <c r="D367" s="1">
        <v>43434</v>
      </c>
      <c r="E367" s="1">
        <v>36524</v>
      </c>
      <c r="F367" s="1">
        <v>43431</v>
      </c>
      <c r="G367" s="1">
        <v>43431</v>
      </c>
      <c r="H367" t="s">
        <v>9</v>
      </c>
      <c r="I367" t="s">
        <v>10</v>
      </c>
    </row>
    <row r="368" spans="1:9" x14ac:dyDescent="0.25">
      <c r="A368" t="s">
        <v>5099</v>
      </c>
      <c r="B368" s="26" t="str">
        <f>MID(tbl_forecast[[#This Row],[PACE Job Number]],3,3)</f>
        <v>WSH</v>
      </c>
      <c r="C368" t="s">
        <v>16</v>
      </c>
      <c r="D368" s="1">
        <v>43430</v>
      </c>
      <c r="E368" s="1">
        <v>36524</v>
      </c>
      <c r="F368" s="1">
        <v>43419</v>
      </c>
      <c r="G368" s="1">
        <v>43419</v>
      </c>
      <c r="H368" t="s">
        <v>9</v>
      </c>
      <c r="I368" t="s">
        <v>10</v>
      </c>
    </row>
    <row r="369" spans="1:9" x14ac:dyDescent="0.25">
      <c r="A369" t="s">
        <v>5100</v>
      </c>
      <c r="B369" s="26" t="str">
        <f>MID(tbl_forecast[[#This Row],[PACE Job Number]],3,3)</f>
        <v>STX</v>
      </c>
      <c r="C369" t="s">
        <v>16</v>
      </c>
      <c r="D369" s="1">
        <v>43419</v>
      </c>
      <c r="E369" s="1">
        <v>43434</v>
      </c>
      <c r="F369" s="1">
        <v>43434</v>
      </c>
      <c r="G369" s="1"/>
      <c r="H369" t="s">
        <v>4664</v>
      </c>
      <c r="I369" t="s">
        <v>5645</v>
      </c>
    </row>
    <row r="370" spans="1:9" x14ac:dyDescent="0.25">
      <c r="A370" t="s">
        <v>4177</v>
      </c>
      <c r="B370" s="26" t="str">
        <f>MID(tbl_forecast[[#This Row],[PACE Job Number]],3,3)</f>
        <v>STX</v>
      </c>
      <c r="C370" t="s">
        <v>16</v>
      </c>
      <c r="D370" s="1">
        <v>43420</v>
      </c>
      <c r="E370" s="1">
        <v>43420</v>
      </c>
      <c r="F370" s="1">
        <v>43417</v>
      </c>
      <c r="G370" s="1">
        <v>43417</v>
      </c>
      <c r="H370" t="s">
        <v>9</v>
      </c>
      <c r="I370" t="s">
        <v>10</v>
      </c>
    </row>
    <row r="371" spans="1:9" x14ac:dyDescent="0.25">
      <c r="A371" t="s">
        <v>5101</v>
      </c>
      <c r="B371" s="26" t="str">
        <f>MID(tbl_forecast[[#This Row],[PACE Job Number]],3,3)</f>
        <v>STX</v>
      </c>
      <c r="C371" t="s">
        <v>16</v>
      </c>
      <c r="D371" s="1">
        <v>43413</v>
      </c>
      <c r="E371" s="1">
        <v>43413</v>
      </c>
      <c r="F371" s="1">
        <v>43412</v>
      </c>
      <c r="G371" s="1">
        <v>43412</v>
      </c>
      <c r="H371" t="s">
        <v>9</v>
      </c>
      <c r="I371" t="s">
        <v>10</v>
      </c>
    </row>
    <row r="372" spans="1:9" x14ac:dyDescent="0.25">
      <c r="A372" t="s">
        <v>4178</v>
      </c>
      <c r="B372" s="26" t="str">
        <f>MID(tbl_forecast[[#This Row],[PACE Job Number]],3,3)</f>
        <v>STX</v>
      </c>
      <c r="C372" t="s">
        <v>16</v>
      </c>
      <c r="D372" s="1">
        <v>43420</v>
      </c>
      <c r="E372" s="1">
        <v>43420</v>
      </c>
      <c r="F372" s="1">
        <v>43417</v>
      </c>
      <c r="G372" s="1">
        <v>43417</v>
      </c>
      <c r="H372" t="s">
        <v>9</v>
      </c>
      <c r="I372" t="s">
        <v>10</v>
      </c>
    </row>
    <row r="373" spans="1:9" x14ac:dyDescent="0.25">
      <c r="A373" t="s">
        <v>4179</v>
      </c>
      <c r="B373" s="26" t="str">
        <f>MID(tbl_forecast[[#This Row],[PACE Job Number]],3,3)</f>
        <v>STX</v>
      </c>
      <c r="C373" t="s">
        <v>16</v>
      </c>
      <c r="D373" s="1">
        <v>43420</v>
      </c>
      <c r="E373" s="1">
        <v>43420</v>
      </c>
      <c r="F373" s="1">
        <v>43417</v>
      </c>
      <c r="G373" s="1">
        <v>43417</v>
      </c>
      <c r="H373" t="s">
        <v>9</v>
      </c>
      <c r="I373" t="s">
        <v>10</v>
      </c>
    </row>
    <row r="374" spans="1:9" x14ac:dyDescent="0.25">
      <c r="A374" t="s">
        <v>5102</v>
      </c>
      <c r="B374" s="26" t="str">
        <f>MID(tbl_forecast[[#This Row],[PACE Job Number]],3,3)</f>
        <v>STX</v>
      </c>
      <c r="C374" t="s">
        <v>16</v>
      </c>
      <c r="D374" s="1">
        <v>43413</v>
      </c>
      <c r="E374" s="1">
        <v>43413</v>
      </c>
      <c r="F374" s="1">
        <v>43412</v>
      </c>
      <c r="G374" s="1">
        <v>43412</v>
      </c>
      <c r="H374" t="s">
        <v>9</v>
      </c>
      <c r="I374" t="s">
        <v>10</v>
      </c>
    </row>
    <row r="375" spans="1:9" x14ac:dyDescent="0.25">
      <c r="A375" t="s">
        <v>5103</v>
      </c>
      <c r="B375" s="26" t="str">
        <f>MID(tbl_forecast[[#This Row],[PACE Job Number]],3,3)</f>
        <v>STX</v>
      </c>
      <c r="C375" t="s">
        <v>16</v>
      </c>
      <c r="D375" s="1">
        <v>43413</v>
      </c>
      <c r="E375" s="1">
        <v>43413</v>
      </c>
      <c r="F375" s="1">
        <v>43412</v>
      </c>
      <c r="G375" s="1">
        <v>43412</v>
      </c>
      <c r="H375" t="s">
        <v>9</v>
      </c>
      <c r="I375" t="s">
        <v>10</v>
      </c>
    </row>
    <row r="376" spans="1:9" x14ac:dyDescent="0.25">
      <c r="A376" t="s">
        <v>4180</v>
      </c>
      <c r="B376" s="26" t="str">
        <f>MID(tbl_forecast[[#This Row],[PACE Job Number]],3,3)</f>
        <v>STX</v>
      </c>
      <c r="C376" t="s">
        <v>16</v>
      </c>
      <c r="D376" s="1">
        <v>43420</v>
      </c>
      <c r="E376" s="1">
        <v>43420</v>
      </c>
      <c r="F376" s="1">
        <v>43417</v>
      </c>
      <c r="G376" s="1">
        <v>43417</v>
      </c>
      <c r="H376" t="s">
        <v>9</v>
      </c>
      <c r="I376" t="s">
        <v>10</v>
      </c>
    </row>
    <row r="377" spans="1:9" x14ac:dyDescent="0.25">
      <c r="A377" t="s">
        <v>5104</v>
      </c>
      <c r="B377" s="26" t="str">
        <f>MID(tbl_forecast[[#This Row],[PACE Job Number]],3,3)</f>
        <v>STX</v>
      </c>
      <c r="C377" t="s">
        <v>16</v>
      </c>
      <c r="D377" s="1">
        <v>43413</v>
      </c>
      <c r="E377" s="1">
        <v>43413</v>
      </c>
      <c r="F377" s="1">
        <v>43409</v>
      </c>
      <c r="G377" s="1">
        <v>43409</v>
      </c>
      <c r="H377" t="s">
        <v>9</v>
      </c>
      <c r="I377" t="s">
        <v>10</v>
      </c>
    </row>
    <row r="378" spans="1:9" x14ac:dyDescent="0.25">
      <c r="A378" t="s">
        <v>5105</v>
      </c>
      <c r="B378" s="26" t="str">
        <f>MID(tbl_forecast[[#This Row],[PACE Job Number]],3,3)</f>
        <v>STX</v>
      </c>
      <c r="C378" t="s">
        <v>16</v>
      </c>
      <c r="D378" s="1">
        <v>43419</v>
      </c>
      <c r="E378" s="1">
        <v>43434</v>
      </c>
      <c r="F378" s="1">
        <v>43434</v>
      </c>
      <c r="G378" s="1"/>
      <c r="H378" t="s">
        <v>4664</v>
      </c>
      <c r="I378" t="s">
        <v>5645</v>
      </c>
    </row>
    <row r="379" spans="1:9" x14ac:dyDescent="0.25">
      <c r="A379" t="s">
        <v>5106</v>
      </c>
      <c r="B379" s="26" t="str">
        <f>MID(tbl_forecast[[#This Row],[PACE Job Number]],3,3)</f>
        <v>STX</v>
      </c>
      <c r="C379" t="s">
        <v>16</v>
      </c>
      <c r="D379" s="1">
        <v>43420</v>
      </c>
      <c r="E379" s="1">
        <v>43434</v>
      </c>
      <c r="F379" s="1">
        <v>43434</v>
      </c>
      <c r="G379" s="1">
        <v>43434</v>
      </c>
      <c r="H379" t="s">
        <v>9</v>
      </c>
      <c r="I379" t="s">
        <v>10</v>
      </c>
    </row>
    <row r="380" spans="1:9" x14ac:dyDescent="0.25">
      <c r="A380" t="s">
        <v>5107</v>
      </c>
      <c r="B380" s="26" t="str">
        <f>MID(tbl_forecast[[#This Row],[PACE Job Number]],3,3)</f>
        <v>STX</v>
      </c>
      <c r="C380" t="s">
        <v>16</v>
      </c>
      <c r="D380" s="1">
        <v>43434</v>
      </c>
      <c r="E380" s="1">
        <v>43434</v>
      </c>
      <c r="F380" s="1">
        <v>43434</v>
      </c>
      <c r="G380" s="1"/>
      <c r="H380" t="s">
        <v>9</v>
      </c>
      <c r="I380" t="s">
        <v>27</v>
      </c>
    </row>
    <row r="381" spans="1:9" x14ac:dyDescent="0.25">
      <c r="A381" t="s">
        <v>4181</v>
      </c>
      <c r="B381" s="26" t="str">
        <f>MID(tbl_forecast[[#This Row],[PACE Job Number]],3,3)</f>
        <v>STX</v>
      </c>
      <c r="C381" t="s">
        <v>16</v>
      </c>
      <c r="D381" s="1">
        <v>43413</v>
      </c>
      <c r="E381" s="1">
        <v>43441</v>
      </c>
      <c r="F381" s="1">
        <v>43434</v>
      </c>
      <c r="G381" s="1"/>
      <c r="H381" t="s">
        <v>4664</v>
      </c>
      <c r="I381" t="s">
        <v>5645</v>
      </c>
    </row>
    <row r="382" spans="1:9" x14ac:dyDescent="0.25">
      <c r="A382" t="s">
        <v>5108</v>
      </c>
      <c r="B382" s="26" t="str">
        <f>MID(tbl_forecast[[#This Row],[PACE Job Number]],3,3)</f>
        <v>STX</v>
      </c>
      <c r="C382" t="s">
        <v>16</v>
      </c>
      <c r="D382" s="1">
        <v>43434</v>
      </c>
      <c r="E382" s="1">
        <v>43448</v>
      </c>
      <c r="F382" s="1">
        <v>43434</v>
      </c>
      <c r="G382" s="1"/>
      <c r="H382" t="s">
        <v>9</v>
      </c>
      <c r="I382" t="s">
        <v>27</v>
      </c>
    </row>
    <row r="383" spans="1:9" x14ac:dyDescent="0.25">
      <c r="A383" t="s">
        <v>5109</v>
      </c>
      <c r="B383" s="26" t="str">
        <f>MID(tbl_forecast[[#This Row],[PACE Job Number]],3,3)</f>
        <v>STX</v>
      </c>
      <c r="C383" t="s">
        <v>16</v>
      </c>
      <c r="D383" s="1">
        <v>43406</v>
      </c>
      <c r="E383" s="1">
        <v>43420</v>
      </c>
      <c r="F383" s="1">
        <v>43406</v>
      </c>
      <c r="G383" s="1">
        <v>43406</v>
      </c>
      <c r="H383" t="s">
        <v>9</v>
      </c>
      <c r="I383" t="s">
        <v>10</v>
      </c>
    </row>
    <row r="384" spans="1:9" x14ac:dyDescent="0.25">
      <c r="A384" t="s">
        <v>5110</v>
      </c>
      <c r="B384" s="26" t="str">
        <f>MID(tbl_forecast[[#This Row],[PACE Job Number]],3,3)</f>
        <v>STX</v>
      </c>
      <c r="C384" t="s">
        <v>16</v>
      </c>
      <c r="D384" s="1">
        <v>43434</v>
      </c>
      <c r="E384" s="1">
        <v>43434</v>
      </c>
      <c r="F384" s="1">
        <v>43432</v>
      </c>
      <c r="G384" s="1">
        <v>43432</v>
      </c>
      <c r="H384" t="s">
        <v>9</v>
      </c>
      <c r="I384" t="s">
        <v>10</v>
      </c>
    </row>
    <row r="385" spans="1:9" x14ac:dyDescent="0.25">
      <c r="A385" t="s">
        <v>5111</v>
      </c>
      <c r="B385" s="26" t="str">
        <f>MID(tbl_forecast[[#This Row],[PACE Job Number]],3,3)</f>
        <v>STX</v>
      </c>
      <c r="C385" t="s">
        <v>16</v>
      </c>
      <c r="D385" s="1">
        <v>43420</v>
      </c>
      <c r="E385" s="1">
        <v>43420</v>
      </c>
      <c r="F385" s="1">
        <v>43418</v>
      </c>
      <c r="G385" s="1">
        <v>43418</v>
      </c>
      <c r="H385" t="s">
        <v>9</v>
      </c>
      <c r="I385" t="s">
        <v>10</v>
      </c>
    </row>
    <row r="386" spans="1:9" x14ac:dyDescent="0.25">
      <c r="A386" t="s">
        <v>1698</v>
      </c>
      <c r="B386" s="26" t="str">
        <f>MID(tbl_forecast[[#This Row],[PACE Job Number]],3,3)</f>
        <v>STX</v>
      </c>
      <c r="C386" t="s">
        <v>16</v>
      </c>
      <c r="D386" s="1">
        <v>43434</v>
      </c>
      <c r="E386" s="1">
        <v>43434</v>
      </c>
      <c r="F386" s="1">
        <v>43423</v>
      </c>
      <c r="G386" s="1">
        <v>43423</v>
      </c>
      <c r="H386" t="s">
        <v>9</v>
      </c>
      <c r="I386" t="s">
        <v>10</v>
      </c>
    </row>
    <row r="387" spans="1:9" x14ac:dyDescent="0.25">
      <c r="A387" t="s">
        <v>1693</v>
      </c>
      <c r="B387" s="26" t="str">
        <f>MID(tbl_forecast[[#This Row],[PACE Job Number]],3,3)</f>
        <v>STX</v>
      </c>
      <c r="C387" t="s">
        <v>16</v>
      </c>
      <c r="D387" s="1">
        <v>43434</v>
      </c>
      <c r="E387" s="1">
        <v>43434</v>
      </c>
      <c r="F387" s="1">
        <v>43423</v>
      </c>
      <c r="G387" s="1">
        <v>43423</v>
      </c>
      <c r="H387" t="s">
        <v>9</v>
      </c>
      <c r="I387" t="s">
        <v>10</v>
      </c>
    </row>
    <row r="388" spans="1:9" x14ac:dyDescent="0.25">
      <c r="A388" t="s">
        <v>5112</v>
      </c>
      <c r="B388" s="26" t="str">
        <f>MID(tbl_forecast[[#This Row],[PACE Job Number]],3,3)</f>
        <v>STX</v>
      </c>
      <c r="C388" t="s">
        <v>16</v>
      </c>
      <c r="D388" s="1">
        <v>43418</v>
      </c>
      <c r="E388" s="1">
        <v>43434</v>
      </c>
      <c r="F388" s="1">
        <v>43434</v>
      </c>
      <c r="G388" s="1"/>
      <c r="H388" t="s">
        <v>4664</v>
      </c>
      <c r="I388" t="s">
        <v>5645</v>
      </c>
    </row>
    <row r="389" spans="1:9" x14ac:dyDescent="0.25">
      <c r="A389" t="s">
        <v>5113</v>
      </c>
      <c r="B389" s="26" t="str">
        <f>MID(tbl_forecast[[#This Row],[PACE Job Number]],3,3)</f>
        <v>STX</v>
      </c>
      <c r="C389" t="s">
        <v>16</v>
      </c>
      <c r="D389" s="1">
        <v>43406</v>
      </c>
      <c r="E389" s="1">
        <v>43413</v>
      </c>
      <c r="F389" s="1">
        <v>43406</v>
      </c>
      <c r="G389" s="1">
        <v>43406</v>
      </c>
      <c r="H389" t="s">
        <v>9</v>
      </c>
      <c r="I389" t="s">
        <v>10</v>
      </c>
    </row>
    <row r="390" spans="1:9" x14ac:dyDescent="0.25">
      <c r="A390" t="s">
        <v>5114</v>
      </c>
      <c r="B390" s="26" t="str">
        <f>MID(tbl_forecast[[#This Row],[PACE Job Number]],3,3)</f>
        <v>STX</v>
      </c>
      <c r="C390" t="s">
        <v>16</v>
      </c>
      <c r="D390" s="1">
        <v>43434</v>
      </c>
      <c r="E390" s="1">
        <v>43441</v>
      </c>
      <c r="F390" s="1">
        <v>43434</v>
      </c>
      <c r="G390" s="1"/>
      <c r="H390" t="s">
        <v>9</v>
      </c>
      <c r="I390" t="s">
        <v>27</v>
      </c>
    </row>
    <row r="391" spans="1:9" x14ac:dyDescent="0.25">
      <c r="A391" t="s">
        <v>4182</v>
      </c>
      <c r="B391" s="26" t="str">
        <f>MID(tbl_forecast[[#This Row],[PACE Job Number]],3,3)</f>
        <v>STX</v>
      </c>
      <c r="C391" t="s">
        <v>16</v>
      </c>
      <c r="D391" s="1">
        <v>43413</v>
      </c>
      <c r="E391" s="1">
        <v>43413</v>
      </c>
      <c r="F391" s="1">
        <v>43416</v>
      </c>
      <c r="G391" s="1">
        <v>43416</v>
      </c>
      <c r="H391" t="s">
        <v>9</v>
      </c>
      <c r="I391" t="s">
        <v>10</v>
      </c>
    </row>
    <row r="392" spans="1:9" x14ac:dyDescent="0.25">
      <c r="A392" t="s">
        <v>5115</v>
      </c>
      <c r="B392" s="26" t="str">
        <f>MID(tbl_forecast[[#This Row],[PACE Job Number]],3,3)</f>
        <v>STX</v>
      </c>
      <c r="C392" t="s">
        <v>16</v>
      </c>
      <c r="D392" s="1">
        <v>43420</v>
      </c>
      <c r="E392" s="1">
        <v>43455</v>
      </c>
      <c r="F392" s="1">
        <v>43434</v>
      </c>
      <c r="G392" s="1"/>
      <c r="H392" t="s">
        <v>9</v>
      </c>
      <c r="I392" t="s">
        <v>44</v>
      </c>
    </row>
    <row r="393" spans="1:9" x14ac:dyDescent="0.25">
      <c r="A393" t="s">
        <v>5116</v>
      </c>
      <c r="B393" s="26" t="str">
        <f>MID(tbl_forecast[[#This Row],[PACE Job Number]],3,3)</f>
        <v>STX</v>
      </c>
      <c r="C393" t="s">
        <v>16</v>
      </c>
      <c r="D393" s="1">
        <v>43413</v>
      </c>
      <c r="E393" s="1">
        <v>43420</v>
      </c>
      <c r="F393" s="1">
        <v>43420</v>
      </c>
      <c r="G393" s="1">
        <v>43420</v>
      </c>
      <c r="H393" t="s">
        <v>9</v>
      </c>
      <c r="I393" t="s">
        <v>10</v>
      </c>
    </row>
    <row r="394" spans="1:9" x14ac:dyDescent="0.25">
      <c r="A394" t="s">
        <v>5117</v>
      </c>
      <c r="B394" s="26" t="str">
        <f>MID(tbl_forecast[[#This Row],[PACE Job Number]],3,3)</f>
        <v>STX</v>
      </c>
      <c r="C394" t="s">
        <v>16</v>
      </c>
      <c r="D394" s="1">
        <v>43420</v>
      </c>
      <c r="E394" s="1">
        <v>43420</v>
      </c>
      <c r="F394" s="1">
        <v>43411</v>
      </c>
      <c r="G394" s="1">
        <v>43411</v>
      </c>
      <c r="H394" t="s">
        <v>9</v>
      </c>
      <c r="I394" t="s">
        <v>10</v>
      </c>
    </row>
    <row r="395" spans="1:9" x14ac:dyDescent="0.25">
      <c r="A395" t="s">
        <v>5118</v>
      </c>
      <c r="B395" s="26" t="str">
        <f>MID(tbl_forecast[[#This Row],[PACE Job Number]],3,3)</f>
        <v>STX</v>
      </c>
      <c r="C395" t="s">
        <v>16</v>
      </c>
      <c r="D395" s="1">
        <v>43420</v>
      </c>
      <c r="E395" s="1">
        <v>43427</v>
      </c>
      <c r="F395" s="1">
        <v>43430</v>
      </c>
      <c r="G395" s="1">
        <v>43430</v>
      </c>
      <c r="H395" t="s">
        <v>9</v>
      </c>
      <c r="I395" t="s">
        <v>10</v>
      </c>
    </row>
    <row r="396" spans="1:9" x14ac:dyDescent="0.25">
      <c r="A396" t="s">
        <v>4183</v>
      </c>
      <c r="B396" s="26" t="str">
        <f>MID(tbl_forecast[[#This Row],[PACE Job Number]],3,3)</f>
        <v>STX</v>
      </c>
      <c r="C396" t="s">
        <v>16</v>
      </c>
      <c r="D396" s="1">
        <v>43420</v>
      </c>
      <c r="E396" s="1">
        <v>43464</v>
      </c>
      <c r="F396" s="1">
        <v>43464</v>
      </c>
      <c r="G396" s="1"/>
      <c r="H396" t="s">
        <v>4664</v>
      </c>
      <c r="I396" t="s">
        <v>5645</v>
      </c>
    </row>
    <row r="397" spans="1:9" x14ac:dyDescent="0.25">
      <c r="A397" t="s">
        <v>5119</v>
      </c>
      <c r="B397" s="26" t="str">
        <f>MID(tbl_forecast[[#This Row],[PACE Job Number]],3,3)</f>
        <v>STX</v>
      </c>
      <c r="C397" t="s">
        <v>16</v>
      </c>
      <c r="D397" s="1">
        <v>43434</v>
      </c>
      <c r="E397" s="1">
        <v>43434</v>
      </c>
      <c r="F397" s="1">
        <v>43434</v>
      </c>
      <c r="G397" s="1"/>
      <c r="H397" t="s">
        <v>9</v>
      </c>
      <c r="I397" t="s">
        <v>27</v>
      </c>
    </row>
    <row r="398" spans="1:9" x14ac:dyDescent="0.25">
      <c r="A398" t="s">
        <v>5120</v>
      </c>
      <c r="B398" s="26" t="str">
        <f>MID(tbl_forecast[[#This Row],[PACE Job Number]],3,3)</f>
        <v>STX</v>
      </c>
      <c r="C398" t="s">
        <v>16</v>
      </c>
      <c r="D398" s="1">
        <v>43420</v>
      </c>
      <c r="E398" s="1">
        <v>43420</v>
      </c>
      <c r="F398" s="1">
        <v>43418</v>
      </c>
      <c r="G398" s="1">
        <v>43418</v>
      </c>
      <c r="H398" t="s">
        <v>9</v>
      </c>
      <c r="I398" t="s">
        <v>10</v>
      </c>
    </row>
    <row r="399" spans="1:9" x14ac:dyDescent="0.25">
      <c r="A399" t="s">
        <v>4184</v>
      </c>
      <c r="B399" s="26" t="str">
        <f>MID(tbl_forecast[[#This Row],[PACE Job Number]],3,3)</f>
        <v>STX</v>
      </c>
      <c r="C399" t="s">
        <v>16</v>
      </c>
      <c r="D399" s="1">
        <v>43413</v>
      </c>
      <c r="E399" s="1">
        <v>43413</v>
      </c>
      <c r="F399" s="1">
        <v>43416</v>
      </c>
      <c r="G399" s="1">
        <v>43416</v>
      </c>
      <c r="H399" t="s">
        <v>9</v>
      </c>
      <c r="I399" t="s">
        <v>10</v>
      </c>
    </row>
    <row r="400" spans="1:9" x14ac:dyDescent="0.25">
      <c r="A400" t="s">
        <v>5121</v>
      </c>
      <c r="B400" s="26" t="str">
        <f>MID(tbl_forecast[[#This Row],[PACE Job Number]],3,3)</f>
        <v>STX</v>
      </c>
      <c r="C400" t="s">
        <v>16</v>
      </c>
      <c r="D400" s="1">
        <v>43434</v>
      </c>
      <c r="E400" s="1">
        <v>43441</v>
      </c>
      <c r="F400" s="1">
        <v>43434</v>
      </c>
      <c r="G400" s="1"/>
      <c r="H400" t="s">
        <v>9</v>
      </c>
      <c r="I400" t="s">
        <v>27</v>
      </c>
    </row>
    <row r="401" spans="1:9" x14ac:dyDescent="0.25">
      <c r="A401" t="s">
        <v>5122</v>
      </c>
      <c r="B401" s="26" t="str">
        <f>MID(tbl_forecast[[#This Row],[PACE Job Number]],3,3)</f>
        <v>STX</v>
      </c>
      <c r="C401" t="s">
        <v>16</v>
      </c>
      <c r="D401" s="1">
        <v>43418</v>
      </c>
      <c r="E401" s="1">
        <v>43434</v>
      </c>
      <c r="F401" s="1">
        <v>43434</v>
      </c>
      <c r="G401" s="1"/>
      <c r="H401" t="s">
        <v>4664</v>
      </c>
      <c r="I401" t="s">
        <v>5645</v>
      </c>
    </row>
    <row r="402" spans="1:9" x14ac:dyDescent="0.25">
      <c r="A402" t="s">
        <v>4185</v>
      </c>
      <c r="B402" s="26" t="str">
        <f>MID(tbl_forecast[[#This Row],[PACE Job Number]],3,3)</f>
        <v>STX</v>
      </c>
      <c r="C402" t="s">
        <v>16</v>
      </c>
      <c r="D402" s="1">
        <v>43413</v>
      </c>
      <c r="E402" s="1">
        <v>43413</v>
      </c>
      <c r="F402" s="1">
        <v>43411</v>
      </c>
      <c r="G402" s="1">
        <v>43411</v>
      </c>
      <c r="H402" t="s">
        <v>9</v>
      </c>
      <c r="I402" t="s">
        <v>10</v>
      </c>
    </row>
    <row r="403" spans="1:9" x14ac:dyDescent="0.25">
      <c r="A403" t="s">
        <v>5123</v>
      </c>
      <c r="B403" s="26" t="str">
        <f>MID(tbl_forecast[[#This Row],[PACE Job Number]],3,3)</f>
        <v>STX</v>
      </c>
      <c r="C403" t="s">
        <v>16</v>
      </c>
      <c r="D403" s="1">
        <v>43420</v>
      </c>
      <c r="E403" s="1">
        <v>43441</v>
      </c>
      <c r="F403" s="1">
        <v>43434</v>
      </c>
      <c r="G403" s="1"/>
      <c r="H403" t="s">
        <v>9</v>
      </c>
      <c r="I403" t="s">
        <v>44</v>
      </c>
    </row>
    <row r="404" spans="1:9" x14ac:dyDescent="0.25">
      <c r="A404" t="s">
        <v>5124</v>
      </c>
      <c r="B404" s="26" t="str">
        <f>MID(tbl_forecast[[#This Row],[PACE Job Number]],3,3)</f>
        <v>STX</v>
      </c>
      <c r="C404" t="s">
        <v>16</v>
      </c>
      <c r="D404" s="1">
        <v>43434</v>
      </c>
      <c r="E404" s="1">
        <v>43434</v>
      </c>
      <c r="F404" s="1">
        <v>43434</v>
      </c>
      <c r="G404" s="1"/>
      <c r="H404" t="s">
        <v>9</v>
      </c>
      <c r="I404" t="s">
        <v>27</v>
      </c>
    </row>
    <row r="405" spans="1:9" x14ac:dyDescent="0.25">
      <c r="A405" t="s">
        <v>5125</v>
      </c>
      <c r="B405" s="26" t="str">
        <f>MID(tbl_forecast[[#This Row],[PACE Job Number]],3,3)</f>
        <v>STX</v>
      </c>
      <c r="C405" t="s">
        <v>16</v>
      </c>
      <c r="D405" s="1">
        <v>43419</v>
      </c>
      <c r="E405" s="1">
        <v>43434</v>
      </c>
      <c r="F405" s="1">
        <v>43434</v>
      </c>
      <c r="G405" s="1"/>
      <c r="H405" t="s">
        <v>4664</v>
      </c>
      <c r="I405" t="s">
        <v>5645</v>
      </c>
    </row>
    <row r="406" spans="1:9" x14ac:dyDescent="0.25">
      <c r="A406" t="s">
        <v>5126</v>
      </c>
      <c r="B406" s="26" t="str">
        <f>MID(tbl_forecast[[#This Row],[PACE Job Number]],3,3)</f>
        <v>STX</v>
      </c>
      <c r="C406" t="s">
        <v>16</v>
      </c>
      <c r="D406" s="1">
        <v>43427</v>
      </c>
      <c r="E406" s="1">
        <v>43434</v>
      </c>
      <c r="F406" s="1">
        <v>43434</v>
      </c>
      <c r="G406" s="1"/>
      <c r="H406" t="s">
        <v>9</v>
      </c>
      <c r="I406" t="s">
        <v>27</v>
      </c>
    </row>
    <row r="407" spans="1:9" x14ac:dyDescent="0.25">
      <c r="A407" t="s">
        <v>5127</v>
      </c>
      <c r="B407" s="26" t="str">
        <f>MID(tbl_forecast[[#This Row],[PACE Job Number]],3,3)</f>
        <v>STX</v>
      </c>
      <c r="C407" t="s">
        <v>16</v>
      </c>
      <c r="D407" s="1">
        <v>43430</v>
      </c>
      <c r="E407" s="1">
        <v>43430</v>
      </c>
      <c r="F407" s="1">
        <v>43423</v>
      </c>
      <c r="G407" s="1">
        <v>43423</v>
      </c>
      <c r="H407" t="s">
        <v>9</v>
      </c>
      <c r="I407" t="s">
        <v>10</v>
      </c>
    </row>
    <row r="408" spans="1:9" x14ac:dyDescent="0.25">
      <c r="A408" t="s">
        <v>5128</v>
      </c>
      <c r="B408" s="26" t="str">
        <f>MID(tbl_forecast[[#This Row],[PACE Job Number]],3,3)</f>
        <v>STX</v>
      </c>
      <c r="C408" t="s">
        <v>16</v>
      </c>
      <c r="D408" s="1">
        <v>43420</v>
      </c>
      <c r="E408" s="1">
        <v>43420</v>
      </c>
      <c r="F408" s="1">
        <v>43418</v>
      </c>
      <c r="G408" s="1">
        <v>43418</v>
      </c>
      <c r="H408" t="s">
        <v>9</v>
      </c>
      <c r="I408" t="s">
        <v>10</v>
      </c>
    </row>
    <row r="409" spans="1:9" x14ac:dyDescent="0.25">
      <c r="A409" t="s">
        <v>5129</v>
      </c>
      <c r="B409" s="26" t="str">
        <f>MID(tbl_forecast[[#This Row],[PACE Job Number]],3,3)</f>
        <v>STX</v>
      </c>
      <c r="C409" t="s">
        <v>16</v>
      </c>
      <c r="D409" s="1">
        <v>43427</v>
      </c>
      <c r="E409" s="1">
        <v>43427</v>
      </c>
      <c r="F409" s="1">
        <v>43423</v>
      </c>
      <c r="G409" s="1">
        <v>43423</v>
      </c>
      <c r="H409" t="s">
        <v>9</v>
      </c>
      <c r="I409" t="s">
        <v>10</v>
      </c>
    </row>
    <row r="410" spans="1:9" x14ac:dyDescent="0.25">
      <c r="A410" t="s">
        <v>4186</v>
      </c>
      <c r="B410" s="26" t="str">
        <f>MID(tbl_forecast[[#This Row],[PACE Job Number]],3,3)</f>
        <v>STX</v>
      </c>
      <c r="C410" t="s">
        <v>16</v>
      </c>
      <c r="D410" s="1">
        <v>43413</v>
      </c>
      <c r="E410" s="1">
        <v>43441</v>
      </c>
      <c r="F410" s="1">
        <v>43434</v>
      </c>
      <c r="G410" s="1"/>
      <c r="H410" t="s">
        <v>4664</v>
      </c>
      <c r="I410" t="s">
        <v>5645</v>
      </c>
    </row>
    <row r="411" spans="1:9" x14ac:dyDescent="0.25">
      <c r="A411" t="s">
        <v>5130</v>
      </c>
      <c r="B411" s="26" t="str">
        <f>MID(tbl_forecast[[#This Row],[PACE Job Number]],3,3)</f>
        <v>STX</v>
      </c>
      <c r="C411" t="s">
        <v>16</v>
      </c>
      <c r="D411" s="1">
        <v>43420</v>
      </c>
      <c r="E411" s="1">
        <v>43420</v>
      </c>
      <c r="F411" s="1">
        <v>43418</v>
      </c>
      <c r="G411" s="1">
        <v>43418</v>
      </c>
      <c r="H411" t="s">
        <v>9</v>
      </c>
      <c r="I411" t="s">
        <v>10</v>
      </c>
    </row>
    <row r="412" spans="1:9" x14ac:dyDescent="0.25">
      <c r="A412" t="s">
        <v>5131</v>
      </c>
      <c r="B412" s="26" t="str">
        <f>MID(tbl_forecast[[#This Row],[PACE Job Number]],3,3)</f>
        <v>STX</v>
      </c>
      <c r="C412" t="s">
        <v>16</v>
      </c>
      <c r="D412" s="1">
        <v>43434</v>
      </c>
      <c r="E412" s="1">
        <v>43434</v>
      </c>
      <c r="F412" s="1">
        <v>43434</v>
      </c>
      <c r="G412" s="1"/>
      <c r="H412" t="s">
        <v>9</v>
      </c>
      <c r="I412" t="s">
        <v>27</v>
      </c>
    </row>
    <row r="413" spans="1:9" x14ac:dyDescent="0.25">
      <c r="A413" t="s">
        <v>5132</v>
      </c>
      <c r="B413" s="26" t="str">
        <f>MID(tbl_forecast[[#This Row],[PACE Job Number]],3,3)</f>
        <v>STX</v>
      </c>
      <c r="C413" t="s">
        <v>16</v>
      </c>
      <c r="D413" s="1">
        <v>43427</v>
      </c>
      <c r="E413" s="1">
        <v>43434</v>
      </c>
      <c r="F413" s="1">
        <v>43431</v>
      </c>
      <c r="G413" s="1">
        <v>43431</v>
      </c>
      <c r="H413" t="s">
        <v>9</v>
      </c>
      <c r="I413" t="s">
        <v>10</v>
      </c>
    </row>
    <row r="414" spans="1:9" x14ac:dyDescent="0.25">
      <c r="A414" t="s">
        <v>5133</v>
      </c>
      <c r="B414" s="26" t="str">
        <f>MID(tbl_forecast[[#This Row],[PACE Job Number]],3,3)</f>
        <v>STX</v>
      </c>
      <c r="C414" t="s">
        <v>16</v>
      </c>
      <c r="D414" s="1">
        <v>43434</v>
      </c>
      <c r="E414" s="1">
        <v>43441</v>
      </c>
      <c r="F414" s="1">
        <v>43434</v>
      </c>
      <c r="G414" s="1"/>
      <c r="H414" t="s">
        <v>9</v>
      </c>
      <c r="I414" t="s">
        <v>27</v>
      </c>
    </row>
    <row r="415" spans="1:9" x14ac:dyDescent="0.25">
      <c r="A415" t="s">
        <v>4187</v>
      </c>
      <c r="B415" s="26" t="str">
        <f>MID(tbl_forecast[[#This Row],[PACE Job Number]],3,3)</f>
        <v>STX</v>
      </c>
      <c r="C415" t="s">
        <v>16</v>
      </c>
      <c r="D415" s="1">
        <v>43413</v>
      </c>
      <c r="E415" s="1">
        <v>43413</v>
      </c>
      <c r="F415" s="1">
        <v>43416</v>
      </c>
      <c r="G415" s="1">
        <v>43416</v>
      </c>
      <c r="H415" t="s">
        <v>9</v>
      </c>
      <c r="I415" t="s">
        <v>10</v>
      </c>
    </row>
    <row r="416" spans="1:9" x14ac:dyDescent="0.25">
      <c r="A416" t="s">
        <v>5134</v>
      </c>
      <c r="B416" s="26" t="str">
        <f>MID(tbl_forecast[[#This Row],[PACE Job Number]],3,3)</f>
        <v>STX</v>
      </c>
      <c r="C416" t="s">
        <v>16</v>
      </c>
      <c r="D416" s="1">
        <v>43434</v>
      </c>
      <c r="E416" s="1">
        <v>43434</v>
      </c>
      <c r="F416" s="1">
        <v>43432</v>
      </c>
      <c r="G416" s="1">
        <v>43432</v>
      </c>
      <c r="H416" t="s">
        <v>9</v>
      </c>
      <c r="I416" t="s">
        <v>10</v>
      </c>
    </row>
    <row r="417" spans="1:9" x14ac:dyDescent="0.25">
      <c r="A417" t="s">
        <v>5135</v>
      </c>
      <c r="B417" s="26" t="str">
        <f>MID(tbl_forecast[[#This Row],[PACE Job Number]],3,3)</f>
        <v>STX</v>
      </c>
      <c r="C417" t="s">
        <v>16</v>
      </c>
      <c r="D417" s="1">
        <v>43406</v>
      </c>
      <c r="E417" s="1">
        <v>43420</v>
      </c>
      <c r="F417" s="1">
        <v>43406</v>
      </c>
      <c r="G417" s="1">
        <v>43406</v>
      </c>
      <c r="H417" t="s">
        <v>9</v>
      </c>
      <c r="I417" t="s">
        <v>10</v>
      </c>
    </row>
    <row r="418" spans="1:9" x14ac:dyDescent="0.25">
      <c r="A418" t="s">
        <v>5136</v>
      </c>
      <c r="B418" s="26" t="str">
        <f>MID(tbl_forecast[[#This Row],[PACE Job Number]],3,3)</f>
        <v>STX</v>
      </c>
      <c r="C418" t="s">
        <v>16</v>
      </c>
      <c r="D418" s="1">
        <v>43420</v>
      </c>
      <c r="E418" s="1">
        <v>43441</v>
      </c>
      <c r="F418" s="1">
        <v>43434</v>
      </c>
      <c r="G418" s="1"/>
      <c r="H418" t="s">
        <v>9</v>
      </c>
      <c r="I418" t="s">
        <v>44</v>
      </c>
    </row>
    <row r="419" spans="1:9" x14ac:dyDescent="0.25">
      <c r="A419" t="s">
        <v>5137</v>
      </c>
      <c r="B419" s="26" t="str">
        <f>MID(tbl_forecast[[#This Row],[PACE Job Number]],3,3)</f>
        <v>STX</v>
      </c>
      <c r="C419" t="s">
        <v>16</v>
      </c>
      <c r="D419" s="1">
        <v>43420</v>
      </c>
      <c r="E419" s="1">
        <v>43455</v>
      </c>
      <c r="F419" s="1">
        <v>43434</v>
      </c>
      <c r="G419" s="1"/>
      <c r="H419" t="s">
        <v>9</v>
      </c>
      <c r="I419" t="s">
        <v>44</v>
      </c>
    </row>
    <row r="420" spans="1:9" x14ac:dyDescent="0.25">
      <c r="A420" t="s">
        <v>5138</v>
      </c>
      <c r="B420" s="26" t="str">
        <f>MID(tbl_forecast[[#This Row],[PACE Job Number]],3,3)</f>
        <v>STX</v>
      </c>
      <c r="C420" t="s">
        <v>16</v>
      </c>
      <c r="D420" s="1">
        <v>43406</v>
      </c>
      <c r="E420" s="1">
        <v>43413</v>
      </c>
      <c r="F420" s="1">
        <v>43406</v>
      </c>
      <c r="G420" s="1">
        <v>43406</v>
      </c>
      <c r="H420" t="s">
        <v>9</v>
      </c>
      <c r="I420" t="s">
        <v>10</v>
      </c>
    </row>
    <row r="421" spans="1:9" x14ac:dyDescent="0.25">
      <c r="A421" t="s">
        <v>4188</v>
      </c>
      <c r="B421" s="26" t="str">
        <f>MID(tbl_forecast[[#This Row],[PACE Job Number]],3,3)</f>
        <v>STX</v>
      </c>
      <c r="C421" t="s">
        <v>16</v>
      </c>
      <c r="D421" s="1">
        <v>43420</v>
      </c>
      <c r="E421" s="1">
        <v>43464</v>
      </c>
      <c r="F421" s="1">
        <v>43464</v>
      </c>
      <c r="G421" s="1"/>
      <c r="H421" t="s">
        <v>4664</v>
      </c>
      <c r="I421" t="s">
        <v>5645</v>
      </c>
    </row>
    <row r="422" spans="1:9" x14ac:dyDescent="0.25">
      <c r="A422" t="s">
        <v>5139</v>
      </c>
      <c r="B422" s="26" t="str">
        <f>MID(tbl_forecast[[#This Row],[PACE Job Number]],3,3)</f>
        <v>STX</v>
      </c>
      <c r="C422" t="s">
        <v>16</v>
      </c>
      <c r="D422" s="1">
        <v>43427</v>
      </c>
      <c r="E422" s="1">
        <v>43434</v>
      </c>
      <c r="F422" s="1">
        <v>43431</v>
      </c>
      <c r="G422" s="1">
        <v>43431</v>
      </c>
      <c r="H422" t="s">
        <v>9</v>
      </c>
      <c r="I422" t="s">
        <v>10</v>
      </c>
    </row>
    <row r="423" spans="1:9" x14ac:dyDescent="0.25">
      <c r="A423" t="s">
        <v>5140</v>
      </c>
      <c r="B423" s="26" t="str">
        <f>MID(tbl_forecast[[#This Row],[PACE Job Number]],3,3)</f>
        <v>STX</v>
      </c>
      <c r="C423" t="s">
        <v>16</v>
      </c>
      <c r="D423" s="1">
        <v>43427</v>
      </c>
      <c r="E423" s="1">
        <v>43427</v>
      </c>
      <c r="F423" s="1">
        <v>43423</v>
      </c>
      <c r="G423" s="1">
        <v>43423</v>
      </c>
      <c r="H423" t="s">
        <v>9</v>
      </c>
      <c r="I423" t="s">
        <v>10</v>
      </c>
    </row>
    <row r="424" spans="1:9" x14ac:dyDescent="0.25">
      <c r="A424" t="s">
        <v>5141</v>
      </c>
      <c r="B424" s="26" t="str">
        <f>MID(tbl_forecast[[#This Row],[PACE Job Number]],3,3)</f>
        <v>STX</v>
      </c>
      <c r="C424" t="s">
        <v>16</v>
      </c>
      <c r="D424" s="1">
        <v>43420</v>
      </c>
      <c r="E424" s="1">
        <v>43427</v>
      </c>
      <c r="F424" s="1">
        <v>43430</v>
      </c>
      <c r="G424" s="1">
        <v>43430</v>
      </c>
      <c r="H424" t="s">
        <v>9</v>
      </c>
      <c r="I424" t="s">
        <v>10</v>
      </c>
    </row>
    <row r="425" spans="1:9" x14ac:dyDescent="0.25">
      <c r="A425" t="s">
        <v>5142</v>
      </c>
      <c r="B425" s="26" t="str">
        <f>MID(tbl_forecast[[#This Row],[PACE Job Number]],3,3)</f>
        <v>STX</v>
      </c>
      <c r="C425" t="s">
        <v>16</v>
      </c>
      <c r="D425" s="1">
        <v>43434</v>
      </c>
      <c r="E425" s="1">
        <v>43448</v>
      </c>
      <c r="F425" s="1">
        <v>43434</v>
      </c>
      <c r="G425" s="1"/>
      <c r="H425" t="s">
        <v>9</v>
      </c>
      <c r="I425" t="s">
        <v>27</v>
      </c>
    </row>
    <row r="426" spans="1:9" x14ac:dyDescent="0.25">
      <c r="A426" t="s">
        <v>5143</v>
      </c>
      <c r="B426" s="26" t="str">
        <f>MID(tbl_forecast[[#This Row],[PACE Job Number]],3,3)</f>
        <v>STX</v>
      </c>
      <c r="C426" t="s">
        <v>16</v>
      </c>
      <c r="D426" s="1">
        <v>43418</v>
      </c>
      <c r="E426" s="1">
        <v>43434</v>
      </c>
      <c r="F426" s="1">
        <v>43434</v>
      </c>
      <c r="G426" s="1"/>
      <c r="H426" t="s">
        <v>4664</v>
      </c>
      <c r="I426" t="s">
        <v>5645</v>
      </c>
    </row>
    <row r="427" spans="1:9" x14ac:dyDescent="0.25">
      <c r="A427" t="s">
        <v>5144</v>
      </c>
      <c r="B427" s="26" t="str">
        <f>MID(tbl_forecast[[#This Row],[PACE Job Number]],3,3)</f>
        <v>STX</v>
      </c>
      <c r="C427" t="s">
        <v>16</v>
      </c>
      <c r="D427" s="1">
        <v>43430</v>
      </c>
      <c r="E427" s="1">
        <v>43430</v>
      </c>
      <c r="F427" s="1">
        <v>43423</v>
      </c>
      <c r="G427" s="1">
        <v>43423</v>
      </c>
      <c r="H427" t="s">
        <v>9</v>
      </c>
      <c r="I427" t="s">
        <v>10</v>
      </c>
    </row>
    <row r="428" spans="1:9" x14ac:dyDescent="0.25">
      <c r="A428" t="s">
        <v>5145</v>
      </c>
      <c r="B428" s="26" t="str">
        <f>MID(tbl_forecast[[#This Row],[PACE Job Number]],3,3)</f>
        <v>STX</v>
      </c>
      <c r="C428" t="s">
        <v>16</v>
      </c>
      <c r="D428" s="1">
        <v>43406</v>
      </c>
      <c r="E428" s="1">
        <v>43413</v>
      </c>
      <c r="F428" s="1">
        <v>43406</v>
      </c>
      <c r="G428" s="1">
        <v>43406</v>
      </c>
      <c r="H428" t="s">
        <v>9</v>
      </c>
      <c r="I428" t="s">
        <v>10</v>
      </c>
    </row>
    <row r="429" spans="1:9" x14ac:dyDescent="0.25">
      <c r="A429" t="s">
        <v>5146</v>
      </c>
      <c r="B429" s="26" t="str">
        <f>MID(tbl_forecast[[#This Row],[PACE Job Number]],3,3)</f>
        <v>NTX</v>
      </c>
      <c r="C429" t="s">
        <v>16</v>
      </c>
      <c r="D429" s="1">
        <v>43420</v>
      </c>
      <c r="E429" s="1">
        <v>43507</v>
      </c>
      <c r="F429" s="1">
        <v>43507</v>
      </c>
      <c r="G429" s="1"/>
      <c r="H429" t="s">
        <v>4664</v>
      </c>
      <c r="I429" t="s">
        <v>5645</v>
      </c>
    </row>
    <row r="430" spans="1:9" x14ac:dyDescent="0.25">
      <c r="A430" t="s">
        <v>4119</v>
      </c>
      <c r="B430" s="26" t="str">
        <f>MID(tbl_forecast[[#This Row],[PACE Job Number]],3,3)</f>
        <v>NTX</v>
      </c>
      <c r="C430" t="s">
        <v>16</v>
      </c>
      <c r="D430" s="1">
        <v>43416</v>
      </c>
      <c r="E430" s="1">
        <v>43611</v>
      </c>
      <c r="F430" s="1">
        <v>43611</v>
      </c>
      <c r="G430" s="1"/>
      <c r="H430" t="s">
        <v>4664</v>
      </c>
      <c r="I430" t="s">
        <v>5645</v>
      </c>
    </row>
    <row r="431" spans="1:9" x14ac:dyDescent="0.25">
      <c r="A431" t="s">
        <v>5147</v>
      </c>
      <c r="B431" s="26" t="str">
        <f>MID(tbl_forecast[[#This Row],[PACE Job Number]],3,3)</f>
        <v>NTX</v>
      </c>
      <c r="C431" t="s">
        <v>16</v>
      </c>
      <c r="D431" s="1">
        <v>43433</v>
      </c>
      <c r="E431" s="1">
        <v>43433</v>
      </c>
      <c r="F431" s="1">
        <v>43433</v>
      </c>
      <c r="G431" s="1"/>
      <c r="H431" t="s">
        <v>9</v>
      </c>
      <c r="I431" t="s">
        <v>27</v>
      </c>
    </row>
    <row r="432" spans="1:9" x14ac:dyDescent="0.25">
      <c r="A432" t="s">
        <v>5148</v>
      </c>
      <c r="B432" s="26" t="str">
        <f>MID(tbl_forecast[[#This Row],[PACE Job Number]],3,3)</f>
        <v>NTX</v>
      </c>
      <c r="C432" t="s">
        <v>16</v>
      </c>
      <c r="D432" s="1">
        <v>43433</v>
      </c>
      <c r="E432" s="1">
        <v>43433</v>
      </c>
      <c r="F432" s="1">
        <v>43433</v>
      </c>
      <c r="G432" s="1"/>
      <c r="H432" t="s">
        <v>9</v>
      </c>
      <c r="I432" t="s">
        <v>27</v>
      </c>
    </row>
    <row r="433" spans="1:9" x14ac:dyDescent="0.25">
      <c r="A433" t="s">
        <v>5149</v>
      </c>
      <c r="B433" s="26" t="str">
        <f>MID(tbl_forecast[[#This Row],[PACE Job Number]],3,3)</f>
        <v>NTX</v>
      </c>
      <c r="C433" t="s">
        <v>16</v>
      </c>
      <c r="D433" s="1">
        <v>43433</v>
      </c>
      <c r="E433" s="1">
        <v>18264</v>
      </c>
      <c r="F433" s="1">
        <v>18264</v>
      </c>
      <c r="G433" s="1">
        <v>18264</v>
      </c>
      <c r="H433" t="s">
        <v>9</v>
      </c>
      <c r="I433" t="s">
        <v>10</v>
      </c>
    </row>
    <row r="434" spans="1:9" x14ac:dyDescent="0.25">
      <c r="A434" t="s">
        <v>5150</v>
      </c>
      <c r="B434" s="26" t="str">
        <f>MID(tbl_forecast[[#This Row],[PACE Job Number]],3,3)</f>
        <v>NTX</v>
      </c>
      <c r="C434" t="s">
        <v>16</v>
      </c>
      <c r="D434" s="1">
        <v>43434</v>
      </c>
      <c r="E434" s="1">
        <v>43434</v>
      </c>
      <c r="F434" s="1">
        <v>43434</v>
      </c>
      <c r="G434" s="1"/>
      <c r="H434" t="s">
        <v>9</v>
      </c>
      <c r="I434" t="s">
        <v>27</v>
      </c>
    </row>
    <row r="435" spans="1:9" x14ac:dyDescent="0.25">
      <c r="A435" t="s">
        <v>5151</v>
      </c>
      <c r="B435" s="26" t="str">
        <f>MID(tbl_forecast[[#This Row],[PACE Job Number]],3,3)</f>
        <v>NTX</v>
      </c>
      <c r="C435" t="s">
        <v>16</v>
      </c>
      <c r="D435" s="1">
        <v>43432</v>
      </c>
      <c r="E435" s="1">
        <v>43432</v>
      </c>
      <c r="F435" s="1">
        <v>43430</v>
      </c>
      <c r="G435" s="1">
        <v>43430</v>
      </c>
      <c r="H435" t="s">
        <v>9</v>
      </c>
      <c r="I435" t="s">
        <v>10</v>
      </c>
    </row>
    <row r="436" spans="1:9" x14ac:dyDescent="0.25">
      <c r="A436" t="s">
        <v>5152</v>
      </c>
      <c r="B436" s="26" t="str">
        <f>MID(tbl_forecast[[#This Row],[PACE Job Number]],3,3)</f>
        <v>NTX</v>
      </c>
      <c r="C436" t="s">
        <v>16</v>
      </c>
      <c r="D436" s="1">
        <v>43420</v>
      </c>
      <c r="E436" s="1">
        <v>43420</v>
      </c>
      <c r="F436" s="1">
        <v>43423</v>
      </c>
      <c r="G436" s="1">
        <v>43423</v>
      </c>
      <c r="H436" t="s">
        <v>9</v>
      </c>
      <c r="I436" t="s">
        <v>10</v>
      </c>
    </row>
    <row r="437" spans="1:9" x14ac:dyDescent="0.25">
      <c r="A437" t="s">
        <v>5153</v>
      </c>
      <c r="B437" s="26" t="str">
        <f>MID(tbl_forecast[[#This Row],[PACE Job Number]],3,3)</f>
        <v>NTX</v>
      </c>
      <c r="C437" t="s">
        <v>16</v>
      </c>
      <c r="D437" s="1">
        <v>43405</v>
      </c>
      <c r="E437" s="1">
        <v>43406</v>
      </c>
      <c r="F437" s="1">
        <v>43405</v>
      </c>
      <c r="G437" s="1">
        <v>43405</v>
      </c>
      <c r="H437" t="s">
        <v>9</v>
      </c>
      <c r="I437" t="s">
        <v>10</v>
      </c>
    </row>
    <row r="438" spans="1:9" x14ac:dyDescent="0.25">
      <c r="A438" t="s">
        <v>5154</v>
      </c>
      <c r="B438" s="26" t="str">
        <f>MID(tbl_forecast[[#This Row],[PACE Job Number]],3,3)</f>
        <v>NTX</v>
      </c>
      <c r="C438" t="s">
        <v>16</v>
      </c>
      <c r="D438" s="1">
        <v>43432</v>
      </c>
      <c r="E438" s="1">
        <v>43432</v>
      </c>
      <c r="F438" s="1">
        <v>43430</v>
      </c>
      <c r="G438" s="1">
        <v>43430</v>
      </c>
      <c r="H438" t="s">
        <v>9</v>
      </c>
      <c r="I438" t="s">
        <v>10</v>
      </c>
    </row>
    <row r="439" spans="1:9" x14ac:dyDescent="0.25">
      <c r="A439" t="s">
        <v>5155</v>
      </c>
      <c r="B439" s="26" t="str">
        <f>MID(tbl_forecast[[#This Row],[PACE Job Number]],3,3)</f>
        <v>NTX</v>
      </c>
      <c r="C439" t="s">
        <v>16</v>
      </c>
      <c r="D439" s="1">
        <v>43415</v>
      </c>
      <c r="E439" s="1">
        <v>43434</v>
      </c>
      <c r="F439" s="1">
        <v>43432</v>
      </c>
      <c r="G439" s="1"/>
      <c r="H439" t="s">
        <v>4664</v>
      </c>
      <c r="I439" t="s">
        <v>5645</v>
      </c>
    </row>
    <row r="440" spans="1:9" x14ac:dyDescent="0.25">
      <c r="A440" t="s">
        <v>5156</v>
      </c>
      <c r="B440" s="26" t="str">
        <f>MID(tbl_forecast[[#This Row],[PACE Job Number]],3,3)</f>
        <v>NTX</v>
      </c>
      <c r="C440" t="s">
        <v>16</v>
      </c>
      <c r="D440" s="1">
        <v>43405</v>
      </c>
      <c r="E440" s="1">
        <v>43406</v>
      </c>
      <c r="F440" s="1">
        <v>43405</v>
      </c>
      <c r="G440" s="1">
        <v>43405</v>
      </c>
      <c r="H440" t="s">
        <v>9</v>
      </c>
      <c r="I440" t="s">
        <v>10</v>
      </c>
    </row>
    <row r="441" spans="1:9" x14ac:dyDescent="0.25">
      <c r="A441" t="s">
        <v>5157</v>
      </c>
      <c r="B441" s="26" t="str">
        <f>MID(tbl_forecast[[#This Row],[PACE Job Number]],3,3)</f>
        <v>NTX</v>
      </c>
      <c r="C441" t="s">
        <v>16</v>
      </c>
      <c r="D441" s="1">
        <v>43420</v>
      </c>
      <c r="E441" s="1">
        <v>43424</v>
      </c>
      <c r="F441" s="1">
        <v>43431</v>
      </c>
      <c r="G441" s="1">
        <v>43431</v>
      </c>
      <c r="H441" t="s">
        <v>9</v>
      </c>
      <c r="I441" t="s">
        <v>10</v>
      </c>
    </row>
    <row r="442" spans="1:9" x14ac:dyDescent="0.25">
      <c r="A442" t="s">
        <v>5158</v>
      </c>
      <c r="B442" s="26" t="str">
        <f>MID(tbl_forecast[[#This Row],[PACE Job Number]],3,3)</f>
        <v>NTX</v>
      </c>
      <c r="C442" t="s">
        <v>16</v>
      </c>
      <c r="D442" s="1">
        <v>43413</v>
      </c>
      <c r="E442" s="1">
        <v>43413</v>
      </c>
      <c r="F442" s="1">
        <v>43413</v>
      </c>
      <c r="G442" s="1"/>
      <c r="H442" t="s">
        <v>9</v>
      </c>
      <c r="I442" t="s">
        <v>27</v>
      </c>
    </row>
    <row r="443" spans="1:9" x14ac:dyDescent="0.25">
      <c r="A443" t="s">
        <v>5159</v>
      </c>
      <c r="B443" s="26" t="str">
        <f>MID(tbl_forecast[[#This Row],[PACE Job Number]],3,3)</f>
        <v>NTX</v>
      </c>
      <c r="C443" t="s">
        <v>16</v>
      </c>
      <c r="D443" s="1">
        <v>43424</v>
      </c>
      <c r="E443" s="1">
        <v>43432</v>
      </c>
      <c r="F443" s="1">
        <v>43432</v>
      </c>
      <c r="G443" s="1"/>
      <c r="H443" t="s">
        <v>9</v>
      </c>
      <c r="I443" t="s">
        <v>27</v>
      </c>
    </row>
    <row r="444" spans="1:9" x14ac:dyDescent="0.25">
      <c r="A444" t="s">
        <v>5160</v>
      </c>
      <c r="B444" s="26" t="str">
        <f>MID(tbl_forecast[[#This Row],[PACE Job Number]],3,3)</f>
        <v>NTX</v>
      </c>
      <c r="C444" t="s">
        <v>16</v>
      </c>
      <c r="D444" s="1">
        <v>43434</v>
      </c>
      <c r="E444" s="1">
        <v>43434</v>
      </c>
      <c r="F444" s="1">
        <v>43431</v>
      </c>
      <c r="G444" s="1">
        <v>43431</v>
      </c>
      <c r="H444" t="s">
        <v>9</v>
      </c>
      <c r="I444" t="s">
        <v>10</v>
      </c>
    </row>
    <row r="445" spans="1:9" x14ac:dyDescent="0.25">
      <c r="A445" t="s">
        <v>5161</v>
      </c>
      <c r="B445" s="26" t="str">
        <f>MID(tbl_forecast[[#This Row],[PACE Job Number]],3,3)</f>
        <v>NTX</v>
      </c>
      <c r="C445" t="s">
        <v>16</v>
      </c>
      <c r="D445" s="1">
        <v>43434</v>
      </c>
      <c r="E445" s="1">
        <v>43434</v>
      </c>
      <c r="F445" s="1">
        <v>43434</v>
      </c>
      <c r="G445" s="1"/>
      <c r="H445" t="s">
        <v>9</v>
      </c>
      <c r="I445" t="s">
        <v>27</v>
      </c>
    </row>
    <row r="446" spans="1:9" x14ac:dyDescent="0.25">
      <c r="A446" t="s">
        <v>5162</v>
      </c>
      <c r="B446" s="26" t="str">
        <f>MID(tbl_forecast[[#This Row],[PACE Job Number]],3,3)</f>
        <v>NTX</v>
      </c>
      <c r="C446" t="s">
        <v>16</v>
      </c>
      <c r="D446" s="1">
        <v>43434</v>
      </c>
      <c r="E446" s="1">
        <v>43434</v>
      </c>
      <c r="F446" s="1">
        <v>43434</v>
      </c>
      <c r="G446" s="1"/>
      <c r="H446" t="s">
        <v>9</v>
      </c>
      <c r="I446" t="s">
        <v>27</v>
      </c>
    </row>
    <row r="447" spans="1:9" x14ac:dyDescent="0.25">
      <c r="A447" t="s">
        <v>5163</v>
      </c>
      <c r="B447" s="26" t="str">
        <f>MID(tbl_forecast[[#This Row],[PACE Job Number]],3,3)</f>
        <v>STX</v>
      </c>
      <c r="C447" t="s">
        <v>16</v>
      </c>
      <c r="D447" s="1">
        <v>43427</v>
      </c>
      <c r="E447" s="1">
        <v>43210</v>
      </c>
      <c r="F447" s="1">
        <v>43434</v>
      </c>
      <c r="G447" s="1"/>
      <c r="H447" t="s">
        <v>9</v>
      </c>
      <c r="I447" t="s">
        <v>27</v>
      </c>
    </row>
    <row r="448" spans="1:9" x14ac:dyDescent="0.25">
      <c r="A448" t="s">
        <v>5164</v>
      </c>
      <c r="B448" s="26" t="str">
        <f>MID(tbl_forecast[[#This Row],[PACE Job Number]],3,3)</f>
        <v>NTX</v>
      </c>
      <c r="C448" t="s">
        <v>16</v>
      </c>
      <c r="D448" s="1">
        <v>43430</v>
      </c>
      <c r="E448" s="1">
        <v>43432</v>
      </c>
      <c r="F448" s="1">
        <v>43432</v>
      </c>
      <c r="G448" s="1"/>
      <c r="H448" t="s">
        <v>9</v>
      </c>
      <c r="I448" t="s">
        <v>27</v>
      </c>
    </row>
    <row r="449" spans="1:9" x14ac:dyDescent="0.25">
      <c r="A449" t="s">
        <v>5165</v>
      </c>
      <c r="B449" s="26" t="str">
        <f>MID(tbl_forecast[[#This Row],[PACE Job Number]],3,3)</f>
        <v>WSH</v>
      </c>
      <c r="C449" t="s">
        <v>16</v>
      </c>
      <c r="D449" s="1">
        <v>43423</v>
      </c>
      <c r="E449" s="1">
        <v>36524</v>
      </c>
      <c r="F449" s="1">
        <v>43418</v>
      </c>
      <c r="G449" s="1">
        <v>43418</v>
      </c>
      <c r="H449" t="s">
        <v>9</v>
      </c>
      <c r="I449" t="s">
        <v>10</v>
      </c>
    </row>
    <row r="450" spans="1:9" x14ac:dyDescent="0.25">
      <c r="A450" t="s">
        <v>4170</v>
      </c>
      <c r="B450" s="26" t="str">
        <f>MID(tbl_forecast[[#This Row],[PACE Job Number]],3,3)</f>
        <v>WSH</v>
      </c>
      <c r="C450" t="s">
        <v>16</v>
      </c>
      <c r="D450" s="1">
        <v>43434</v>
      </c>
      <c r="E450" s="1">
        <v>36524</v>
      </c>
      <c r="F450" s="1">
        <v>43417</v>
      </c>
      <c r="G450" s="1">
        <v>43417</v>
      </c>
      <c r="H450" t="s">
        <v>9</v>
      </c>
      <c r="I450" t="s">
        <v>10</v>
      </c>
    </row>
    <row r="451" spans="1:9" x14ac:dyDescent="0.25">
      <c r="A451" t="s">
        <v>3786</v>
      </c>
      <c r="B451" s="26" t="str">
        <f>MID(tbl_forecast[[#This Row],[PACE Job Number]],3,3)</f>
        <v>WSH</v>
      </c>
      <c r="C451" t="s">
        <v>16</v>
      </c>
      <c r="D451" s="1">
        <v>43406</v>
      </c>
      <c r="E451" s="1">
        <v>36524</v>
      </c>
      <c r="F451" s="1">
        <v>43406</v>
      </c>
      <c r="G451" s="1">
        <v>43406</v>
      </c>
      <c r="H451" t="s">
        <v>9</v>
      </c>
      <c r="I451" t="s">
        <v>10</v>
      </c>
    </row>
    <row r="452" spans="1:9" x14ac:dyDescent="0.25">
      <c r="A452" t="s">
        <v>5166</v>
      </c>
      <c r="B452" s="26" t="str">
        <f>MID(tbl_forecast[[#This Row],[PACE Job Number]],3,3)</f>
        <v>WSH</v>
      </c>
      <c r="C452" t="s">
        <v>16</v>
      </c>
      <c r="D452" s="1">
        <v>43427</v>
      </c>
      <c r="E452" s="1">
        <v>36524</v>
      </c>
      <c r="F452" s="1">
        <v>43419</v>
      </c>
      <c r="G452" s="1">
        <v>43419</v>
      </c>
      <c r="H452" t="s">
        <v>9</v>
      </c>
      <c r="I452" t="s">
        <v>10</v>
      </c>
    </row>
    <row r="453" spans="1:9" x14ac:dyDescent="0.25">
      <c r="A453" t="s">
        <v>5167</v>
      </c>
      <c r="B453" s="26" t="str">
        <f>MID(tbl_forecast[[#This Row],[PACE Job Number]],3,3)</f>
        <v>WSH</v>
      </c>
      <c r="C453" t="s">
        <v>16</v>
      </c>
      <c r="D453" s="1">
        <v>43420</v>
      </c>
      <c r="E453" s="1">
        <v>36524</v>
      </c>
      <c r="F453" s="1">
        <v>43427</v>
      </c>
      <c r="G453" s="1"/>
      <c r="H453" t="s">
        <v>9</v>
      </c>
      <c r="I453" t="s">
        <v>27</v>
      </c>
    </row>
    <row r="454" spans="1:9" x14ac:dyDescent="0.25">
      <c r="A454" t="s">
        <v>5168</v>
      </c>
      <c r="B454" s="26" t="str">
        <f>MID(tbl_forecast[[#This Row],[PACE Job Number]],3,3)</f>
        <v>WSH</v>
      </c>
      <c r="C454" t="s">
        <v>16</v>
      </c>
      <c r="D454" s="1">
        <v>43416</v>
      </c>
      <c r="E454" s="1">
        <v>36524</v>
      </c>
      <c r="F454" s="1">
        <v>43413</v>
      </c>
      <c r="G454" s="1">
        <v>43413</v>
      </c>
      <c r="H454" t="s">
        <v>9</v>
      </c>
      <c r="I454" t="s">
        <v>10</v>
      </c>
    </row>
    <row r="455" spans="1:9" x14ac:dyDescent="0.25">
      <c r="A455" t="s">
        <v>5169</v>
      </c>
      <c r="B455" s="26" t="str">
        <f>MID(tbl_forecast[[#This Row],[PACE Job Number]],3,3)</f>
        <v>WSH</v>
      </c>
      <c r="C455" t="s">
        <v>16</v>
      </c>
      <c r="D455" s="1">
        <v>43430</v>
      </c>
      <c r="E455" s="1">
        <v>36524</v>
      </c>
      <c r="F455" s="1">
        <v>43412</v>
      </c>
      <c r="G455" s="1">
        <v>43412</v>
      </c>
      <c r="H455" t="s">
        <v>9</v>
      </c>
      <c r="I455" t="s">
        <v>10</v>
      </c>
    </row>
    <row r="456" spans="1:9" x14ac:dyDescent="0.25">
      <c r="A456" t="s">
        <v>5170</v>
      </c>
      <c r="B456" s="26" t="str">
        <f>MID(tbl_forecast[[#This Row],[PACE Job Number]],3,3)</f>
        <v>WSH</v>
      </c>
      <c r="C456" t="s">
        <v>16</v>
      </c>
      <c r="D456" s="1">
        <v>43430</v>
      </c>
      <c r="E456" s="1">
        <v>36524</v>
      </c>
      <c r="F456" s="1">
        <v>43412</v>
      </c>
      <c r="G456" s="1">
        <v>43412</v>
      </c>
      <c r="H456" t="s">
        <v>9</v>
      </c>
      <c r="I456" t="s">
        <v>10</v>
      </c>
    </row>
    <row r="457" spans="1:9" x14ac:dyDescent="0.25">
      <c r="A457" t="s">
        <v>5171</v>
      </c>
      <c r="B457" s="26" t="str">
        <f>MID(tbl_forecast[[#This Row],[PACE Job Number]],3,3)</f>
        <v>WSH</v>
      </c>
      <c r="C457" t="s">
        <v>16</v>
      </c>
      <c r="D457" s="1">
        <v>43430</v>
      </c>
      <c r="E457" s="1">
        <v>36524</v>
      </c>
      <c r="F457" s="1">
        <v>43413</v>
      </c>
      <c r="G457" s="1">
        <v>43413</v>
      </c>
      <c r="H457" t="s">
        <v>9</v>
      </c>
      <c r="I457" t="s">
        <v>10</v>
      </c>
    </row>
    <row r="458" spans="1:9" x14ac:dyDescent="0.25">
      <c r="A458" t="s">
        <v>5172</v>
      </c>
      <c r="B458" s="26" t="str">
        <f>MID(tbl_forecast[[#This Row],[PACE Job Number]],3,3)</f>
        <v>WSH</v>
      </c>
      <c r="C458" t="s">
        <v>16</v>
      </c>
      <c r="D458" s="1">
        <v>43434</v>
      </c>
      <c r="E458" s="1">
        <v>36524</v>
      </c>
      <c r="F458" s="1">
        <v>43419</v>
      </c>
      <c r="G458" s="1">
        <v>43419</v>
      </c>
      <c r="H458" t="s">
        <v>9</v>
      </c>
      <c r="I458" t="s">
        <v>10</v>
      </c>
    </row>
    <row r="459" spans="1:9" x14ac:dyDescent="0.25">
      <c r="A459" t="s">
        <v>5173</v>
      </c>
      <c r="B459" s="26" t="str">
        <f>MID(tbl_forecast[[#This Row],[PACE Job Number]],3,3)</f>
        <v>STX</v>
      </c>
      <c r="C459" t="s">
        <v>16</v>
      </c>
      <c r="D459" s="1">
        <v>43421</v>
      </c>
      <c r="E459" s="1">
        <v>43421</v>
      </c>
      <c r="F459" s="1">
        <v>43420</v>
      </c>
      <c r="G459" s="1">
        <v>43420</v>
      </c>
      <c r="H459" t="s">
        <v>9</v>
      </c>
      <c r="I459" t="s">
        <v>10</v>
      </c>
    </row>
    <row r="460" spans="1:9" x14ac:dyDescent="0.25">
      <c r="A460" t="s">
        <v>5174</v>
      </c>
      <c r="B460" s="26" t="str">
        <f>MID(tbl_forecast[[#This Row],[PACE Job Number]],3,3)</f>
        <v>STX</v>
      </c>
      <c r="C460" t="s">
        <v>16</v>
      </c>
      <c r="D460" s="1">
        <v>43420</v>
      </c>
      <c r="E460" s="1">
        <v>43455</v>
      </c>
      <c r="F460" s="1">
        <v>43434</v>
      </c>
      <c r="G460" s="1"/>
      <c r="H460" t="s">
        <v>9</v>
      </c>
      <c r="I460" t="s">
        <v>44</v>
      </c>
    </row>
    <row r="461" spans="1:9" x14ac:dyDescent="0.25">
      <c r="A461" t="s">
        <v>5175</v>
      </c>
      <c r="B461" s="26" t="str">
        <f>MID(tbl_forecast[[#This Row],[PACE Job Number]],3,3)</f>
        <v>STX</v>
      </c>
      <c r="C461" t="s">
        <v>16</v>
      </c>
      <c r="D461" s="1">
        <v>43434</v>
      </c>
      <c r="E461" s="1">
        <v>36524</v>
      </c>
      <c r="F461" s="1">
        <v>43413</v>
      </c>
      <c r="G461" s="1">
        <v>43413</v>
      </c>
      <c r="H461" t="s">
        <v>9</v>
      </c>
      <c r="I461" t="s">
        <v>10</v>
      </c>
    </row>
    <row r="462" spans="1:9" x14ac:dyDescent="0.25">
      <c r="A462" t="s">
        <v>5176</v>
      </c>
      <c r="B462" s="26" t="str">
        <f>MID(tbl_forecast[[#This Row],[PACE Job Number]],3,3)</f>
        <v>STX</v>
      </c>
      <c r="C462" t="s">
        <v>16</v>
      </c>
      <c r="D462" s="1">
        <v>43434</v>
      </c>
      <c r="E462" s="1">
        <v>36524</v>
      </c>
      <c r="F462" s="1">
        <v>43413</v>
      </c>
      <c r="G462" s="1">
        <v>43413</v>
      </c>
      <c r="H462" t="s">
        <v>9</v>
      </c>
      <c r="I462" t="s">
        <v>10</v>
      </c>
    </row>
    <row r="463" spans="1:9" x14ac:dyDescent="0.25">
      <c r="A463" t="s">
        <v>5177</v>
      </c>
      <c r="B463" s="26" t="str">
        <f>MID(tbl_forecast[[#This Row],[PACE Job Number]],3,3)</f>
        <v>STX</v>
      </c>
      <c r="C463" t="s">
        <v>16</v>
      </c>
      <c r="D463" s="1">
        <v>43421</v>
      </c>
      <c r="E463" s="1">
        <v>43454</v>
      </c>
      <c r="F463" s="1">
        <v>43454</v>
      </c>
      <c r="G463" s="1"/>
      <c r="H463" t="s">
        <v>4664</v>
      </c>
      <c r="I463" t="s">
        <v>4665</v>
      </c>
    </row>
    <row r="464" spans="1:9" x14ac:dyDescent="0.25">
      <c r="A464" t="s">
        <v>5178</v>
      </c>
      <c r="B464" s="26" t="str">
        <f>MID(tbl_forecast[[#This Row],[PACE Job Number]],3,3)</f>
        <v>STX</v>
      </c>
      <c r="C464" t="s">
        <v>16</v>
      </c>
      <c r="D464" s="1">
        <v>43434</v>
      </c>
      <c r="E464" s="1">
        <v>36524</v>
      </c>
      <c r="F464" s="1">
        <v>43434</v>
      </c>
      <c r="G464" s="1"/>
      <c r="H464" t="s">
        <v>9</v>
      </c>
      <c r="I464" t="s">
        <v>27</v>
      </c>
    </row>
    <row r="465" spans="1:9" x14ac:dyDescent="0.25">
      <c r="A465" t="s">
        <v>5179</v>
      </c>
      <c r="B465" s="26" t="str">
        <f>MID(tbl_forecast[[#This Row],[PACE Job Number]],3,3)</f>
        <v>STX</v>
      </c>
      <c r="C465" t="s">
        <v>16</v>
      </c>
      <c r="D465" s="1">
        <v>43405</v>
      </c>
      <c r="E465" s="1">
        <v>43419</v>
      </c>
      <c r="F465" s="1">
        <v>43405</v>
      </c>
      <c r="G465" s="1">
        <v>43405</v>
      </c>
      <c r="H465" t="s">
        <v>9</v>
      </c>
      <c r="I465" t="s">
        <v>10</v>
      </c>
    </row>
    <row r="466" spans="1:9" x14ac:dyDescent="0.25">
      <c r="A466" t="s">
        <v>5180</v>
      </c>
      <c r="B466" s="26" t="str">
        <f>MID(tbl_forecast[[#This Row],[PACE Job Number]],3,3)</f>
        <v>STX</v>
      </c>
      <c r="C466" t="s">
        <v>16</v>
      </c>
      <c r="D466" s="1">
        <v>43421</v>
      </c>
      <c r="E466" s="1">
        <v>43454</v>
      </c>
      <c r="F466" s="1">
        <v>43454</v>
      </c>
      <c r="G466" s="1"/>
      <c r="H466" t="s">
        <v>4664</v>
      </c>
      <c r="I466" t="s">
        <v>4665</v>
      </c>
    </row>
    <row r="467" spans="1:9" x14ac:dyDescent="0.25">
      <c r="A467" t="s">
        <v>5181</v>
      </c>
      <c r="B467" s="26" t="str">
        <f>MID(tbl_forecast[[#This Row],[PACE Job Number]],3,3)</f>
        <v>STX</v>
      </c>
      <c r="C467" t="s">
        <v>16</v>
      </c>
      <c r="D467" s="1">
        <v>43421</v>
      </c>
      <c r="E467" s="1">
        <v>43434</v>
      </c>
      <c r="F467" s="1">
        <v>43434</v>
      </c>
      <c r="G467" s="1"/>
      <c r="H467" t="s">
        <v>9</v>
      </c>
      <c r="I467" t="s">
        <v>27</v>
      </c>
    </row>
    <row r="468" spans="1:9" x14ac:dyDescent="0.25">
      <c r="A468" t="s">
        <v>5182</v>
      </c>
      <c r="B468" s="26" t="str">
        <f>MID(tbl_forecast[[#This Row],[PACE Job Number]],3,3)</f>
        <v>STX</v>
      </c>
      <c r="C468" t="s">
        <v>16</v>
      </c>
      <c r="D468" s="1">
        <v>43421</v>
      </c>
      <c r="E468" s="1">
        <v>43448</v>
      </c>
      <c r="F468" s="1">
        <v>43448</v>
      </c>
      <c r="G468" s="1"/>
      <c r="H468" t="s">
        <v>4664</v>
      </c>
      <c r="I468" t="s">
        <v>4665</v>
      </c>
    </row>
    <row r="469" spans="1:9" x14ac:dyDescent="0.25">
      <c r="A469" t="s">
        <v>5183</v>
      </c>
      <c r="B469" s="26" t="str">
        <f>MID(tbl_forecast[[#This Row],[PACE Job Number]],3,3)</f>
        <v>STX</v>
      </c>
      <c r="C469" t="s">
        <v>16</v>
      </c>
      <c r="D469" s="1">
        <v>43421</v>
      </c>
      <c r="E469" s="1">
        <v>43434</v>
      </c>
      <c r="F469" s="1">
        <v>43434</v>
      </c>
      <c r="G469" s="1">
        <v>43433</v>
      </c>
      <c r="H469" t="s">
        <v>9</v>
      </c>
      <c r="I469" t="s">
        <v>10</v>
      </c>
    </row>
    <row r="470" spans="1:9" x14ac:dyDescent="0.25">
      <c r="A470" t="s">
        <v>3549</v>
      </c>
      <c r="B470" s="26" t="str">
        <f>MID(tbl_forecast[[#This Row],[PACE Job Number]],3,3)</f>
        <v>STX</v>
      </c>
      <c r="C470" t="s">
        <v>16</v>
      </c>
      <c r="D470" s="1">
        <v>43427</v>
      </c>
      <c r="E470" s="1">
        <v>36524</v>
      </c>
      <c r="F470" s="1">
        <v>43413</v>
      </c>
      <c r="G470" s="1">
        <v>43413</v>
      </c>
      <c r="H470" t="s">
        <v>9</v>
      </c>
      <c r="I470" t="s">
        <v>10</v>
      </c>
    </row>
    <row r="471" spans="1:9" x14ac:dyDescent="0.25">
      <c r="A471" t="s">
        <v>3550</v>
      </c>
      <c r="B471" s="26" t="str">
        <f>MID(tbl_forecast[[#This Row],[PACE Job Number]],3,3)</f>
        <v>STX</v>
      </c>
      <c r="C471" t="s">
        <v>16</v>
      </c>
      <c r="D471" s="1">
        <v>43420</v>
      </c>
      <c r="E471" s="1">
        <v>36524</v>
      </c>
      <c r="F471" s="1">
        <v>43418</v>
      </c>
      <c r="G471" s="1">
        <v>43418</v>
      </c>
      <c r="H471" t="s">
        <v>9</v>
      </c>
      <c r="I471" t="s">
        <v>10</v>
      </c>
    </row>
    <row r="472" spans="1:9" x14ac:dyDescent="0.25">
      <c r="A472" t="s">
        <v>5184</v>
      </c>
      <c r="B472" s="26" t="str">
        <f>MID(tbl_forecast[[#This Row],[PACE Job Number]],3,3)</f>
        <v>STX</v>
      </c>
      <c r="C472" t="s">
        <v>16</v>
      </c>
      <c r="D472" s="1">
        <v>43434</v>
      </c>
      <c r="E472" s="1">
        <v>36524</v>
      </c>
      <c r="F472" s="1">
        <v>43418</v>
      </c>
      <c r="G472" s="1">
        <v>43418</v>
      </c>
      <c r="H472" t="s">
        <v>9</v>
      </c>
      <c r="I472" t="s">
        <v>10</v>
      </c>
    </row>
    <row r="473" spans="1:9" x14ac:dyDescent="0.25">
      <c r="A473" t="s">
        <v>5185</v>
      </c>
      <c r="B473" s="26" t="str">
        <f>MID(tbl_forecast[[#This Row],[PACE Job Number]],3,3)</f>
        <v>STX</v>
      </c>
      <c r="C473" t="s">
        <v>16</v>
      </c>
      <c r="D473" s="1">
        <v>43434</v>
      </c>
      <c r="E473" s="1">
        <v>36524</v>
      </c>
      <c r="F473" s="1">
        <v>43413</v>
      </c>
      <c r="G473" s="1">
        <v>43413</v>
      </c>
      <c r="H473" t="s">
        <v>9</v>
      </c>
      <c r="I473" t="s">
        <v>10</v>
      </c>
    </row>
    <row r="474" spans="1:9" x14ac:dyDescent="0.25">
      <c r="A474" t="s">
        <v>5186</v>
      </c>
      <c r="B474" s="26" t="str">
        <f>MID(tbl_forecast[[#This Row],[PACE Job Number]],3,3)</f>
        <v>STX</v>
      </c>
      <c r="C474" t="s">
        <v>16</v>
      </c>
      <c r="D474" s="1">
        <v>43405</v>
      </c>
      <c r="E474" s="1">
        <v>36524</v>
      </c>
      <c r="F474" s="1">
        <v>43405</v>
      </c>
      <c r="G474" s="1">
        <v>43405</v>
      </c>
      <c r="H474" t="s">
        <v>9</v>
      </c>
      <c r="I474" t="s">
        <v>10</v>
      </c>
    </row>
    <row r="475" spans="1:9" x14ac:dyDescent="0.25">
      <c r="A475" t="s">
        <v>5187</v>
      </c>
      <c r="B475" s="26" t="str">
        <f>MID(tbl_forecast[[#This Row],[PACE Job Number]],3,3)</f>
        <v>WSH</v>
      </c>
      <c r="C475" t="s">
        <v>16</v>
      </c>
      <c r="D475" s="1">
        <v>43406</v>
      </c>
      <c r="E475" s="1">
        <v>36524</v>
      </c>
      <c r="F475" s="1">
        <v>43554</v>
      </c>
      <c r="G475" s="1"/>
      <c r="H475" t="s">
        <v>4664</v>
      </c>
      <c r="I475" t="s">
        <v>4666</v>
      </c>
    </row>
    <row r="476" spans="1:9" x14ac:dyDescent="0.25">
      <c r="A476" t="s">
        <v>5188</v>
      </c>
      <c r="B476" s="26" t="str">
        <f>MID(tbl_forecast[[#This Row],[PACE Job Number]],3,3)</f>
        <v>WSH</v>
      </c>
      <c r="C476" t="s">
        <v>16</v>
      </c>
      <c r="D476" s="1">
        <v>43406</v>
      </c>
      <c r="E476" s="1">
        <v>36524</v>
      </c>
      <c r="F476" s="1">
        <v>43554</v>
      </c>
      <c r="G476" s="1"/>
      <c r="H476" t="s">
        <v>4664</v>
      </c>
      <c r="I476" t="s">
        <v>4666</v>
      </c>
    </row>
    <row r="477" spans="1:9" x14ac:dyDescent="0.25">
      <c r="A477" t="s">
        <v>5189</v>
      </c>
      <c r="B477" s="26" t="str">
        <f>MID(tbl_forecast[[#This Row],[PACE Job Number]],3,3)</f>
        <v>NTX</v>
      </c>
      <c r="C477" t="s">
        <v>16</v>
      </c>
      <c r="D477" s="1">
        <v>43430</v>
      </c>
      <c r="E477" s="1">
        <v>43434</v>
      </c>
      <c r="F477" s="1">
        <v>43425</v>
      </c>
      <c r="G477" s="1"/>
      <c r="H477" t="s">
        <v>9</v>
      </c>
      <c r="I477" t="s">
        <v>27</v>
      </c>
    </row>
    <row r="478" spans="1:9" x14ac:dyDescent="0.25">
      <c r="A478" t="s">
        <v>5190</v>
      </c>
      <c r="B478" s="26" t="str">
        <f>MID(tbl_forecast[[#This Row],[PACE Job Number]],3,3)</f>
        <v>NTX</v>
      </c>
      <c r="C478" t="s">
        <v>16</v>
      </c>
      <c r="D478" s="1">
        <v>43430</v>
      </c>
      <c r="E478" s="1">
        <v>43434</v>
      </c>
      <c r="F478" s="1">
        <v>43430</v>
      </c>
      <c r="G478" s="1"/>
      <c r="H478" t="s">
        <v>9</v>
      </c>
      <c r="I478" t="s">
        <v>27</v>
      </c>
    </row>
    <row r="479" spans="1:9" x14ac:dyDescent="0.25">
      <c r="A479" t="s">
        <v>4176</v>
      </c>
      <c r="B479" s="26" t="str">
        <f>MID(tbl_forecast[[#This Row],[PACE Job Number]],3,3)</f>
        <v>NTX</v>
      </c>
      <c r="C479" t="s">
        <v>16</v>
      </c>
      <c r="D479" s="1">
        <v>43426</v>
      </c>
      <c r="E479" s="1">
        <v>43434</v>
      </c>
      <c r="F479" s="1">
        <v>43434</v>
      </c>
      <c r="G479" s="1"/>
      <c r="H479" t="s">
        <v>9</v>
      </c>
      <c r="I479" t="s">
        <v>27</v>
      </c>
    </row>
    <row r="480" spans="1:9" x14ac:dyDescent="0.25">
      <c r="A480" t="s">
        <v>5191</v>
      </c>
      <c r="B480" s="26" t="str">
        <f>MID(tbl_forecast[[#This Row],[PACE Job Number]],3,3)</f>
        <v>NTX</v>
      </c>
      <c r="C480" t="s">
        <v>16</v>
      </c>
      <c r="D480" s="1">
        <v>43427</v>
      </c>
      <c r="E480" s="1">
        <v>43482</v>
      </c>
      <c r="F480" s="1">
        <v>43482</v>
      </c>
      <c r="G480" s="1"/>
      <c r="H480" t="s">
        <v>4664</v>
      </c>
      <c r="I480" t="s">
        <v>4665</v>
      </c>
    </row>
    <row r="481" spans="1:9" x14ac:dyDescent="0.25">
      <c r="A481" t="s">
        <v>5192</v>
      </c>
      <c r="B481" s="26" t="str">
        <f>MID(tbl_forecast[[#This Row],[PACE Job Number]],3,3)</f>
        <v>NTX</v>
      </c>
      <c r="C481" t="s">
        <v>16</v>
      </c>
      <c r="D481" s="1">
        <v>43430</v>
      </c>
      <c r="E481" s="1">
        <v>43434</v>
      </c>
      <c r="F481" s="1">
        <v>43430</v>
      </c>
      <c r="G481" s="1"/>
      <c r="H481" t="s">
        <v>9</v>
      </c>
      <c r="I481" t="s">
        <v>27</v>
      </c>
    </row>
    <row r="482" spans="1:9" x14ac:dyDescent="0.25">
      <c r="A482" t="s">
        <v>2306</v>
      </c>
      <c r="B482" s="26" t="str">
        <f>MID(tbl_forecast[[#This Row],[PACE Job Number]],3,3)</f>
        <v>NTX</v>
      </c>
      <c r="C482" t="s">
        <v>16</v>
      </c>
      <c r="D482" s="1">
        <v>43434</v>
      </c>
      <c r="E482" s="1">
        <v>43434</v>
      </c>
      <c r="F482" s="1">
        <v>43424</v>
      </c>
      <c r="G482" s="1">
        <v>43424</v>
      </c>
      <c r="H482" t="s">
        <v>9</v>
      </c>
      <c r="I482" t="s">
        <v>10</v>
      </c>
    </row>
    <row r="483" spans="1:9" x14ac:dyDescent="0.25">
      <c r="A483" t="s">
        <v>5193</v>
      </c>
      <c r="B483" s="26" t="str">
        <f>MID(tbl_forecast[[#This Row],[PACE Job Number]],3,3)</f>
        <v>NTX</v>
      </c>
      <c r="C483" t="s">
        <v>16</v>
      </c>
      <c r="D483" s="1">
        <v>43427</v>
      </c>
      <c r="E483" s="1">
        <v>43482</v>
      </c>
      <c r="F483" s="1">
        <v>43482</v>
      </c>
      <c r="G483" s="1"/>
      <c r="H483" t="s">
        <v>4664</v>
      </c>
      <c r="I483" t="s">
        <v>4665</v>
      </c>
    </row>
    <row r="484" spans="1:9" x14ac:dyDescent="0.25">
      <c r="A484" t="s">
        <v>4123</v>
      </c>
      <c r="B484" s="26" t="str">
        <f>MID(tbl_forecast[[#This Row],[PACE Job Number]],3,3)</f>
        <v>NTX</v>
      </c>
      <c r="C484" t="s">
        <v>16</v>
      </c>
      <c r="D484" s="1">
        <v>43426</v>
      </c>
      <c r="E484" s="1">
        <v>43434</v>
      </c>
      <c r="F484" s="1">
        <v>43434</v>
      </c>
      <c r="G484" s="1"/>
      <c r="H484" t="s">
        <v>9</v>
      </c>
      <c r="I484" t="s">
        <v>27</v>
      </c>
    </row>
    <row r="485" spans="1:9" x14ac:dyDescent="0.25">
      <c r="A485" t="s">
        <v>5194</v>
      </c>
      <c r="B485" s="26" t="str">
        <f>MID(tbl_forecast[[#This Row],[PACE Job Number]],3,3)</f>
        <v>NTX</v>
      </c>
      <c r="C485" t="s">
        <v>16</v>
      </c>
      <c r="D485" s="1">
        <v>43430</v>
      </c>
      <c r="E485" s="1">
        <v>43434</v>
      </c>
      <c r="F485" s="1">
        <v>43430</v>
      </c>
      <c r="G485" s="1"/>
      <c r="H485" t="s">
        <v>9</v>
      </c>
      <c r="I485" t="s">
        <v>27</v>
      </c>
    </row>
    <row r="486" spans="1:9" x14ac:dyDescent="0.25">
      <c r="A486" t="s">
        <v>3424</v>
      </c>
      <c r="B486" s="26" t="str">
        <f>MID(tbl_forecast[[#This Row],[PACE Job Number]],3,3)</f>
        <v>ANM</v>
      </c>
      <c r="C486" t="s">
        <v>12</v>
      </c>
      <c r="D486" s="1">
        <v>43410</v>
      </c>
      <c r="E486" s="1">
        <v>43446</v>
      </c>
      <c r="F486" s="1">
        <v>43438</v>
      </c>
      <c r="G486" s="1"/>
      <c r="H486" t="s">
        <v>4664</v>
      </c>
      <c r="I486" t="s">
        <v>5645</v>
      </c>
    </row>
    <row r="487" spans="1:9" x14ac:dyDescent="0.25">
      <c r="A487" t="s">
        <v>3566</v>
      </c>
      <c r="B487" s="26" t="str">
        <f>MID(tbl_forecast[[#This Row],[PACE Job Number]],3,3)</f>
        <v>STX</v>
      </c>
      <c r="C487" t="s">
        <v>12</v>
      </c>
      <c r="D487" s="1">
        <v>43411</v>
      </c>
      <c r="E487" s="1">
        <v>43472</v>
      </c>
      <c r="F487" s="1">
        <v>43472</v>
      </c>
      <c r="G487" s="1"/>
      <c r="H487" t="s">
        <v>4664</v>
      </c>
      <c r="I487" t="s">
        <v>5645</v>
      </c>
    </row>
    <row r="488" spans="1:9" x14ac:dyDescent="0.25">
      <c r="A488" t="s">
        <v>4820</v>
      </c>
      <c r="B488" s="26" t="str">
        <f>MID(tbl_forecast[[#This Row],[PACE Job Number]],3,3)</f>
        <v>STX</v>
      </c>
      <c r="C488" t="s">
        <v>12</v>
      </c>
      <c r="D488" s="1">
        <v>43430</v>
      </c>
      <c r="E488" s="1">
        <v>43457</v>
      </c>
      <c r="F488" s="1">
        <v>43410</v>
      </c>
      <c r="G488" s="1"/>
      <c r="H488" t="s">
        <v>9</v>
      </c>
      <c r="I488" t="s">
        <v>44</v>
      </c>
    </row>
    <row r="489" spans="1:9" x14ac:dyDescent="0.25">
      <c r="A489" t="s">
        <v>3810</v>
      </c>
      <c r="B489" s="26" t="str">
        <f>MID(tbl_forecast[[#This Row],[PACE Job Number]],3,3)</f>
        <v>WSH</v>
      </c>
      <c r="C489" t="s">
        <v>12</v>
      </c>
      <c r="D489" s="1">
        <v>43412</v>
      </c>
      <c r="E489" s="1">
        <v>43410</v>
      </c>
      <c r="F489" s="1">
        <v>43410</v>
      </c>
      <c r="G489" s="1">
        <v>43410</v>
      </c>
      <c r="H489" t="s">
        <v>9</v>
      </c>
      <c r="I489" t="s">
        <v>10</v>
      </c>
    </row>
    <row r="490" spans="1:9" x14ac:dyDescent="0.25">
      <c r="A490" t="s">
        <v>3812</v>
      </c>
      <c r="B490" s="26" t="str">
        <f>MID(tbl_forecast[[#This Row],[PACE Job Number]],3,3)</f>
        <v>WSH</v>
      </c>
      <c r="C490" t="s">
        <v>12</v>
      </c>
      <c r="D490" s="1">
        <v>43411</v>
      </c>
      <c r="E490" s="1">
        <v>43423</v>
      </c>
      <c r="F490" s="1">
        <v>43423</v>
      </c>
      <c r="G490" s="1">
        <v>43423</v>
      </c>
      <c r="H490" t="s">
        <v>9</v>
      </c>
      <c r="I490" t="s">
        <v>10</v>
      </c>
    </row>
    <row r="491" spans="1:9" x14ac:dyDescent="0.25">
      <c r="A491" t="s">
        <v>5195</v>
      </c>
      <c r="B491" s="26" t="str">
        <f>MID(tbl_forecast[[#This Row],[PACE Job Number]],3,3)</f>
        <v>WSH</v>
      </c>
      <c r="C491" t="s">
        <v>12</v>
      </c>
      <c r="D491" s="1">
        <v>43410</v>
      </c>
      <c r="E491" s="1">
        <v>43416</v>
      </c>
      <c r="F491" s="1">
        <v>43416</v>
      </c>
      <c r="G491" s="1">
        <v>43416</v>
      </c>
      <c r="H491" t="s">
        <v>9</v>
      </c>
      <c r="I491" t="s">
        <v>10</v>
      </c>
    </row>
    <row r="492" spans="1:9" x14ac:dyDescent="0.25">
      <c r="A492" t="s">
        <v>4828</v>
      </c>
      <c r="B492" s="26" t="str">
        <f>MID(tbl_forecast[[#This Row],[PACE Job Number]],3,3)</f>
        <v>STX</v>
      </c>
      <c r="C492" t="s">
        <v>12</v>
      </c>
      <c r="D492" s="1">
        <v>43427</v>
      </c>
      <c r="E492" s="1">
        <v>43441</v>
      </c>
      <c r="F492" s="1">
        <v>43441</v>
      </c>
      <c r="G492" s="1"/>
      <c r="H492" t="s">
        <v>9</v>
      </c>
      <c r="I492" t="s">
        <v>27</v>
      </c>
    </row>
    <row r="493" spans="1:9" x14ac:dyDescent="0.25">
      <c r="A493" t="s">
        <v>4830</v>
      </c>
      <c r="B493" s="26" t="str">
        <f>MID(tbl_forecast[[#This Row],[PACE Job Number]],3,3)</f>
        <v>STX</v>
      </c>
      <c r="C493" t="s">
        <v>12</v>
      </c>
      <c r="D493" s="1">
        <v>43427</v>
      </c>
      <c r="E493" s="1">
        <v>43427</v>
      </c>
      <c r="F493" s="1">
        <v>43427</v>
      </c>
      <c r="G493" s="1"/>
      <c r="H493" t="s">
        <v>9</v>
      </c>
      <c r="I493" t="s">
        <v>27</v>
      </c>
    </row>
    <row r="494" spans="1:9" x14ac:dyDescent="0.25">
      <c r="A494" t="s">
        <v>4831</v>
      </c>
      <c r="B494" s="26" t="str">
        <f>MID(tbl_forecast[[#This Row],[PACE Job Number]],3,3)</f>
        <v>STX</v>
      </c>
      <c r="C494" t="s">
        <v>12</v>
      </c>
      <c r="D494" s="1">
        <v>43427</v>
      </c>
      <c r="E494" s="1">
        <v>43427</v>
      </c>
      <c r="F494" s="1">
        <v>43427</v>
      </c>
      <c r="G494" s="1"/>
      <c r="H494" t="s">
        <v>9</v>
      </c>
      <c r="I494" t="s">
        <v>27</v>
      </c>
    </row>
    <row r="495" spans="1:9" x14ac:dyDescent="0.25">
      <c r="A495" t="s">
        <v>4125</v>
      </c>
      <c r="B495" s="26" t="str">
        <f>MID(tbl_forecast[[#This Row],[PACE Job Number]],3,3)</f>
        <v>STX</v>
      </c>
      <c r="C495" t="s">
        <v>12</v>
      </c>
      <c r="D495" s="1">
        <v>43415</v>
      </c>
      <c r="E495" s="1">
        <v>43441</v>
      </c>
      <c r="F495" s="1">
        <v>43441</v>
      </c>
      <c r="G495" s="1"/>
      <c r="H495" t="s">
        <v>4664</v>
      </c>
      <c r="I495" t="s">
        <v>5645</v>
      </c>
    </row>
    <row r="496" spans="1:9" x14ac:dyDescent="0.25">
      <c r="A496" t="s">
        <v>4839</v>
      </c>
      <c r="B496" s="26" t="str">
        <f>MID(tbl_forecast[[#This Row],[PACE Job Number]],3,3)</f>
        <v>STX</v>
      </c>
      <c r="C496" t="s">
        <v>12</v>
      </c>
      <c r="D496" s="1">
        <v>43427</v>
      </c>
      <c r="E496" s="1">
        <v>43441</v>
      </c>
      <c r="F496" s="1">
        <v>43441</v>
      </c>
      <c r="G496" s="1"/>
      <c r="H496" t="s">
        <v>9</v>
      </c>
      <c r="I496" t="s">
        <v>27</v>
      </c>
    </row>
    <row r="497" spans="1:9" x14ac:dyDescent="0.25">
      <c r="A497" t="s">
        <v>4126</v>
      </c>
      <c r="B497" s="26" t="str">
        <f>MID(tbl_forecast[[#This Row],[PACE Job Number]],3,3)</f>
        <v>STX</v>
      </c>
      <c r="C497" t="s">
        <v>12</v>
      </c>
      <c r="D497" s="1">
        <v>43415</v>
      </c>
      <c r="E497" s="1">
        <v>43441</v>
      </c>
      <c r="F497" s="1">
        <v>43441</v>
      </c>
      <c r="G497" s="1"/>
      <c r="H497" t="s">
        <v>4664</v>
      </c>
      <c r="I497" t="s">
        <v>5645</v>
      </c>
    </row>
    <row r="498" spans="1:9" x14ac:dyDescent="0.25">
      <c r="A498" t="s">
        <v>4842</v>
      </c>
      <c r="B498" s="26" t="str">
        <f>MID(tbl_forecast[[#This Row],[PACE Job Number]],3,3)</f>
        <v>STX</v>
      </c>
      <c r="C498" t="s">
        <v>12</v>
      </c>
      <c r="D498" s="1">
        <v>43426</v>
      </c>
      <c r="E498" s="1">
        <v>43427</v>
      </c>
      <c r="F498" s="1">
        <v>43426</v>
      </c>
      <c r="G498" s="1"/>
      <c r="H498" t="s">
        <v>9</v>
      </c>
      <c r="I498" t="s">
        <v>27</v>
      </c>
    </row>
    <row r="499" spans="1:9" x14ac:dyDescent="0.25">
      <c r="A499" t="s">
        <v>4843</v>
      </c>
      <c r="B499" s="26" t="str">
        <f>MID(tbl_forecast[[#This Row],[PACE Job Number]],3,3)</f>
        <v>STX</v>
      </c>
      <c r="C499" t="s">
        <v>12</v>
      </c>
      <c r="D499" s="1">
        <v>43427</v>
      </c>
      <c r="E499" s="1">
        <v>43434</v>
      </c>
      <c r="F499" s="1">
        <v>43434</v>
      </c>
      <c r="G499" s="1"/>
      <c r="H499" t="s">
        <v>9</v>
      </c>
      <c r="I499" t="s">
        <v>27</v>
      </c>
    </row>
    <row r="500" spans="1:9" x14ac:dyDescent="0.25">
      <c r="A500" t="s">
        <v>4844</v>
      </c>
      <c r="B500" s="26" t="str">
        <f>MID(tbl_forecast[[#This Row],[PACE Job Number]],3,3)</f>
        <v>STX</v>
      </c>
      <c r="C500" t="s">
        <v>12</v>
      </c>
      <c r="D500" s="1">
        <v>43427</v>
      </c>
      <c r="E500" s="1">
        <v>43427</v>
      </c>
      <c r="F500" s="1">
        <v>43427</v>
      </c>
      <c r="G500" s="1"/>
      <c r="H500" t="s">
        <v>9</v>
      </c>
      <c r="I500" t="s">
        <v>27</v>
      </c>
    </row>
    <row r="501" spans="1:9" x14ac:dyDescent="0.25">
      <c r="A501" t="s">
        <v>5196</v>
      </c>
      <c r="B501" s="26" t="str">
        <f>MID(tbl_forecast[[#This Row],[PACE Job Number]],3,3)</f>
        <v>STX</v>
      </c>
      <c r="C501" t="s">
        <v>12</v>
      </c>
      <c r="D501" s="1">
        <v>43434</v>
      </c>
      <c r="E501" s="1">
        <v>43455</v>
      </c>
      <c r="F501" s="1">
        <v>43455</v>
      </c>
      <c r="G501" s="1"/>
      <c r="H501" t="s">
        <v>4664</v>
      </c>
      <c r="I501" t="s">
        <v>4665</v>
      </c>
    </row>
    <row r="502" spans="1:9" x14ac:dyDescent="0.25">
      <c r="A502" t="s">
        <v>4128</v>
      </c>
      <c r="B502" s="26" t="str">
        <f>MID(tbl_forecast[[#This Row],[PACE Job Number]],3,3)</f>
        <v>STX</v>
      </c>
      <c r="C502" t="s">
        <v>12</v>
      </c>
      <c r="D502" s="1">
        <v>43411</v>
      </c>
      <c r="E502" s="1">
        <v>43421</v>
      </c>
      <c r="F502" s="1">
        <v>43421</v>
      </c>
      <c r="G502" s="1"/>
      <c r="H502" t="s">
        <v>9</v>
      </c>
      <c r="I502" t="s">
        <v>27</v>
      </c>
    </row>
    <row r="503" spans="1:9" x14ac:dyDescent="0.25">
      <c r="A503" t="s">
        <v>5197</v>
      </c>
      <c r="B503" s="26" t="str">
        <f>MID(tbl_forecast[[#This Row],[PACE Job Number]],3,3)</f>
        <v>WSH</v>
      </c>
      <c r="C503" t="s">
        <v>12</v>
      </c>
      <c r="D503" s="1">
        <v>43409</v>
      </c>
      <c r="E503" s="1">
        <v>43420</v>
      </c>
      <c r="F503" s="1">
        <v>43420</v>
      </c>
      <c r="G503" s="1">
        <v>43420</v>
      </c>
      <c r="H503" t="s">
        <v>9</v>
      </c>
      <c r="I503" t="s">
        <v>10</v>
      </c>
    </row>
    <row r="504" spans="1:9" x14ac:dyDescent="0.25">
      <c r="A504" t="s">
        <v>5198</v>
      </c>
      <c r="B504" s="26" t="str">
        <f>MID(tbl_forecast[[#This Row],[PACE Job Number]],3,3)</f>
        <v>WSH</v>
      </c>
      <c r="C504" t="s">
        <v>12</v>
      </c>
      <c r="D504" s="1">
        <v>43430</v>
      </c>
      <c r="E504" s="1">
        <v>43423</v>
      </c>
      <c r="F504" s="1">
        <v>43423</v>
      </c>
      <c r="G504" s="1">
        <v>43423</v>
      </c>
      <c r="H504" t="s">
        <v>9</v>
      </c>
      <c r="I504" t="s">
        <v>10</v>
      </c>
    </row>
    <row r="505" spans="1:9" x14ac:dyDescent="0.25">
      <c r="A505" t="s">
        <v>4206</v>
      </c>
      <c r="B505" s="26" t="str">
        <f>MID(tbl_forecast[[#This Row],[PACE Job Number]],3,3)</f>
        <v>WSH</v>
      </c>
      <c r="C505" t="s">
        <v>12</v>
      </c>
      <c r="D505" s="1">
        <v>43411</v>
      </c>
      <c r="E505" s="1">
        <v>43410</v>
      </c>
      <c r="F505" s="1">
        <v>43410</v>
      </c>
      <c r="G505" s="1">
        <v>43410</v>
      </c>
      <c r="H505" t="s">
        <v>9</v>
      </c>
      <c r="I505" t="s">
        <v>10</v>
      </c>
    </row>
    <row r="506" spans="1:9" x14ac:dyDescent="0.25">
      <c r="A506" t="s">
        <v>254</v>
      </c>
      <c r="B506" s="26" t="str">
        <f>MID(tbl_forecast[[#This Row],[PACE Job Number]],3,3)</f>
        <v>WSH</v>
      </c>
      <c r="C506" t="s">
        <v>12</v>
      </c>
      <c r="D506" s="1">
        <v>43416</v>
      </c>
      <c r="E506" s="1">
        <v>43417</v>
      </c>
      <c r="F506" s="1">
        <v>43417</v>
      </c>
      <c r="G506" s="1">
        <v>43417</v>
      </c>
      <c r="H506" t="s">
        <v>9</v>
      </c>
      <c r="I506" t="s">
        <v>10</v>
      </c>
    </row>
    <row r="507" spans="1:9" x14ac:dyDescent="0.25">
      <c r="A507" t="s">
        <v>5199</v>
      </c>
      <c r="B507" s="26" t="str">
        <f>MID(tbl_forecast[[#This Row],[PACE Job Number]],3,3)</f>
        <v>WSH</v>
      </c>
      <c r="C507" t="s">
        <v>12</v>
      </c>
      <c r="D507" s="1">
        <v>43409</v>
      </c>
      <c r="E507" s="1">
        <v>43409</v>
      </c>
      <c r="F507" s="1">
        <v>43409</v>
      </c>
      <c r="G507" s="1">
        <v>43409</v>
      </c>
      <c r="H507" t="s">
        <v>9</v>
      </c>
      <c r="I507" t="s">
        <v>10</v>
      </c>
    </row>
    <row r="508" spans="1:9" x14ac:dyDescent="0.25">
      <c r="A508" t="s">
        <v>5200</v>
      </c>
      <c r="B508" s="26" t="str">
        <f>MID(tbl_forecast[[#This Row],[PACE Job Number]],3,3)</f>
        <v>WSH</v>
      </c>
      <c r="C508" t="s">
        <v>12</v>
      </c>
      <c r="D508" s="1">
        <v>43411</v>
      </c>
      <c r="E508" s="1">
        <v>43413</v>
      </c>
      <c r="F508" s="1">
        <v>43413</v>
      </c>
      <c r="G508" s="1">
        <v>43413</v>
      </c>
      <c r="H508" t="s">
        <v>9</v>
      </c>
      <c r="I508" t="s">
        <v>10</v>
      </c>
    </row>
    <row r="509" spans="1:9" x14ac:dyDescent="0.25">
      <c r="A509" t="s">
        <v>3813</v>
      </c>
      <c r="B509" s="26" t="str">
        <f>MID(tbl_forecast[[#This Row],[PACE Job Number]],3,3)</f>
        <v>WSH</v>
      </c>
      <c r="C509" t="s">
        <v>12</v>
      </c>
      <c r="D509" s="1">
        <v>43409</v>
      </c>
      <c r="E509" s="1">
        <v>43411</v>
      </c>
      <c r="F509" s="1">
        <v>43411</v>
      </c>
      <c r="G509" s="1">
        <v>43411</v>
      </c>
      <c r="H509" t="s">
        <v>9</v>
      </c>
      <c r="I509" t="s">
        <v>10</v>
      </c>
    </row>
    <row r="510" spans="1:9" x14ac:dyDescent="0.25">
      <c r="A510" t="s">
        <v>5201</v>
      </c>
      <c r="B510" s="26" t="str">
        <f>MID(tbl_forecast[[#This Row],[PACE Job Number]],3,3)</f>
        <v>WSH</v>
      </c>
      <c r="C510" t="s">
        <v>12</v>
      </c>
      <c r="D510" s="1">
        <v>43413</v>
      </c>
      <c r="E510" s="1">
        <v>43418</v>
      </c>
      <c r="F510" s="1">
        <v>43418</v>
      </c>
      <c r="G510" s="1">
        <v>43418</v>
      </c>
      <c r="H510" t="s">
        <v>9</v>
      </c>
      <c r="I510" t="s">
        <v>10</v>
      </c>
    </row>
    <row r="511" spans="1:9" x14ac:dyDescent="0.25">
      <c r="A511" t="s">
        <v>5202</v>
      </c>
      <c r="B511" s="26" t="str">
        <f>MID(tbl_forecast[[#This Row],[PACE Job Number]],3,3)</f>
        <v>WSH</v>
      </c>
      <c r="C511" t="s">
        <v>12</v>
      </c>
      <c r="D511" s="1">
        <v>43412</v>
      </c>
      <c r="E511" s="1">
        <v>43420</v>
      </c>
      <c r="F511" s="1">
        <v>43420</v>
      </c>
      <c r="G511" s="1">
        <v>43420</v>
      </c>
      <c r="H511" t="s">
        <v>9</v>
      </c>
      <c r="I511" t="s">
        <v>10</v>
      </c>
    </row>
    <row r="512" spans="1:9" x14ac:dyDescent="0.25">
      <c r="A512" t="s">
        <v>3820</v>
      </c>
      <c r="B512" s="26" t="str">
        <f>MID(tbl_forecast[[#This Row],[PACE Job Number]],3,3)</f>
        <v>WSH</v>
      </c>
      <c r="C512" t="s">
        <v>12</v>
      </c>
      <c r="D512" s="1">
        <v>43416</v>
      </c>
      <c r="E512" s="1">
        <v>43417</v>
      </c>
      <c r="F512" s="1">
        <v>43417</v>
      </c>
      <c r="G512" s="1">
        <v>43417</v>
      </c>
      <c r="H512" t="s">
        <v>9</v>
      </c>
      <c r="I512" t="s">
        <v>10</v>
      </c>
    </row>
    <row r="513" spans="1:9" x14ac:dyDescent="0.25">
      <c r="A513" t="s">
        <v>4893</v>
      </c>
      <c r="B513" s="26" t="str">
        <f>MID(tbl_forecast[[#This Row],[PACE Job Number]],3,3)</f>
        <v>STX</v>
      </c>
      <c r="C513" t="s">
        <v>12</v>
      </c>
      <c r="D513" s="1">
        <v>43434</v>
      </c>
      <c r="E513" s="1">
        <v>43441</v>
      </c>
      <c r="F513" s="1">
        <v>43441</v>
      </c>
      <c r="G513" s="1"/>
      <c r="H513" t="s">
        <v>9</v>
      </c>
      <c r="I513" t="s">
        <v>27</v>
      </c>
    </row>
    <row r="514" spans="1:9" x14ac:dyDescent="0.25">
      <c r="A514" t="s">
        <v>4895</v>
      </c>
      <c r="B514" s="26" t="str">
        <f>MID(tbl_forecast[[#This Row],[PACE Job Number]],3,3)</f>
        <v>STX</v>
      </c>
      <c r="C514" t="s">
        <v>12</v>
      </c>
      <c r="D514" s="1">
        <v>43427</v>
      </c>
      <c r="E514" s="1">
        <v>43434</v>
      </c>
      <c r="F514" s="1">
        <v>43434</v>
      </c>
      <c r="G514" s="1"/>
      <c r="H514" t="s">
        <v>9</v>
      </c>
      <c r="I514" t="s">
        <v>27</v>
      </c>
    </row>
    <row r="515" spans="1:9" x14ac:dyDescent="0.25">
      <c r="A515" t="s">
        <v>4897</v>
      </c>
      <c r="B515" s="26" t="str">
        <f>MID(tbl_forecast[[#This Row],[PACE Job Number]],3,3)</f>
        <v>STX</v>
      </c>
      <c r="C515" t="s">
        <v>12</v>
      </c>
      <c r="D515" s="1">
        <v>43427</v>
      </c>
      <c r="E515" s="1">
        <v>43434</v>
      </c>
      <c r="F515" s="1">
        <v>43434</v>
      </c>
      <c r="G515" s="1"/>
      <c r="H515" t="s">
        <v>9</v>
      </c>
      <c r="I515" t="s">
        <v>27</v>
      </c>
    </row>
    <row r="516" spans="1:9" x14ac:dyDescent="0.25">
      <c r="A516" t="s">
        <v>4898</v>
      </c>
      <c r="B516" s="26" t="str">
        <f>MID(tbl_forecast[[#This Row],[PACE Job Number]],3,3)</f>
        <v>STX</v>
      </c>
      <c r="C516" t="s">
        <v>12</v>
      </c>
      <c r="D516" s="1">
        <v>43434</v>
      </c>
      <c r="E516" s="1">
        <v>43441</v>
      </c>
      <c r="F516" s="1">
        <v>43441</v>
      </c>
      <c r="G516" s="1"/>
      <c r="H516" t="s">
        <v>9</v>
      </c>
      <c r="I516" t="s">
        <v>27</v>
      </c>
    </row>
    <row r="517" spans="1:9" x14ac:dyDescent="0.25">
      <c r="A517" t="s">
        <v>4899</v>
      </c>
      <c r="B517" s="26" t="str">
        <f>MID(tbl_forecast[[#This Row],[PACE Job Number]],3,3)</f>
        <v>STX</v>
      </c>
      <c r="C517" t="s">
        <v>12</v>
      </c>
      <c r="D517" s="1">
        <v>43434</v>
      </c>
      <c r="E517" s="1">
        <v>43441</v>
      </c>
      <c r="F517" s="1">
        <v>43441</v>
      </c>
      <c r="G517" s="1"/>
      <c r="H517" t="s">
        <v>9</v>
      </c>
      <c r="I517" t="s">
        <v>27</v>
      </c>
    </row>
    <row r="518" spans="1:9" x14ac:dyDescent="0.25">
      <c r="A518" t="s">
        <v>4909</v>
      </c>
      <c r="B518" s="26" t="str">
        <f>MID(tbl_forecast[[#This Row],[PACE Job Number]],3,3)</f>
        <v>STX</v>
      </c>
      <c r="C518" t="s">
        <v>12</v>
      </c>
      <c r="D518" s="1">
        <v>43434</v>
      </c>
      <c r="E518" s="1">
        <v>43434</v>
      </c>
      <c r="F518" s="1">
        <v>43434</v>
      </c>
      <c r="G518" s="1"/>
      <c r="H518" t="s">
        <v>9</v>
      </c>
      <c r="I518" t="s">
        <v>27</v>
      </c>
    </row>
    <row r="519" spans="1:9" x14ac:dyDescent="0.25">
      <c r="A519" t="s">
        <v>4914</v>
      </c>
      <c r="B519" s="26" t="str">
        <f>MID(tbl_forecast[[#This Row],[PACE Job Number]],3,3)</f>
        <v>STX</v>
      </c>
      <c r="C519" t="s">
        <v>12</v>
      </c>
      <c r="D519" s="1">
        <v>43420</v>
      </c>
      <c r="E519" s="1">
        <v>43420</v>
      </c>
      <c r="F519" s="1">
        <v>43420</v>
      </c>
      <c r="G519" s="1"/>
      <c r="H519" t="s">
        <v>9</v>
      </c>
      <c r="I519" t="s">
        <v>27</v>
      </c>
    </row>
    <row r="520" spans="1:9" x14ac:dyDescent="0.25">
      <c r="A520" t="s">
        <v>4915</v>
      </c>
      <c r="B520" s="26" t="str">
        <f>MID(tbl_forecast[[#This Row],[PACE Job Number]],3,3)</f>
        <v>STX</v>
      </c>
      <c r="C520" t="s">
        <v>12</v>
      </c>
      <c r="D520" s="1">
        <v>43420</v>
      </c>
      <c r="E520" s="1">
        <v>43420</v>
      </c>
      <c r="F520" s="1">
        <v>43420</v>
      </c>
      <c r="G520" s="1"/>
      <c r="H520" t="s">
        <v>9</v>
      </c>
      <c r="I520" t="s">
        <v>27</v>
      </c>
    </row>
    <row r="521" spans="1:9" x14ac:dyDescent="0.25">
      <c r="A521" t="s">
        <v>4920</v>
      </c>
      <c r="B521" s="26" t="str">
        <f>MID(tbl_forecast[[#This Row],[PACE Job Number]],3,3)</f>
        <v>STX</v>
      </c>
      <c r="C521" t="s">
        <v>12</v>
      </c>
      <c r="D521" s="1">
        <v>43420</v>
      </c>
      <c r="E521" s="1">
        <v>43420</v>
      </c>
      <c r="F521" s="1">
        <v>43420</v>
      </c>
      <c r="G521" s="1"/>
      <c r="H521" t="s">
        <v>9</v>
      </c>
      <c r="I521" t="s">
        <v>27</v>
      </c>
    </row>
    <row r="522" spans="1:9" x14ac:dyDescent="0.25">
      <c r="A522" t="s">
        <v>4193</v>
      </c>
      <c r="B522" s="26" t="str">
        <f>MID(tbl_forecast[[#This Row],[PACE Job Number]],3,3)</f>
        <v>STX</v>
      </c>
      <c r="C522" t="s">
        <v>12</v>
      </c>
      <c r="D522" s="1">
        <v>43406</v>
      </c>
      <c r="E522" s="1">
        <v>43450</v>
      </c>
      <c r="F522" s="1">
        <v>43450</v>
      </c>
      <c r="G522" s="1"/>
      <c r="H522" t="s">
        <v>4664</v>
      </c>
      <c r="I522" t="s">
        <v>5645</v>
      </c>
    </row>
    <row r="523" spans="1:9" x14ac:dyDescent="0.25">
      <c r="A523" t="s">
        <v>4926</v>
      </c>
      <c r="B523" s="26" t="str">
        <f>MID(tbl_forecast[[#This Row],[PACE Job Number]],3,3)</f>
        <v>STX</v>
      </c>
      <c r="C523" t="s">
        <v>12</v>
      </c>
      <c r="D523" s="1">
        <v>43427</v>
      </c>
      <c r="E523" s="1">
        <v>43427</v>
      </c>
      <c r="F523" s="1">
        <v>43427</v>
      </c>
      <c r="G523" s="1"/>
      <c r="H523" t="s">
        <v>9</v>
      </c>
      <c r="I523" t="s">
        <v>27</v>
      </c>
    </row>
    <row r="524" spans="1:9" x14ac:dyDescent="0.25">
      <c r="A524" t="s">
        <v>4934</v>
      </c>
      <c r="B524" s="26" t="str">
        <f>MID(tbl_forecast[[#This Row],[PACE Job Number]],3,3)</f>
        <v>STX</v>
      </c>
      <c r="C524" t="s">
        <v>12</v>
      </c>
      <c r="D524" s="1">
        <v>43427</v>
      </c>
      <c r="E524" s="1">
        <v>43427</v>
      </c>
      <c r="F524" s="1">
        <v>43427</v>
      </c>
      <c r="G524" s="1"/>
      <c r="H524" t="s">
        <v>9</v>
      </c>
      <c r="I524" t="s">
        <v>27</v>
      </c>
    </row>
    <row r="525" spans="1:9" x14ac:dyDescent="0.25">
      <c r="A525" t="s">
        <v>4936</v>
      </c>
      <c r="B525" s="26" t="str">
        <f>MID(tbl_forecast[[#This Row],[PACE Job Number]],3,3)</f>
        <v>STX</v>
      </c>
      <c r="C525" t="s">
        <v>12</v>
      </c>
      <c r="D525" s="1">
        <v>43427</v>
      </c>
      <c r="E525" s="1">
        <v>43441</v>
      </c>
      <c r="F525" s="1">
        <v>43441</v>
      </c>
      <c r="G525" s="1"/>
      <c r="H525" t="s">
        <v>9</v>
      </c>
      <c r="I525" t="s">
        <v>27</v>
      </c>
    </row>
    <row r="526" spans="1:9" x14ac:dyDescent="0.25">
      <c r="A526" t="s">
        <v>3556</v>
      </c>
      <c r="B526" s="26" t="str">
        <f>MID(tbl_forecast[[#This Row],[PACE Job Number]],3,3)</f>
        <v>STX</v>
      </c>
      <c r="C526" t="s">
        <v>12</v>
      </c>
      <c r="D526" s="1">
        <v>43411</v>
      </c>
      <c r="E526" s="1">
        <v>43472</v>
      </c>
      <c r="F526" s="1">
        <v>43472</v>
      </c>
      <c r="G526" s="1"/>
      <c r="H526" t="s">
        <v>4664</v>
      </c>
      <c r="I526" t="s">
        <v>5645</v>
      </c>
    </row>
    <row r="527" spans="1:9" x14ac:dyDescent="0.25">
      <c r="A527" t="s">
        <v>5203</v>
      </c>
      <c r="B527" s="26" t="str">
        <f>MID(tbl_forecast[[#This Row],[PACE Job Number]],3,3)</f>
        <v>STX</v>
      </c>
      <c r="C527" t="s">
        <v>12</v>
      </c>
      <c r="D527" s="1">
        <v>43427</v>
      </c>
      <c r="E527" s="1">
        <v>43441</v>
      </c>
      <c r="F527" s="1">
        <v>43441</v>
      </c>
      <c r="G527" s="1"/>
      <c r="H527" t="s">
        <v>9</v>
      </c>
      <c r="I527" t="s">
        <v>27</v>
      </c>
    </row>
    <row r="528" spans="1:9" x14ac:dyDescent="0.25">
      <c r="A528" t="s">
        <v>4940</v>
      </c>
      <c r="B528" s="26" t="str">
        <f>MID(tbl_forecast[[#This Row],[PACE Job Number]],3,3)</f>
        <v>STX</v>
      </c>
      <c r="C528" t="s">
        <v>12</v>
      </c>
      <c r="D528" s="1">
        <v>43427</v>
      </c>
      <c r="E528" s="1">
        <v>43427</v>
      </c>
      <c r="F528" s="1">
        <v>43427</v>
      </c>
      <c r="G528" s="1"/>
      <c r="H528" t="s">
        <v>9</v>
      </c>
      <c r="I528" t="s">
        <v>27</v>
      </c>
    </row>
    <row r="529" spans="1:9" x14ac:dyDescent="0.25">
      <c r="A529" t="s">
        <v>3879</v>
      </c>
      <c r="B529" s="26" t="str">
        <f>MID(tbl_forecast[[#This Row],[PACE Job Number]],3,3)</f>
        <v>ANM</v>
      </c>
      <c r="C529" t="s">
        <v>12</v>
      </c>
      <c r="D529" s="1">
        <v>43409</v>
      </c>
      <c r="E529" s="1">
        <v>43439</v>
      </c>
      <c r="F529" s="1">
        <v>43439</v>
      </c>
      <c r="G529" s="1"/>
      <c r="H529" t="s">
        <v>4664</v>
      </c>
      <c r="I529" t="s">
        <v>5645</v>
      </c>
    </row>
    <row r="530" spans="1:9" x14ac:dyDescent="0.25">
      <c r="A530" t="s">
        <v>5204</v>
      </c>
      <c r="B530" s="26" t="str">
        <f>MID(tbl_forecast[[#This Row],[PACE Job Number]],3,3)</f>
        <v>NTX</v>
      </c>
      <c r="C530" t="s">
        <v>12</v>
      </c>
      <c r="D530" s="1">
        <v>43413</v>
      </c>
      <c r="E530" s="1">
        <v>43525</v>
      </c>
      <c r="F530" s="1">
        <v>43525</v>
      </c>
      <c r="G530" s="1"/>
      <c r="H530" t="s">
        <v>4664</v>
      </c>
      <c r="I530" t="s">
        <v>5645</v>
      </c>
    </row>
    <row r="531" spans="1:9" x14ac:dyDescent="0.25">
      <c r="A531" t="s">
        <v>5205</v>
      </c>
      <c r="B531" s="26" t="str">
        <f>MID(tbl_forecast[[#This Row],[PACE Job Number]],3,3)</f>
        <v>ANM</v>
      </c>
      <c r="C531" t="s">
        <v>12</v>
      </c>
      <c r="D531" s="1">
        <v>43423</v>
      </c>
      <c r="E531" s="1">
        <v>43437</v>
      </c>
      <c r="F531" s="1">
        <v>43437</v>
      </c>
      <c r="G531" s="1"/>
      <c r="H531" t="s">
        <v>9</v>
      </c>
      <c r="I531" t="s">
        <v>27</v>
      </c>
    </row>
    <row r="532" spans="1:9" x14ac:dyDescent="0.25">
      <c r="A532" t="s">
        <v>3446</v>
      </c>
      <c r="B532" s="26" t="str">
        <f>MID(tbl_forecast[[#This Row],[PACE Job Number]],3,3)</f>
        <v>ANM</v>
      </c>
      <c r="C532" t="s">
        <v>12</v>
      </c>
      <c r="D532" s="1">
        <v>43409</v>
      </c>
      <c r="E532" s="1">
        <v>43409</v>
      </c>
      <c r="F532" s="1">
        <v>43409</v>
      </c>
      <c r="G532" s="1">
        <v>43409</v>
      </c>
      <c r="H532" t="s">
        <v>9</v>
      </c>
      <c r="I532" t="s">
        <v>10</v>
      </c>
    </row>
    <row r="533" spans="1:9" x14ac:dyDescent="0.25">
      <c r="A533" t="s">
        <v>4204</v>
      </c>
      <c r="B533" s="26" t="str">
        <f>MID(tbl_forecast[[#This Row],[PACE Job Number]],3,3)</f>
        <v>ANM</v>
      </c>
      <c r="C533" t="s">
        <v>12</v>
      </c>
      <c r="D533" s="1">
        <v>43412</v>
      </c>
      <c r="E533" s="1">
        <v>43444</v>
      </c>
      <c r="F533" s="1">
        <v>43444</v>
      </c>
      <c r="G533" s="1"/>
      <c r="H533" t="s">
        <v>4664</v>
      </c>
      <c r="I533" t="s">
        <v>5645</v>
      </c>
    </row>
    <row r="534" spans="1:9" x14ac:dyDescent="0.25">
      <c r="A534" t="s">
        <v>5206</v>
      </c>
      <c r="B534" s="26" t="str">
        <f>MID(tbl_forecast[[#This Row],[PACE Job Number]],3,3)</f>
        <v>ANM</v>
      </c>
      <c r="C534" t="s">
        <v>12</v>
      </c>
      <c r="D534" s="1">
        <v>43415</v>
      </c>
      <c r="E534" s="1">
        <v>43446</v>
      </c>
      <c r="F534" s="1">
        <v>43446</v>
      </c>
      <c r="G534" s="1"/>
      <c r="H534" t="s">
        <v>4664</v>
      </c>
      <c r="I534" t="s">
        <v>5645</v>
      </c>
    </row>
    <row r="535" spans="1:9" x14ac:dyDescent="0.25">
      <c r="A535" t="s">
        <v>5207</v>
      </c>
      <c r="B535" s="26" t="str">
        <f>MID(tbl_forecast[[#This Row],[PACE Job Number]],3,3)</f>
        <v>ANM</v>
      </c>
      <c r="C535" t="s">
        <v>12</v>
      </c>
      <c r="D535" s="1">
        <v>43409</v>
      </c>
      <c r="E535" s="1">
        <v>43416</v>
      </c>
      <c r="F535" s="1">
        <v>43417</v>
      </c>
      <c r="G535" s="1"/>
      <c r="H535" t="s">
        <v>9</v>
      </c>
      <c r="I535" t="s">
        <v>27</v>
      </c>
    </row>
    <row r="536" spans="1:9" x14ac:dyDescent="0.25">
      <c r="A536" t="s">
        <v>5208</v>
      </c>
      <c r="B536" s="26" t="str">
        <f>MID(tbl_forecast[[#This Row],[PACE Job Number]],3,3)</f>
        <v>ANM</v>
      </c>
      <c r="C536" t="s">
        <v>12</v>
      </c>
      <c r="D536" s="1">
        <v>43409</v>
      </c>
      <c r="E536" s="1">
        <v>43416</v>
      </c>
      <c r="F536" s="1">
        <v>43417</v>
      </c>
      <c r="G536" s="1"/>
      <c r="H536" t="s">
        <v>9</v>
      </c>
      <c r="I536" t="s">
        <v>27</v>
      </c>
    </row>
    <row r="537" spans="1:9" x14ac:dyDescent="0.25">
      <c r="A537" t="s">
        <v>5209</v>
      </c>
      <c r="B537" s="26" t="str">
        <f>MID(tbl_forecast[[#This Row],[PACE Job Number]],3,3)</f>
        <v>ANM</v>
      </c>
      <c r="C537" t="s">
        <v>12</v>
      </c>
      <c r="D537" s="1">
        <v>43409</v>
      </c>
      <c r="E537" s="1">
        <v>43416</v>
      </c>
      <c r="F537" s="1">
        <v>43417</v>
      </c>
      <c r="G537" s="1"/>
      <c r="H537" t="s">
        <v>9</v>
      </c>
      <c r="I537" t="s">
        <v>27</v>
      </c>
    </row>
    <row r="538" spans="1:9" x14ac:dyDescent="0.25">
      <c r="A538" t="s">
        <v>3773</v>
      </c>
      <c r="B538" s="26" t="str">
        <f>MID(tbl_forecast[[#This Row],[PACE Job Number]],3,3)</f>
        <v>NTX</v>
      </c>
      <c r="C538" t="s">
        <v>12</v>
      </c>
      <c r="D538" s="1">
        <v>43430</v>
      </c>
      <c r="E538" s="1">
        <v>43430</v>
      </c>
      <c r="F538" s="1">
        <v>43409</v>
      </c>
      <c r="G538" s="1">
        <v>43409</v>
      </c>
      <c r="H538" t="s">
        <v>9</v>
      </c>
      <c r="I538" t="s">
        <v>10</v>
      </c>
    </row>
    <row r="539" spans="1:9" x14ac:dyDescent="0.25">
      <c r="A539" t="s">
        <v>3774</v>
      </c>
      <c r="B539" s="26" t="str">
        <f>MID(tbl_forecast[[#This Row],[PACE Job Number]],3,3)</f>
        <v>NTX</v>
      </c>
      <c r="C539" t="s">
        <v>12</v>
      </c>
      <c r="D539" s="1">
        <v>43430</v>
      </c>
      <c r="E539" s="1">
        <v>43430</v>
      </c>
      <c r="F539" s="1">
        <v>43409</v>
      </c>
      <c r="G539" s="1">
        <v>43409</v>
      </c>
      <c r="H539" t="s">
        <v>9</v>
      </c>
      <c r="I539" t="s">
        <v>10</v>
      </c>
    </row>
    <row r="540" spans="1:9" x14ac:dyDescent="0.25">
      <c r="A540" t="s">
        <v>4946</v>
      </c>
      <c r="B540" s="26" t="str">
        <f>MID(tbl_forecast[[#This Row],[PACE Job Number]],3,3)</f>
        <v>STX</v>
      </c>
      <c r="C540" t="s">
        <v>12</v>
      </c>
      <c r="D540" s="1">
        <v>43427</v>
      </c>
      <c r="E540" s="1">
        <v>43434</v>
      </c>
      <c r="F540" s="1">
        <v>43434</v>
      </c>
      <c r="G540" s="1"/>
      <c r="H540" t="s">
        <v>9</v>
      </c>
      <c r="I540" t="s">
        <v>27</v>
      </c>
    </row>
    <row r="541" spans="1:9" x14ac:dyDescent="0.25">
      <c r="A541" t="s">
        <v>4949</v>
      </c>
      <c r="B541" s="26" t="str">
        <f>MID(tbl_forecast[[#This Row],[PACE Job Number]],3,3)</f>
        <v>STX</v>
      </c>
      <c r="C541" t="s">
        <v>12</v>
      </c>
      <c r="D541" s="1">
        <v>43427</v>
      </c>
      <c r="E541" s="1">
        <v>43427</v>
      </c>
      <c r="F541" s="1">
        <v>43427</v>
      </c>
      <c r="G541" s="1"/>
      <c r="H541" t="s">
        <v>9</v>
      </c>
      <c r="I541" t="s">
        <v>27</v>
      </c>
    </row>
    <row r="542" spans="1:9" x14ac:dyDescent="0.25">
      <c r="A542" t="s">
        <v>4951</v>
      </c>
      <c r="B542" s="26" t="str">
        <f>MID(tbl_forecast[[#This Row],[PACE Job Number]],3,3)</f>
        <v>STX</v>
      </c>
      <c r="C542" t="s">
        <v>12</v>
      </c>
      <c r="D542" s="1">
        <v>43427</v>
      </c>
      <c r="E542" s="1">
        <v>43441</v>
      </c>
      <c r="F542" s="1">
        <v>43441</v>
      </c>
      <c r="G542" s="1"/>
      <c r="H542" t="s">
        <v>9</v>
      </c>
      <c r="I542" t="s">
        <v>27</v>
      </c>
    </row>
    <row r="543" spans="1:9" x14ac:dyDescent="0.25">
      <c r="A543" t="s">
        <v>3911</v>
      </c>
      <c r="B543" s="26" t="str">
        <f>MID(tbl_forecast[[#This Row],[PACE Job Number]],3,3)</f>
        <v>WSH</v>
      </c>
      <c r="C543" t="s">
        <v>12</v>
      </c>
      <c r="D543" s="1">
        <v>43416</v>
      </c>
      <c r="E543" s="1">
        <v>43430</v>
      </c>
      <c r="F543" s="1">
        <v>43430</v>
      </c>
      <c r="G543" s="1">
        <v>43430</v>
      </c>
      <c r="H543" t="s">
        <v>9</v>
      </c>
      <c r="I543" t="s">
        <v>10</v>
      </c>
    </row>
    <row r="544" spans="1:9" x14ac:dyDescent="0.25">
      <c r="A544" t="s">
        <v>4210</v>
      </c>
      <c r="B544" s="26" t="str">
        <f>MID(tbl_forecast[[#This Row],[PACE Job Number]],3,3)</f>
        <v>WSH</v>
      </c>
      <c r="C544" t="s">
        <v>12</v>
      </c>
      <c r="D544" s="1">
        <v>43423</v>
      </c>
      <c r="E544" s="1">
        <v>43472</v>
      </c>
      <c r="F544" s="1">
        <v>43437</v>
      </c>
      <c r="G544" s="1"/>
      <c r="H544" t="s">
        <v>9</v>
      </c>
      <c r="I544" t="s">
        <v>44</v>
      </c>
    </row>
    <row r="545" spans="1:9" x14ac:dyDescent="0.25">
      <c r="A545" t="s">
        <v>5210</v>
      </c>
      <c r="B545" s="26" t="str">
        <f>MID(tbl_forecast[[#This Row],[PACE Job Number]],3,3)</f>
        <v>WSH</v>
      </c>
      <c r="C545" t="s">
        <v>12</v>
      </c>
      <c r="D545" s="1">
        <v>43411</v>
      </c>
      <c r="E545" s="1">
        <v>43413</v>
      </c>
      <c r="F545" s="1">
        <v>43413</v>
      </c>
      <c r="G545" s="1">
        <v>43413</v>
      </c>
      <c r="H545" t="s">
        <v>9</v>
      </c>
      <c r="I545" t="s">
        <v>10</v>
      </c>
    </row>
    <row r="546" spans="1:9" x14ac:dyDescent="0.25">
      <c r="A546" t="s">
        <v>5211</v>
      </c>
      <c r="B546" s="26" t="str">
        <f>MID(tbl_forecast[[#This Row],[PACE Job Number]],3,3)</f>
        <v>WSH</v>
      </c>
      <c r="C546" t="s">
        <v>12</v>
      </c>
      <c r="D546" s="1">
        <v>43423</v>
      </c>
      <c r="E546" s="1">
        <v>43410</v>
      </c>
      <c r="F546" s="1">
        <v>43410</v>
      </c>
      <c r="G546" s="1">
        <v>43410</v>
      </c>
      <c r="H546" t="s">
        <v>9</v>
      </c>
      <c r="I546" t="s">
        <v>10</v>
      </c>
    </row>
    <row r="547" spans="1:9" x14ac:dyDescent="0.25">
      <c r="A547" t="s">
        <v>5212</v>
      </c>
      <c r="B547" s="26" t="str">
        <f>MID(tbl_forecast[[#This Row],[PACE Job Number]],3,3)</f>
        <v>WSH</v>
      </c>
      <c r="C547" t="s">
        <v>12</v>
      </c>
      <c r="D547" s="1">
        <v>43414</v>
      </c>
      <c r="E547" s="1">
        <v>43417</v>
      </c>
      <c r="F547" s="1">
        <v>43417</v>
      </c>
      <c r="G547" s="1">
        <v>43417</v>
      </c>
      <c r="H547" t="s">
        <v>9</v>
      </c>
      <c r="I547" t="s">
        <v>10</v>
      </c>
    </row>
    <row r="548" spans="1:9" x14ac:dyDescent="0.25">
      <c r="A548" t="s">
        <v>3821</v>
      </c>
      <c r="B548" s="26" t="str">
        <f>MID(tbl_forecast[[#This Row],[PACE Job Number]],3,3)</f>
        <v>WSH</v>
      </c>
      <c r="C548" t="s">
        <v>12</v>
      </c>
      <c r="D548" s="1">
        <v>43416</v>
      </c>
      <c r="E548" s="1">
        <v>43417</v>
      </c>
      <c r="F548" s="1">
        <v>43417</v>
      </c>
      <c r="G548" s="1">
        <v>43417</v>
      </c>
      <c r="H548" t="s">
        <v>9</v>
      </c>
      <c r="I548" t="s">
        <v>10</v>
      </c>
    </row>
    <row r="549" spans="1:9" x14ac:dyDescent="0.25">
      <c r="A549" t="s">
        <v>3822</v>
      </c>
      <c r="B549" s="26" t="str">
        <f>MID(tbl_forecast[[#This Row],[PACE Job Number]],3,3)</f>
        <v>WSH</v>
      </c>
      <c r="C549" t="s">
        <v>12</v>
      </c>
      <c r="D549" s="1">
        <v>43409</v>
      </c>
      <c r="E549" s="1">
        <v>43411</v>
      </c>
      <c r="F549" s="1">
        <v>43411</v>
      </c>
      <c r="G549" s="1">
        <v>43411</v>
      </c>
      <c r="H549" t="s">
        <v>9</v>
      </c>
      <c r="I549" t="s">
        <v>10</v>
      </c>
    </row>
    <row r="550" spans="1:9" x14ac:dyDescent="0.25">
      <c r="A550" t="s">
        <v>5213</v>
      </c>
      <c r="B550" s="26" t="str">
        <f>MID(tbl_forecast[[#This Row],[PACE Job Number]],3,3)</f>
        <v>WSH</v>
      </c>
      <c r="C550" t="s">
        <v>12</v>
      </c>
      <c r="D550" s="1">
        <v>43409</v>
      </c>
      <c r="E550" s="1">
        <v>43444</v>
      </c>
      <c r="F550" s="1">
        <v>43437</v>
      </c>
      <c r="G550" s="1"/>
      <c r="H550" t="s">
        <v>4664</v>
      </c>
      <c r="I550" t="s">
        <v>5645</v>
      </c>
    </row>
    <row r="551" spans="1:9" x14ac:dyDescent="0.25">
      <c r="A551" t="s">
        <v>5214</v>
      </c>
      <c r="B551" s="26" t="str">
        <f>MID(tbl_forecast[[#This Row],[PACE Job Number]],3,3)</f>
        <v>WSH</v>
      </c>
      <c r="C551" t="s">
        <v>12</v>
      </c>
      <c r="D551" s="1">
        <v>43416</v>
      </c>
      <c r="E551" s="1">
        <v>43420</v>
      </c>
      <c r="F551" s="1">
        <v>43420</v>
      </c>
      <c r="G551" s="1">
        <v>43420</v>
      </c>
      <c r="H551" t="s">
        <v>9</v>
      </c>
      <c r="I551" t="s">
        <v>10</v>
      </c>
    </row>
    <row r="552" spans="1:9" x14ac:dyDescent="0.25">
      <c r="A552" t="s">
        <v>5215</v>
      </c>
      <c r="B552" s="26" t="str">
        <f>MID(tbl_forecast[[#This Row],[PACE Job Number]],3,3)</f>
        <v>WSH</v>
      </c>
      <c r="C552" t="s">
        <v>12</v>
      </c>
      <c r="D552" s="1">
        <v>43410</v>
      </c>
      <c r="E552" s="1">
        <v>43412</v>
      </c>
      <c r="F552" s="1">
        <v>43412</v>
      </c>
      <c r="G552" s="1">
        <v>43412</v>
      </c>
      <c r="H552" t="s">
        <v>9</v>
      </c>
      <c r="I552" t="s">
        <v>10</v>
      </c>
    </row>
    <row r="553" spans="1:9" x14ac:dyDescent="0.25">
      <c r="A553" t="s">
        <v>5216</v>
      </c>
      <c r="B553" s="26" t="str">
        <f>MID(tbl_forecast[[#This Row],[PACE Job Number]],3,3)</f>
        <v>WSH</v>
      </c>
      <c r="C553" t="s">
        <v>12</v>
      </c>
      <c r="D553" s="1">
        <v>43411</v>
      </c>
      <c r="E553" s="1">
        <v>43413</v>
      </c>
      <c r="F553" s="1">
        <v>43413</v>
      </c>
      <c r="G553" s="1">
        <v>43413</v>
      </c>
      <c r="H553" t="s">
        <v>9</v>
      </c>
      <c r="I553" t="s">
        <v>10</v>
      </c>
    </row>
    <row r="554" spans="1:9" x14ac:dyDescent="0.25">
      <c r="A554" t="s">
        <v>4242</v>
      </c>
      <c r="B554" s="26" t="str">
        <f>MID(tbl_forecast[[#This Row],[PACE Job Number]],3,3)</f>
        <v>WSH</v>
      </c>
      <c r="C554" t="s">
        <v>12</v>
      </c>
      <c r="D554" s="1">
        <v>43411</v>
      </c>
      <c r="E554" s="1">
        <v>43410</v>
      </c>
      <c r="F554" s="1">
        <v>43410</v>
      </c>
      <c r="G554" s="1">
        <v>43410</v>
      </c>
      <c r="H554" t="s">
        <v>9</v>
      </c>
      <c r="I554" t="s">
        <v>10</v>
      </c>
    </row>
    <row r="555" spans="1:9" x14ac:dyDescent="0.25">
      <c r="A555" t="s">
        <v>5217</v>
      </c>
      <c r="B555" s="26" t="str">
        <f>MID(tbl_forecast[[#This Row],[PACE Job Number]],3,3)</f>
        <v>WSH</v>
      </c>
      <c r="C555" t="s">
        <v>12</v>
      </c>
      <c r="D555" s="1">
        <v>43410</v>
      </c>
      <c r="E555" s="1">
        <v>43412</v>
      </c>
      <c r="F555" s="1">
        <v>43412</v>
      </c>
      <c r="G555" s="1">
        <v>43412</v>
      </c>
      <c r="H555" t="s">
        <v>9</v>
      </c>
      <c r="I555" t="s">
        <v>10</v>
      </c>
    </row>
    <row r="556" spans="1:9" x14ac:dyDescent="0.25">
      <c r="A556" t="s">
        <v>5218</v>
      </c>
      <c r="B556" s="26" t="str">
        <f>MID(tbl_forecast[[#This Row],[PACE Job Number]],3,3)</f>
        <v>WSH</v>
      </c>
      <c r="C556" t="s">
        <v>12</v>
      </c>
      <c r="D556" s="1">
        <v>43430</v>
      </c>
      <c r="E556" s="1">
        <v>43430</v>
      </c>
      <c r="F556" s="1">
        <v>43430</v>
      </c>
      <c r="G556" s="1">
        <v>43430</v>
      </c>
      <c r="H556" t="s">
        <v>9</v>
      </c>
      <c r="I556" t="s">
        <v>10</v>
      </c>
    </row>
    <row r="557" spans="1:9" x14ac:dyDescent="0.25">
      <c r="A557" t="s">
        <v>4245</v>
      </c>
      <c r="B557" s="26" t="str">
        <f>MID(tbl_forecast[[#This Row],[PACE Job Number]],3,3)</f>
        <v>WSH</v>
      </c>
      <c r="C557" t="s">
        <v>12</v>
      </c>
      <c r="D557" s="1">
        <v>43411</v>
      </c>
      <c r="E557" s="1">
        <v>43410</v>
      </c>
      <c r="F557" s="1">
        <v>43410</v>
      </c>
      <c r="G557" s="1">
        <v>43410</v>
      </c>
      <c r="H557" t="s">
        <v>9</v>
      </c>
      <c r="I557" t="s">
        <v>10</v>
      </c>
    </row>
    <row r="558" spans="1:9" x14ac:dyDescent="0.25">
      <c r="A558" t="s">
        <v>3830</v>
      </c>
      <c r="B558" s="26" t="str">
        <f>MID(tbl_forecast[[#This Row],[PACE Job Number]],3,3)</f>
        <v>WSH</v>
      </c>
      <c r="C558" t="s">
        <v>12</v>
      </c>
      <c r="D558" s="1">
        <v>43416</v>
      </c>
      <c r="E558" s="1">
        <v>43417</v>
      </c>
      <c r="F558" s="1">
        <v>43417</v>
      </c>
      <c r="G558" s="1">
        <v>43417</v>
      </c>
      <c r="H558" t="s">
        <v>9</v>
      </c>
      <c r="I558" t="s">
        <v>10</v>
      </c>
    </row>
    <row r="559" spans="1:9" x14ac:dyDescent="0.25">
      <c r="A559" t="s">
        <v>5219</v>
      </c>
      <c r="B559" s="26" t="str">
        <f>MID(tbl_forecast[[#This Row],[PACE Job Number]],3,3)</f>
        <v>WSH</v>
      </c>
      <c r="C559" t="s">
        <v>12</v>
      </c>
      <c r="D559" s="1">
        <v>43411</v>
      </c>
      <c r="E559" s="1">
        <v>43413</v>
      </c>
      <c r="F559" s="1">
        <v>43413</v>
      </c>
      <c r="G559" s="1">
        <v>43413</v>
      </c>
      <c r="H559" t="s">
        <v>9</v>
      </c>
      <c r="I559" t="s">
        <v>10</v>
      </c>
    </row>
    <row r="560" spans="1:9" x14ac:dyDescent="0.25">
      <c r="A560" t="s">
        <v>5220</v>
      </c>
      <c r="B560" s="26" t="str">
        <f>MID(tbl_forecast[[#This Row],[PACE Job Number]],3,3)</f>
        <v>WSH</v>
      </c>
      <c r="C560" t="s">
        <v>12</v>
      </c>
      <c r="D560" s="1">
        <v>43413</v>
      </c>
      <c r="E560" s="1">
        <v>43418</v>
      </c>
      <c r="F560" s="1">
        <v>43418</v>
      </c>
      <c r="G560" s="1">
        <v>43418</v>
      </c>
      <c r="H560" t="s">
        <v>9</v>
      </c>
      <c r="I560" t="s">
        <v>10</v>
      </c>
    </row>
    <row r="561" spans="1:9" x14ac:dyDescent="0.25">
      <c r="A561" t="s">
        <v>5002</v>
      </c>
      <c r="B561" s="26" t="str">
        <f>MID(tbl_forecast[[#This Row],[PACE Job Number]],3,3)</f>
        <v>STX</v>
      </c>
      <c r="C561" t="s">
        <v>12</v>
      </c>
      <c r="D561" s="1">
        <v>43427</v>
      </c>
      <c r="E561" s="1">
        <v>43427</v>
      </c>
      <c r="F561" s="1">
        <v>43427</v>
      </c>
      <c r="G561" s="1"/>
      <c r="H561" t="s">
        <v>9</v>
      </c>
      <c r="I561" t="s">
        <v>27</v>
      </c>
    </row>
    <row r="562" spans="1:9" x14ac:dyDescent="0.25">
      <c r="A562" t="s">
        <v>5004</v>
      </c>
      <c r="B562" s="26" t="str">
        <f>MID(tbl_forecast[[#This Row],[PACE Job Number]],3,3)</f>
        <v>STX</v>
      </c>
      <c r="C562" t="s">
        <v>12</v>
      </c>
      <c r="D562" s="1">
        <v>43427</v>
      </c>
      <c r="E562" s="1">
        <v>43427</v>
      </c>
      <c r="F562" s="1">
        <v>43427</v>
      </c>
      <c r="G562" s="1"/>
      <c r="H562" t="s">
        <v>9</v>
      </c>
      <c r="I562" t="s">
        <v>27</v>
      </c>
    </row>
    <row r="563" spans="1:9" x14ac:dyDescent="0.25">
      <c r="A563" t="s">
        <v>5221</v>
      </c>
      <c r="B563" s="26" t="str">
        <f>MID(tbl_forecast[[#This Row],[PACE Job Number]],3,3)</f>
        <v>STX</v>
      </c>
      <c r="C563" t="s">
        <v>12</v>
      </c>
      <c r="D563" s="1">
        <v>43427</v>
      </c>
      <c r="E563" s="1">
        <v>43441</v>
      </c>
      <c r="F563" s="1">
        <v>43441</v>
      </c>
      <c r="G563" s="1"/>
      <c r="H563" t="s">
        <v>9</v>
      </c>
      <c r="I563" t="s">
        <v>27</v>
      </c>
    </row>
    <row r="564" spans="1:9" x14ac:dyDescent="0.25">
      <c r="A564" t="s">
        <v>3815</v>
      </c>
      <c r="B564" s="26" t="str">
        <f>MID(tbl_forecast[[#This Row],[PACE Job Number]],3,3)</f>
        <v>NTX</v>
      </c>
      <c r="C564" t="s">
        <v>12</v>
      </c>
      <c r="D564" s="1">
        <v>43434</v>
      </c>
      <c r="E564" s="1">
        <v>43511</v>
      </c>
      <c r="F564" s="1">
        <v>43511</v>
      </c>
      <c r="G564" s="1"/>
      <c r="H564" t="s">
        <v>4664</v>
      </c>
      <c r="I564" t="s">
        <v>4665</v>
      </c>
    </row>
    <row r="565" spans="1:9" x14ac:dyDescent="0.25">
      <c r="A565" t="s">
        <v>5222</v>
      </c>
      <c r="B565" s="26" t="str">
        <f>MID(tbl_forecast[[#This Row],[PACE Job Number]],3,3)</f>
        <v>NTX</v>
      </c>
      <c r="C565" t="s">
        <v>12</v>
      </c>
      <c r="D565" s="1">
        <v>43413</v>
      </c>
      <c r="E565" s="1">
        <v>43525</v>
      </c>
      <c r="F565" s="1">
        <v>43525</v>
      </c>
      <c r="G565" s="1"/>
      <c r="H565" t="s">
        <v>4664</v>
      </c>
      <c r="I565" t="s">
        <v>5645</v>
      </c>
    </row>
    <row r="566" spans="1:9" x14ac:dyDescent="0.25">
      <c r="A566" t="s">
        <v>5223</v>
      </c>
      <c r="B566" s="26" t="str">
        <f>MID(tbl_forecast[[#This Row],[PACE Job Number]],3,3)</f>
        <v>ANM</v>
      </c>
      <c r="C566" t="s">
        <v>12</v>
      </c>
      <c r="D566" s="1">
        <v>43409</v>
      </c>
      <c r="E566" s="1">
        <v>43430</v>
      </c>
      <c r="F566" s="1">
        <v>43432</v>
      </c>
      <c r="G566" s="1">
        <v>43432</v>
      </c>
      <c r="H566" t="s">
        <v>4664</v>
      </c>
      <c r="I566" t="s">
        <v>10</v>
      </c>
    </row>
    <row r="567" spans="1:9" x14ac:dyDescent="0.25">
      <c r="A567" t="s">
        <v>5224</v>
      </c>
      <c r="B567" s="26" t="str">
        <f>MID(tbl_forecast[[#This Row],[PACE Job Number]],3,3)</f>
        <v>ANM</v>
      </c>
      <c r="C567" t="s">
        <v>12</v>
      </c>
      <c r="D567" s="1">
        <v>43409</v>
      </c>
      <c r="E567" s="1">
        <v>43430</v>
      </c>
      <c r="F567" s="1">
        <v>43432</v>
      </c>
      <c r="G567" s="1">
        <v>43432</v>
      </c>
      <c r="H567" t="s">
        <v>4664</v>
      </c>
      <c r="I567" t="s">
        <v>10</v>
      </c>
    </row>
    <row r="568" spans="1:9" x14ac:dyDescent="0.25">
      <c r="A568" t="s">
        <v>5225</v>
      </c>
      <c r="B568" s="26" t="str">
        <f>MID(tbl_forecast[[#This Row],[PACE Job Number]],3,3)</f>
        <v>ANM</v>
      </c>
      <c r="C568" t="s">
        <v>12</v>
      </c>
      <c r="D568" s="1">
        <v>43409</v>
      </c>
      <c r="E568" s="1">
        <v>43430</v>
      </c>
      <c r="F568" s="1">
        <v>43432</v>
      </c>
      <c r="G568" s="1">
        <v>43432</v>
      </c>
      <c r="H568" t="s">
        <v>4664</v>
      </c>
      <c r="I568" t="s">
        <v>10</v>
      </c>
    </row>
    <row r="569" spans="1:9" x14ac:dyDescent="0.25">
      <c r="A569" t="s">
        <v>3430</v>
      </c>
      <c r="B569" s="26" t="str">
        <f>MID(tbl_forecast[[#This Row],[PACE Job Number]],3,3)</f>
        <v>ANM</v>
      </c>
      <c r="C569" t="s">
        <v>12</v>
      </c>
      <c r="D569" s="1">
        <v>43409</v>
      </c>
      <c r="E569" s="1">
        <v>43416</v>
      </c>
      <c r="F569" s="1">
        <v>43417</v>
      </c>
      <c r="G569" s="1">
        <v>43417</v>
      </c>
      <c r="H569" t="s">
        <v>9</v>
      </c>
      <c r="I569" t="s">
        <v>10</v>
      </c>
    </row>
    <row r="570" spans="1:9" x14ac:dyDescent="0.25">
      <c r="A570" t="s">
        <v>3431</v>
      </c>
      <c r="B570" s="26" t="str">
        <f>MID(tbl_forecast[[#This Row],[PACE Job Number]],3,3)</f>
        <v>ANM</v>
      </c>
      <c r="C570" t="s">
        <v>12</v>
      </c>
      <c r="D570" s="1">
        <v>43409</v>
      </c>
      <c r="E570" s="1">
        <v>43416</v>
      </c>
      <c r="F570" s="1">
        <v>43417</v>
      </c>
      <c r="G570" s="1">
        <v>43417</v>
      </c>
      <c r="H570" t="s">
        <v>9</v>
      </c>
      <c r="I570" t="s">
        <v>10</v>
      </c>
    </row>
    <row r="571" spans="1:9" x14ac:dyDescent="0.25">
      <c r="A571" t="s">
        <v>3440</v>
      </c>
      <c r="B571" s="26" t="str">
        <f>MID(tbl_forecast[[#This Row],[PACE Job Number]],3,3)</f>
        <v>ANM</v>
      </c>
      <c r="C571" t="s">
        <v>12</v>
      </c>
      <c r="D571" s="1">
        <v>43409</v>
      </c>
      <c r="E571" s="1">
        <v>43416</v>
      </c>
      <c r="F571" s="1">
        <v>43417</v>
      </c>
      <c r="G571" s="1">
        <v>43417</v>
      </c>
      <c r="H571" t="s">
        <v>9</v>
      </c>
      <c r="I571" t="s">
        <v>10</v>
      </c>
    </row>
    <row r="572" spans="1:9" x14ac:dyDescent="0.25">
      <c r="A572" t="s">
        <v>4145</v>
      </c>
      <c r="B572" s="26" t="str">
        <f>MID(tbl_forecast[[#This Row],[PACE Job Number]],3,3)</f>
        <v>ANM</v>
      </c>
      <c r="C572" t="s">
        <v>12</v>
      </c>
      <c r="D572" s="1">
        <v>43413</v>
      </c>
      <c r="E572" s="1">
        <v>43416</v>
      </c>
      <c r="F572" s="1">
        <v>43417</v>
      </c>
      <c r="G572" s="1">
        <v>43417</v>
      </c>
      <c r="H572" t="s">
        <v>9</v>
      </c>
      <c r="I572" t="s">
        <v>10</v>
      </c>
    </row>
    <row r="573" spans="1:9" x14ac:dyDescent="0.25">
      <c r="A573" t="s">
        <v>5226</v>
      </c>
      <c r="B573" s="26" t="str">
        <f>MID(tbl_forecast[[#This Row],[PACE Job Number]],3,3)</f>
        <v>ANM</v>
      </c>
      <c r="C573" t="s">
        <v>12</v>
      </c>
      <c r="D573" s="1">
        <v>43406</v>
      </c>
      <c r="E573" s="1">
        <v>43409</v>
      </c>
      <c r="F573" s="1">
        <v>43406</v>
      </c>
      <c r="G573" s="1">
        <v>43406</v>
      </c>
      <c r="H573" t="s">
        <v>9</v>
      </c>
      <c r="I573" t="s">
        <v>10</v>
      </c>
    </row>
    <row r="574" spans="1:9" x14ac:dyDescent="0.25">
      <c r="A574" t="s">
        <v>376</v>
      </c>
      <c r="B574" s="26" t="str">
        <f>MID(tbl_forecast[[#This Row],[PACE Job Number]],3,3)</f>
        <v>ANM</v>
      </c>
      <c r="C574" t="s">
        <v>12</v>
      </c>
      <c r="D574" s="1">
        <v>43423</v>
      </c>
      <c r="E574" s="1">
        <v>43441</v>
      </c>
      <c r="F574" s="1">
        <v>43441</v>
      </c>
      <c r="G574" s="1"/>
      <c r="H574" t="s">
        <v>4664</v>
      </c>
      <c r="I574" t="s">
        <v>4665</v>
      </c>
    </row>
    <row r="575" spans="1:9" x14ac:dyDescent="0.25">
      <c r="A575" t="s">
        <v>5227</v>
      </c>
      <c r="B575" s="26" t="str">
        <f>MID(tbl_forecast[[#This Row],[PACE Job Number]],3,3)</f>
        <v>ANM</v>
      </c>
      <c r="C575" t="s">
        <v>12</v>
      </c>
      <c r="D575" s="1">
        <v>43409</v>
      </c>
      <c r="E575" s="1">
        <v>43430</v>
      </c>
      <c r="F575" s="1">
        <v>43432</v>
      </c>
      <c r="G575" s="1">
        <v>43432</v>
      </c>
      <c r="H575" t="s">
        <v>4664</v>
      </c>
      <c r="I575" t="s">
        <v>10</v>
      </c>
    </row>
    <row r="576" spans="1:9" x14ac:dyDescent="0.25">
      <c r="A576" t="s">
        <v>5010</v>
      </c>
      <c r="B576" s="26" t="str">
        <f>MID(tbl_forecast[[#This Row],[PACE Job Number]],3,3)</f>
        <v>ANM</v>
      </c>
      <c r="C576" t="s">
        <v>12</v>
      </c>
      <c r="D576" s="1">
        <v>43416</v>
      </c>
      <c r="E576" s="1">
        <v>43465</v>
      </c>
      <c r="F576" s="1">
        <v>43465</v>
      </c>
      <c r="G576" s="1"/>
      <c r="H576" t="s">
        <v>4664</v>
      </c>
      <c r="I576" t="s">
        <v>5645</v>
      </c>
    </row>
    <row r="577" spans="1:9" x14ac:dyDescent="0.25">
      <c r="A577" t="s">
        <v>4217</v>
      </c>
      <c r="B577" s="26" t="str">
        <f>MID(tbl_forecast[[#This Row],[PACE Job Number]],3,3)</f>
        <v>ANM</v>
      </c>
      <c r="C577" t="s">
        <v>12</v>
      </c>
      <c r="D577" s="1">
        <v>43423</v>
      </c>
      <c r="E577" s="1">
        <v>43437</v>
      </c>
      <c r="F577" s="1">
        <v>43437</v>
      </c>
      <c r="G577" s="1"/>
      <c r="H577" t="s">
        <v>9</v>
      </c>
      <c r="I577" t="s">
        <v>27</v>
      </c>
    </row>
    <row r="578" spans="1:9" x14ac:dyDescent="0.25">
      <c r="A578" t="s">
        <v>4219</v>
      </c>
      <c r="B578" s="26" t="str">
        <f>MID(tbl_forecast[[#This Row],[PACE Job Number]],3,3)</f>
        <v>ANM</v>
      </c>
      <c r="C578" t="s">
        <v>12</v>
      </c>
      <c r="D578" s="1">
        <v>43409</v>
      </c>
      <c r="E578" s="1">
        <v>43432</v>
      </c>
      <c r="F578" s="1">
        <v>43432</v>
      </c>
      <c r="G578" s="1"/>
      <c r="H578" t="s">
        <v>4664</v>
      </c>
      <c r="I578" t="s">
        <v>5645</v>
      </c>
    </row>
    <row r="579" spans="1:9" x14ac:dyDescent="0.25">
      <c r="A579" t="s">
        <v>4146</v>
      </c>
      <c r="B579" s="26" t="str">
        <f>MID(tbl_forecast[[#This Row],[PACE Job Number]],3,3)</f>
        <v>ANM</v>
      </c>
      <c r="C579" t="s">
        <v>12</v>
      </c>
      <c r="D579" s="1">
        <v>43413</v>
      </c>
      <c r="E579" s="1">
        <v>43416</v>
      </c>
      <c r="F579" s="1">
        <v>43417</v>
      </c>
      <c r="G579" s="1">
        <v>43417</v>
      </c>
      <c r="H579" t="s">
        <v>9</v>
      </c>
      <c r="I579" t="s">
        <v>10</v>
      </c>
    </row>
    <row r="580" spans="1:9" x14ac:dyDescent="0.25">
      <c r="A580" t="s">
        <v>4220</v>
      </c>
      <c r="B580" s="26" t="str">
        <f>MID(tbl_forecast[[#This Row],[PACE Job Number]],3,3)</f>
        <v>ANM</v>
      </c>
      <c r="C580" t="s">
        <v>12</v>
      </c>
      <c r="D580" s="1">
        <v>43413</v>
      </c>
      <c r="E580" s="1">
        <v>43430</v>
      </c>
      <c r="F580" s="1">
        <v>43432</v>
      </c>
      <c r="G580" s="1">
        <v>43432</v>
      </c>
      <c r="H580" t="s">
        <v>4664</v>
      </c>
      <c r="I580" t="s">
        <v>10</v>
      </c>
    </row>
    <row r="581" spans="1:9" x14ac:dyDescent="0.25">
      <c r="A581" t="s">
        <v>4221</v>
      </c>
      <c r="B581" s="26" t="str">
        <f>MID(tbl_forecast[[#This Row],[PACE Job Number]],3,3)</f>
        <v>ANM</v>
      </c>
      <c r="C581" t="s">
        <v>12</v>
      </c>
      <c r="D581" s="1">
        <v>43416</v>
      </c>
      <c r="E581" s="1">
        <v>43465</v>
      </c>
      <c r="F581" s="1">
        <v>43465</v>
      </c>
      <c r="G581" s="1"/>
      <c r="H581" t="s">
        <v>4664</v>
      </c>
      <c r="I581" t="s">
        <v>5645</v>
      </c>
    </row>
    <row r="582" spans="1:9" x14ac:dyDescent="0.25">
      <c r="A582" t="s">
        <v>412</v>
      </c>
      <c r="B582" s="26" t="str">
        <f>MID(tbl_forecast[[#This Row],[PACE Job Number]],3,3)</f>
        <v>ANM</v>
      </c>
      <c r="C582" t="s">
        <v>12</v>
      </c>
      <c r="D582" s="1">
        <v>43423</v>
      </c>
      <c r="E582" s="1">
        <v>43441</v>
      </c>
      <c r="F582" s="1">
        <v>43441</v>
      </c>
      <c r="G582" s="1"/>
      <c r="H582" t="s">
        <v>4664</v>
      </c>
      <c r="I582" t="s">
        <v>4665</v>
      </c>
    </row>
    <row r="583" spans="1:9" x14ac:dyDescent="0.25">
      <c r="A583" t="s">
        <v>4224</v>
      </c>
      <c r="B583" s="26" t="str">
        <f>MID(tbl_forecast[[#This Row],[PACE Job Number]],3,3)</f>
        <v>ANM</v>
      </c>
      <c r="C583" t="s">
        <v>12</v>
      </c>
      <c r="D583" s="1">
        <v>43416</v>
      </c>
      <c r="E583" s="1">
        <v>43416</v>
      </c>
      <c r="F583" s="1">
        <v>43416</v>
      </c>
      <c r="G583" s="1"/>
      <c r="H583" t="s">
        <v>9</v>
      </c>
      <c r="I583" t="s">
        <v>27</v>
      </c>
    </row>
    <row r="584" spans="1:9" x14ac:dyDescent="0.25">
      <c r="A584" t="s">
        <v>2317</v>
      </c>
      <c r="B584" s="26" t="str">
        <f>MID(tbl_forecast[[#This Row],[PACE Job Number]],3,3)</f>
        <v>NTX</v>
      </c>
      <c r="C584" t="s">
        <v>12</v>
      </c>
      <c r="D584" s="1">
        <v>43434</v>
      </c>
      <c r="E584" s="1">
        <v>43481</v>
      </c>
      <c r="F584" s="1">
        <v>43481</v>
      </c>
      <c r="G584" s="1"/>
      <c r="H584" t="s">
        <v>4664</v>
      </c>
      <c r="I584" t="s">
        <v>4665</v>
      </c>
    </row>
    <row r="585" spans="1:9" x14ac:dyDescent="0.25">
      <c r="A585" t="s">
        <v>2717</v>
      </c>
      <c r="B585" s="26" t="str">
        <f>MID(tbl_forecast[[#This Row],[PACE Job Number]],3,3)</f>
        <v>STX</v>
      </c>
      <c r="C585" t="s">
        <v>12</v>
      </c>
      <c r="D585" s="1">
        <v>43413</v>
      </c>
      <c r="E585" s="1">
        <v>43418</v>
      </c>
      <c r="F585" s="1">
        <v>43414</v>
      </c>
      <c r="G585" s="1">
        <v>43414</v>
      </c>
      <c r="H585" t="s">
        <v>9</v>
      </c>
      <c r="I585" t="s">
        <v>10</v>
      </c>
    </row>
    <row r="586" spans="1:9" x14ac:dyDescent="0.25">
      <c r="A586" t="s">
        <v>5228</v>
      </c>
      <c r="B586" s="26" t="str">
        <f>MID(tbl_forecast[[#This Row],[PACE Job Number]],3,3)</f>
        <v>WSH</v>
      </c>
      <c r="C586" t="s">
        <v>12</v>
      </c>
      <c r="D586" s="1">
        <v>43416</v>
      </c>
      <c r="E586" s="1">
        <v>43409</v>
      </c>
      <c r="F586" s="1">
        <v>43409</v>
      </c>
      <c r="G586" s="1">
        <v>43409</v>
      </c>
      <c r="H586" t="s">
        <v>9</v>
      </c>
      <c r="I586" t="s">
        <v>10</v>
      </c>
    </row>
    <row r="587" spans="1:9" x14ac:dyDescent="0.25">
      <c r="A587" t="s">
        <v>5229</v>
      </c>
      <c r="B587" s="26" t="str">
        <f>MID(tbl_forecast[[#This Row],[PACE Job Number]],3,3)</f>
        <v>WSH</v>
      </c>
      <c r="C587" t="s">
        <v>12</v>
      </c>
      <c r="D587" s="1">
        <v>43423</v>
      </c>
      <c r="E587" s="1">
        <v>43424</v>
      </c>
      <c r="F587" s="1">
        <v>43424</v>
      </c>
      <c r="G587" s="1">
        <v>43424</v>
      </c>
      <c r="H587" t="s">
        <v>9</v>
      </c>
      <c r="I587" t="s">
        <v>10</v>
      </c>
    </row>
    <row r="588" spans="1:9" x14ac:dyDescent="0.25">
      <c r="A588" t="s">
        <v>5230</v>
      </c>
      <c r="B588" s="26" t="str">
        <f>MID(tbl_forecast[[#This Row],[PACE Job Number]],3,3)</f>
        <v>WSH</v>
      </c>
      <c r="C588" t="s">
        <v>12</v>
      </c>
      <c r="D588" s="1">
        <v>43430</v>
      </c>
      <c r="E588" s="1">
        <v>43420</v>
      </c>
      <c r="F588" s="1">
        <v>43420</v>
      </c>
      <c r="G588" s="1">
        <v>43420</v>
      </c>
      <c r="H588" t="s">
        <v>9</v>
      </c>
      <c r="I588" t="s">
        <v>10</v>
      </c>
    </row>
    <row r="589" spans="1:9" x14ac:dyDescent="0.25">
      <c r="A589" t="s">
        <v>5231</v>
      </c>
      <c r="B589" s="26" t="str">
        <f>MID(tbl_forecast[[#This Row],[PACE Job Number]],3,3)</f>
        <v>WSH</v>
      </c>
      <c r="C589" t="s">
        <v>12</v>
      </c>
      <c r="D589" s="1">
        <v>43410</v>
      </c>
      <c r="E589" s="1">
        <v>43410</v>
      </c>
      <c r="F589" s="1">
        <v>43410</v>
      </c>
      <c r="G589" s="1">
        <v>43410</v>
      </c>
      <c r="H589" t="s">
        <v>9</v>
      </c>
      <c r="I589" t="s">
        <v>10</v>
      </c>
    </row>
    <row r="590" spans="1:9" x14ac:dyDescent="0.25">
      <c r="A590" t="s">
        <v>5232</v>
      </c>
      <c r="B590" s="26" t="str">
        <f>MID(tbl_forecast[[#This Row],[PACE Job Number]],3,3)</f>
        <v>WSH</v>
      </c>
      <c r="C590" t="s">
        <v>12</v>
      </c>
      <c r="D590" s="1">
        <v>43405</v>
      </c>
      <c r="E590" s="1">
        <v>43405</v>
      </c>
      <c r="F590" s="1">
        <v>43405</v>
      </c>
      <c r="G590" s="1">
        <v>43405</v>
      </c>
      <c r="H590" t="s">
        <v>9</v>
      </c>
      <c r="I590" t="s">
        <v>10</v>
      </c>
    </row>
    <row r="591" spans="1:9" x14ac:dyDescent="0.25">
      <c r="A591" t="s">
        <v>5233</v>
      </c>
      <c r="B591" s="26" t="str">
        <f>MID(tbl_forecast[[#This Row],[PACE Job Number]],3,3)</f>
        <v>WSH</v>
      </c>
      <c r="C591" t="s">
        <v>12</v>
      </c>
      <c r="D591" s="1">
        <v>43409</v>
      </c>
      <c r="E591" s="1">
        <v>43409</v>
      </c>
      <c r="F591" s="1">
        <v>43409</v>
      </c>
      <c r="G591" s="1">
        <v>43409</v>
      </c>
      <c r="H591" t="s">
        <v>9</v>
      </c>
      <c r="I591" t="s">
        <v>10</v>
      </c>
    </row>
    <row r="592" spans="1:9" x14ac:dyDescent="0.25">
      <c r="A592" t="s">
        <v>4138</v>
      </c>
      <c r="B592" s="26" t="str">
        <f>MID(tbl_forecast[[#This Row],[PACE Job Number]],3,3)</f>
        <v>STX</v>
      </c>
      <c r="C592" t="s">
        <v>12</v>
      </c>
      <c r="D592" s="1">
        <v>43406</v>
      </c>
      <c r="E592" s="1">
        <v>43406</v>
      </c>
      <c r="F592" s="1">
        <v>43435</v>
      </c>
      <c r="G592" s="1"/>
      <c r="H592" t="s">
        <v>4664</v>
      </c>
      <c r="I592" t="s">
        <v>4666</v>
      </c>
    </row>
    <row r="593" spans="1:9" x14ac:dyDescent="0.25">
      <c r="A593" t="s">
        <v>5234</v>
      </c>
      <c r="B593" s="26" t="str">
        <f>MID(tbl_forecast[[#This Row],[PACE Job Number]],3,3)</f>
        <v>WSH</v>
      </c>
      <c r="C593" t="s">
        <v>12</v>
      </c>
      <c r="D593" s="1">
        <v>43405</v>
      </c>
      <c r="E593" s="1">
        <v>43405</v>
      </c>
      <c r="F593" s="1">
        <v>43405</v>
      </c>
      <c r="G593" s="1">
        <v>43405</v>
      </c>
      <c r="H593" t="s">
        <v>9</v>
      </c>
      <c r="I593" t="s">
        <v>10</v>
      </c>
    </row>
    <row r="594" spans="1:9" x14ac:dyDescent="0.25">
      <c r="A594" t="s">
        <v>5235</v>
      </c>
      <c r="B594" s="26" t="str">
        <f>MID(tbl_forecast[[#This Row],[PACE Job Number]],3,3)</f>
        <v>WSH</v>
      </c>
      <c r="C594" t="s">
        <v>12</v>
      </c>
      <c r="D594" s="1">
        <v>43405</v>
      </c>
      <c r="E594" s="1">
        <v>43405</v>
      </c>
      <c r="F594" s="1">
        <v>43405</v>
      </c>
      <c r="G594" s="1">
        <v>43405</v>
      </c>
      <c r="H594" t="s">
        <v>9</v>
      </c>
      <c r="I594" t="s">
        <v>10</v>
      </c>
    </row>
    <row r="595" spans="1:9" x14ac:dyDescent="0.25">
      <c r="A595" t="s">
        <v>5236</v>
      </c>
      <c r="B595" s="26" t="str">
        <f>MID(tbl_forecast[[#This Row],[PACE Job Number]],3,3)</f>
        <v>WSH</v>
      </c>
      <c r="C595" t="s">
        <v>12</v>
      </c>
      <c r="D595" s="1">
        <v>43430</v>
      </c>
      <c r="E595" s="1">
        <v>43479</v>
      </c>
      <c r="F595" s="1">
        <v>43444</v>
      </c>
      <c r="G595" s="1"/>
      <c r="H595" t="s">
        <v>9</v>
      </c>
      <c r="I595" t="s">
        <v>44</v>
      </c>
    </row>
    <row r="596" spans="1:9" x14ac:dyDescent="0.25">
      <c r="A596" t="s">
        <v>5237</v>
      </c>
      <c r="B596" s="26" t="str">
        <f>MID(tbl_forecast[[#This Row],[PACE Job Number]],3,3)</f>
        <v>WSH</v>
      </c>
      <c r="C596" t="s">
        <v>12</v>
      </c>
      <c r="D596" s="1">
        <v>43416</v>
      </c>
      <c r="E596" s="1">
        <v>43449</v>
      </c>
      <c r="F596" s="1">
        <v>43449</v>
      </c>
      <c r="G596" s="1"/>
      <c r="H596" t="s">
        <v>4664</v>
      </c>
      <c r="I596" t="s">
        <v>5645</v>
      </c>
    </row>
    <row r="597" spans="1:9" x14ac:dyDescent="0.25">
      <c r="A597" t="s">
        <v>5238</v>
      </c>
      <c r="B597" s="26" t="str">
        <f>MID(tbl_forecast[[#This Row],[PACE Job Number]],3,3)</f>
        <v>WSH</v>
      </c>
      <c r="C597" t="s">
        <v>12</v>
      </c>
      <c r="D597" s="1">
        <v>43430</v>
      </c>
      <c r="E597" s="1">
        <v>43479</v>
      </c>
      <c r="F597" s="1">
        <v>43444</v>
      </c>
      <c r="G597" s="1"/>
      <c r="H597" t="s">
        <v>9</v>
      </c>
      <c r="I597" t="s">
        <v>44</v>
      </c>
    </row>
    <row r="598" spans="1:9" x14ac:dyDescent="0.25">
      <c r="A598" t="s">
        <v>5239</v>
      </c>
      <c r="B598" s="26" t="str">
        <f>MID(tbl_forecast[[#This Row],[PACE Job Number]],3,3)</f>
        <v>WSH</v>
      </c>
      <c r="C598" t="s">
        <v>12</v>
      </c>
      <c r="D598" s="1">
        <v>43430</v>
      </c>
      <c r="E598" s="1">
        <v>43439</v>
      </c>
      <c r="F598" s="1">
        <v>43437</v>
      </c>
      <c r="G598" s="1"/>
      <c r="H598" t="s">
        <v>9</v>
      </c>
      <c r="I598" t="s">
        <v>27</v>
      </c>
    </row>
    <row r="599" spans="1:9" x14ac:dyDescent="0.25">
      <c r="A599" t="s">
        <v>5240</v>
      </c>
      <c r="B599" s="26" t="str">
        <f>MID(tbl_forecast[[#This Row],[PACE Job Number]],3,3)</f>
        <v>WSH</v>
      </c>
      <c r="C599" t="s">
        <v>12</v>
      </c>
      <c r="D599" s="1">
        <v>43430</v>
      </c>
      <c r="E599" s="1">
        <v>43479</v>
      </c>
      <c r="F599" s="1">
        <v>43444</v>
      </c>
      <c r="G599" s="1"/>
      <c r="H599" t="s">
        <v>9</v>
      </c>
      <c r="I599" t="s">
        <v>44</v>
      </c>
    </row>
    <row r="600" spans="1:9" x14ac:dyDescent="0.25">
      <c r="A600" t="s">
        <v>5241</v>
      </c>
      <c r="B600" s="26" t="str">
        <f>MID(tbl_forecast[[#This Row],[PACE Job Number]],3,3)</f>
        <v>WSH</v>
      </c>
      <c r="C600" t="s">
        <v>12</v>
      </c>
      <c r="D600" s="1">
        <v>43430</v>
      </c>
      <c r="E600" s="1">
        <v>43435</v>
      </c>
      <c r="F600" s="1">
        <v>43433</v>
      </c>
      <c r="G600" s="1"/>
      <c r="H600" t="s">
        <v>9</v>
      </c>
      <c r="I600" t="s">
        <v>27</v>
      </c>
    </row>
    <row r="601" spans="1:9" x14ac:dyDescent="0.25">
      <c r="A601" t="s">
        <v>5242</v>
      </c>
      <c r="B601" s="26" t="str">
        <f>MID(tbl_forecast[[#This Row],[PACE Job Number]],3,3)</f>
        <v>WSH</v>
      </c>
      <c r="C601" t="s">
        <v>12</v>
      </c>
      <c r="D601" s="1">
        <v>43430</v>
      </c>
      <c r="E601" s="1">
        <v>43435</v>
      </c>
      <c r="F601" s="1">
        <v>43433</v>
      </c>
      <c r="G601" s="1"/>
      <c r="H601" t="s">
        <v>9</v>
      </c>
      <c r="I601" t="s">
        <v>27</v>
      </c>
    </row>
    <row r="602" spans="1:9" x14ac:dyDescent="0.25">
      <c r="A602" t="s">
        <v>4159</v>
      </c>
      <c r="B602" s="26" t="str">
        <f>MID(tbl_forecast[[#This Row],[PACE Job Number]],3,3)</f>
        <v>WSH</v>
      </c>
      <c r="C602" t="s">
        <v>12</v>
      </c>
      <c r="D602" s="1">
        <v>43419</v>
      </c>
      <c r="E602" s="1">
        <v>43313</v>
      </c>
      <c r="F602" s="1">
        <v>43437</v>
      </c>
      <c r="G602" s="1"/>
      <c r="H602" t="s">
        <v>4664</v>
      </c>
      <c r="I602" t="s">
        <v>4666</v>
      </c>
    </row>
    <row r="603" spans="1:9" x14ac:dyDescent="0.25">
      <c r="A603" t="s">
        <v>255</v>
      </c>
      <c r="B603" s="26" t="str">
        <f>MID(tbl_forecast[[#This Row],[PACE Job Number]],3,3)</f>
        <v>WSH</v>
      </c>
      <c r="C603" t="s">
        <v>12</v>
      </c>
      <c r="D603" s="1">
        <v>43411</v>
      </c>
      <c r="E603" s="1">
        <v>43409</v>
      </c>
      <c r="F603" s="1">
        <v>43409</v>
      </c>
      <c r="G603" s="1">
        <v>43409</v>
      </c>
      <c r="H603" t="s">
        <v>9</v>
      </c>
      <c r="I603" t="s">
        <v>10</v>
      </c>
    </row>
    <row r="604" spans="1:9" x14ac:dyDescent="0.25">
      <c r="A604" t="s">
        <v>5243</v>
      </c>
      <c r="B604" s="26" t="str">
        <f>MID(tbl_forecast[[#This Row],[PACE Job Number]],3,3)</f>
        <v>WSH</v>
      </c>
      <c r="C604" t="s">
        <v>12</v>
      </c>
      <c r="D604" s="1">
        <v>43410</v>
      </c>
      <c r="E604" s="1">
        <v>43416</v>
      </c>
      <c r="F604" s="1">
        <v>43416</v>
      </c>
      <c r="G604" s="1">
        <v>43416</v>
      </c>
      <c r="H604" t="s">
        <v>9</v>
      </c>
      <c r="I604" t="s">
        <v>10</v>
      </c>
    </row>
    <row r="605" spans="1:9" x14ac:dyDescent="0.25">
      <c r="A605" t="s">
        <v>5244</v>
      </c>
      <c r="B605" s="26" t="str">
        <f>MID(tbl_forecast[[#This Row],[PACE Job Number]],3,3)</f>
        <v>WSH</v>
      </c>
      <c r="C605" t="s">
        <v>12</v>
      </c>
      <c r="D605" s="1">
        <v>43423</v>
      </c>
      <c r="E605" s="1">
        <v>43423</v>
      </c>
      <c r="F605" s="1">
        <v>43423</v>
      </c>
      <c r="G605" s="1">
        <v>43423</v>
      </c>
      <c r="H605" t="s">
        <v>9</v>
      </c>
      <c r="I605" t="s">
        <v>10</v>
      </c>
    </row>
    <row r="606" spans="1:9" x14ac:dyDescent="0.25">
      <c r="A606" t="s">
        <v>5245</v>
      </c>
      <c r="B606" s="26" t="str">
        <f>MID(tbl_forecast[[#This Row],[PACE Job Number]],3,3)</f>
        <v>WSH</v>
      </c>
      <c r="C606" t="s">
        <v>12</v>
      </c>
      <c r="D606" s="1">
        <v>43416</v>
      </c>
      <c r="E606" s="1">
        <v>43417</v>
      </c>
      <c r="F606" s="1">
        <v>43416</v>
      </c>
      <c r="G606" s="1">
        <v>43416</v>
      </c>
      <c r="H606" t="s">
        <v>9</v>
      </c>
      <c r="I606" t="s">
        <v>10</v>
      </c>
    </row>
    <row r="607" spans="1:9" x14ac:dyDescent="0.25">
      <c r="A607" t="s">
        <v>3854</v>
      </c>
      <c r="B607" s="26" t="str">
        <f>MID(tbl_forecast[[#This Row],[PACE Job Number]],3,3)</f>
        <v>WSH</v>
      </c>
      <c r="C607" t="s">
        <v>12</v>
      </c>
      <c r="D607" s="1">
        <v>43411</v>
      </c>
      <c r="E607" s="1">
        <v>43416</v>
      </c>
      <c r="F607" s="1">
        <v>43416</v>
      </c>
      <c r="G607" s="1">
        <v>43416</v>
      </c>
      <c r="H607" t="s">
        <v>9</v>
      </c>
      <c r="I607" t="s">
        <v>10</v>
      </c>
    </row>
    <row r="608" spans="1:9" x14ac:dyDescent="0.25">
      <c r="A608" t="s">
        <v>3776</v>
      </c>
      <c r="B608" s="26" t="str">
        <f>MID(tbl_forecast[[#This Row],[PACE Job Number]],3,3)</f>
        <v>WSH</v>
      </c>
      <c r="C608" t="s">
        <v>12</v>
      </c>
      <c r="D608" s="1">
        <v>43411</v>
      </c>
      <c r="E608" s="1">
        <v>43423</v>
      </c>
      <c r="F608" s="1">
        <v>43423</v>
      </c>
      <c r="G608" s="1">
        <v>43423</v>
      </c>
      <c r="H608" t="s">
        <v>9</v>
      </c>
      <c r="I608" t="s">
        <v>10</v>
      </c>
    </row>
    <row r="609" spans="1:9" x14ac:dyDescent="0.25">
      <c r="A609" t="s">
        <v>5246</v>
      </c>
      <c r="B609" s="26" t="str">
        <f>MID(tbl_forecast[[#This Row],[PACE Job Number]],3,3)</f>
        <v>WSH</v>
      </c>
      <c r="C609" t="s">
        <v>12</v>
      </c>
      <c r="D609" s="1">
        <v>43409</v>
      </c>
      <c r="E609" s="1">
        <v>43420</v>
      </c>
      <c r="F609" s="1">
        <v>43420</v>
      </c>
      <c r="G609" s="1">
        <v>43420</v>
      </c>
      <c r="H609" t="s">
        <v>9</v>
      </c>
      <c r="I609" t="s">
        <v>10</v>
      </c>
    </row>
    <row r="610" spans="1:9" x14ac:dyDescent="0.25">
      <c r="A610" t="s">
        <v>3857</v>
      </c>
      <c r="B610" s="26" t="str">
        <f>MID(tbl_forecast[[#This Row],[PACE Job Number]],3,3)</f>
        <v>WSH</v>
      </c>
      <c r="C610" t="s">
        <v>12</v>
      </c>
      <c r="D610" s="1">
        <v>43416</v>
      </c>
      <c r="E610" s="1">
        <v>43430</v>
      </c>
      <c r="F610" s="1">
        <v>43430</v>
      </c>
      <c r="G610" s="1">
        <v>43430</v>
      </c>
      <c r="H610" t="s">
        <v>9</v>
      </c>
      <c r="I610" t="s">
        <v>10</v>
      </c>
    </row>
    <row r="611" spans="1:9" x14ac:dyDescent="0.25">
      <c r="A611" t="s">
        <v>3861</v>
      </c>
      <c r="B611" s="26" t="str">
        <f>MID(tbl_forecast[[#This Row],[PACE Job Number]],3,3)</f>
        <v>WSH</v>
      </c>
      <c r="C611" t="s">
        <v>12</v>
      </c>
      <c r="D611" s="1">
        <v>43416</v>
      </c>
      <c r="E611" s="1">
        <v>43430</v>
      </c>
      <c r="F611" s="1">
        <v>43430</v>
      </c>
      <c r="G611" s="1">
        <v>43430</v>
      </c>
      <c r="H611" t="s">
        <v>9</v>
      </c>
      <c r="I611" t="s">
        <v>10</v>
      </c>
    </row>
    <row r="612" spans="1:9" x14ac:dyDescent="0.25">
      <c r="A612" t="s">
        <v>349</v>
      </c>
      <c r="B612" s="26" t="str">
        <f>MID(tbl_forecast[[#This Row],[PACE Job Number]],3,3)</f>
        <v>ANM</v>
      </c>
      <c r="C612" t="s">
        <v>12</v>
      </c>
      <c r="D612" s="1">
        <v>43410</v>
      </c>
      <c r="E612" s="1">
        <v>43446</v>
      </c>
      <c r="F612" s="1">
        <v>43438</v>
      </c>
      <c r="G612" s="1"/>
      <c r="H612" t="s">
        <v>4664</v>
      </c>
      <c r="I612" t="s">
        <v>5645</v>
      </c>
    </row>
    <row r="613" spans="1:9" x14ac:dyDescent="0.25">
      <c r="A613" t="s">
        <v>5044</v>
      </c>
      <c r="B613" s="26" t="str">
        <f>MID(tbl_forecast[[#This Row],[PACE Job Number]],3,3)</f>
        <v>STX</v>
      </c>
      <c r="C613" t="s">
        <v>12</v>
      </c>
      <c r="D613" s="1">
        <v>43427</v>
      </c>
      <c r="E613" s="1">
        <v>43441</v>
      </c>
      <c r="F613" s="1">
        <v>43441</v>
      </c>
      <c r="G613" s="1"/>
      <c r="H613" t="s">
        <v>9</v>
      </c>
      <c r="I613" t="s">
        <v>27</v>
      </c>
    </row>
    <row r="614" spans="1:9" x14ac:dyDescent="0.25">
      <c r="A614" t="s">
        <v>5045</v>
      </c>
      <c r="B614" s="26" t="str">
        <f>MID(tbl_forecast[[#This Row],[PACE Job Number]],3,3)</f>
        <v>STX</v>
      </c>
      <c r="C614" t="s">
        <v>12</v>
      </c>
      <c r="D614" s="1">
        <v>43427</v>
      </c>
      <c r="E614" s="1">
        <v>43427</v>
      </c>
      <c r="F614" s="1">
        <v>43427</v>
      </c>
      <c r="G614" s="1"/>
      <c r="H614" t="s">
        <v>9</v>
      </c>
      <c r="I614" t="s">
        <v>27</v>
      </c>
    </row>
    <row r="615" spans="1:9" x14ac:dyDescent="0.25">
      <c r="A615" t="s">
        <v>5046</v>
      </c>
      <c r="B615" s="26" t="str">
        <f>MID(tbl_forecast[[#This Row],[PACE Job Number]],3,3)</f>
        <v>STX</v>
      </c>
      <c r="C615" t="s">
        <v>12</v>
      </c>
      <c r="D615" s="1">
        <v>43413</v>
      </c>
      <c r="E615" s="1">
        <v>43413</v>
      </c>
      <c r="F615" s="1">
        <v>43413</v>
      </c>
      <c r="G615" s="1"/>
      <c r="H615" t="s">
        <v>9</v>
      </c>
      <c r="I615" t="s">
        <v>27</v>
      </c>
    </row>
    <row r="616" spans="1:9" x14ac:dyDescent="0.25">
      <c r="A616" t="s">
        <v>5049</v>
      </c>
      <c r="B616" s="26" t="str">
        <f>MID(tbl_forecast[[#This Row],[PACE Job Number]],3,3)</f>
        <v>STX</v>
      </c>
      <c r="C616" t="s">
        <v>12</v>
      </c>
      <c r="D616" s="1">
        <v>43427</v>
      </c>
      <c r="E616" s="1">
        <v>43427</v>
      </c>
      <c r="F616" s="1">
        <v>43427</v>
      </c>
      <c r="G616" s="1"/>
      <c r="H616" t="s">
        <v>9</v>
      </c>
      <c r="I616" t="s">
        <v>27</v>
      </c>
    </row>
    <row r="617" spans="1:9" x14ac:dyDescent="0.25">
      <c r="A617" t="s">
        <v>5052</v>
      </c>
      <c r="B617" s="26" t="str">
        <f>MID(tbl_forecast[[#This Row],[PACE Job Number]],3,3)</f>
        <v>STX</v>
      </c>
      <c r="C617" t="s">
        <v>12</v>
      </c>
      <c r="D617" s="1">
        <v>43430</v>
      </c>
      <c r="E617" s="1">
        <v>43457</v>
      </c>
      <c r="F617" s="1">
        <v>43410</v>
      </c>
      <c r="G617" s="1"/>
      <c r="H617" t="s">
        <v>9</v>
      </c>
      <c r="I617" t="s">
        <v>44</v>
      </c>
    </row>
    <row r="618" spans="1:9" x14ac:dyDescent="0.25">
      <c r="A618" t="s">
        <v>4166</v>
      </c>
      <c r="B618" s="26" t="str">
        <f>MID(tbl_forecast[[#This Row],[PACE Job Number]],3,3)</f>
        <v>NTX</v>
      </c>
      <c r="C618" t="s">
        <v>12</v>
      </c>
      <c r="D618" s="1">
        <v>43431</v>
      </c>
      <c r="E618" s="1">
        <v>43511</v>
      </c>
      <c r="F618" s="1">
        <v>43511</v>
      </c>
      <c r="G618" s="1"/>
      <c r="H618" t="s">
        <v>4664</v>
      </c>
      <c r="I618" t="s">
        <v>4665</v>
      </c>
    </row>
    <row r="619" spans="1:9" x14ac:dyDescent="0.25">
      <c r="A619" t="s">
        <v>4167</v>
      </c>
      <c r="B619" s="26" t="str">
        <f>MID(tbl_forecast[[#This Row],[PACE Job Number]],3,3)</f>
        <v>NTX</v>
      </c>
      <c r="C619" t="s">
        <v>12</v>
      </c>
      <c r="D619" s="1">
        <v>43431</v>
      </c>
      <c r="E619" s="1">
        <v>43511</v>
      </c>
      <c r="F619" s="1">
        <v>43511</v>
      </c>
      <c r="G619" s="1"/>
      <c r="H619" t="s">
        <v>4664</v>
      </c>
      <c r="I619" t="s">
        <v>4665</v>
      </c>
    </row>
    <row r="620" spans="1:9" x14ac:dyDescent="0.25">
      <c r="A620" t="s">
        <v>3797</v>
      </c>
      <c r="B620" s="26" t="str">
        <f>MID(tbl_forecast[[#This Row],[PACE Job Number]],3,3)</f>
        <v>NTX</v>
      </c>
      <c r="C620" t="s">
        <v>12</v>
      </c>
      <c r="D620" s="1">
        <v>43416</v>
      </c>
      <c r="E620" s="1">
        <v>43481</v>
      </c>
      <c r="F620" s="1">
        <v>43481</v>
      </c>
      <c r="G620" s="1"/>
      <c r="H620" t="s">
        <v>4664</v>
      </c>
      <c r="I620" t="s">
        <v>5645</v>
      </c>
    </row>
    <row r="621" spans="1:9" x14ac:dyDescent="0.25">
      <c r="A621" t="s">
        <v>3802</v>
      </c>
      <c r="B621" s="26" t="str">
        <f>MID(tbl_forecast[[#This Row],[PACE Job Number]],3,3)</f>
        <v>NTX</v>
      </c>
      <c r="C621" t="s">
        <v>12</v>
      </c>
      <c r="D621" s="1">
        <v>43416</v>
      </c>
      <c r="E621" s="1">
        <v>43481</v>
      </c>
      <c r="F621" s="1">
        <v>43481</v>
      </c>
      <c r="G621" s="1"/>
      <c r="H621" t="s">
        <v>4664</v>
      </c>
      <c r="I621" t="s">
        <v>5645</v>
      </c>
    </row>
    <row r="622" spans="1:9" x14ac:dyDescent="0.25">
      <c r="A622" t="s">
        <v>3803</v>
      </c>
      <c r="B622" s="26" t="str">
        <f>MID(tbl_forecast[[#This Row],[PACE Job Number]],3,3)</f>
        <v>NTX</v>
      </c>
      <c r="C622" t="s">
        <v>12</v>
      </c>
      <c r="D622" s="1">
        <v>43416</v>
      </c>
      <c r="E622" s="1">
        <v>43481</v>
      </c>
      <c r="F622" s="1">
        <v>43481</v>
      </c>
      <c r="G622" s="1"/>
      <c r="H622" t="s">
        <v>4664</v>
      </c>
      <c r="I622" t="s">
        <v>5645</v>
      </c>
    </row>
    <row r="623" spans="1:9" x14ac:dyDescent="0.25">
      <c r="A623" t="s">
        <v>5247</v>
      </c>
      <c r="B623" s="26" t="str">
        <f>MID(tbl_forecast[[#This Row],[PACE Job Number]],3,3)</f>
        <v>NTX</v>
      </c>
      <c r="C623" t="s">
        <v>12</v>
      </c>
      <c r="D623" s="1">
        <v>43413</v>
      </c>
      <c r="E623" s="1">
        <v>43525</v>
      </c>
      <c r="F623" s="1">
        <v>43525</v>
      </c>
      <c r="G623" s="1"/>
      <c r="H623" t="s">
        <v>4664</v>
      </c>
      <c r="I623" t="s">
        <v>5645</v>
      </c>
    </row>
    <row r="624" spans="1:9" x14ac:dyDescent="0.25">
      <c r="A624" t="s">
        <v>5248</v>
      </c>
      <c r="B624" s="26" t="str">
        <f>MID(tbl_forecast[[#This Row],[PACE Job Number]],3,3)</f>
        <v>NTX</v>
      </c>
      <c r="C624" t="s">
        <v>12</v>
      </c>
      <c r="D624" s="1">
        <v>43413</v>
      </c>
      <c r="E624" s="1">
        <v>43525</v>
      </c>
      <c r="F624" s="1">
        <v>43525</v>
      </c>
      <c r="G624" s="1"/>
      <c r="H624" t="s">
        <v>4664</v>
      </c>
      <c r="I624" t="s">
        <v>5645</v>
      </c>
    </row>
    <row r="625" spans="1:9" x14ac:dyDescent="0.25">
      <c r="A625" t="s">
        <v>3798</v>
      </c>
      <c r="B625" s="26" t="str">
        <f>MID(tbl_forecast[[#This Row],[PACE Job Number]],3,3)</f>
        <v>WSH</v>
      </c>
      <c r="C625" t="s">
        <v>12</v>
      </c>
      <c r="D625" s="1">
        <v>43430</v>
      </c>
      <c r="E625" s="1">
        <v>43444</v>
      </c>
      <c r="F625" s="1">
        <v>43444</v>
      </c>
      <c r="G625" s="1"/>
      <c r="H625" t="s">
        <v>9</v>
      </c>
      <c r="I625" t="s">
        <v>27</v>
      </c>
    </row>
    <row r="626" spans="1:9" x14ac:dyDescent="0.25">
      <c r="A626" t="s">
        <v>4196</v>
      </c>
      <c r="B626" s="26" t="str">
        <f>MID(tbl_forecast[[#This Row],[PACE Job Number]],3,3)</f>
        <v>WSH</v>
      </c>
      <c r="C626" t="s">
        <v>12</v>
      </c>
      <c r="D626" s="1">
        <v>43406</v>
      </c>
      <c r="E626" s="1">
        <v>43363</v>
      </c>
      <c r="F626" s="1">
        <v>43406</v>
      </c>
      <c r="G626" s="1">
        <v>43406</v>
      </c>
      <c r="H626" t="s">
        <v>9</v>
      </c>
      <c r="I626" t="s">
        <v>10</v>
      </c>
    </row>
    <row r="627" spans="1:9" x14ac:dyDescent="0.25">
      <c r="A627" t="s">
        <v>5249</v>
      </c>
      <c r="B627" s="26" t="str">
        <f>MID(tbl_forecast[[#This Row],[PACE Job Number]],3,3)</f>
        <v>WSH</v>
      </c>
      <c r="C627" t="s">
        <v>12</v>
      </c>
      <c r="D627" s="1">
        <v>43416</v>
      </c>
      <c r="E627" s="1">
        <v>43444</v>
      </c>
      <c r="F627" s="1">
        <v>43444</v>
      </c>
      <c r="G627" s="1"/>
      <c r="H627" t="s">
        <v>4664</v>
      </c>
      <c r="I627" t="s">
        <v>5645</v>
      </c>
    </row>
    <row r="628" spans="1:9" x14ac:dyDescent="0.25">
      <c r="A628" t="s">
        <v>31</v>
      </c>
      <c r="B628" s="26" t="str">
        <f>MID(tbl_forecast[[#This Row],[PACE Job Number]],3,3)</f>
        <v>WSH</v>
      </c>
      <c r="C628" t="s">
        <v>12</v>
      </c>
      <c r="D628" s="1">
        <v>43430</v>
      </c>
      <c r="E628" s="1">
        <v>43444</v>
      </c>
      <c r="F628" s="1">
        <v>43444</v>
      </c>
      <c r="G628" s="1"/>
      <c r="H628" t="s">
        <v>9</v>
      </c>
      <c r="I628" t="s">
        <v>27</v>
      </c>
    </row>
    <row r="629" spans="1:9" x14ac:dyDescent="0.25">
      <c r="A629" t="s">
        <v>5250</v>
      </c>
      <c r="B629" s="26" t="str">
        <f>MID(tbl_forecast[[#This Row],[PACE Job Number]],3,3)</f>
        <v>WSH</v>
      </c>
      <c r="C629" t="s">
        <v>12</v>
      </c>
      <c r="D629" s="1">
        <v>43423</v>
      </c>
      <c r="E629" s="1">
        <v>43423</v>
      </c>
      <c r="F629" s="1">
        <v>43423</v>
      </c>
      <c r="G629" s="1">
        <v>43423</v>
      </c>
      <c r="H629" t="s">
        <v>9</v>
      </c>
      <c r="I629" t="s">
        <v>10</v>
      </c>
    </row>
    <row r="630" spans="1:9" x14ac:dyDescent="0.25">
      <c r="A630" t="s">
        <v>5251</v>
      </c>
      <c r="B630" s="26" t="str">
        <f>MID(tbl_forecast[[#This Row],[PACE Job Number]],3,3)</f>
        <v>WSH</v>
      </c>
      <c r="C630" t="s">
        <v>12</v>
      </c>
      <c r="D630" s="1">
        <v>43430</v>
      </c>
      <c r="E630" s="1">
        <v>43427</v>
      </c>
      <c r="F630" s="1">
        <v>43427</v>
      </c>
      <c r="G630" s="1">
        <v>43427</v>
      </c>
      <c r="H630" t="s">
        <v>9</v>
      </c>
      <c r="I630" t="s">
        <v>10</v>
      </c>
    </row>
    <row r="631" spans="1:9" x14ac:dyDescent="0.25">
      <c r="A631" t="s">
        <v>5252</v>
      </c>
      <c r="B631" s="26" t="str">
        <f>MID(tbl_forecast[[#This Row],[PACE Job Number]],3,3)</f>
        <v>WSH</v>
      </c>
      <c r="C631" t="s">
        <v>12</v>
      </c>
      <c r="D631" s="1">
        <v>43410</v>
      </c>
      <c r="E631" s="1">
        <v>43416</v>
      </c>
      <c r="F631" s="1">
        <v>43416</v>
      </c>
      <c r="G631" s="1">
        <v>43416</v>
      </c>
      <c r="H631" t="s">
        <v>9</v>
      </c>
      <c r="I631" t="s">
        <v>10</v>
      </c>
    </row>
    <row r="632" spans="1:9" x14ac:dyDescent="0.25">
      <c r="A632" t="s">
        <v>3799</v>
      </c>
      <c r="B632" s="26" t="str">
        <f>MID(tbl_forecast[[#This Row],[PACE Job Number]],3,3)</f>
        <v>WSH</v>
      </c>
      <c r="C632" t="s">
        <v>12</v>
      </c>
      <c r="D632" s="1">
        <v>43409</v>
      </c>
      <c r="E632" s="1">
        <v>43411</v>
      </c>
      <c r="F632" s="1">
        <v>43411</v>
      </c>
      <c r="G632" s="1">
        <v>43411</v>
      </c>
      <c r="H632" t="s">
        <v>9</v>
      </c>
      <c r="I632" t="s">
        <v>10</v>
      </c>
    </row>
    <row r="633" spans="1:9" x14ac:dyDescent="0.25">
      <c r="A633" t="s">
        <v>4230</v>
      </c>
      <c r="B633" s="26" t="str">
        <f>MID(tbl_forecast[[#This Row],[PACE Job Number]],3,3)</f>
        <v>ANM</v>
      </c>
      <c r="C633" t="s">
        <v>12</v>
      </c>
      <c r="D633" s="1">
        <v>43423</v>
      </c>
      <c r="E633" s="1">
        <v>43444</v>
      </c>
      <c r="F633" s="1">
        <v>43444</v>
      </c>
      <c r="G633" s="1"/>
      <c r="H633" t="s">
        <v>4664</v>
      </c>
      <c r="I633" t="s">
        <v>4665</v>
      </c>
    </row>
    <row r="634" spans="1:9" x14ac:dyDescent="0.25">
      <c r="A634" t="s">
        <v>5253</v>
      </c>
      <c r="B634" s="26" t="str">
        <f>MID(tbl_forecast[[#This Row],[PACE Job Number]],3,3)</f>
        <v>ANM</v>
      </c>
      <c r="C634" t="s">
        <v>12</v>
      </c>
      <c r="D634" s="1">
        <v>43416</v>
      </c>
      <c r="E634" s="1">
        <v>43451</v>
      </c>
      <c r="F634" s="1">
        <v>43416</v>
      </c>
      <c r="G634" s="1"/>
      <c r="H634" t="s">
        <v>9</v>
      </c>
      <c r="I634" t="s">
        <v>44</v>
      </c>
    </row>
    <row r="635" spans="1:9" x14ac:dyDescent="0.25">
      <c r="A635" t="s">
        <v>4238</v>
      </c>
      <c r="B635" s="26" t="str">
        <f>MID(tbl_forecast[[#This Row],[PACE Job Number]],3,3)</f>
        <v>ANM</v>
      </c>
      <c r="C635" t="s">
        <v>12</v>
      </c>
      <c r="D635" s="1">
        <v>43423</v>
      </c>
      <c r="E635" s="1">
        <v>43423</v>
      </c>
      <c r="F635" s="1">
        <v>43423</v>
      </c>
      <c r="G635" s="1"/>
      <c r="H635" t="s">
        <v>9</v>
      </c>
      <c r="I635" t="s">
        <v>27</v>
      </c>
    </row>
    <row r="636" spans="1:9" x14ac:dyDescent="0.25">
      <c r="A636" t="s">
        <v>1696</v>
      </c>
      <c r="B636" s="26" t="str">
        <f>MID(tbl_forecast[[#This Row],[PACE Job Number]],3,3)</f>
        <v>ANM</v>
      </c>
      <c r="C636" t="s">
        <v>12</v>
      </c>
      <c r="D636" s="1">
        <v>43434</v>
      </c>
      <c r="E636" s="1">
        <v>43444</v>
      </c>
      <c r="F636" s="1">
        <v>43444</v>
      </c>
      <c r="G636" s="1"/>
      <c r="H636" t="s">
        <v>9</v>
      </c>
      <c r="I636" t="s">
        <v>27</v>
      </c>
    </row>
    <row r="637" spans="1:9" x14ac:dyDescent="0.25">
      <c r="A637" t="s">
        <v>4075</v>
      </c>
      <c r="B637" s="26" t="str">
        <f>MID(tbl_forecast[[#This Row],[PACE Job Number]],3,3)</f>
        <v>ANM</v>
      </c>
      <c r="C637" t="s">
        <v>12</v>
      </c>
      <c r="D637" s="1">
        <v>43423</v>
      </c>
      <c r="E637" s="1">
        <v>43472</v>
      </c>
      <c r="F637" s="1">
        <v>43472</v>
      </c>
      <c r="G637" s="1"/>
      <c r="H637" t="s">
        <v>4664</v>
      </c>
      <c r="I637" t="s">
        <v>4665</v>
      </c>
    </row>
    <row r="638" spans="1:9" x14ac:dyDescent="0.25">
      <c r="A638" t="s">
        <v>1686</v>
      </c>
      <c r="B638" s="26" t="str">
        <f>MID(tbl_forecast[[#This Row],[PACE Job Number]],3,3)</f>
        <v>ANM</v>
      </c>
      <c r="C638" t="s">
        <v>12</v>
      </c>
      <c r="D638" s="1">
        <v>43423</v>
      </c>
      <c r="E638" s="1">
        <v>43465</v>
      </c>
      <c r="F638" s="1">
        <v>43831</v>
      </c>
      <c r="G638" s="1"/>
      <c r="H638" t="s">
        <v>4664</v>
      </c>
      <c r="I638" t="s">
        <v>4665</v>
      </c>
    </row>
    <row r="639" spans="1:9" x14ac:dyDescent="0.25">
      <c r="A639" t="s">
        <v>5065</v>
      </c>
      <c r="B639" s="26" t="str">
        <f>MID(tbl_forecast[[#This Row],[PACE Job Number]],3,3)</f>
        <v>ANM</v>
      </c>
      <c r="C639" t="s">
        <v>12</v>
      </c>
      <c r="D639" s="1">
        <v>43416</v>
      </c>
      <c r="E639" s="1">
        <v>43451</v>
      </c>
      <c r="F639" s="1">
        <v>43451</v>
      </c>
      <c r="G639" s="1"/>
      <c r="H639" t="s">
        <v>4664</v>
      </c>
      <c r="I639" t="s">
        <v>5645</v>
      </c>
    </row>
    <row r="640" spans="1:9" x14ac:dyDescent="0.25">
      <c r="A640" t="s">
        <v>5254</v>
      </c>
      <c r="B640" s="26" t="str">
        <f>MID(tbl_forecast[[#This Row],[PACE Job Number]],3,3)</f>
        <v>ANM</v>
      </c>
      <c r="C640" t="s">
        <v>12</v>
      </c>
      <c r="D640" s="1">
        <v>43405</v>
      </c>
      <c r="E640" s="1">
        <v>43444</v>
      </c>
      <c r="F640" s="1">
        <v>43444</v>
      </c>
      <c r="G640" s="1"/>
      <c r="H640" t="s">
        <v>4664</v>
      </c>
      <c r="I640" t="s">
        <v>5645</v>
      </c>
    </row>
    <row r="641" spans="1:9" x14ac:dyDescent="0.25">
      <c r="A641" t="s">
        <v>4152</v>
      </c>
      <c r="B641" s="26" t="str">
        <f>MID(tbl_forecast[[#This Row],[PACE Job Number]],3,3)</f>
        <v>ANM</v>
      </c>
      <c r="C641" t="s">
        <v>12</v>
      </c>
      <c r="D641" s="1">
        <v>43423</v>
      </c>
      <c r="E641" s="1">
        <v>43451</v>
      </c>
      <c r="F641" s="1">
        <v>43451</v>
      </c>
      <c r="G641" s="1"/>
      <c r="H641" t="s">
        <v>4664</v>
      </c>
      <c r="I641" t="s">
        <v>4665</v>
      </c>
    </row>
    <row r="642" spans="1:9" x14ac:dyDescent="0.25">
      <c r="A642" t="s">
        <v>1691</v>
      </c>
      <c r="B642" s="26" t="str">
        <f>MID(tbl_forecast[[#This Row],[PACE Job Number]],3,3)</f>
        <v>ANM</v>
      </c>
      <c r="C642" t="s">
        <v>12</v>
      </c>
      <c r="D642" s="1">
        <v>43423</v>
      </c>
      <c r="E642" s="1">
        <v>43465</v>
      </c>
      <c r="F642" s="1">
        <v>43831</v>
      </c>
      <c r="G642" s="1"/>
      <c r="H642" t="s">
        <v>4664</v>
      </c>
      <c r="I642" t="s">
        <v>4665</v>
      </c>
    </row>
    <row r="643" spans="1:9" x14ac:dyDescent="0.25">
      <c r="A643" t="s">
        <v>4153</v>
      </c>
      <c r="B643" s="26" t="str">
        <f>MID(tbl_forecast[[#This Row],[PACE Job Number]],3,3)</f>
        <v>ANM</v>
      </c>
      <c r="C643" t="s">
        <v>12</v>
      </c>
      <c r="D643" s="1">
        <v>43416</v>
      </c>
      <c r="E643" s="1">
        <v>43451</v>
      </c>
      <c r="F643" s="1">
        <v>43451</v>
      </c>
      <c r="G643" s="1"/>
      <c r="H643" t="s">
        <v>4664</v>
      </c>
      <c r="I643" t="s">
        <v>5645</v>
      </c>
    </row>
    <row r="644" spans="1:9" x14ac:dyDescent="0.25">
      <c r="A644" t="s">
        <v>4154</v>
      </c>
      <c r="B644" s="26" t="str">
        <f>MID(tbl_forecast[[#This Row],[PACE Job Number]],3,3)</f>
        <v>ANM</v>
      </c>
      <c r="C644" t="s">
        <v>12</v>
      </c>
      <c r="D644" s="1">
        <v>43423</v>
      </c>
      <c r="E644" s="1">
        <v>43451</v>
      </c>
      <c r="F644" s="1">
        <v>43451</v>
      </c>
      <c r="G644" s="1"/>
      <c r="H644" t="s">
        <v>4664</v>
      </c>
      <c r="I644" t="s">
        <v>4665</v>
      </c>
    </row>
    <row r="645" spans="1:9" x14ac:dyDescent="0.25">
      <c r="A645" t="s">
        <v>1680</v>
      </c>
      <c r="B645" s="26" t="str">
        <f>MID(tbl_forecast[[#This Row],[PACE Job Number]],3,3)</f>
        <v>ANM</v>
      </c>
      <c r="C645" t="s">
        <v>12</v>
      </c>
      <c r="D645" s="1">
        <v>43434</v>
      </c>
      <c r="E645" s="1">
        <v>43444</v>
      </c>
      <c r="F645" s="1">
        <v>43444</v>
      </c>
      <c r="G645" s="1"/>
      <c r="H645" t="s">
        <v>9</v>
      </c>
      <c r="I645" t="s">
        <v>27</v>
      </c>
    </row>
    <row r="646" spans="1:9" x14ac:dyDescent="0.25">
      <c r="A646" t="s">
        <v>5066</v>
      </c>
      <c r="B646" s="26" t="str">
        <f>MID(tbl_forecast[[#This Row],[PACE Job Number]],3,3)</f>
        <v>ANM</v>
      </c>
      <c r="C646" t="s">
        <v>12</v>
      </c>
      <c r="D646" s="1">
        <v>43427</v>
      </c>
      <c r="E646" s="1">
        <v>43451</v>
      </c>
      <c r="F646" s="1">
        <v>43451</v>
      </c>
      <c r="G646" s="1"/>
      <c r="H646" t="s">
        <v>4664</v>
      </c>
      <c r="I646" t="s">
        <v>4665</v>
      </c>
    </row>
    <row r="647" spans="1:9" x14ac:dyDescent="0.25">
      <c r="A647" t="s">
        <v>1697</v>
      </c>
      <c r="B647" s="26" t="str">
        <f>MID(tbl_forecast[[#This Row],[PACE Job Number]],3,3)</f>
        <v>ANM</v>
      </c>
      <c r="C647" t="s">
        <v>12</v>
      </c>
      <c r="D647" s="1">
        <v>43423</v>
      </c>
      <c r="E647" s="1">
        <v>43465</v>
      </c>
      <c r="F647" s="1">
        <v>43831</v>
      </c>
      <c r="G647" s="1"/>
      <c r="H647" t="s">
        <v>4664</v>
      </c>
      <c r="I647" t="s">
        <v>4665</v>
      </c>
    </row>
    <row r="648" spans="1:9" x14ac:dyDescent="0.25">
      <c r="A648" t="s">
        <v>4077</v>
      </c>
      <c r="B648" s="26" t="str">
        <f>MID(tbl_forecast[[#This Row],[PACE Job Number]],3,3)</f>
        <v>ANM</v>
      </c>
      <c r="C648" t="s">
        <v>12</v>
      </c>
      <c r="D648" s="1">
        <v>43423</v>
      </c>
      <c r="E648" s="1">
        <v>43472</v>
      </c>
      <c r="F648" s="1">
        <v>43472</v>
      </c>
      <c r="G648" s="1"/>
      <c r="H648" t="s">
        <v>4664</v>
      </c>
      <c r="I648" t="s">
        <v>4665</v>
      </c>
    </row>
    <row r="649" spans="1:9" x14ac:dyDescent="0.25">
      <c r="A649" t="s">
        <v>4155</v>
      </c>
      <c r="B649" s="26" t="str">
        <f>MID(tbl_forecast[[#This Row],[PACE Job Number]],3,3)</f>
        <v>ANM</v>
      </c>
      <c r="C649" t="s">
        <v>12</v>
      </c>
      <c r="D649" s="1">
        <v>43423</v>
      </c>
      <c r="E649" s="1">
        <v>43451</v>
      </c>
      <c r="F649" s="1">
        <v>43451</v>
      </c>
      <c r="G649" s="1"/>
      <c r="H649" t="s">
        <v>4664</v>
      </c>
      <c r="I649" t="s">
        <v>4665</v>
      </c>
    </row>
    <row r="650" spans="1:9" x14ac:dyDescent="0.25">
      <c r="A650" t="s">
        <v>4156</v>
      </c>
      <c r="B650" s="26" t="str">
        <f>MID(tbl_forecast[[#This Row],[PACE Job Number]],3,3)</f>
        <v>ANM</v>
      </c>
      <c r="C650" t="s">
        <v>12</v>
      </c>
      <c r="D650" s="1">
        <v>43416</v>
      </c>
      <c r="E650" s="1">
        <v>43451</v>
      </c>
      <c r="F650" s="1">
        <v>43451</v>
      </c>
      <c r="G650" s="1"/>
      <c r="H650" t="s">
        <v>4664</v>
      </c>
      <c r="I650" t="s">
        <v>5645</v>
      </c>
    </row>
    <row r="651" spans="1:9" x14ac:dyDescent="0.25">
      <c r="A651" t="s">
        <v>4669</v>
      </c>
      <c r="B651" s="26" t="str">
        <f>MID(tbl_forecast[[#This Row],[PACE Job Number]],3,3)</f>
        <v>ANM</v>
      </c>
      <c r="C651" t="s">
        <v>12</v>
      </c>
      <c r="D651" s="1">
        <v>43423</v>
      </c>
      <c r="E651" s="1">
        <v>43465</v>
      </c>
      <c r="F651" s="1">
        <v>43465</v>
      </c>
      <c r="G651" s="1"/>
      <c r="H651" t="s">
        <v>4664</v>
      </c>
      <c r="I651" t="s">
        <v>4665</v>
      </c>
    </row>
    <row r="652" spans="1:9" x14ac:dyDescent="0.25">
      <c r="A652" t="s">
        <v>5255</v>
      </c>
      <c r="B652" s="26" t="str">
        <f>MID(tbl_forecast[[#This Row],[PACE Job Number]],3,3)</f>
        <v>ANM</v>
      </c>
      <c r="C652" t="s">
        <v>12</v>
      </c>
      <c r="D652" s="1">
        <v>43430</v>
      </c>
      <c r="E652" s="1">
        <v>43444</v>
      </c>
      <c r="F652" s="1">
        <v>43444</v>
      </c>
      <c r="G652" s="1"/>
      <c r="H652" t="s">
        <v>9</v>
      </c>
      <c r="I652" t="s">
        <v>27</v>
      </c>
    </row>
    <row r="653" spans="1:9" x14ac:dyDescent="0.25">
      <c r="A653" t="s">
        <v>4670</v>
      </c>
      <c r="B653" s="26" t="str">
        <f>MID(tbl_forecast[[#This Row],[PACE Job Number]],3,3)</f>
        <v>ANM</v>
      </c>
      <c r="C653" t="s">
        <v>12</v>
      </c>
      <c r="D653" s="1">
        <v>43423</v>
      </c>
      <c r="E653" s="1">
        <v>43465</v>
      </c>
      <c r="F653" s="1">
        <v>43465</v>
      </c>
      <c r="G653" s="1"/>
      <c r="H653" t="s">
        <v>4664</v>
      </c>
      <c r="I653" t="s">
        <v>4665</v>
      </c>
    </row>
    <row r="654" spans="1:9" x14ac:dyDescent="0.25">
      <c r="A654" t="s">
        <v>1687</v>
      </c>
      <c r="B654" s="26" t="str">
        <f>MID(tbl_forecast[[#This Row],[PACE Job Number]],3,3)</f>
        <v>ANM</v>
      </c>
      <c r="C654" t="s">
        <v>12</v>
      </c>
      <c r="D654" s="1">
        <v>43423</v>
      </c>
      <c r="E654" s="1">
        <v>43465</v>
      </c>
      <c r="F654" s="1">
        <v>43831</v>
      </c>
      <c r="G654" s="1"/>
      <c r="H654" t="s">
        <v>4664</v>
      </c>
      <c r="I654" t="s">
        <v>4665</v>
      </c>
    </row>
    <row r="655" spans="1:9" x14ac:dyDescent="0.25">
      <c r="A655" t="s">
        <v>1694</v>
      </c>
      <c r="B655" s="26" t="str">
        <f>MID(tbl_forecast[[#This Row],[PACE Job Number]],3,3)</f>
        <v>ANM</v>
      </c>
      <c r="C655" t="s">
        <v>12</v>
      </c>
      <c r="D655" s="1">
        <v>43434</v>
      </c>
      <c r="E655" s="1">
        <v>43444</v>
      </c>
      <c r="F655" s="1">
        <v>43444</v>
      </c>
      <c r="G655" s="1"/>
      <c r="H655" t="s">
        <v>9</v>
      </c>
      <c r="I655" t="s">
        <v>27</v>
      </c>
    </row>
    <row r="656" spans="1:9" x14ac:dyDescent="0.25">
      <c r="A656" t="s">
        <v>5067</v>
      </c>
      <c r="B656" s="26" t="str">
        <f>MID(tbl_forecast[[#This Row],[PACE Job Number]],3,3)</f>
        <v>ANM</v>
      </c>
      <c r="C656" t="s">
        <v>12</v>
      </c>
      <c r="D656" s="1">
        <v>43416</v>
      </c>
      <c r="E656" s="1">
        <v>43451</v>
      </c>
      <c r="F656" s="1">
        <v>43451</v>
      </c>
      <c r="G656" s="1"/>
      <c r="H656" t="s">
        <v>4664</v>
      </c>
      <c r="I656" t="s">
        <v>5645</v>
      </c>
    </row>
    <row r="657" spans="1:9" x14ac:dyDescent="0.25">
      <c r="A657" t="s">
        <v>4157</v>
      </c>
      <c r="B657" s="26" t="str">
        <f>MID(tbl_forecast[[#This Row],[PACE Job Number]],3,3)</f>
        <v>ANM</v>
      </c>
      <c r="C657" t="s">
        <v>12</v>
      </c>
      <c r="D657" s="1">
        <v>43423</v>
      </c>
      <c r="E657" s="1">
        <v>43451</v>
      </c>
      <c r="F657" s="1">
        <v>43451</v>
      </c>
      <c r="G657" s="1"/>
      <c r="H657" t="s">
        <v>4664</v>
      </c>
      <c r="I657" t="s">
        <v>4665</v>
      </c>
    </row>
    <row r="658" spans="1:9" x14ac:dyDescent="0.25">
      <c r="A658" t="s">
        <v>1684</v>
      </c>
      <c r="B658" s="26" t="str">
        <f>MID(tbl_forecast[[#This Row],[PACE Job Number]],3,3)</f>
        <v>ANM</v>
      </c>
      <c r="C658" t="s">
        <v>12</v>
      </c>
      <c r="D658" s="1">
        <v>43423</v>
      </c>
      <c r="E658" s="1">
        <v>43472</v>
      </c>
      <c r="F658" s="1">
        <v>43472</v>
      </c>
      <c r="G658" s="1"/>
      <c r="H658" t="s">
        <v>4664</v>
      </c>
      <c r="I658" t="s">
        <v>4665</v>
      </c>
    </row>
    <row r="659" spans="1:9" x14ac:dyDescent="0.25">
      <c r="A659" t="s">
        <v>5256</v>
      </c>
      <c r="B659" s="26" t="str">
        <f>MID(tbl_forecast[[#This Row],[PACE Job Number]],3,3)</f>
        <v>ANM</v>
      </c>
      <c r="C659" t="s">
        <v>12</v>
      </c>
      <c r="D659" s="1">
        <v>43430</v>
      </c>
      <c r="E659" s="1">
        <v>43444</v>
      </c>
      <c r="F659" s="1">
        <v>43444</v>
      </c>
      <c r="G659" s="1"/>
      <c r="H659" t="s">
        <v>9</v>
      </c>
      <c r="I659" t="s">
        <v>27</v>
      </c>
    </row>
    <row r="660" spans="1:9" x14ac:dyDescent="0.25">
      <c r="A660" t="s">
        <v>5068</v>
      </c>
      <c r="B660" s="26" t="str">
        <f>MID(tbl_forecast[[#This Row],[PACE Job Number]],3,3)</f>
        <v>ANM</v>
      </c>
      <c r="C660" t="s">
        <v>12</v>
      </c>
      <c r="D660" s="1">
        <v>43416</v>
      </c>
      <c r="E660" s="1">
        <v>43451</v>
      </c>
      <c r="F660" s="1">
        <v>43451</v>
      </c>
      <c r="G660" s="1"/>
      <c r="H660" t="s">
        <v>4664</v>
      </c>
      <c r="I660" t="s">
        <v>5645</v>
      </c>
    </row>
    <row r="661" spans="1:9" x14ac:dyDescent="0.25">
      <c r="A661" t="s">
        <v>4078</v>
      </c>
      <c r="B661" s="26" t="str">
        <f>MID(tbl_forecast[[#This Row],[PACE Job Number]],3,3)</f>
        <v>ANM</v>
      </c>
      <c r="C661" t="s">
        <v>12</v>
      </c>
      <c r="D661" s="1">
        <v>43423</v>
      </c>
      <c r="E661" s="1">
        <v>43472</v>
      </c>
      <c r="F661" s="1">
        <v>43472</v>
      </c>
      <c r="G661" s="1"/>
      <c r="H661" t="s">
        <v>4664</v>
      </c>
      <c r="I661" t="s">
        <v>4665</v>
      </c>
    </row>
    <row r="662" spans="1:9" x14ac:dyDescent="0.25">
      <c r="A662" t="s">
        <v>5069</v>
      </c>
      <c r="B662" s="26" t="str">
        <f>MID(tbl_forecast[[#This Row],[PACE Job Number]],3,3)</f>
        <v>ANM</v>
      </c>
      <c r="C662" t="s">
        <v>12</v>
      </c>
      <c r="D662" s="1">
        <v>43427</v>
      </c>
      <c r="E662" s="1">
        <v>43451</v>
      </c>
      <c r="F662" s="1">
        <v>43451</v>
      </c>
      <c r="G662" s="1"/>
      <c r="H662" t="s">
        <v>4664</v>
      </c>
      <c r="I662" t="s">
        <v>4665</v>
      </c>
    </row>
    <row r="663" spans="1:9" x14ac:dyDescent="0.25">
      <c r="A663" t="s">
        <v>1703</v>
      </c>
      <c r="B663" s="26" t="str">
        <f>MID(tbl_forecast[[#This Row],[PACE Job Number]],3,3)</f>
        <v>ANM</v>
      </c>
      <c r="C663" t="s">
        <v>12</v>
      </c>
      <c r="D663" s="1">
        <v>43423</v>
      </c>
      <c r="E663" s="1">
        <v>43472</v>
      </c>
      <c r="F663" s="1">
        <v>43472</v>
      </c>
      <c r="G663" s="1"/>
      <c r="H663" t="s">
        <v>4664</v>
      </c>
      <c r="I663" t="s">
        <v>4665</v>
      </c>
    </row>
    <row r="664" spans="1:9" x14ac:dyDescent="0.25">
      <c r="A664" t="s">
        <v>1708</v>
      </c>
      <c r="B664" s="26" t="str">
        <f>MID(tbl_forecast[[#This Row],[PACE Job Number]],3,3)</f>
        <v>ANM</v>
      </c>
      <c r="C664" t="s">
        <v>12</v>
      </c>
      <c r="D664" s="1">
        <v>43423</v>
      </c>
      <c r="E664" s="1">
        <v>43472</v>
      </c>
      <c r="F664" s="1">
        <v>43472</v>
      </c>
      <c r="G664" s="1"/>
      <c r="H664" t="s">
        <v>4664</v>
      </c>
      <c r="I664" t="s">
        <v>4665</v>
      </c>
    </row>
    <row r="665" spans="1:9" x14ac:dyDescent="0.25">
      <c r="A665" t="s">
        <v>1707</v>
      </c>
      <c r="B665" s="26" t="str">
        <f>MID(tbl_forecast[[#This Row],[PACE Job Number]],3,3)</f>
        <v>ANM</v>
      </c>
      <c r="C665" t="s">
        <v>12</v>
      </c>
      <c r="D665" s="1">
        <v>43423</v>
      </c>
      <c r="E665" s="1">
        <v>43472</v>
      </c>
      <c r="F665" s="1">
        <v>43472</v>
      </c>
      <c r="G665" s="1"/>
      <c r="H665" t="s">
        <v>4664</v>
      </c>
      <c r="I665" t="s">
        <v>4665</v>
      </c>
    </row>
    <row r="666" spans="1:9" x14ac:dyDescent="0.25">
      <c r="A666" t="s">
        <v>1695</v>
      </c>
      <c r="B666" s="26" t="str">
        <f>MID(tbl_forecast[[#This Row],[PACE Job Number]],3,3)</f>
        <v>ANM</v>
      </c>
      <c r="C666" t="s">
        <v>12</v>
      </c>
      <c r="D666" s="1">
        <v>43423</v>
      </c>
      <c r="E666" s="1">
        <v>43444</v>
      </c>
      <c r="F666" s="1">
        <v>43444</v>
      </c>
      <c r="G666" s="1"/>
      <c r="H666" t="s">
        <v>4664</v>
      </c>
      <c r="I666" t="s">
        <v>4665</v>
      </c>
    </row>
    <row r="667" spans="1:9" x14ac:dyDescent="0.25">
      <c r="A667" t="s">
        <v>1683</v>
      </c>
      <c r="B667" s="26" t="str">
        <f>MID(tbl_forecast[[#This Row],[PACE Job Number]],3,3)</f>
        <v>ANM</v>
      </c>
      <c r="C667" t="s">
        <v>12</v>
      </c>
      <c r="D667" s="1">
        <v>43430</v>
      </c>
      <c r="E667" s="1">
        <v>43432</v>
      </c>
      <c r="F667" s="1">
        <v>43432</v>
      </c>
      <c r="G667" s="1"/>
      <c r="H667" t="s">
        <v>9</v>
      </c>
      <c r="I667" t="s">
        <v>27</v>
      </c>
    </row>
    <row r="668" spans="1:9" x14ac:dyDescent="0.25">
      <c r="A668" t="s">
        <v>1700</v>
      </c>
      <c r="B668" s="26" t="str">
        <f>MID(tbl_forecast[[#This Row],[PACE Job Number]],3,3)</f>
        <v>ANM</v>
      </c>
      <c r="C668" t="s">
        <v>12</v>
      </c>
      <c r="D668" s="1">
        <v>43423</v>
      </c>
      <c r="E668" s="1">
        <v>43472</v>
      </c>
      <c r="F668" s="1">
        <v>43472</v>
      </c>
      <c r="G668" s="1"/>
      <c r="H668" t="s">
        <v>4664</v>
      </c>
      <c r="I668" t="s">
        <v>4665</v>
      </c>
    </row>
    <row r="669" spans="1:9" x14ac:dyDescent="0.25">
      <c r="A669" t="s">
        <v>1692</v>
      </c>
      <c r="B669" s="26" t="str">
        <f>MID(tbl_forecast[[#This Row],[PACE Job Number]],3,3)</f>
        <v>ANM</v>
      </c>
      <c r="C669" t="s">
        <v>12</v>
      </c>
      <c r="D669" s="1">
        <v>43430</v>
      </c>
      <c r="E669" s="1">
        <v>43432</v>
      </c>
      <c r="F669" s="1">
        <v>43432</v>
      </c>
      <c r="G669" s="1"/>
      <c r="H669" t="s">
        <v>9</v>
      </c>
      <c r="I669" t="s">
        <v>27</v>
      </c>
    </row>
    <row r="670" spans="1:9" x14ac:dyDescent="0.25">
      <c r="A670" t="s">
        <v>1685</v>
      </c>
      <c r="B670" s="26" t="str">
        <f>MID(tbl_forecast[[#This Row],[PACE Job Number]],3,3)</f>
        <v>ANM</v>
      </c>
      <c r="C670" t="s">
        <v>12</v>
      </c>
      <c r="D670" s="1">
        <v>43430</v>
      </c>
      <c r="E670" s="1">
        <v>43432</v>
      </c>
      <c r="F670" s="1">
        <v>43432</v>
      </c>
      <c r="G670" s="1"/>
      <c r="H670" t="s">
        <v>9</v>
      </c>
      <c r="I670" t="s">
        <v>27</v>
      </c>
    </row>
    <row r="671" spans="1:9" x14ac:dyDescent="0.25">
      <c r="A671" t="s">
        <v>4278</v>
      </c>
      <c r="B671" s="26" t="str">
        <f>MID(tbl_forecast[[#This Row],[PACE Job Number]],3,3)</f>
        <v>STX</v>
      </c>
      <c r="C671" t="s">
        <v>12</v>
      </c>
      <c r="D671" s="1">
        <v>43411</v>
      </c>
      <c r="E671" s="1">
        <v>43305</v>
      </c>
      <c r="F671" s="1">
        <v>43435</v>
      </c>
      <c r="G671" s="1"/>
      <c r="H671" t="s">
        <v>4664</v>
      </c>
      <c r="I671" t="s">
        <v>4666</v>
      </c>
    </row>
    <row r="672" spans="1:9" x14ac:dyDescent="0.25">
      <c r="A672" t="s">
        <v>4169</v>
      </c>
      <c r="B672" s="26" t="str">
        <f>MID(tbl_forecast[[#This Row],[PACE Job Number]],3,3)</f>
        <v>STX</v>
      </c>
      <c r="C672" t="s">
        <v>12</v>
      </c>
      <c r="D672" s="1">
        <v>43411</v>
      </c>
      <c r="E672" s="1">
        <v>43411</v>
      </c>
      <c r="F672" s="1">
        <v>43411</v>
      </c>
      <c r="G672" s="1"/>
      <c r="H672" t="s">
        <v>9</v>
      </c>
      <c r="I672" t="s">
        <v>27</v>
      </c>
    </row>
    <row r="673" spans="1:9" x14ac:dyDescent="0.25">
      <c r="A673" t="s">
        <v>5257</v>
      </c>
      <c r="B673" s="26" t="str">
        <f>MID(tbl_forecast[[#This Row],[PACE Job Number]],3,3)</f>
        <v>NTX</v>
      </c>
      <c r="C673" t="s">
        <v>12</v>
      </c>
      <c r="D673" s="1">
        <v>43432</v>
      </c>
      <c r="E673" s="1">
        <v>43511</v>
      </c>
      <c r="F673" s="1">
        <v>43511</v>
      </c>
      <c r="G673" s="1"/>
      <c r="H673" t="s">
        <v>4664</v>
      </c>
      <c r="I673" t="s">
        <v>4665</v>
      </c>
    </row>
    <row r="674" spans="1:9" x14ac:dyDescent="0.25">
      <c r="A674" t="s">
        <v>5258</v>
      </c>
      <c r="B674" s="26" t="str">
        <f>MID(tbl_forecast[[#This Row],[PACE Job Number]],3,3)</f>
        <v>WSH</v>
      </c>
      <c r="C674" t="s">
        <v>12</v>
      </c>
      <c r="D674" s="1">
        <v>43413</v>
      </c>
      <c r="E674" s="1">
        <v>43486</v>
      </c>
      <c r="F674" s="1">
        <v>43486</v>
      </c>
      <c r="G674" s="1"/>
      <c r="H674" t="s">
        <v>4664</v>
      </c>
      <c r="I674" t="s">
        <v>5645</v>
      </c>
    </row>
    <row r="675" spans="1:9" x14ac:dyDescent="0.25">
      <c r="A675" t="s">
        <v>242</v>
      </c>
      <c r="B675" s="26" t="str">
        <f>MID(tbl_forecast[[#This Row],[PACE Job Number]],3,3)</f>
        <v>WSH</v>
      </c>
      <c r="C675" t="s">
        <v>12</v>
      </c>
      <c r="D675" s="1">
        <v>43411</v>
      </c>
      <c r="E675" s="1">
        <v>43409</v>
      </c>
      <c r="F675" s="1">
        <v>43409</v>
      </c>
      <c r="G675" s="1">
        <v>43409</v>
      </c>
      <c r="H675" t="s">
        <v>9</v>
      </c>
      <c r="I675" t="s">
        <v>10</v>
      </c>
    </row>
    <row r="676" spans="1:9" x14ac:dyDescent="0.25">
      <c r="A676" t="s">
        <v>5259</v>
      </c>
      <c r="B676" s="26" t="str">
        <f>MID(tbl_forecast[[#This Row],[PACE Job Number]],3,3)</f>
        <v>WSH</v>
      </c>
      <c r="C676" t="s">
        <v>12</v>
      </c>
      <c r="D676" s="1">
        <v>43416</v>
      </c>
      <c r="E676" s="1">
        <v>43416</v>
      </c>
      <c r="F676" s="1">
        <v>43416</v>
      </c>
      <c r="G676" s="1">
        <v>43416</v>
      </c>
      <c r="H676" t="s">
        <v>9</v>
      </c>
      <c r="I676" t="s">
        <v>10</v>
      </c>
    </row>
    <row r="677" spans="1:9" x14ac:dyDescent="0.25">
      <c r="A677" t="s">
        <v>121</v>
      </c>
      <c r="B677" s="26" t="str">
        <f>MID(tbl_forecast[[#This Row],[PACE Job Number]],3,3)</f>
        <v>WSH</v>
      </c>
      <c r="C677" t="s">
        <v>12</v>
      </c>
      <c r="D677" s="1">
        <v>43409</v>
      </c>
      <c r="E677" s="1">
        <v>43479</v>
      </c>
      <c r="F677" s="1">
        <v>43479</v>
      </c>
      <c r="G677" s="1"/>
      <c r="H677" t="s">
        <v>4664</v>
      </c>
      <c r="I677" t="s">
        <v>5645</v>
      </c>
    </row>
    <row r="678" spans="1:9" x14ac:dyDescent="0.25">
      <c r="A678" t="s">
        <v>5260</v>
      </c>
      <c r="B678" s="26" t="str">
        <f>MID(tbl_forecast[[#This Row],[PACE Job Number]],3,3)</f>
        <v>WSH</v>
      </c>
      <c r="C678" t="s">
        <v>12</v>
      </c>
      <c r="D678" s="1">
        <v>43430</v>
      </c>
      <c r="E678" s="1">
        <v>43423</v>
      </c>
      <c r="F678" s="1">
        <v>43423</v>
      </c>
      <c r="G678" s="1">
        <v>43423</v>
      </c>
      <c r="H678" t="s">
        <v>9</v>
      </c>
      <c r="I678" t="s">
        <v>10</v>
      </c>
    </row>
    <row r="679" spans="1:9" x14ac:dyDescent="0.25">
      <c r="A679" t="s">
        <v>5261</v>
      </c>
      <c r="B679" s="26" t="str">
        <f>MID(tbl_forecast[[#This Row],[PACE Job Number]],3,3)</f>
        <v>WSH</v>
      </c>
      <c r="C679" t="s">
        <v>12</v>
      </c>
      <c r="D679" s="1">
        <v>43416</v>
      </c>
      <c r="E679" s="1">
        <v>43449</v>
      </c>
      <c r="F679" s="1">
        <v>43449</v>
      </c>
      <c r="G679" s="1"/>
      <c r="H679" t="s">
        <v>4664</v>
      </c>
      <c r="I679" t="s">
        <v>5645</v>
      </c>
    </row>
    <row r="680" spans="1:9" x14ac:dyDescent="0.25">
      <c r="A680" t="s">
        <v>5262</v>
      </c>
      <c r="B680" s="26" t="str">
        <f>MID(tbl_forecast[[#This Row],[PACE Job Number]],3,3)</f>
        <v>WSH</v>
      </c>
      <c r="C680" t="s">
        <v>12</v>
      </c>
      <c r="D680" s="1">
        <v>43413</v>
      </c>
      <c r="E680" s="1">
        <v>43486</v>
      </c>
      <c r="F680" s="1">
        <v>43486</v>
      </c>
      <c r="G680" s="1"/>
      <c r="H680" t="s">
        <v>4664</v>
      </c>
      <c r="I680" t="s">
        <v>5645</v>
      </c>
    </row>
    <row r="681" spans="1:9" x14ac:dyDescent="0.25">
      <c r="A681" t="s">
        <v>153</v>
      </c>
      <c r="B681" s="26" t="str">
        <f>MID(tbl_forecast[[#This Row],[PACE Job Number]],3,3)</f>
        <v>WSH</v>
      </c>
      <c r="C681" t="s">
        <v>12</v>
      </c>
      <c r="D681" s="1">
        <v>43409</v>
      </c>
      <c r="E681" s="1">
        <v>43479</v>
      </c>
      <c r="F681" s="1">
        <v>43479</v>
      </c>
      <c r="G681" s="1"/>
      <c r="H681" t="s">
        <v>4664</v>
      </c>
      <c r="I681" t="s">
        <v>5645</v>
      </c>
    </row>
    <row r="682" spans="1:9" x14ac:dyDescent="0.25">
      <c r="A682" t="s">
        <v>5263</v>
      </c>
      <c r="B682" s="26" t="str">
        <f>MID(tbl_forecast[[#This Row],[PACE Job Number]],3,3)</f>
        <v>WSH</v>
      </c>
      <c r="C682" t="s">
        <v>12</v>
      </c>
      <c r="D682" s="1">
        <v>43413</v>
      </c>
      <c r="E682" s="1">
        <v>43486</v>
      </c>
      <c r="F682" s="1">
        <v>43486</v>
      </c>
      <c r="G682" s="1"/>
      <c r="H682" t="s">
        <v>4664</v>
      </c>
      <c r="I682" t="s">
        <v>5645</v>
      </c>
    </row>
    <row r="683" spans="1:9" x14ac:dyDescent="0.25">
      <c r="A683" t="s">
        <v>5264</v>
      </c>
      <c r="B683" s="26" t="str">
        <f>MID(tbl_forecast[[#This Row],[PACE Job Number]],3,3)</f>
        <v>WSH</v>
      </c>
      <c r="C683" t="s">
        <v>12</v>
      </c>
      <c r="D683" s="1">
        <v>43409</v>
      </c>
      <c r="E683" s="1">
        <v>43412</v>
      </c>
      <c r="F683" s="1">
        <v>43412</v>
      </c>
      <c r="G683" s="1">
        <v>43412</v>
      </c>
      <c r="H683" t="s">
        <v>9</v>
      </c>
      <c r="I683" t="s">
        <v>10</v>
      </c>
    </row>
    <row r="684" spans="1:9" x14ac:dyDescent="0.25">
      <c r="A684" t="s">
        <v>5265</v>
      </c>
      <c r="B684" s="26" t="str">
        <f>MID(tbl_forecast[[#This Row],[PACE Job Number]],3,3)</f>
        <v>WSH</v>
      </c>
      <c r="C684" t="s">
        <v>12</v>
      </c>
      <c r="D684" s="1">
        <v>43409</v>
      </c>
      <c r="E684" s="1">
        <v>43412</v>
      </c>
      <c r="F684" s="1">
        <v>43412</v>
      </c>
      <c r="G684" s="1">
        <v>43412</v>
      </c>
      <c r="H684" t="s">
        <v>9</v>
      </c>
      <c r="I684" t="s">
        <v>10</v>
      </c>
    </row>
    <row r="685" spans="1:9" x14ac:dyDescent="0.25">
      <c r="A685" t="s">
        <v>5266</v>
      </c>
      <c r="B685" s="26" t="str">
        <f>MID(tbl_forecast[[#This Row],[PACE Job Number]],3,3)</f>
        <v>WSH</v>
      </c>
      <c r="C685" t="s">
        <v>12</v>
      </c>
      <c r="D685" s="1">
        <v>43430</v>
      </c>
      <c r="E685" s="1">
        <v>43427</v>
      </c>
      <c r="F685" s="1">
        <v>43427</v>
      </c>
      <c r="G685" s="1">
        <v>43427</v>
      </c>
      <c r="H685" t="s">
        <v>9</v>
      </c>
      <c r="I685" t="s">
        <v>10</v>
      </c>
    </row>
    <row r="686" spans="1:9" x14ac:dyDescent="0.25">
      <c r="A686" t="s">
        <v>5267</v>
      </c>
      <c r="B686" s="26" t="str">
        <f>MID(tbl_forecast[[#This Row],[PACE Job Number]],3,3)</f>
        <v>WSH</v>
      </c>
      <c r="C686" t="s">
        <v>12</v>
      </c>
      <c r="D686" s="1">
        <v>43430</v>
      </c>
      <c r="E686" s="1">
        <v>43439</v>
      </c>
      <c r="F686" s="1">
        <v>43432</v>
      </c>
      <c r="G686" s="1"/>
      <c r="H686" t="s">
        <v>9</v>
      </c>
      <c r="I686" t="s">
        <v>27</v>
      </c>
    </row>
    <row r="687" spans="1:9" x14ac:dyDescent="0.25">
      <c r="A687" t="s">
        <v>5268</v>
      </c>
      <c r="B687" s="26" t="str">
        <f>MID(tbl_forecast[[#This Row],[PACE Job Number]],3,3)</f>
        <v>WSH</v>
      </c>
      <c r="C687" t="s">
        <v>12</v>
      </c>
      <c r="D687" s="1">
        <v>43413</v>
      </c>
      <c r="E687" s="1">
        <v>43486</v>
      </c>
      <c r="F687" s="1">
        <v>43486</v>
      </c>
      <c r="G687" s="1"/>
      <c r="H687" t="s">
        <v>4664</v>
      </c>
      <c r="I687" t="s">
        <v>5645</v>
      </c>
    </row>
    <row r="688" spans="1:9" x14ac:dyDescent="0.25">
      <c r="A688" t="s">
        <v>5269</v>
      </c>
      <c r="B688" s="26" t="str">
        <f>MID(tbl_forecast[[#This Row],[PACE Job Number]],3,3)</f>
        <v>WSH</v>
      </c>
      <c r="C688" t="s">
        <v>12</v>
      </c>
      <c r="D688" s="1">
        <v>43416</v>
      </c>
      <c r="E688" s="1">
        <v>43416</v>
      </c>
      <c r="F688" s="1">
        <v>43416</v>
      </c>
      <c r="G688" s="1">
        <v>43416</v>
      </c>
      <c r="H688" t="s">
        <v>9</v>
      </c>
      <c r="I688" t="s">
        <v>10</v>
      </c>
    </row>
    <row r="689" spans="1:9" x14ac:dyDescent="0.25">
      <c r="A689" t="s">
        <v>5270</v>
      </c>
      <c r="B689" s="26" t="str">
        <f>MID(tbl_forecast[[#This Row],[PACE Job Number]],3,3)</f>
        <v>STX</v>
      </c>
      <c r="C689" t="s">
        <v>12</v>
      </c>
      <c r="D689" s="1">
        <v>43413</v>
      </c>
      <c r="E689" s="1">
        <v>43413</v>
      </c>
      <c r="F689" s="1">
        <v>43413</v>
      </c>
      <c r="G689" s="1"/>
      <c r="H689" t="s">
        <v>9</v>
      </c>
      <c r="I689" t="s">
        <v>27</v>
      </c>
    </row>
    <row r="690" spans="1:9" x14ac:dyDescent="0.25">
      <c r="A690" t="s">
        <v>3831</v>
      </c>
      <c r="B690" s="26" t="str">
        <f>MID(tbl_forecast[[#This Row],[PACE Job Number]],3,3)</f>
        <v>WSH</v>
      </c>
      <c r="C690" t="s">
        <v>12</v>
      </c>
      <c r="D690" s="1">
        <v>43416</v>
      </c>
      <c r="E690" s="1">
        <v>43417</v>
      </c>
      <c r="F690" s="1">
        <v>43417</v>
      </c>
      <c r="G690" s="1">
        <v>43417</v>
      </c>
      <c r="H690" t="s">
        <v>9</v>
      </c>
      <c r="I690" t="s">
        <v>10</v>
      </c>
    </row>
    <row r="691" spans="1:9" x14ac:dyDescent="0.25">
      <c r="A691" t="s">
        <v>4249</v>
      </c>
      <c r="B691" s="26" t="str">
        <f>MID(tbl_forecast[[#This Row],[PACE Job Number]],3,3)</f>
        <v>WSH</v>
      </c>
      <c r="C691" t="s">
        <v>12</v>
      </c>
      <c r="D691" s="1">
        <v>43411</v>
      </c>
      <c r="E691" s="1">
        <v>43410</v>
      </c>
      <c r="F691" s="1">
        <v>43410</v>
      </c>
      <c r="G691" s="1">
        <v>43410</v>
      </c>
      <c r="H691" t="s">
        <v>9</v>
      </c>
      <c r="I691" t="s">
        <v>10</v>
      </c>
    </row>
    <row r="692" spans="1:9" x14ac:dyDescent="0.25">
      <c r="A692" t="s">
        <v>232</v>
      </c>
      <c r="B692" s="26" t="str">
        <f>MID(tbl_forecast[[#This Row],[PACE Job Number]],3,3)</f>
        <v>WSH</v>
      </c>
      <c r="C692" t="s">
        <v>12</v>
      </c>
      <c r="D692" s="1">
        <v>43423</v>
      </c>
      <c r="E692" s="1">
        <v>43414</v>
      </c>
      <c r="F692" s="1">
        <v>43414</v>
      </c>
      <c r="G692" s="1">
        <v>43414</v>
      </c>
      <c r="H692" t="s">
        <v>9</v>
      </c>
      <c r="I692" t="s">
        <v>10</v>
      </c>
    </row>
    <row r="693" spans="1:9" x14ac:dyDescent="0.25">
      <c r="A693" t="s">
        <v>177</v>
      </c>
      <c r="B693" s="26" t="str">
        <f>MID(tbl_forecast[[#This Row],[PACE Job Number]],3,3)</f>
        <v>WSH</v>
      </c>
      <c r="C693" t="s">
        <v>12</v>
      </c>
      <c r="D693" s="1">
        <v>43416</v>
      </c>
      <c r="E693" s="1">
        <v>43417</v>
      </c>
      <c r="F693" s="1">
        <v>43417</v>
      </c>
      <c r="G693" s="1">
        <v>43417</v>
      </c>
      <c r="H693" t="s">
        <v>9</v>
      </c>
      <c r="I693" t="s">
        <v>10</v>
      </c>
    </row>
    <row r="694" spans="1:9" x14ac:dyDescent="0.25">
      <c r="A694" t="s">
        <v>5271</v>
      </c>
      <c r="B694" s="26" t="str">
        <f>MID(tbl_forecast[[#This Row],[PACE Job Number]],3,3)</f>
        <v>WSH</v>
      </c>
      <c r="C694" t="s">
        <v>12</v>
      </c>
      <c r="D694" s="1">
        <v>43423</v>
      </c>
      <c r="E694" s="1">
        <v>43420</v>
      </c>
      <c r="F694" s="1">
        <v>43420</v>
      </c>
      <c r="G694" s="1">
        <v>43420</v>
      </c>
      <c r="H694" t="s">
        <v>9</v>
      </c>
      <c r="I694" t="s">
        <v>10</v>
      </c>
    </row>
    <row r="695" spans="1:9" x14ac:dyDescent="0.25">
      <c r="A695" t="s">
        <v>5272</v>
      </c>
      <c r="B695" s="26" t="str">
        <f>MID(tbl_forecast[[#This Row],[PACE Job Number]],3,3)</f>
        <v>WSH</v>
      </c>
      <c r="C695" t="s">
        <v>12</v>
      </c>
      <c r="D695" s="1">
        <v>43423</v>
      </c>
      <c r="E695" s="1">
        <v>43418</v>
      </c>
      <c r="F695" s="1">
        <v>43418</v>
      </c>
      <c r="G695" s="1">
        <v>43418</v>
      </c>
      <c r="H695" t="s">
        <v>9</v>
      </c>
      <c r="I695" t="s">
        <v>10</v>
      </c>
    </row>
    <row r="696" spans="1:9" x14ac:dyDescent="0.25">
      <c r="A696" t="s">
        <v>5273</v>
      </c>
      <c r="B696" s="26" t="str">
        <f>MID(tbl_forecast[[#This Row],[PACE Job Number]],3,3)</f>
        <v>WSH</v>
      </c>
      <c r="C696" t="s">
        <v>12</v>
      </c>
      <c r="D696" s="1">
        <v>43423</v>
      </c>
      <c r="E696" s="1">
        <v>43418</v>
      </c>
      <c r="F696" s="1">
        <v>43418</v>
      </c>
      <c r="G696" s="1">
        <v>43418</v>
      </c>
      <c r="H696" t="s">
        <v>9</v>
      </c>
      <c r="I696" t="s">
        <v>10</v>
      </c>
    </row>
    <row r="697" spans="1:9" x14ac:dyDescent="0.25">
      <c r="A697" t="s">
        <v>306</v>
      </c>
      <c r="B697" s="26" t="str">
        <f>MID(tbl_forecast[[#This Row],[PACE Job Number]],3,3)</f>
        <v>WSH</v>
      </c>
      <c r="C697" t="s">
        <v>12</v>
      </c>
      <c r="D697" s="1">
        <v>43405</v>
      </c>
      <c r="E697" s="1">
        <v>43405</v>
      </c>
      <c r="F697" s="1">
        <v>43405</v>
      </c>
      <c r="G697" s="1">
        <v>43405</v>
      </c>
      <c r="H697" t="s">
        <v>9</v>
      </c>
      <c r="I697" t="s">
        <v>10</v>
      </c>
    </row>
    <row r="698" spans="1:9" x14ac:dyDescent="0.25">
      <c r="A698" t="s">
        <v>5274</v>
      </c>
      <c r="B698" s="26" t="str">
        <f>MID(tbl_forecast[[#This Row],[PACE Job Number]],3,3)</f>
        <v>WSH</v>
      </c>
      <c r="C698" t="s">
        <v>12</v>
      </c>
      <c r="D698" s="1">
        <v>43430</v>
      </c>
      <c r="E698" s="1">
        <v>43427</v>
      </c>
      <c r="F698" s="1">
        <v>43427</v>
      </c>
      <c r="G698" s="1">
        <v>43427</v>
      </c>
      <c r="H698" t="s">
        <v>9</v>
      </c>
      <c r="I698" t="s">
        <v>10</v>
      </c>
    </row>
    <row r="699" spans="1:9" x14ac:dyDescent="0.25">
      <c r="A699" t="s">
        <v>123</v>
      </c>
      <c r="B699" s="26" t="str">
        <f>MID(tbl_forecast[[#This Row],[PACE Job Number]],3,3)</f>
        <v>WSH</v>
      </c>
      <c r="C699" t="s">
        <v>12</v>
      </c>
      <c r="D699" s="1">
        <v>43405</v>
      </c>
      <c r="E699" s="1">
        <v>43405</v>
      </c>
      <c r="F699" s="1">
        <v>43405</v>
      </c>
      <c r="G699" s="1">
        <v>43405</v>
      </c>
      <c r="H699" t="s">
        <v>9</v>
      </c>
      <c r="I699" t="s">
        <v>10</v>
      </c>
    </row>
    <row r="700" spans="1:9" x14ac:dyDescent="0.25">
      <c r="A700" t="s">
        <v>4273</v>
      </c>
      <c r="B700" s="26" t="str">
        <f>MID(tbl_forecast[[#This Row],[PACE Job Number]],3,3)</f>
        <v>WSH</v>
      </c>
      <c r="C700" t="s">
        <v>12</v>
      </c>
      <c r="D700" s="1">
        <v>43416</v>
      </c>
      <c r="E700" s="1">
        <v>43413</v>
      </c>
      <c r="F700" s="1">
        <v>43413</v>
      </c>
      <c r="G700" s="1">
        <v>43413</v>
      </c>
      <c r="H700" t="s">
        <v>9</v>
      </c>
      <c r="I700" t="s">
        <v>10</v>
      </c>
    </row>
    <row r="701" spans="1:9" x14ac:dyDescent="0.25">
      <c r="A701" t="s">
        <v>3825</v>
      </c>
      <c r="B701" s="26" t="str">
        <f>MID(tbl_forecast[[#This Row],[PACE Job Number]],3,3)</f>
        <v>NTX</v>
      </c>
      <c r="C701" t="s">
        <v>12</v>
      </c>
      <c r="D701" s="1">
        <v>43430</v>
      </c>
      <c r="E701" s="1">
        <v>43430</v>
      </c>
      <c r="F701" s="1">
        <v>43409</v>
      </c>
      <c r="G701" s="1">
        <v>43409</v>
      </c>
      <c r="H701" t="s">
        <v>9</v>
      </c>
      <c r="I701" t="s">
        <v>10</v>
      </c>
    </row>
    <row r="702" spans="1:9" x14ac:dyDescent="0.25">
      <c r="A702" t="s">
        <v>5275</v>
      </c>
      <c r="B702" s="26" t="str">
        <f>MID(tbl_forecast[[#This Row],[PACE Job Number]],3,3)</f>
        <v>WSH</v>
      </c>
      <c r="C702" t="s">
        <v>12</v>
      </c>
      <c r="D702" s="1">
        <v>43409</v>
      </c>
      <c r="E702" s="1">
        <v>43410</v>
      </c>
      <c r="F702" s="1">
        <v>43410</v>
      </c>
      <c r="G702" s="1">
        <v>43410</v>
      </c>
      <c r="H702" t="s">
        <v>9</v>
      </c>
      <c r="I702" t="s">
        <v>10</v>
      </c>
    </row>
    <row r="703" spans="1:9" x14ac:dyDescent="0.25">
      <c r="A703" t="s">
        <v>5276</v>
      </c>
      <c r="B703" s="26" t="str">
        <f>MID(tbl_forecast[[#This Row],[PACE Job Number]],3,3)</f>
        <v>WSH</v>
      </c>
      <c r="C703" t="s">
        <v>12</v>
      </c>
      <c r="D703" s="1">
        <v>43412</v>
      </c>
      <c r="E703" s="1">
        <v>43420</v>
      </c>
      <c r="F703" s="1">
        <v>43420</v>
      </c>
      <c r="G703" s="1">
        <v>43420</v>
      </c>
      <c r="H703" t="s">
        <v>9</v>
      </c>
      <c r="I703" t="s">
        <v>10</v>
      </c>
    </row>
    <row r="704" spans="1:9" x14ac:dyDescent="0.25">
      <c r="A704" t="s">
        <v>5277</v>
      </c>
      <c r="B704" s="26" t="str">
        <f>MID(tbl_forecast[[#This Row],[PACE Job Number]],3,3)</f>
        <v>WSH</v>
      </c>
      <c r="C704" t="s">
        <v>12</v>
      </c>
      <c r="D704" s="1">
        <v>43409</v>
      </c>
      <c r="E704" s="1">
        <v>43410</v>
      </c>
      <c r="F704" s="1">
        <v>43410</v>
      </c>
      <c r="G704" s="1">
        <v>43410</v>
      </c>
      <c r="H704" t="s">
        <v>9</v>
      </c>
      <c r="I704" t="s">
        <v>10</v>
      </c>
    </row>
    <row r="705" spans="1:9" x14ac:dyDescent="0.25">
      <c r="A705" t="s">
        <v>5278</v>
      </c>
      <c r="B705" s="26" t="str">
        <f>MID(tbl_forecast[[#This Row],[PACE Job Number]],3,3)</f>
        <v>WSH</v>
      </c>
      <c r="C705" t="s">
        <v>12</v>
      </c>
      <c r="D705" s="1">
        <v>43430</v>
      </c>
      <c r="E705" s="1">
        <v>43437</v>
      </c>
      <c r="F705" s="1">
        <v>43430</v>
      </c>
      <c r="G705" s="1"/>
      <c r="H705" t="s">
        <v>9</v>
      </c>
      <c r="I705" t="s">
        <v>27</v>
      </c>
    </row>
    <row r="706" spans="1:9" x14ac:dyDescent="0.25">
      <c r="A706" t="s">
        <v>5279</v>
      </c>
      <c r="B706" s="26" t="str">
        <f>MID(tbl_forecast[[#This Row],[PACE Job Number]],3,3)</f>
        <v>WSH</v>
      </c>
      <c r="C706" t="s">
        <v>12</v>
      </c>
      <c r="D706" s="1">
        <v>43430</v>
      </c>
      <c r="E706" s="1">
        <v>43467</v>
      </c>
      <c r="F706" s="1">
        <v>43451</v>
      </c>
      <c r="G706" s="1"/>
      <c r="H706" t="s">
        <v>4664</v>
      </c>
      <c r="I706" t="s">
        <v>4665</v>
      </c>
    </row>
    <row r="707" spans="1:9" x14ac:dyDescent="0.25">
      <c r="A707" t="s">
        <v>3837</v>
      </c>
      <c r="B707" s="26" t="str">
        <f>MID(tbl_forecast[[#This Row],[PACE Job Number]],3,3)</f>
        <v>WSH</v>
      </c>
      <c r="C707" t="s">
        <v>12</v>
      </c>
      <c r="D707" s="1">
        <v>43412</v>
      </c>
      <c r="E707" s="1">
        <v>43410</v>
      </c>
      <c r="F707" s="1">
        <v>43410</v>
      </c>
      <c r="G707" s="1">
        <v>43410</v>
      </c>
      <c r="H707" t="s">
        <v>9</v>
      </c>
      <c r="I707" t="s">
        <v>10</v>
      </c>
    </row>
    <row r="708" spans="1:9" x14ac:dyDescent="0.25">
      <c r="A708" t="s">
        <v>5280</v>
      </c>
      <c r="B708" s="26" t="str">
        <f>MID(tbl_forecast[[#This Row],[PACE Job Number]],3,3)</f>
        <v>WSH</v>
      </c>
      <c r="C708" t="s">
        <v>12</v>
      </c>
      <c r="D708" s="1">
        <v>43416</v>
      </c>
      <c r="E708" s="1">
        <v>43472</v>
      </c>
      <c r="F708" s="1">
        <v>43444</v>
      </c>
      <c r="G708" s="1"/>
      <c r="H708" t="s">
        <v>4664</v>
      </c>
      <c r="I708" t="s">
        <v>5645</v>
      </c>
    </row>
    <row r="709" spans="1:9" x14ac:dyDescent="0.25">
      <c r="A709" t="s">
        <v>5281</v>
      </c>
      <c r="B709" s="26" t="str">
        <f>MID(tbl_forecast[[#This Row],[PACE Job Number]],3,3)</f>
        <v>WSH</v>
      </c>
      <c r="C709" t="s">
        <v>12</v>
      </c>
      <c r="D709" s="1">
        <v>43423</v>
      </c>
      <c r="E709" s="1">
        <v>43460</v>
      </c>
      <c r="F709" s="1">
        <v>43437</v>
      </c>
      <c r="G709" s="1"/>
      <c r="H709" t="s">
        <v>9</v>
      </c>
      <c r="I709" t="s">
        <v>44</v>
      </c>
    </row>
    <row r="710" spans="1:9" x14ac:dyDescent="0.25">
      <c r="A710" t="s">
        <v>5282</v>
      </c>
      <c r="B710" s="26" t="str">
        <f>MID(tbl_forecast[[#This Row],[PACE Job Number]],3,3)</f>
        <v>WSH</v>
      </c>
      <c r="C710" t="s">
        <v>12</v>
      </c>
      <c r="D710" s="1">
        <v>43416</v>
      </c>
      <c r="E710" s="1">
        <v>43409</v>
      </c>
      <c r="F710" s="1">
        <v>43409</v>
      </c>
      <c r="G710" s="1">
        <v>43409</v>
      </c>
      <c r="H710" t="s">
        <v>9</v>
      </c>
      <c r="I710" t="s">
        <v>10</v>
      </c>
    </row>
    <row r="711" spans="1:9" x14ac:dyDescent="0.25">
      <c r="A711" t="s">
        <v>3392</v>
      </c>
      <c r="B711" s="26" t="str">
        <f>MID(tbl_forecast[[#This Row],[PACE Job Number]],3,3)</f>
        <v>WSH</v>
      </c>
      <c r="C711" t="s">
        <v>12</v>
      </c>
      <c r="D711" s="1">
        <v>43423</v>
      </c>
      <c r="E711" s="1">
        <v>43432</v>
      </c>
      <c r="F711" s="1">
        <v>43432</v>
      </c>
      <c r="G711" s="1">
        <v>43432</v>
      </c>
      <c r="H711" t="s">
        <v>9</v>
      </c>
      <c r="I711" t="s">
        <v>10</v>
      </c>
    </row>
    <row r="712" spans="1:9" x14ac:dyDescent="0.25">
      <c r="A712" t="s">
        <v>5283</v>
      </c>
      <c r="B712" s="26" t="str">
        <f>MID(tbl_forecast[[#This Row],[PACE Job Number]],3,3)</f>
        <v>WSH</v>
      </c>
      <c r="C712" t="s">
        <v>12</v>
      </c>
      <c r="D712" s="1">
        <v>43410</v>
      </c>
      <c r="E712" s="1">
        <v>43410</v>
      </c>
      <c r="F712" s="1">
        <v>43410</v>
      </c>
      <c r="G712" s="1">
        <v>43410</v>
      </c>
      <c r="H712" t="s">
        <v>9</v>
      </c>
      <c r="I712" t="s">
        <v>10</v>
      </c>
    </row>
    <row r="713" spans="1:9" x14ac:dyDescent="0.25">
      <c r="A713" t="s">
        <v>5089</v>
      </c>
      <c r="B713" s="26" t="str">
        <f>MID(tbl_forecast[[#This Row],[PACE Job Number]],3,3)</f>
        <v>STX</v>
      </c>
      <c r="C713" t="s">
        <v>12</v>
      </c>
      <c r="D713" s="1">
        <v>43427</v>
      </c>
      <c r="E713" s="1">
        <v>43427</v>
      </c>
      <c r="F713" s="1">
        <v>43427</v>
      </c>
      <c r="G713" s="1"/>
      <c r="H713" t="s">
        <v>9</v>
      </c>
      <c r="I713" t="s">
        <v>27</v>
      </c>
    </row>
    <row r="714" spans="1:9" x14ac:dyDescent="0.25">
      <c r="A714" t="s">
        <v>5090</v>
      </c>
      <c r="B714" s="26" t="str">
        <f>MID(tbl_forecast[[#This Row],[PACE Job Number]],3,3)</f>
        <v>STX</v>
      </c>
      <c r="C714" t="s">
        <v>12</v>
      </c>
      <c r="D714" s="1">
        <v>43427</v>
      </c>
      <c r="E714" s="1">
        <v>43427</v>
      </c>
      <c r="F714" s="1">
        <v>43427</v>
      </c>
      <c r="G714" s="1"/>
      <c r="H714" t="s">
        <v>9</v>
      </c>
      <c r="I714" t="s">
        <v>27</v>
      </c>
    </row>
    <row r="715" spans="1:9" x14ac:dyDescent="0.25">
      <c r="A715" t="s">
        <v>3565</v>
      </c>
      <c r="B715" s="26" t="str">
        <f>MID(tbl_forecast[[#This Row],[PACE Job Number]],3,3)</f>
        <v>STX</v>
      </c>
      <c r="C715" t="s">
        <v>12</v>
      </c>
      <c r="D715" s="1">
        <v>43411</v>
      </c>
      <c r="E715" s="1">
        <v>43472</v>
      </c>
      <c r="F715" s="1">
        <v>43472</v>
      </c>
      <c r="G715" s="1"/>
      <c r="H715" t="s">
        <v>4664</v>
      </c>
      <c r="I715" t="s">
        <v>5645</v>
      </c>
    </row>
    <row r="716" spans="1:9" x14ac:dyDescent="0.25">
      <c r="A716" t="s">
        <v>3835</v>
      </c>
      <c r="B716" s="26" t="str">
        <f>MID(tbl_forecast[[#This Row],[PACE Job Number]],3,3)</f>
        <v>NTX</v>
      </c>
      <c r="C716" t="s">
        <v>12</v>
      </c>
      <c r="D716" s="1">
        <v>43434</v>
      </c>
      <c r="E716" s="1">
        <v>43511</v>
      </c>
      <c r="F716" s="1">
        <v>43511</v>
      </c>
      <c r="G716" s="1"/>
      <c r="H716" t="s">
        <v>4664</v>
      </c>
      <c r="I716" t="s">
        <v>4665</v>
      </c>
    </row>
    <row r="717" spans="1:9" x14ac:dyDescent="0.25">
      <c r="A717" t="s">
        <v>3807</v>
      </c>
      <c r="B717" s="26" t="str">
        <f>MID(tbl_forecast[[#This Row],[PACE Job Number]],3,3)</f>
        <v>NTX</v>
      </c>
      <c r="C717" t="s">
        <v>12</v>
      </c>
      <c r="D717" s="1">
        <v>43416</v>
      </c>
      <c r="E717" s="1">
        <v>43481</v>
      </c>
      <c r="F717" s="1">
        <v>43481</v>
      </c>
      <c r="G717" s="1"/>
      <c r="H717" t="s">
        <v>4664</v>
      </c>
      <c r="I717" t="s">
        <v>5645</v>
      </c>
    </row>
    <row r="718" spans="1:9" x14ac:dyDescent="0.25">
      <c r="A718" t="s">
        <v>3816</v>
      </c>
      <c r="B718" s="26" t="str">
        <f>MID(tbl_forecast[[#This Row],[PACE Job Number]],3,3)</f>
        <v>NTX</v>
      </c>
      <c r="C718" t="s">
        <v>12</v>
      </c>
      <c r="D718" s="1">
        <v>43416</v>
      </c>
      <c r="E718" s="1">
        <v>43481</v>
      </c>
      <c r="F718" s="1">
        <v>43481</v>
      </c>
      <c r="G718" s="1"/>
      <c r="H718" t="s">
        <v>4664</v>
      </c>
      <c r="I718" t="s">
        <v>5645</v>
      </c>
    </row>
    <row r="719" spans="1:9" x14ac:dyDescent="0.25">
      <c r="A719" t="s">
        <v>4173</v>
      </c>
      <c r="B719" s="26" t="str">
        <f>MID(tbl_forecast[[#This Row],[PACE Job Number]],3,3)</f>
        <v>NTX</v>
      </c>
      <c r="C719" t="s">
        <v>12</v>
      </c>
      <c r="D719" s="1">
        <v>43433</v>
      </c>
      <c r="E719" s="1">
        <v>43480</v>
      </c>
      <c r="F719" s="1">
        <v>43480</v>
      </c>
      <c r="G719" s="1"/>
      <c r="H719" t="s">
        <v>4664</v>
      </c>
      <c r="I719" t="s">
        <v>4665</v>
      </c>
    </row>
    <row r="720" spans="1:9" x14ac:dyDescent="0.25">
      <c r="A720" t="s">
        <v>3836</v>
      </c>
      <c r="B720" s="26" t="str">
        <f>MID(tbl_forecast[[#This Row],[PACE Job Number]],3,3)</f>
        <v>NTX</v>
      </c>
      <c r="C720" t="s">
        <v>12</v>
      </c>
      <c r="D720" s="1">
        <v>43434</v>
      </c>
      <c r="E720" s="1">
        <v>43511</v>
      </c>
      <c r="F720" s="1">
        <v>43511</v>
      </c>
      <c r="G720" s="1"/>
      <c r="H720" t="s">
        <v>4664</v>
      </c>
      <c r="I720" t="s">
        <v>4665</v>
      </c>
    </row>
    <row r="721" spans="1:9" x14ac:dyDescent="0.25">
      <c r="A721" t="s">
        <v>3772</v>
      </c>
      <c r="B721" s="26" t="str">
        <f>MID(tbl_forecast[[#This Row],[PACE Job Number]],3,3)</f>
        <v>NTX</v>
      </c>
      <c r="C721" t="s">
        <v>12</v>
      </c>
      <c r="D721" s="1">
        <v>43424</v>
      </c>
      <c r="E721" s="1">
        <v>43511</v>
      </c>
      <c r="F721" s="1">
        <v>43511</v>
      </c>
      <c r="G721" s="1"/>
      <c r="H721" t="s">
        <v>4664</v>
      </c>
      <c r="I721" t="s">
        <v>4665</v>
      </c>
    </row>
    <row r="722" spans="1:9" x14ac:dyDescent="0.25">
      <c r="A722" t="s">
        <v>5284</v>
      </c>
      <c r="B722" s="26" t="str">
        <f>MID(tbl_forecast[[#This Row],[PACE Job Number]],3,3)</f>
        <v>WSH</v>
      </c>
      <c r="C722" t="s">
        <v>12</v>
      </c>
      <c r="D722" s="1">
        <v>43409</v>
      </c>
      <c r="E722" s="1">
        <v>43444</v>
      </c>
      <c r="F722" s="1">
        <v>43437</v>
      </c>
      <c r="G722" s="1"/>
      <c r="H722" t="s">
        <v>4664</v>
      </c>
      <c r="I722" t="s">
        <v>5645</v>
      </c>
    </row>
    <row r="723" spans="1:9" x14ac:dyDescent="0.25">
      <c r="A723" t="s">
        <v>5285</v>
      </c>
      <c r="B723" s="26" t="str">
        <f>MID(tbl_forecast[[#This Row],[PACE Job Number]],3,3)</f>
        <v>WSH</v>
      </c>
      <c r="C723" t="s">
        <v>12</v>
      </c>
      <c r="D723" s="1">
        <v>43410</v>
      </c>
      <c r="E723" s="1">
        <v>43416</v>
      </c>
      <c r="F723" s="1">
        <v>43416</v>
      </c>
      <c r="G723" s="1">
        <v>43416</v>
      </c>
      <c r="H723" t="s">
        <v>9</v>
      </c>
      <c r="I723" t="s">
        <v>10</v>
      </c>
    </row>
    <row r="724" spans="1:9" x14ac:dyDescent="0.25">
      <c r="A724" t="s">
        <v>3800</v>
      </c>
      <c r="B724" s="26" t="str">
        <f>MID(tbl_forecast[[#This Row],[PACE Job Number]],3,3)</f>
        <v>WSH</v>
      </c>
      <c r="C724" t="s">
        <v>12</v>
      </c>
      <c r="D724" s="1">
        <v>43411</v>
      </c>
      <c r="E724" s="1">
        <v>43423</v>
      </c>
      <c r="F724" s="1">
        <v>43423</v>
      </c>
      <c r="G724" s="1">
        <v>43423</v>
      </c>
      <c r="H724" t="s">
        <v>9</v>
      </c>
      <c r="I724" t="s">
        <v>10</v>
      </c>
    </row>
    <row r="725" spans="1:9" x14ac:dyDescent="0.25">
      <c r="A725" t="s">
        <v>5286</v>
      </c>
      <c r="B725" s="26" t="str">
        <f>MID(tbl_forecast[[#This Row],[PACE Job Number]],3,3)</f>
        <v>WSH</v>
      </c>
      <c r="C725" t="s">
        <v>12</v>
      </c>
      <c r="D725" s="1">
        <v>43413</v>
      </c>
      <c r="E725" s="1">
        <v>43486</v>
      </c>
      <c r="F725" s="1">
        <v>43412</v>
      </c>
      <c r="G725" s="1"/>
      <c r="H725" t="s">
        <v>9</v>
      </c>
      <c r="I725" t="s">
        <v>44</v>
      </c>
    </row>
    <row r="726" spans="1:9" x14ac:dyDescent="0.25">
      <c r="A726" t="s">
        <v>5287</v>
      </c>
      <c r="B726" s="26" t="str">
        <f>MID(tbl_forecast[[#This Row],[PACE Job Number]],3,3)</f>
        <v>WSH</v>
      </c>
      <c r="C726" t="s">
        <v>12</v>
      </c>
      <c r="D726" s="1">
        <v>43430</v>
      </c>
      <c r="E726" s="1">
        <v>43437</v>
      </c>
      <c r="F726" s="1">
        <v>43430</v>
      </c>
      <c r="G726" s="1"/>
      <c r="H726" t="s">
        <v>9</v>
      </c>
      <c r="I726" t="s">
        <v>27</v>
      </c>
    </row>
    <row r="727" spans="1:9" x14ac:dyDescent="0.25">
      <c r="A727" t="s">
        <v>5288</v>
      </c>
      <c r="B727" s="26" t="str">
        <f>MID(tbl_forecast[[#This Row],[PACE Job Number]],3,3)</f>
        <v>WSH</v>
      </c>
      <c r="C727" t="s">
        <v>12</v>
      </c>
      <c r="D727" s="1">
        <v>43414</v>
      </c>
      <c r="E727" s="1">
        <v>43417</v>
      </c>
      <c r="F727" s="1">
        <v>43417</v>
      </c>
      <c r="G727" s="1">
        <v>43417</v>
      </c>
      <c r="H727" t="s">
        <v>9</v>
      </c>
      <c r="I727" t="s">
        <v>10</v>
      </c>
    </row>
    <row r="728" spans="1:9" x14ac:dyDescent="0.25">
      <c r="A728" t="s">
        <v>3801</v>
      </c>
      <c r="B728" s="26" t="str">
        <f>MID(tbl_forecast[[#This Row],[PACE Job Number]],3,3)</f>
        <v>WSH</v>
      </c>
      <c r="C728" t="s">
        <v>12</v>
      </c>
      <c r="D728" s="1">
        <v>43409</v>
      </c>
      <c r="E728" s="1">
        <v>43411</v>
      </c>
      <c r="F728" s="1">
        <v>43411</v>
      </c>
      <c r="G728" s="1">
        <v>43411</v>
      </c>
      <c r="H728" t="s">
        <v>9</v>
      </c>
      <c r="I728" t="s">
        <v>10</v>
      </c>
    </row>
    <row r="729" spans="1:9" x14ac:dyDescent="0.25">
      <c r="A729" t="s">
        <v>5289</v>
      </c>
      <c r="B729" s="26" t="str">
        <f>MID(tbl_forecast[[#This Row],[PACE Job Number]],3,3)</f>
        <v>WSH</v>
      </c>
      <c r="C729" t="s">
        <v>12</v>
      </c>
      <c r="D729" s="1">
        <v>43409</v>
      </c>
      <c r="E729" s="1">
        <v>43420</v>
      </c>
      <c r="F729" s="1">
        <v>43420</v>
      </c>
      <c r="G729" s="1">
        <v>43420</v>
      </c>
      <c r="H729" t="s">
        <v>9</v>
      </c>
      <c r="I729" t="s">
        <v>10</v>
      </c>
    </row>
    <row r="730" spans="1:9" x14ac:dyDescent="0.25">
      <c r="A730" t="s">
        <v>5290</v>
      </c>
      <c r="B730" s="26" t="str">
        <f>MID(tbl_forecast[[#This Row],[PACE Job Number]],3,3)</f>
        <v>WSH</v>
      </c>
      <c r="C730" t="s">
        <v>12</v>
      </c>
      <c r="D730" s="1">
        <v>43430</v>
      </c>
      <c r="E730" s="1">
        <v>43423</v>
      </c>
      <c r="F730" s="1">
        <v>43423</v>
      </c>
      <c r="G730" s="1">
        <v>43423</v>
      </c>
      <c r="H730" t="s">
        <v>9</v>
      </c>
      <c r="I730" t="s">
        <v>10</v>
      </c>
    </row>
    <row r="731" spans="1:9" x14ac:dyDescent="0.25">
      <c r="A731" t="s">
        <v>5291</v>
      </c>
      <c r="B731" s="26" t="str">
        <f>MID(tbl_forecast[[#This Row],[PACE Job Number]],3,3)</f>
        <v>WSH</v>
      </c>
      <c r="C731" t="s">
        <v>12</v>
      </c>
      <c r="D731" s="1">
        <v>43409</v>
      </c>
      <c r="E731" s="1">
        <v>43409</v>
      </c>
      <c r="F731" s="1">
        <v>43409</v>
      </c>
      <c r="G731" s="1">
        <v>43409</v>
      </c>
      <c r="H731" t="s">
        <v>9</v>
      </c>
      <c r="I731" t="s">
        <v>10</v>
      </c>
    </row>
    <row r="732" spans="1:9" x14ac:dyDescent="0.25">
      <c r="A732" t="s">
        <v>5292</v>
      </c>
      <c r="B732" s="26" t="str">
        <f>MID(tbl_forecast[[#This Row],[PACE Job Number]],3,3)</f>
        <v>WSH</v>
      </c>
      <c r="C732" t="s">
        <v>12</v>
      </c>
      <c r="D732" s="1">
        <v>43414</v>
      </c>
      <c r="E732" s="1">
        <v>43417</v>
      </c>
      <c r="F732" s="1">
        <v>43417</v>
      </c>
      <c r="G732" s="1">
        <v>43417</v>
      </c>
      <c r="H732" t="s">
        <v>9</v>
      </c>
      <c r="I732" t="s">
        <v>10</v>
      </c>
    </row>
    <row r="733" spans="1:9" x14ac:dyDescent="0.25">
      <c r="A733" t="s">
        <v>5293</v>
      </c>
      <c r="B733" s="26" t="str">
        <f>MID(tbl_forecast[[#This Row],[PACE Job Number]],3,3)</f>
        <v>WSH</v>
      </c>
      <c r="C733" t="s">
        <v>12</v>
      </c>
      <c r="D733" s="1">
        <v>43413</v>
      </c>
      <c r="E733" s="1">
        <v>43486</v>
      </c>
      <c r="F733" s="1">
        <v>43412</v>
      </c>
      <c r="G733" s="1"/>
      <c r="H733" t="s">
        <v>9</v>
      </c>
      <c r="I733" t="s">
        <v>44</v>
      </c>
    </row>
    <row r="734" spans="1:9" x14ac:dyDescent="0.25">
      <c r="A734" t="s">
        <v>3808</v>
      </c>
      <c r="B734" s="26" t="str">
        <f>MID(tbl_forecast[[#This Row],[PACE Job Number]],3,3)</f>
        <v>WSH</v>
      </c>
      <c r="C734" t="s">
        <v>12</v>
      </c>
      <c r="D734" s="1">
        <v>43411</v>
      </c>
      <c r="E734" s="1">
        <v>43423</v>
      </c>
      <c r="F734" s="1">
        <v>43423</v>
      </c>
      <c r="G734" s="1">
        <v>43423</v>
      </c>
      <c r="H734" t="s">
        <v>9</v>
      </c>
      <c r="I734" t="s">
        <v>10</v>
      </c>
    </row>
    <row r="735" spans="1:9" x14ac:dyDescent="0.25">
      <c r="A735" t="s">
        <v>5294</v>
      </c>
      <c r="B735" s="26" t="str">
        <f>MID(tbl_forecast[[#This Row],[PACE Job Number]],3,3)</f>
        <v>WSH</v>
      </c>
      <c r="C735" t="s">
        <v>12</v>
      </c>
      <c r="D735" s="1">
        <v>43409</v>
      </c>
      <c r="E735" s="1">
        <v>43420</v>
      </c>
      <c r="F735" s="1">
        <v>43420</v>
      </c>
      <c r="G735" s="1">
        <v>43420</v>
      </c>
      <c r="H735" t="s">
        <v>9</v>
      </c>
      <c r="I735" t="s">
        <v>10</v>
      </c>
    </row>
    <row r="736" spans="1:9" x14ac:dyDescent="0.25">
      <c r="A736" t="s">
        <v>3901</v>
      </c>
      <c r="B736" s="26" t="str">
        <f>MID(tbl_forecast[[#This Row],[PACE Job Number]],3,3)</f>
        <v>WSH</v>
      </c>
      <c r="C736" t="s">
        <v>12</v>
      </c>
      <c r="D736" s="1">
        <v>43411</v>
      </c>
      <c r="E736" s="1">
        <v>43416</v>
      </c>
      <c r="F736" s="1">
        <v>43416</v>
      </c>
      <c r="G736" s="1">
        <v>43416</v>
      </c>
      <c r="H736" t="s">
        <v>9</v>
      </c>
      <c r="I736" t="s">
        <v>10</v>
      </c>
    </row>
    <row r="737" spans="1:9" x14ac:dyDescent="0.25">
      <c r="A737" t="s">
        <v>5295</v>
      </c>
      <c r="B737" s="26" t="str">
        <f>MID(tbl_forecast[[#This Row],[PACE Job Number]],3,3)</f>
        <v>WSH</v>
      </c>
      <c r="C737" t="s">
        <v>12</v>
      </c>
      <c r="D737" s="1">
        <v>43416</v>
      </c>
      <c r="E737" s="1">
        <v>43417</v>
      </c>
      <c r="F737" s="1">
        <v>43416</v>
      </c>
      <c r="G737" s="1">
        <v>43416</v>
      </c>
      <c r="H737" t="s">
        <v>9</v>
      </c>
      <c r="I737" t="s">
        <v>10</v>
      </c>
    </row>
    <row r="738" spans="1:9" x14ac:dyDescent="0.25">
      <c r="A738" t="s">
        <v>5296</v>
      </c>
      <c r="B738" s="26" t="str">
        <f>MID(tbl_forecast[[#This Row],[PACE Job Number]],3,3)</f>
        <v>WSH</v>
      </c>
      <c r="C738" t="s">
        <v>12</v>
      </c>
      <c r="D738" s="1">
        <v>43430</v>
      </c>
      <c r="E738" s="1">
        <v>43437</v>
      </c>
      <c r="F738" s="1">
        <v>43430</v>
      </c>
      <c r="G738" s="1"/>
      <c r="H738" t="s">
        <v>9</v>
      </c>
      <c r="I738" t="s">
        <v>27</v>
      </c>
    </row>
    <row r="739" spans="1:9" x14ac:dyDescent="0.25">
      <c r="A739" t="s">
        <v>351</v>
      </c>
      <c r="B739" s="26" t="str">
        <f>MID(tbl_forecast[[#This Row],[PACE Job Number]],3,3)</f>
        <v>WSH</v>
      </c>
      <c r="C739" t="s">
        <v>12</v>
      </c>
      <c r="D739" s="1">
        <v>43416</v>
      </c>
      <c r="E739" s="1">
        <v>43417</v>
      </c>
      <c r="F739" s="1">
        <v>43417</v>
      </c>
      <c r="G739" s="1">
        <v>43417</v>
      </c>
      <c r="H739" t="s">
        <v>9</v>
      </c>
      <c r="I739" t="s">
        <v>10</v>
      </c>
    </row>
    <row r="740" spans="1:9" x14ac:dyDescent="0.25">
      <c r="A740" t="s">
        <v>5297</v>
      </c>
      <c r="B740" s="26" t="str">
        <f>MID(tbl_forecast[[#This Row],[PACE Job Number]],3,3)</f>
        <v>WSH</v>
      </c>
      <c r="C740" t="s">
        <v>12</v>
      </c>
      <c r="D740" s="1">
        <v>43412</v>
      </c>
      <c r="E740" s="1">
        <v>43420</v>
      </c>
      <c r="F740" s="1">
        <v>43420</v>
      </c>
      <c r="G740" s="1">
        <v>43420</v>
      </c>
      <c r="H740" t="s">
        <v>9</v>
      </c>
      <c r="I740" t="s">
        <v>10</v>
      </c>
    </row>
    <row r="741" spans="1:9" x14ac:dyDescent="0.25">
      <c r="A741" t="s">
        <v>5298</v>
      </c>
      <c r="B741" s="26" t="str">
        <f>MID(tbl_forecast[[#This Row],[PACE Job Number]],3,3)</f>
        <v>WSH</v>
      </c>
      <c r="C741" t="s">
        <v>12</v>
      </c>
      <c r="D741" s="1">
        <v>43416</v>
      </c>
      <c r="E741" s="1">
        <v>43420</v>
      </c>
      <c r="F741" s="1">
        <v>43420</v>
      </c>
      <c r="G741" s="1">
        <v>43420</v>
      </c>
      <c r="H741" t="s">
        <v>9</v>
      </c>
      <c r="I741" t="s">
        <v>10</v>
      </c>
    </row>
    <row r="742" spans="1:9" x14ac:dyDescent="0.25">
      <c r="A742" t="s">
        <v>4202</v>
      </c>
      <c r="B742" s="26" t="str">
        <f>MID(tbl_forecast[[#This Row],[PACE Job Number]],3,3)</f>
        <v>WSH</v>
      </c>
      <c r="C742" t="s">
        <v>12</v>
      </c>
      <c r="D742" s="1">
        <v>43423</v>
      </c>
      <c r="E742" s="1">
        <v>43472</v>
      </c>
      <c r="F742" s="1">
        <v>43437</v>
      </c>
      <c r="G742" s="1"/>
      <c r="H742" t="s">
        <v>9</v>
      </c>
      <c r="I742" t="s">
        <v>44</v>
      </c>
    </row>
    <row r="743" spans="1:9" x14ac:dyDescent="0.25">
      <c r="A743" t="s">
        <v>5299</v>
      </c>
      <c r="B743" s="26" t="str">
        <f>MID(tbl_forecast[[#This Row],[PACE Job Number]],3,3)</f>
        <v>WSH</v>
      </c>
      <c r="C743" t="s">
        <v>12</v>
      </c>
      <c r="D743" s="1">
        <v>43430</v>
      </c>
      <c r="E743" s="1">
        <v>43439</v>
      </c>
      <c r="F743" s="1">
        <v>43432</v>
      </c>
      <c r="G743" s="1"/>
      <c r="H743" t="s">
        <v>9</v>
      </c>
      <c r="I743" t="s">
        <v>27</v>
      </c>
    </row>
    <row r="744" spans="1:9" x14ac:dyDescent="0.25">
      <c r="A744" t="s">
        <v>5300</v>
      </c>
      <c r="B744" s="26" t="str">
        <f>MID(tbl_forecast[[#This Row],[PACE Job Number]],3,3)</f>
        <v>NTX</v>
      </c>
      <c r="C744" t="s">
        <v>12</v>
      </c>
      <c r="D744" s="1">
        <v>43432</v>
      </c>
      <c r="E744" s="1">
        <v>43511</v>
      </c>
      <c r="F744" s="1">
        <v>43511</v>
      </c>
      <c r="G744" s="1"/>
      <c r="H744" t="s">
        <v>4664</v>
      </c>
      <c r="I744" t="s">
        <v>4665</v>
      </c>
    </row>
    <row r="745" spans="1:9" x14ac:dyDescent="0.25">
      <c r="A745" t="s">
        <v>5301</v>
      </c>
      <c r="B745" s="26" t="str">
        <f>MID(tbl_forecast[[#This Row],[PACE Job Number]],3,3)</f>
        <v>STX</v>
      </c>
      <c r="C745" t="s">
        <v>12</v>
      </c>
      <c r="D745" s="1">
        <v>43434</v>
      </c>
      <c r="E745" s="1">
        <v>43455</v>
      </c>
      <c r="F745" s="1">
        <v>43455</v>
      </c>
      <c r="G745" s="1"/>
      <c r="H745" t="s">
        <v>4664</v>
      </c>
      <c r="I745" t="s">
        <v>4665</v>
      </c>
    </row>
    <row r="746" spans="1:9" x14ac:dyDescent="0.25">
      <c r="A746" t="s">
        <v>5106</v>
      </c>
      <c r="B746" s="26" t="str">
        <f>MID(tbl_forecast[[#This Row],[PACE Job Number]],3,3)</f>
        <v>STX</v>
      </c>
      <c r="C746" t="s">
        <v>12</v>
      </c>
      <c r="D746" s="1">
        <v>43427</v>
      </c>
      <c r="E746" s="1">
        <v>43441</v>
      </c>
      <c r="F746" s="1">
        <v>43441</v>
      </c>
      <c r="G746" s="1"/>
      <c r="H746" t="s">
        <v>9</v>
      </c>
      <c r="I746" t="s">
        <v>27</v>
      </c>
    </row>
    <row r="747" spans="1:9" x14ac:dyDescent="0.25">
      <c r="A747" t="s">
        <v>5302</v>
      </c>
      <c r="B747" s="26" t="str">
        <f>MID(tbl_forecast[[#This Row],[PACE Job Number]],3,3)</f>
        <v>STX</v>
      </c>
      <c r="C747" t="s">
        <v>12</v>
      </c>
      <c r="D747" s="1">
        <v>43427</v>
      </c>
      <c r="E747" s="1">
        <v>43441</v>
      </c>
      <c r="F747" s="1">
        <v>43441</v>
      </c>
      <c r="G747" s="1"/>
      <c r="H747" t="s">
        <v>9</v>
      </c>
      <c r="I747" t="s">
        <v>27</v>
      </c>
    </row>
    <row r="748" spans="1:9" x14ac:dyDescent="0.25">
      <c r="A748" t="s">
        <v>4181</v>
      </c>
      <c r="B748" s="26" t="str">
        <f>MID(tbl_forecast[[#This Row],[PACE Job Number]],3,3)</f>
        <v>STX</v>
      </c>
      <c r="C748" t="s">
        <v>12</v>
      </c>
      <c r="D748" s="1">
        <v>43415</v>
      </c>
      <c r="E748" s="1">
        <v>43441</v>
      </c>
      <c r="F748" s="1">
        <v>43441</v>
      </c>
      <c r="G748" s="1"/>
      <c r="H748" t="s">
        <v>4664</v>
      </c>
      <c r="I748" t="s">
        <v>5645</v>
      </c>
    </row>
    <row r="749" spans="1:9" x14ac:dyDescent="0.25">
      <c r="A749" t="s">
        <v>5111</v>
      </c>
      <c r="B749" s="26" t="str">
        <f>MID(tbl_forecast[[#This Row],[PACE Job Number]],3,3)</f>
        <v>STX</v>
      </c>
      <c r="C749" t="s">
        <v>12</v>
      </c>
      <c r="D749" s="1">
        <v>43426</v>
      </c>
      <c r="E749" s="1">
        <v>43427</v>
      </c>
      <c r="F749" s="1">
        <v>43426</v>
      </c>
      <c r="G749" s="1"/>
      <c r="H749" t="s">
        <v>9</v>
      </c>
      <c r="I749" t="s">
        <v>27</v>
      </c>
    </row>
    <row r="750" spans="1:9" x14ac:dyDescent="0.25">
      <c r="A750" t="s">
        <v>4182</v>
      </c>
      <c r="B750" s="26" t="str">
        <f>MID(tbl_forecast[[#This Row],[PACE Job Number]],3,3)</f>
        <v>STX</v>
      </c>
      <c r="C750" t="s">
        <v>12</v>
      </c>
      <c r="D750" s="1">
        <v>43411</v>
      </c>
      <c r="E750" s="1">
        <v>43421</v>
      </c>
      <c r="F750" s="1">
        <v>43421</v>
      </c>
      <c r="G750" s="1"/>
      <c r="H750" t="s">
        <v>9</v>
      </c>
      <c r="I750" t="s">
        <v>27</v>
      </c>
    </row>
    <row r="751" spans="1:9" x14ac:dyDescent="0.25">
      <c r="A751" t="s">
        <v>5115</v>
      </c>
      <c r="B751" s="26" t="str">
        <f>MID(tbl_forecast[[#This Row],[PACE Job Number]],3,3)</f>
        <v>STX</v>
      </c>
      <c r="C751" t="s">
        <v>12</v>
      </c>
      <c r="D751" s="1">
        <v>43427</v>
      </c>
      <c r="E751" s="1">
        <v>43441</v>
      </c>
      <c r="F751" s="1">
        <v>43441</v>
      </c>
      <c r="G751" s="1"/>
      <c r="H751" t="s">
        <v>9</v>
      </c>
      <c r="I751" t="s">
        <v>27</v>
      </c>
    </row>
    <row r="752" spans="1:9" x14ac:dyDescent="0.25">
      <c r="A752" t="s">
        <v>5117</v>
      </c>
      <c r="B752" s="26" t="str">
        <f>MID(tbl_forecast[[#This Row],[PACE Job Number]],3,3)</f>
        <v>STX</v>
      </c>
      <c r="C752" t="s">
        <v>12</v>
      </c>
      <c r="D752" s="1">
        <v>43427</v>
      </c>
      <c r="E752" s="1">
        <v>43427</v>
      </c>
      <c r="F752" s="1">
        <v>43427</v>
      </c>
      <c r="G752" s="1"/>
      <c r="H752" t="s">
        <v>9</v>
      </c>
      <c r="I752" t="s">
        <v>27</v>
      </c>
    </row>
    <row r="753" spans="1:9" x14ac:dyDescent="0.25">
      <c r="A753" t="s">
        <v>5118</v>
      </c>
      <c r="B753" s="26" t="str">
        <f>MID(tbl_forecast[[#This Row],[PACE Job Number]],3,3)</f>
        <v>STX</v>
      </c>
      <c r="C753" t="s">
        <v>12</v>
      </c>
      <c r="D753" s="1">
        <v>43427</v>
      </c>
      <c r="E753" s="1">
        <v>43434</v>
      </c>
      <c r="F753" s="1">
        <v>43434</v>
      </c>
      <c r="G753" s="1"/>
      <c r="H753" t="s">
        <v>9</v>
      </c>
      <c r="I753" t="s">
        <v>27</v>
      </c>
    </row>
    <row r="754" spans="1:9" x14ac:dyDescent="0.25">
      <c r="A754" t="s">
        <v>5120</v>
      </c>
      <c r="B754" s="26" t="str">
        <f>MID(tbl_forecast[[#This Row],[PACE Job Number]],3,3)</f>
        <v>STX</v>
      </c>
      <c r="C754" t="s">
        <v>12</v>
      </c>
      <c r="D754" s="1">
        <v>43426</v>
      </c>
      <c r="E754" s="1">
        <v>43427</v>
      </c>
      <c r="F754" s="1">
        <v>43426</v>
      </c>
      <c r="G754" s="1"/>
      <c r="H754" t="s">
        <v>9</v>
      </c>
      <c r="I754" t="s">
        <v>27</v>
      </c>
    </row>
    <row r="755" spans="1:9" x14ac:dyDescent="0.25">
      <c r="A755" t="s">
        <v>4184</v>
      </c>
      <c r="B755" s="26" t="str">
        <f>MID(tbl_forecast[[#This Row],[PACE Job Number]],3,3)</f>
        <v>STX</v>
      </c>
      <c r="C755" t="s">
        <v>12</v>
      </c>
      <c r="D755" s="1">
        <v>43411</v>
      </c>
      <c r="E755" s="1">
        <v>43421</v>
      </c>
      <c r="F755" s="1">
        <v>43421</v>
      </c>
      <c r="G755" s="1"/>
      <c r="H755" t="s">
        <v>9</v>
      </c>
      <c r="I755" t="s">
        <v>27</v>
      </c>
    </row>
    <row r="756" spans="1:9" x14ac:dyDescent="0.25">
      <c r="A756" t="s">
        <v>5123</v>
      </c>
      <c r="B756" s="26" t="str">
        <f>MID(tbl_forecast[[#This Row],[PACE Job Number]],3,3)</f>
        <v>STX</v>
      </c>
      <c r="C756" t="s">
        <v>12</v>
      </c>
      <c r="D756" s="1">
        <v>43427</v>
      </c>
      <c r="E756" s="1">
        <v>43441</v>
      </c>
      <c r="F756" s="1">
        <v>43441</v>
      </c>
      <c r="G756" s="1"/>
      <c r="H756" t="s">
        <v>9</v>
      </c>
      <c r="I756" t="s">
        <v>27</v>
      </c>
    </row>
    <row r="757" spans="1:9" x14ac:dyDescent="0.25">
      <c r="A757" t="s">
        <v>5128</v>
      </c>
      <c r="B757" s="26" t="str">
        <f>MID(tbl_forecast[[#This Row],[PACE Job Number]],3,3)</f>
        <v>STX</v>
      </c>
      <c r="C757" t="s">
        <v>12</v>
      </c>
      <c r="D757" s="1">
        <v>43426</v>
      </c>
      <c r="E757" s="1">
        <v>43427</v>
      </c>
      <c r="F757" s="1">
        <v>43426</v>
      </c>
      <c r="G757" s="1"/>
      <c r="H757" t="s">
        <v>9</v>
      </c>
      <c r="I757" t="s">
        <v>27</v>
      </c>
    </row>
    <row r="758" spans="1:9" x14ac:dyDescent="0.25">
      <c r="A758" t="s">
        <v>4186</v>
      </c>
      <c r="B758" s="26" t="str">
        <f>MID(tbl_forecast[[#This Row],[PACE Job Number]],3,3)</f>
        <v>STX</v>
      </c>
      <c r="C758" t="s">
        <v>12</v>
      </c>
      <c r="D758" s="1">
        <v>43415</v>
      </c>
      <c r="E758" s="1">
        <v>43441</v>
      </c>
      <c r="F758" s="1">
        <v>43441</v>
      </c>
      <c r="G758" s="1"/>
      <c r="H758" t="s">
        <v>4664</v>
      </c>
      <c r="I758" t="s">
        <v>5645</v>
      </c>
    </row>
    <row r="759" spans="1:9" x14ac:dyDescent="0.25">
      <c r="A759" t="s">
        <v>4187</v>
      </c>
      <c r="B759" s="26" t="str">
        <f>MID(tbl_forecast[[#This Row],[PACE Job Number]],3,3)</f>
        <v>STX</v>
      </c>
      <c r="C759" t="s">
        <v>12</v>
      </c>
      <c r="D759" s="1">
        <v>43411</v>
      </c>
      <c r="E759" s="1">
        <v>43421</v>
      </c>
      <c r="F759" s="1">
        <v>43421</v>
      </c>
      <c r="G759" s="1"/>
      <c r="H759" t="s">
        <v>9</v>
      </c>
      <c r="I759" t="s">
        <v>27</v>
      </c>
    </row>
    <row r="760" spans="1:9" x14ac:dyDescent="0.25">
      <c r="A760" t="s">
        <v>5303</v>
      </c>
      <c r="B760" s="26" t="str">
        <f>MID(tbl_forecast[[#This Row],[PACE Job Number]],3,3)</f>
        <v>STX</v>
      </c>
      <c r="C760" t="s">
        <v>12</v>
      </c>
      <c r="D760" s="1">
        <v>43434</v>
      </c>
      <c r="E760" s="1">
        <v>43455</v>
      </c>
      <c r="F760" s="1">
        <v>43455</v>
      </c>
      <c r="G760" s="1"/>
      <c r="H760" t="s">
        <v>4664</v>
      </c>
      <c r="I760" t="s">
        <v>4665</v>
      </c>
    </row>
    <row r="761" spans="1:9" x14ac:dyDescent="0.25">
      <c r="A761" t="s">
        <v>5136</v>
      </c>
      <c r="B761" s="26" t="str">
        <f>MID(tbl_forecast[[#This Row],[PACE Job Number]],3,3)</f>
        <v>STX</v>
      </c>
      <c r="C761" t="s">
        <v>12</v>
      </c>
      <c r="D761" s="1">
        <v>43427</v>
      </c>
      <c r="E761" s="1">
        <v>43441</v>
      </c>
      <c r="F761" s="1">
        <v>43441</v>
      </c>
      <c r="G761" s="1"/>
      <c r="H761" t="s">
        <v>9</v>
      </c>
      <c r="I761" t="s">
        <v>27</v>
      </c>
    </row>
    <row r="762" spans="1:9" x14ac:dyDescent="0.25">
      <c r="A762" t="s">
        <v>5137</v>
      </c>
      <c r="B762" s="26" t="str">
        <f>MID(tbl_forecast[[#This Row],[PACE Job Number]],3,3)</f>
        <v>STX</v>
      </c>
      <c r="C762" t="s">
        <v>12</v>
      </c>
      <c r="D762" s="1">
        <v>43427</v>
      </c>
      <c r="E762" s="1">
        <v>43441</v>
      </c>
      <c r="F762" s="1">
        <v>43441</v>
      </c>
      <c r="G762" s="1"/>
      <c r="H762" t="s">
        <v>9</v>
      </c>
      <c r="I762" t="s">
        <v>27</v>
      </c>
    </row>
    <row r="763" spans="1:9" x14ac:dyDescent="0.25">
      <c r="A763" t="s">
        <v>5141</v>
      </c>
      <c r="B763" s="26" t="str">
        <f>MID(tbl_forecast[[#This Row],[PACE Job Number]],3,3)</f>
        <v>STX</v>
      </c>
      <c r="C763" t="s">
        <v>12</v>
      </c>
      <c r="D763" s="1">
        <v>43427</v>
      </c>
      <c r="E763" s="1">
        <v>43434</v>
      </c>
      <c r="F763" s="1">
        <v>43434</v>
      </c>
      <c r="G763" s="1"/>
      <c r="H763" t="s">
        <v>9</v>
      </c>
      <c r="I763" t="s">
        <v>27</v>
      </c>
    </row>
    <row r="764" spans="1:9" x14ac:dyDescent="0.25">
      <c r="A764" t="s">
        <v>5304</v>
      </c>
      <c r="B764" s="26" t="str">
        <f>MID(tbl_forecast[[#This Row],[PACE Job Number]],3,3)</f>
        <v>STX</v>
      </c>
      <c r="C764" t="s">
        <v>12</v>
      </c>
      <c r="D764" s="1">
        <v>43434</v>
      </c>
      <c r="E764" s="1">
        <v>43455</v>
      </c>
      <c r="F764" s="1">
        <v>43455</v>
      </c>
      <c r="G764" s="1"/>
      <c r="H764" t="s">
        <v>4664</v>
      </c>
      <c r="I764" t="s">
        <v>4665</v>
      </c>
    </row>
    <row r="765" spans="1:9" x14ac:dyDescent="0.25">
      <c r="A765" t="s">
        <v>5305</v>
      </c>
      <c r="B765" s="26" t="str">
        <f>MID(tbl_forecast[[#This Row],[PACE Job Number]],3,3)</f>
        <v>STX</v>
      </c>
      <c r="C765" t="s">
        <v>12</v>
      </c>
      <c r="D765" s="1">
        <v>43427</v>
      </c>
      <c r="E765" s="1">
        <v>43441</v>
      </c>
      <c r="F765" s="1">
        <v>43441</v>
      </c>
      <c r="G765" s="1"/>
      <c r="H765" t="s">
        <v>9</v>
      </c>
      <c r="I765" t="s">
        <v>27</v>
      </c>
    </row>
    <row r="766" spans="1:9" x14ac:dyDescent="0.25">
      <c r="A766" t="s">
        <v>5306</v>
      </c>
      <c r="B766" s="26" t="str">
        <f>MID(tbl_forecast[[#This Row],[PACE Job Number]],3,3)</f>
        <v>WSH</v>
      </c>
      <c r="C766" t="s">
        <v>12</v>
      </c>
      <c r="D766" s="1">
        <v>43430</v>
      </c>
      <c r="E766" s="1">
        <v>43438</v>
      </c>
      <c r="F766" s="1">
        <v>43430</v>
      </c>
      <c r="G766" s="1"/>
      <c r="H766" t="s">
        <v>9</v>
      </c>
      <c r="I766" t="s">
        <v>27</v>
      </c>
    </row>
    <row r="767" spans="1:9" x14ac:dyDescent="0.25">
      <c r="A767" t="s">
        <v>5307</v>
      </c>
      <c r="B767" s="26" t="str">
        <f>MID(tbl_forecast[[#This Row],[PACE Job Number]],3,3)</f>
        <v>WSH</v>
      </c>
      <c r="C767" t="s">
        <v>12</v>
      </c>
      <c r="D767" s="1">
        <v>43430</v>
      </c>
      <c r="E767" s="1">
        <v>43437</v>
      </c>
      <c r="F767" s="1">
        <v>43430</v>
      </c>
      <c r="G767" s="1"/>
      <c r="H767" t="s">
        <v>9</v>
      </c>
      <c r="I767" t="s">
        <v>27</v>
      </c>
    </row>
    <row r="768" spans="1:9" x14ac:dyDescent="0.25">
      <c r="A768" t="s">
        <v>4280</v>
      </c>
      <c r="B768" s="26" t="str">
        <f>MID(tbl_forecast[[#This Row],[PACE Job Number]],3,3)</f>
        <v>WSH</v>
      </c>
      <c r="C768" t="s">
        <v>12</v>
      </c>
      <c r="D768" s="1">
        <v>43413</v>
      </c>
      <c r="E768" s="1">
        <v>43409</v>
      </c>
      <c r="F768" s="1">
        <v>43409</v>
      </c>
      <c r="G768" s="1">
        <v>43409</v>
      </c>
      <c r="H768" t="s">
        <v>9</v>
      </c>
      <c r="I768" t="s">
        <v>10</v>
      </c>
    </row>
    <row r="769" spans="1:9" x14ac:dyDescent="0.25">
      <c r="A769" t="s">
        <v>5308</v>
      </c>
      <c r="B769" s="26" t="str">
        <f>MID(tbl_forecast[[#This Row],[PACE Job Number]],3,3)</f>
        <v>WSH</v>
      </c>
      <c r="C769" t="s">
        <v>12</v>
      </c>
      <c r="D769" s="1">
        <v>43430</v>
      </c>
      <c r="E769" s="1">
        <v>43416</v>
      </c>
      <c r="F769" s="1">
        <v>43416</v>
      </c>
      <c r="G769" s="1">
        <v>43416</v>
      </c>
      <c r="H769" t="s">
        <v>9</v>
      </c>
      <c r="I769" t="s">
        <v>10</v>
      </c>
    </row>
    <row r="770" spans="1:9" x14ac:dyDescent="0.25">
      <c r="A770" t="s">
        <v>4281</v>
      </c>
      <c r="B770" s="26" t="str">
        <f>MID(tbl_forecast[[#This Row],[PACE Job Number]],3,3)</f>
        <v>WSH</v>
      </c>
      <c r="C770" t="s">
        <v>12</v>
      </c>
      <c r="D770" s="1">
        <v>43413</v>
      </c>
      <c r="E770" s="1">
        <v>43409</v>
      </c>
      <c r="F770" s="1">
        <v>43409</v>
      </c>
      <c r="G770" s="1">
        <v>43409</v>
      </c>
      <c r="H770" t="s">
        <v>9</v>
      </c>
      <c r="I770" t="s">
        <v>10</v>
      </c>
    </row>
    <row r="771" spans="1:9" x14ac:dyDescent="0.25">
      <c r="A771" t="s">
        <v>5309</v>
      </c>
      <c r="B771" s="26" t="str">
        <f>MID(tbl_forecast[[#This Row],[PACE Job Number]],3,3)</f>
        <v>WSH</v>
      </c>
      <c r="C771" t="s">
        <v>12</v>
      </c>
      <c r="D771" s="1">
        <v>43416</v>
      </c>
      <c r="E771" s="1">
        <v>43472</v>
      </c>
      <c r="F771" s="1">
        <v>43444</v>
      </c>
      <c r="G771" s="1"/>
      <c r="H771" t="s">
        <v>4664</v>
      </c>
      <c r="I771" t="s">
        <v>5645</v>
      </c>
    </row>
    <row r="772" spans="1:9" x14ac:dyDescent="0.25">
      <c r="A772" t="s">
        <v>5310</v>
      </c>
      <c r="B772" s="26" t="str">
        <f>MID(tbl_forecast[[#This Row],[PACE Job Number]],3,3)</f>
        <v>WSH</v>
      </c>
      <c r="C772" t="s">
        <v>12</v>
      </c>
      <c r="D772" s="1">
        <v>43413</v>
      </c>
      <c r="E772" s="1">
        <v>43418</v>
      </c>
      <c r="F772" s="1">
        <v>43418</v>
      </c>
      <c r="G772" s="1">
        <v>43418</v>
      </c>
      <c r="H772" t="s">
        <v>9</v>
      </c>
      <c r="I772" t="s">
        <v>10</v>
      </c>
    </row>
    <row r="773" spans="1:9" x14ac:dyDescent="0.25">
      <c r="A773" t="s">
        <v>5311</v>
      </c>
      <c r="B773" s="26" t="str">
        <f>MID(tbl_forecast[[#This Row],[PACE Job Number]],3,3)</f>
        <v>WSH</v>
      </c>
      <c r="C773" t="s">
        <v>12</v>
      </c>
      <c r="D773" s="1">
        <v>43430</v>
      </c>
      <c r="E773" s="1">
        <v>43438</v>
      </c>
      <c r="F773" s="1">
        <v>43437</v>
      </c>
      <c r="G773" s="1"/>
      <c r="H773" t="s">
        <v>9</v>
      </c>
      <c r="I773" t="s">
        <v>27</v>
      </c>
    </row>
    <row r="774" spans="1:9" x14ac:dyDescent="0.25">
      <c r="A774" t="s">
        <v>5312</v>
      </c>
      <c r="B774" s="26" t="str">
        <f>MID(tbl_forecast[[#This Row],[PACE Job Number]],3,3)</f>
        <v>WSH</v>
      </c>
      <c r="C774" t="s">
        <v>12</v>
      </c>
      <c r="D774" s="1">
        <v>43409</v>
      </c>
      <c r="E774" s="1">
        <v>43410</v>
      </c>
      <c r="F774" s="1">
        <v>43410</v>
      </c>
      <c r="G774" s="1">
        <v>43410</v>
      </c>
      <c r="H774" t="s">
        <v>9</v>
      </c>
      <c r="I774" t="s">
        <v>10</v>
      </c>
    </row>
    <row r="775" spans="1:9" x14ac:dyDescent="0.25">
      <c r="A775" t="s">
        <v>4283</v>
      </c>
      <c r="B775" s="26" t="str">
        <f>MID(tbl_forecast[[#This Row],[PACE Job Number]],3,3)</f>
        <v>WSH</v>
      </c>
      <c r="C775" t="s">
        <v>12</v>
      </c>
      <c r="D775" s="1">
        <v>43410</v>
      </c>
      <c r="E775" s="1">
        <v>43412</v>
      </c>
      <c r="F775" s="1">
        <v>43412</v>
      </c>
      <c r="G775" s="1">
        <v>43412</v>
      </c>
      <c r="H775" t="s">
        <v>9</v>
      </c>
      <c r="I775" t="s">
        <v>10</v>
      </c>
    </row>
    <row r="776" spans="1:9" x14ac:dyDescent="0.25">
      <c r="A776" t="s">
        <v>5313</v>
      </c>
      <c r="B776" s="26" t="str">
        <f>MID(tbl_forecast[[#This Row],[PACE Job Number]],3,3)</f>
        <v>WSH</v>
      </c>
      <c r="C776" t="s">
        <v>12</v>
      </c>
      <c r="D776" s="1">
        <v>43430</v>
      </c>
      <c r="E776" s="1">
        <v>43467</v>
      </c>
      <c r="F776" s="1">
        <v>43451</v>
      </c>
      <c r="G776" s="1"/>
      <c r="H776" t="s">
        <v>4664</v>
      </c>
      <c r="I776" t="s">
        <v>4665</v>
      </c>
    </row>
    <row r="777" spans="1:9" x14ac:dyDescent="0.25">
      <c r="A777" t="s">
        <v>5314</v>
      </c>
      <c r="B777" s="26" t="str">
        <f>MID(tbl_forecast[[#This Row],[PACE Job Number]],3,3)</f>
        <v>WSH</v>
      </c>
      <c r="C777" t="s">
        <v>12</v>
      </c>
      <c r="D777" s="1">
        <v>43430</v>
      </c>
      <c r="E777" s="1">
        <v>43430</v>
      </c>
      <c r="F777" s="1">
        <v>43430</v>
      </c>
      <c r="G777" s="1">
        <v>43430</v>
      </c>
      <c r="H777" t="s">
        <v>9</v>
      </c>
      <c r="I777" t="s">
        <v>10</v>
      </c>
    </row>
    <row r="778" spans="1:9" x14ac:dyDescent="0.25">
      <c r="A778" t="s">
        <v>5315</v>
      </c>
      <c r="B778" s="26" t="str">
        <f>MID(tbl_forecast[[#This Row],[PACE Job Number]],3,3)</f>
        <v>WSH</v>
      </c>
      <c r="C778" t="s">
        <v>12</v>
      </c>
      <c r="D778" s="1">
        <v>43409</v>
      </c>
      <c r="E778" s="1">
        <v>43409</v>
      </c>
      <c r="F778" s="1">
        <v>43409</v>
      </c>
      <c r="G778" s="1">
        <v>43409</v>
      </c>
      <c r="H778" t="s">
        <v>9</v>
      </c>
      <c r="I778" t="s">
        <v>10</v>
      </c>
    </row>
    <row r="779" spans="1:9" x14ac:dyDescent="0.25">
      <c r="A779" t="s">
        <v>5316</v>
      </c>
      <c r="B779" s="26" t="str">
        <f>MID(tbl_forecast[[#This Row],[PACE Job Number]],3,3)</f>
        <v>WSH</v>
      </c>
      <c r="C779" t="s">
        <v>12</v>
      </c>
      <c r="D779" s="1">
        <v>43416</v>
      </c>
      <c r="E779" s="1">
        <v>43412</v>
      </c>
      <c r="F779" s="1">
        <v>43412</v>
      </c>
      <c r="G779" s="1">
        <v>43412</v>
      </c>
      <c r="H779" t="s">
        <v>9</v>
      </c>
      <c r="I779" t="s">
        <v>10</v>
      </c>
    </row>
    <row r="780" spans="1:9" x14ac:dyDescent="0.25">
      <c r="A780" t="s">
        <v>4289</v>
      </c>
      <c r="B780" s="26" t="str">
        <f>MID(tbl_forecast[[#This Row],[PACE Job Number]],3,3)</f>
        <v>WSH</v>
      </c>
      <c r="C780" t="s">
        <v>12</v>
      </c>
      <c r="D780" s="1">
        <v>43410</v>
      </c>
      <c r="E780" s="1">
        <v>43411</v>
      </c>
      <c r="F780" s="1">
        <v>43411</v>
      </c>
      <c r="G780" s="1">
        <v>43411</v>
      </c>
      <c r="H780" t="s">
        <v>9</v>
      </c>
      <c r="I780" t="s">
        <v>10</v>
      </c>
    </row>
    <row r="781" spans="1:9" x14ac:dyDescent="0.25">
      <c r="A781" t="s">
        <v>5317</v>
      </c>
      <c r="B781" s="26" t="str">
        <f>MID(tbl_forecast[[#This Row],[PACE Job Number]],3,3)</f>
        <v>WSH</v>
      </c>
      <c r="C781" t="s">
        <v>12</v>
      </c>
      <c r="D781" s="1">
        <v>43423</v>
      </c>
      <c r="E781" s="1">
        <v>43460</v>
      </c>
      <c r="F781" s="1">
        <v>43437</v>
      </c>
      <c r="G781" s="1"/>
      <c r="H781" t="s">
        <v>9</v>
      </c>
      <c r="I781" t="s">
        <v>44</v>
      </c>
    </row>
    <row r="782" spans="1:9" x14ac:dyDescent="0.25">
      <c r="A782" t="s">
        <v>5174</v>
      </c>
      <c r="B782" s="26" t="str">
        <f>MID(tbl_forecast[[#This Row],[PACE Job Number]],3,3)</f>
        <v>STX</v>
      </c>
      <c r="C782" t="s">
        <v>12</v>
      </c>
      <c r="D782" s="1">
        <v>43427</v>
      </c>
      <c r="E782" s="1">
        <v>43441</v>
      </c>
      <c r="F782" s="1">
        <v>43441</v>
      </c>
      <c r="G782" s="1"/>
      <c r="H782" t="s">
        <v>9</v>
      </c>
      <c r="I782" t="s">
        <v>27</v>
      </c>
    </row>
    <row r="783" spans="1:9" x14ac:dyDescent="0.25">
      <c r="A783" t="s">
        <v>5186</v>
      </c>
      <c r="B783" s="26" t="str">
        <f>MID(tbl_forecast[[#This Row],[PACE Job Number]],3,3)</f>
        <v>STX</v>
      </c>
      <c r="C783" t="s">
        <v>12</v>
      </c>
      <c r="D783" s="1">
        <v>43430</v>
      </c>
      <c r="E783" s="1">
        <v>43457</v>
      </c>
      <c r="F783" s="1">
        <v>43410</v>
      </c>
      <c r="G783" s="1"/>
      <c r="H783" t="s">
        <v>9</v>
      </c>
      <c r="I783" t="s">
        <v>44</v>
      </c>
    </row>
    <row r="784" spans="1:9" x14ac:dyDescent="0.25">
      <c r="A784" t="s">
        <v>5318</v>
      </c>
      <c r="B784" s="26" t="str">
        <f>MID(tbl_forecast[[#This Row],[PACE Job Number]],3,3)</f>
        <v>WSH</v>
      </c>
      <c r="C784" t="s">
        <v>12</v>
      </c>
      <c r="D784" s="1">
        <v>43416</v>
      </c>
      <c r="E784" s="1">
        <v>43425</v>
      </c>
      <c r="F784" s="1">
        <v>43425</v>
      </c>
      <c r="G784" s="1">
        <v>43425</v>
      </c>
      <c r="H784" t="s">
        <v>9</v>
      </c>
      <c r="I784" t="s">
        <v>10</v>
      </c>
    </row>
    <row r="785" spans="1:9" x14ac:dyDescent="0.25">
      <c r="A785" t="s">
        <v>5319</v>
      </c>
      <c r="B785" s="26" t="str">
        <f>MID(tbl_forecast[[#This Row],[PACE Job Number]],3,3)</f>
        <v>WSH</v>
      </c>
      <c r="C785" t="s">
        <v>12</v>
      </c>
      <c r="D785" s="1">
        <v>43430</v>
      </c>
      <c r="E785" s="1">
        <v>43444</v>
      </c>
      <c r="F785" s="1">
        <v>43437</v>
      </c>
      <c r="G785" s="1"/>
      <c r="H785" t="s">
        <v>9</v>
      </c>
      <c r="I785" t="s">
        <v>27</v>
      </c>
    </row>
    <row r="786" spans="1:9" x14ac:dyDescent="0.25">
      <c r="A786" t="s">
        <v>5320</v>
      </c>
      <c r="B786" s="26" t="str">
        <f>MID(tbl_forecast[[#This Row],[PACE Job Number]],3,3)</f>
        <v>WSH</v>
      </c>
      <c r="C786" t="s">
        <v>12</v>
      </c>
      <c r="D786" s="1">
        <v>43416</v>
      </c>
      <c r="E786" s="1">
        <v>43449</v>
      </c>
      <c r="F786" s="1">
        <v>43449</v>
      </c>
      <c r="G786" s="1"/>
      <c r="H786" t="s">
        <v>4664</v>
      </c>
      <c r="I786" t="s">
        <v>5645</v>
      </c>
    </row>
    <row r="787" spans="1:9" x14ac:dyDescent="0.25">
      <c r="A787" t="s">
        <v>4176</v>
      </c>
      <c r="B787" s="26" t="str">
        <f>MID(tbl_forecast[[#This Row],[PACE Job Number]],3,3)</f>
        <v>NTX</v>
      </c>
      <c r="C787" t="s">
        <v>12</v>
      </c>
      <c r="D787" s="1">
        <v>43433</v>
      </c>
      <c r="E787" s="1">
        <v>43480</v>
      </c>
      <c r="F787" s="1">
        <v>43480</v>
      </c>
      <c r="G787" s="1"/>
      <c r="H787" t="s">
        <v>4664</v>
      </c>
      <c r="I787" t="s">
        <v>4665</v>
      </c>
    </row>
    <row r="788" spans="1:9" x14ac:dyDescent="0.25">
      <c r="A788" t="s">
        <v>4123</v>
      </c>
      <c r="B788" s="26" t="str">
        <f>MID(tbl_forecast[[#This Row],[PACE Job Number]],3,3)</f>
        <v>NTX</v>
      </c>
      <c r="C788" t="s">
        <v>12</v>
      </c>
      <c r="D788" s="1">
        <v>43433</v>
      </c>
      <c r="E788" s="1">
        <v>43480</v>
      </c>
      <c r="F788" s="1">
        <v>43480</v>
      </c>
      <c r="G788" s="1"/>
      <c r="H788" t="s">
        <v>4664</v>
      </c>
      <c r="I788" t="s">
        <v>4665</v>
      </c>
    </row>
    <row r="789" spans="1:9" x14ac:dyDescent="0.25">
      <c r="A789" t="s">
        <v>4377</v>
      </c>
      <c r="B789" s="26" t="str">
        <f>MID(tbl_forecast[[#This Row],[PACE Job Number]],3,3)</f>
        <v>STX</v>
      </c>
      <c r="C789" t="s">
        <v>14</v>
      </c>
      <c r="D789" s="1">
        <v>43419</v>
      </c>
      <c r="E789" s="1">
        <v>43452</v>
      </c>
      <c r="F789" s="1">
        <v>43452</v>
      </c>
      <c r="G789" s="1"/>
      <c r="H789" t="s">
        <v>4664</v>
      </c>
      <c r="I789" t="s">
        <v>5645</v>
      </c>
    </row>
    <row r="790" spans="1:9" x14ac:dyDescent="0.25">
      <c r="A790" t="s">
        <v>3352</v>
      </c>
      <c r="B790" s="26" t="str">
        <f>MID(tbl_forecast[[#This Row],[PACE Job Number]],3,3)</f>
        <v>STX</v>
      </c>
      <c r="C790" t="s">
        <v>14</v>
      </c>
      <c r="D790" s="1">
        <v>43416</v>
      </c>
      <c r="E790" s="1">
        <v>43453</v>
      </c>
      <c r="F790" s="1">
        <v>43433</v>
      </c>
      <c r="G790" s="1"/>
      <c r="H790" t="s">
        <v>4664</v>
      </c>
      <c r="I790" t="s">
        <v>5645</v>
      </c>
    </row>
    <row r="791" spans="1:9" x14ac:dyDescent="0.25">
      <c r="A791" t="s">
        <v>2669</v>
      </c>
      <c r="B791" s="26" t="str">
        <f>MID(tbl_forecast[[#This Row],[PACE Job Number]],3,3)</f>
        <v>STX</v>
      </c>
      <c r="C791" t="s">
        <v>14</v>
      </c>
      <c r="D791" s="1">
        <v>43419</v>
      </c>
      <c r="E791" s="1">
        <v>43453</v>
      </c>
      <c r="F791" s="1">
        <v>43451</v>
      </c>
      <c r="G791" s="1"/>
      <c r="H791" t="s">
        <v>4664</v>
      </c>
      <c r="I791" t="s">
        <v>5645</v>
      </c>
    </row>
    <row r="792" spans="1:9" x14ac:dyDescent="0.25">
      <c r="A792" t="s">
        <v>3810</v>
      </c>
      <c r="B792" s="26" t="str">
        <f>MID(tbl_forecast[[#This Row],[PACE Job Number]],3,3)</f>
        <v>WSH</v>
      </c>
      <c r="C792" t="s">
        <v>14</v>
      </c>
      <c r="D792" s="1">
        <v>43412</v>
      </c>
      <c r="E792" s="1">
        <v>43410</v>
      </c>
      <c r="F792" s="1">
        <v>43410</v>
      </c>
      <c r="G792" s="1">
        <v>43410</v>
      </c>
      <c r="H792" t="s">
        <v>9</v>
      </c>
      <c r="I792" t="s">
        <v>10</v>
      </c>
    </row>
    <row r="793" spans="1:9" x14ac:dyDescent="0.25">
      <c r="A793" t="s">
        <v>3812</v>
      </c>
      <c r="B793" s="26" t="str">
        <f>MID(tbl_forecast[[#This Row],[PACE Job Number]],3,3)</f>
        <v>WSH</v>
      </c>
      <c r="C793" t="s">
        <v>14</v>
      </c>
      <c r="D793" s="1">
        <v>43411</v>
      </c>
      <c r="E793" s="1">
        <v>43423</v>
      </c>
      <c r="F793" s="1">
        <v>43423</v>
      </c>
      <c r="G793" s="1">
        <v>43423</v>
      </c>
      <c r="H793" t="s">
        <v>9</v>
      </c>
      <c r="I793" t="s">
        <v>10</v>
      </c>
    </row>
    <row r="794" spans="1:9" x14ac:dyDescent="0.25">
      <c r="A794" t="s">
        <v>5195</v>
      </c>
      <c r="B794" s="26" t="str">
        <f>MID(tbl_forecast[[#This Row],[PACE Job Number]],3,3)</f>
        <v>WSH</v>
      </c>
      <c r="C794" t="s">
        <v>14</v>
      </c>
      <c r="D794" s="1">
        <v>43416</v>
      </c>
      <c r="E794" s="1">
        <v>43437</v>
      </c>
      <c r="F794" s="1">
        <v>43437</v>
      </c>
      <c r="G794" s="1"/>
      <c r="H794" t="s">
        <v>4664</v>
      </c>
      <c r="I794" t="s">
        <v>5645</v>
      </c>
    </row>
    <row r="795" spans="1:9" x14ac:dyDescent="0.25">
      <c r="A795" t="s">
        <v>5321</v>
      </c>
      <c r="B795" s="26" t="str">
        <f>MID(tbl_forecast[[#This Row],[PACE Job Number]],3,3)</f>
        <v>NTX</v>
      </c>
      <c r="C795" t="s">
        <v>14</v>
      </c>
      <c r="D795" s="1">
        <v>43430</v>
      </c>
      <c r="E795" s="1">
        <v>43430</v>
      </c>
      <c r="F795" s="1">
        <v>43430</v>
      </c>
      <c r="G795" s="1">
        <v>43430</v>
      </c>
      <c r="H795" t="s">
        <v>9</v>
      </c>
      <c r="I795" t="s">
        <v>10</v>
      </c>
    </row>
    <row r="796" spans="1:9" x14ac:dyDescent="0.25">
      <c r="A796" t="s">
        <v>5322</v>
      </c>
      <c r="B796" s="26" t="str">
        <f>MID(tbl_forecast[[#This Row],[PACE Job Number]],3,3)</f>
        <v>NTX</v>
      </c>
      <c r="C796" t="s">
        <v>14</v>
      </c>
      <c r="D796" s="1">
        <v>43406</v>
      </c>
      <c r="E796" s="1">
        <v>43417</v>
      </c>
      <c r="F796" s="1">
        <v>43413</v>
      </c>
      <c r="G796" s="1">
        <v>43413</v>
      </c>
      <c r="H796" t="s">
        <v>9</v>
      </c>
      <c r="I796" t="s">
        <v>10</v>
      </c>
    </row>
    <row r="797" spans="1:9" x14ac:dyDescent="0.25">
      <c r="A797" t="s">
        <v>380</v>
      </c>
      <c r="B797" s="26" t="str">
        <f>MID(tbl_forecast[[#This Row],[PACE Job Number]],3,3)</f>
        <v>NTX</v>
      </c>
      <c r="C797" t="s">
        <v>14</v>
      </c>
      <c r="D797" s="1">
        <v>43430</v>
      </c>
      <c r="E797" s="1">
        <v>43437</v>
      </c>
      <c r="F797" s="1">
        <v>43437</v>
      </c>
      <c r="G797" s="1"/>
      <c r="H797" t="s">
        <v>9</v>
      </c>
      <c r="I797" t="s">
        <v>27</v>
      </c>
    </row>
    <row r="798" spans="1:9" x14ac:dyDescent="0.25">
      <c r="A798" t="s">
        <v>3380</v>
      </c>
      <c r="B798" s="26" t="str">
        <f>MID(tbl_forecast[[#This Row],[PACE Job Number]],3,3)</f>
        <v>NTX</v>
      </c>
      <c r="C798" t="s">
        <v>14</v>
      </c>
      <c r="D798" s="1">
        <v>43413</v>
      </c>
      <c r="E798" s="1">
        <v>43441</v>
      </c>
      <c r="F798" s="1">
        <v>43441</v>
      </c>
      <c r="G798" s="1"/>
      <c r="H798" t="s">
        <v>4664</v>
      </c>
      <c r="I798" t="s">
        <v>5645</v>
      </c>
    </row>
    <row r="799" spans="1:9" x14ac:dyDescent="0.25">
      <c r="A799" t="s">
        <v>2478</v>
      </c>
      <c r="B799" s="26" t="str">
        <f>MID(tbl_forecast[[#This Row],[PACE Job Number]],3,3)</f>
        <v>NTX</v>
      </c>
      <c r="C799" t="s">
        <v>14</v>
      </c>
      <c r="D799" s="1">
        <v>43413</v>
      </c>
      <c r="E799" s="1">
        <v>43430</v>
      </c>
      <c r="F799" s="1">
        <v>43432</v>
      </c>
      <c r="G799" s="1">
        <v>43432</v>
      </c>
      <c r="H799" t="s">
        <v>4664</v>
      </c>
      <c r="I799" t="s">
        <v>10</v>
      </c>
    </row>
    <row r="800" spans="1:9" x14ac:dyDescent="0.25">
      <c r="A800" t="s">
        <v>2479</v>
      </c>
      <c r="B800" s="26" t="str">
        <f>MID(tbl_forecast[[#This Row],[PACE Job Number]],3,3)</f>
        <v>NTX</v>
      </c>
      <c r="C800" t="s">
        <v>14</v>
      </c>
      <c r="D800" s="1">
        <v>43413</v>
      </c>
      <c r="E800" s="1">
        <v>43430</v>
      </c>
      <c r="F800" s="1">
        <v>43432</v>
      </c>
      <c r="G800" s="1">
        <v>43432</v>
      </c>
      <c r="H800" t="s">
        <v>4664</v>
      </c>
      <c r="I800" t="s">
        <v>10</v>
      </c>
    </row>
    <row r="801" spans="1:9" x14ac:dyDescent="0.25">
      <c r="A801" t="s">
        <v>3382</v>
      </c>
      <c r="B801" s="26" t="str">
        <f>MID(tbl_forecast[[#This Row],[PACE Job Number]],3,3)</f>
        <v>NTX</v>
      </c>
      <c r="C801" t="s">
        <v>14</v>
      </c>
      <c r="D801" s="1">
        <v>43413</v>
      </c>
      <c r="E801" s="1">
        <v>43441</v>
      </c>
      <c r="F801" s="1">
        <v>43441</v>
      </c>
      <c r="G801" s="1"/>
      <c r="H801" t="s">
        <v>4664</v>
      </c>
      <c r="I801" t="s">
        <v>5645</v>
      </c>
    </row>
    <row r="802" spans="1:9" x14ac:dyDescent="0.25">
      <c r="A802" t="s">
        <v>2480</v>
      </c>
      <c r="B802" s="26" t="str">
        <f>MID(tbl_forecast[[#This Row],[PACE Job Number]],3,3)</f>
        <v>NTX</v>
      </c>
      <c r="C802" t="s">
        <v>14</v>
      </c>
      <c r="D802" s="1">
        <v>43413</v>
      </c>
      <c r="E802" s="1">
        <v>43430</v>
      </c>
      <c r="F802" s="1">
        <v>43432</v>
      </c>
      <c r="G802" s="1">
        <v>43432</v>
      </c>
      <c r="H802" t="s">
        <v>4664</v>
      </c>
      <c r="I802" t="s">
        <v>10</v>
      </c>
    </row>
    <row r="803" spans="1:9" x14ac:dyDescent="0.25">
      <c r="A803" t="s">
        <v>607</v>
      </c>
      <c r="B803" s="26" t="str">
        <f>MID(tbl_forecast[[#This Row],[PACE Job Number]],3,3)</f>
        <v>NTX</v>
      </c>
      <c r="C803" t="s">
        <v>14</v>
      </c>
      <c r="D803" s="1">
        <v>43416</v>
      </c>
      <c r="E803" s="1">
        <v>43430</v>
      </c>
      <c r="F803" s="1">
        <v>43434</v>
      </c>
      <c r="G803" s="1"/>
      <c r="H803" t="s">
        <v>4664</v>
      </c>
      <c r="I803" t="s">
        <v>5645</v>
      </c>
    </row>
    <row r="804" spans="1:9" x14ac:dyDescent="0.25">
      <c r="A804" t="s">
        <v>4190</v>
      </c>
      <c r="B804" s="26" t="str">
        <f>MID(tbl_forecast[[#This Row],[PACE Job Number]],3,3)</f>
        <v>NTX</v>
      </c>
      <c r="C804" t="s">
        <v>14</v>
      </c>
      <c r="D804" s="1">
        <v>43416</v>
      </c>
      <c r="E804" s="1">
        <v>43416</v>
      </c>
      <c r="F804" s="1">
        <v>43420</v>
      </c>
      <c r="G804" s="1">
        <v>43420</v>
      </c>
      <c r="H804" t="s">
        <v>9</v>
      </c>
      <c r="I804" t="s">
        <v>10</v>
      </c>
    </row>
    <row r="805" spans="1:9" x14ac:dyDescent="0.25">
      <c r="A805" t="s">
        <v>5323</v>
      </c>
      <c r="B805" s="26" t="str">
        <f>MID(tbl_forecast[[#This Row],[PACE Job Number]],3,3)</f>
        <v>NTX</v>
      </c>
      <c r="C805" t="s">
        <v>14</v>
      </c>
      <c r="D805" s="1">
        <v>43416</v>
      </c>
      <c r="E805" s="1">
        <v>43434</v>
      </c>
      <c r="F805" s="1">
        <v>43434</v>
      </c>
      <c r="G805" s="1"/>
      <c r="H805" t="s">
        <v>4664</v>
      </c>
      <c r="I805" t="s">
        <v>5645</v>
      </c>
    </row>
    <row r="806" spans="1:9" x14ac:dyDescent="0.25">
      <c r="A806" t="s">
        <v>4307</v>
      </c>
      <c r="B806" s="26" t="str">
        <f>MID(tbl_forecast[[#This Row],[PACE Job Number]],3,3)</f>
        <v>NTX</v>
      </c>
      <c r="C806" t="s">
        <v>14</v>
      </c>
      <c r="D806" s="1">
        <v>43413</v>
      </c>
      <c r="E806" s="1">
        <v>43417</v>
      </c>
      <c r="F806" s="1">
        <v>43417</v>
      </c>
      <c r="G806" s="1">
        <v>43417</v>
      </c>
      <c r="H806" t="s">
        <v>9</v>
      </c>
      <c r="I806" t="s">
        <v>10</v>
      </c>
    </row>
    <row r="807" spans="1:9" x14ac:dyDescent="0.25">
      <c r="A807" t="s">
        <v>4309</v>
      </c>
      <c r="B807" s="26" t="str">
        <f>MID(tbl_forecast[[#This Row],[PACE Job Number]],3,3)</f>
        <v>NTX</v>
      </c>
      <c r="C807" t="s">
        <v>14</v>
      </c>
      <c r="D807" s="1">
        <v>43406</v>
      </c>
      <c r="E807" s="1">
        <v>43434</v>
      </c>
      <c r="F807" s="1">
        <v>43433</v>
      </c>
      <c r="G807" s="1">
        <v>43433</v>
      </c>
      <c r="H807" t="s">
        <v>4664</v>
      </c>
      <c r="I807" t="s">
        <v>10</v>
      </c>
    </row>
    <row r="808" spans="1:9" x14ac:dyDescent="0.25">
      <c r="A808" t="s">
        <v>5324</v>
      </c>
      <c r="B808" s="26" t="str">
        <f>MID(tbl_forecast[[#This Row],[PACE Job Number]],3,3)</f>
        <v>NTX</v>
      </c>
      <c r="C808" t="s">
        <v>14</v>
      </c>
      <c r="D808" s="1">
        <v>43406</v>
      </c>
      <c r="E808" s="1">
        <v>43432</v>
      </c>
      <c r="F808" s="1">
        <v>43425</v>
      </c>
      <c r="G808" s="1">
        <v>43425</v>
      </c>
      <c r="H808" t="s">
        <v>4664</v>
      </c>
      <c r="I808" t="s">
        <v>10</v>
      </c>
    </row>
    <row r="809" spans="1:9" x14ac:dyDescent="0.25">
      <c r="A809" t="s">
        <v>5325</v>
      </c>
      <c r="B809" s="26" t="str">
        <f>MID(tbl_forecast[[#This Row],[PACE Job Number]],3,3)</f>
        <v>NTX</v>
      </c>
      <c r="C809" t="s">
        <v>14</v>
      </c>
      <c r="D809" s="1">
        <v>43416</v>
      </c>
      <c r="E809" s="1">
        <v>43423</v>
      </c>
      <c r="F809" s="1">
        <v>43421</v>
      </c>
      <c r="G809" s="1">
        <v>43421</v>
      </c>
      <c r="H809" t="s">
        <v>9</v>
      </c>
      <c r="I809" t="s">
        <v>10</v>
      </c>
    </row>
    <row r="810" spans="1:9" x14ac:dyDescent="0.25">
      <c r="A810" t="s">
        <v>2542</v>
      </c>
      <c r="B810" s="26" t="str">
        <f>MID(tbl_forecast[[#This Row],[PACE Job Number]],3,3)</f>
        <v>STX</v>
      </c>
      <c r="C810" t="s">
        <v>14</v>
      </c>
      <c r="D810" s="1">
        <v>43419</v>
      </c>
      <c r="E810" s="1">
        <v>43453</v>
      </c>
      <c r="F810" s="1">
        <v>43451</v>
      </c>
      <c r="G810" s="1"/>
      <c r="H810" t="s">
        <v>4664</v>
      </c>
      <c r="I810" t="s">
        <v>5645</v>
      </c>
    </row>
    <row r="811" spans="1:9" x14ac:dyDescent="0.25">
      <c r="A811" t="s">
        <v>172</v>
      </c>
      <c r="B811" s="26" t="str">
        <f>MID(tbl_forecast[[#This Row],[PACE Job Number]],3,3)</f>
        <v>STX</v>
      </c>
      <c r="C811" t="s">
        <v>14</v>
      </c>
      <c r="D811" s="1">
        <v>43416</v>
      </c>
      <c r="E811" s="1">
        <v>43416</v>
      </c>
      <c r="F811" s="1">
        <v>43417</v>
      </c>
      <c r="G811" s="1">
        <v>43417</v>
      </c>
      <c r="H811" t="s">
        <v>9</v>
      </c>
      <c r="I811" t="s">
        <v>10</v>
      </c>
    </row>
    <row r="812" spans="1:9" x14ac:dyDescent="0.25">
      <c r="A812" t="s">
        <v>4316</v>
      </c>
      <c r="B812" s="26" t="str">
        <f>MID(tbl_forecast[[#This Row],[PACE Job Number]],3,3)</f>
        <v>STX</v>
      </c>
      <c r="C812" t="s">
        <v>14</v>
      </c>
      <c r="D812" s="1">
        <v>43416</v>
      </c>
      <c r="E812" s="1">
        <v>43453</v>
      </c>
      <c r="F812" s="1">
        <v>43451</v>
      </c>
      <c r="G812" s="1"/>
      <c r="H812" t="s">
        <v>4664</v>
      </c>
      <c r="I812" t="s">
        <v>5645</v>
      </c>
    </row>
    <row r="813" spans="1:9" x14ac:dyDescent="0.25">
      <c r="A813" t="s">
        <v>5326</v>
      </c>
      <c r="B813" s="26" t="str">
        <f>MID(tbl_forecast[[#This Row],[PACE Job Number]],3,3)</f>
        <v>STX</v>
      </c>
      <c r="C813" t="s">
        <v>14</v>
      </c>
      <c r="D813" s="1">
        <v>43416</v>
      </c>
      <c r="E813" s="1">
        <v>43416</v>
      </c>
      <c r="F813" s="1">
        <v>43413</v>
      </c>
      <c r="G813" s="1">
        <v>43413</v>
      </c>
      <c r="H813" t="s">
        <v>9</v>
      </c>
      <c r="I813" t="s">
        <v>10</v>
      </c>
    </row>
    <row r="814" spans="1:9" x14ac:dyDescent="0.25">
      <c r="A814" t="s">
        <v>4319</v>
      </c>
      <c r="B814" s="26" t="str">
        <f>MID(tbl_forecast[[#This Row],[PACE Job Number]],3,3)</f>
        <v>STX</v>
      </c>
      <c r="C814" t="s">
        <v>14</v>
      </c>
      <c r="D814" s="1">
        <v>43419</v>
      </c>
      <c r="E814" s="1">
        <v>43414</v>
      </c>
      <c r="F814" s="1">
        <v>43420</v>
      </c>
      <c r="G814" s="1">
        <v>43420</v>
      </c>
      <c r="H814" t="s">
        <v>9</v>
      </c>
      <c r="I814" t="s">
        <v>10</v>
      </c>
    </row>
    <row r="815" spans="1:9" x14ac:dyDescent="0.25">
      <c r="A815" t="s">
        <v>3463</v>
      </c>
      <c r="B815" s="26" t="str">
        <f>MID(tbl_forecast[[#This Row],[PACE Job Number]],3,3)</f>
        <v>STX</v>
      </c>
      <c r="C815" t="s">
        <v>14</v>
      </c>
      <c r="D815" s="1">
        <v>43419</v>
      </c>
      <c r="E815" s="1">
        <v>43437</v>
      </c>
      <c r="F815" s="1">
        <v>43437</v>
      </c>
      <c r="G815" s="1"/>
      <c r="H815" t="s">
        <v>4664</v>
      </c>
      <c r="I815" t="s">
        <v>5645</v>
      </c>
    </row>
    <row r="816" spans="1:9" x14ac:dyDescent="0.25">
      <c r="A816" t="s">
        <v>5197</v>
      </c>
      <c r="B816" s="26" t="str">
        <f>MID(tbl_forecast[[#This Row],[PACE Job Number]],3,3)</f>
        <v>WSH</v>
      </c>
      <c r="C816" t="s">
        <v>14</v>
      </c>
      <c r="D816" s="1">
        <v>43416</v>
      </c>
      <c r="E816" s="1">
        <v>43420</v>
      </c>
      <c r="F816" s="1">
        <v>43420</v>
      </c>
      <c r="G816" s="1">
        <v>43420</v>
      </c>
      <c r="H816" t="s">
        <v>9</v>
      </c>
      <c r="I816" t="s">
        <v>10</v>
      </c>
    </row>
    <row r="817" spans="1:9" x14ac:dyDescent="0.25">
      <c r="A817" t="s">
        <v>5198</v>
      </c>
      <c r="B817" s="26" t="str">
        <f>MID(tbl_forecast[[#This Row],[PACE Job Number]],3,3)</f>
        <v>WSH</v>
      </c>
      <c r="C817" t="s">
        <v>14</v>
      </c>
      <c r="D817" s="1">
        <v>43430</v>
      </c>
      <c r="E817" s="1">
        <v>43423</v>
      </c>
      <c r="F817" s="1">
        <v>43423</v>
      </c>
      <c r="G817" s="1">
        <v>43423</v>
      </c>
      <c r="H817" t="s">
        <v>9</v>
      </c>
      <c r="I817" t="s">
        <v>10</v>
      </c>
    </row>
    <row r="818" spans="1:9" x14ac:dyDescent="0.25">
      <c r="A818" t="s">
        <v>4206</v>
      </c>
      <c r="B818" s="26" t="str">
        <f>MID(tbl_forecast[[#This Row],[PACE Job Number]],3,3)</f>
        <v>WSH</v>
      </c>
      <c r="C818" t="s">
        <v>14</v>
      </c>
      <c r="D818" s="1">
        <v>43411</v>
      </c>
      <c r="E818" s="1">
        <v>43410</v>
      </c>
      <c r="F818" s="1">
        <v>43410</v>
      </c>
      <c r="G818" s="1">
        <v>43410</v>
      </c>
      <c r="H818" t="s">
        <v>9</v>
      </c>
      <c r="I818" t="s">
        <v>10</v>
      </c>
    </row>
    <row r="819" spans="1:9" x14ac:dyDescent="0.25">
      <c r="A819" t="s">
        <v>254</v>
      </c>
      <c r="B819" s="26" t="str">
        <f>MID(tbl_forecast[[#This Row],[PACE Job Number]],3,3)</f>
        <v>WSH</v>
      </c>
      <c r="C819" t="s">
        <v>14</v>
      </c>
      <c r="D819" s="1">
        <v>43416</v>
      </c>
      <c r="E819" s="1">
        <v>43417</v>
      </c>
      <c r="F819" s="1">
        <v>43417</v>
      </c>
      <c r="G819" s="1">
        <v>43417</v>
      </c>
      <c r="H819" t="s">
        <v>9</v>
      </c>
      <c r="I819" t="s">
        <v>10</v>
      </c>
    </row>
    <row r="820" spans="1:9" x14ac:dyDescent="0.25">
      <c r="A820" t="s">
        <v>5199</v>
      </c>
      <c r="B820" s="26" t="str">
        <f>MID(tbl_forecast[[#This Row],[PACE Job Number]],3,3)</f>
        <v>WSH</v>
      </c>
      <c r="C820" t="s">
        <v>14</v>
      </c>
      <c r="D820" s="1">
        <v>43409</v>
      </c>
      <c r="E820" s="1">
        <v>43409</v>
      </c>
      <c r="F820" s="1">
        <v>43409</v>
      </c>
      <c r="G820" s="1">
        <v>43409</v>
      </c>
      <c r="H820" t="s">
        <v>9</v>
      </c>
      <c r="I820" t="s">
        <v>10</v>
      </c>
    </row>
    <row r="821" spans="1:9" x14ac:dyDescent="0.25">
      <c r="A821" t="s">
        <v>5200</v>
      </c>
      <c r="B821" s="26" t="str">
        <f>MID(tbl_forecast[[#This Row],[PACE Job Number]],3,3)</f>
        <v>WSH</v>
      </c>
      <c r="C821" t="s">
        <v>14</v>
      </c>
      <c r="D821" s="1">
        <v>43411</v>
      </c>
      <c r="E821" s="1">
        <v>43413</v>
      </c>
      <c r="F821" s="1">
        <v>43413</v>
      </c>
      <c r="G821" s="1">
        <v>43413</v>
      </c>
      <c r="H821" t="s">
        <v>9</v>
      </c>
      <c r="I821" t="s">
        <v>10</v>
      </c>
    </row>
    <row r="822" spans="1:9" x14ac:dyDescent="0.25">
      <c r="A822" t="s">
        <v>5327</v>
      </c>
      <c r="B822" s="26" t="str">
        <f>MID(tbl_forecast[[#This Row],[PACE Job Number]],3,3)</f>
        <v>WSH</v>
      </c>
      <c r="C822" t="s">
        <v>14</v>
      </c>
      <c r="D822" s="1">
        <v>43423</v>
      </c>
      <c r="E822" s="1">
        <v>43420</v>
      </c>
      <c r="F822" s="1">
        <v>43420</v>
      </c>
      <c r="G822" s="1">
        <v>43420</v>
      </c>
      <c r="H822" t="s">
        <v>9</v>
      </c>
      <c r="I822" t="s">
        <v>10</v>
      </c>
    </row>
    <row r="823" spans="1:9" x14ac:dyDescent="0.25">
      <c r="A823" t="s">
        <v>3813</v>
      </c>
      <c r="B823" s="26" t="str">
        <f>MID(tbl_forecast[[#This Row],[PACE Job Number]],3,3)</f>
        <v>WSH</v>
      </c>
      <c r="C823" t="s">
        <v>14</v>
      </c>
      <c r="D823" s="1">
        <v>43409</v>
      </c>
      <c r="E823" s="1">
        <v>43411</v>
      </c>
      <c r="F823" s="1">
        <v>43411</v>
      </c>
      <c r="G823" s="1">
        <v>43411</v>
      </c>
      <c r="H823" t="s">
        <v>9</v>
      </c>
      <c r="I823" t="s">
        <v>10</v>
      </c>
    </row>
    <row r="824" spans="1:9" x14ac:dyDescent="0.25">
      <c r="A824" t="s">
        <v>3396</v>
      </c>
      <c r="B824" s="26" t="str">
        <f>MID(tbl_forecast[[#This Row],[PACE Job Number]],3,3)</f>
        <v>WSH</v>
      </c>
      <c r="C824" t="s">
        <v>14</v>
      </c>
      <c r="D824" s="1">
        <v>43430</v>
      </c>
      <c r="E824" s="1">
        <v>43438</v>
      </c>
      <c r="F824" s="1">
        <v>43437</v>
      </c>
      <c r="G824" s="1"/>
      <c r="H824" t="s">
        <v>9</v>
      </c>
      <c r="I824" t="s">
        <v>27</v>
      </c>
    </row>
    <row r="825" spans="1:9" x14ac:dyDescent="0.25">
      <c r="A825" t="s">
        <v>5328</v>
      </c>
      <c r="B825" s="26" t="str">
        <f>MID(tbl_forecast[[#This Row],[PACE Job Number]],3,3)</f>
        <v>WSH</v>
      </c>
      <c r="C825" t="s">
        <v>14</v>
      </c>
      <c r="D825" s="1">
        <v>43423</v>
      </c>
      <c r="E825" s="1">
        <v>43410</v>
      </c>
      <c r="F825" s="1">
        <v>43410</v>
      </c>
      <c r="G825" s="1">
        <v>43410</v>
      </c>
      <c r="H825" t="s">
        <v>9</v>
      </c>
      <c r="I825" t="s">
        <v>10</v>
      </c>
    </row>
    <row r="826" spans="1:9" x14ac:dyDescent="0.25">
      <c r="A826" t="s">
        <v>214</v>
      </c>
      <c r="B826" s="26" t="str">
        <f>MID(tbl_forecast[[#This Row],[PACE Job Number]],3,3)</f>
        <v>WSH</v>
      </c>
      <c r="C826" t="s">
        <v>14</v>
      </c>
      <c r="D826" s="1">
        <v>43423</v>
      </c>
      <c r="E826" s="1">
        <v>43414</v>
      </c>
      <c r="F826" s="1">
        <v>43414</v>
      </c>
      <c r="G826" s="1">
        <v>43414</v>
      </c>
      <c r="H826" t="s">
        <v>9</v>
      </c>
      <c r="I826" t="s">
        <v>10</v>
      </c>
    </row>
    <row r="827" spans="1:9" x14ac:dyDescent="0.25">
      <c r="A827" t="s">
        <v>4208</v>
      </c>
      <c r="B827" s="26" t="str">
        <f>MID(tbl_forecast[[#This Row],[PACE Job Number]],3,3)</f>
        <v>WSH</v>
      </c>
      <c r="C827" t="s">
        <v>14</v>
      </c>
      <c r="D827" s="1">
        <v>43416</v>
      </c>
      <c r="E827" s="1" t="s">
        <v>5646</v>
      </c>
      <c r="F827" s="1" t="s">
        <v>5646</v>
      </c>
      <c r="G827" s="1" t="s">
        <v>5646</v>
      </c>
      <c r="H827" t="s">
        <v>5647</v>
      </c>
      <c r="I827" t="s">
        <v>27</v>
      </c>
    </row>
    <row r="828" spans="1:9" x14ac:dyDescent="0.25">
      <c r="A828" t="s">
        <v>5201</v>
      </c>
      <c r="B828" s="26" t="str">
        <f>MID(tbl_forecast[[#This Row],[PACE Job Number]],3,3)</f>
        <v>WSH</v>
      </c>
      <c r="C828" t="s">
        <v>14</v>
      </c>
      <c r="D828" s="1">
        <v>43413</v>
      </c>
      <c r="E828" s="1">
        <v>43418</v>
      </c>
      <c r="F828" s="1">
        <v>43418</v>
      </c>
      <c r="G828" s="1">
        <v>43418</v>
      </c>
      <c r="H828" t="s">
        <v>9</v>
      </c>
      <c r="I828" t="s">
        <v>10</v>
      </c>
    </row>
    <row r="829" spans="1:9" x14ac:dyDescent="0.25">
      <c r="A829" t="s">
        <v>5202</v>
      </c>
      <c r="B829" s="26" t="str">
        <f>MID(tbl_forecast[[#This Row],[PACE Job Number]],3,3)</f>
        <v>WSH</v>
      </c>
      <c r="C829" t="s">
        <v>14</v>
      </c>
      <c r="D829" s="1">
        <v>43416</v>
      </c>
      <c r="E829" s="1">
        <v>43420</v>
      </c>
      <c r="F829" s="1">
        <v>43420</v>
      </c>
      <c r="G829" s="1">
        <v>43420</v>
      </c>
      <c r="H829" t="s">
        <v>9</v>
      </c>
      <c r="I829" t="s">
        <v>10</v>
      </c>
    </row>
    <row r="830" spans="1:9" x14ac:dyDescent="0.25">
      <c r="A830" t="s">
        <v>3820</v>
      </c>
      <c r="B830" s="26" t="str">
        <f>MID(tbl_forecast[[#This Row],[PACE Job Number]],3,3)</f>
        <v>WSH</v>
      </c>
      <c r="C830" t="s">
        <v>14</v>
      </c>
      <c r="D830" s="1">
        <v>43416</v>
      </c>
      <c r="E830" s="1">
        <v>43437</v>
      </c>
      <c r="F830" s="1">
        <v>43434</v>
      </c>
      <c r="G830" s="1"/>
      <c r="H830" t="s">
        <v>4664</v>
      </c>
      <c r="I830" t="s">
        <v>5645</v>
      </c>
    </row>
    <row r="831" spans="1:9" x14ac:dyDescent="0.25">
      <c r="A831" t="s">
        <v>5329</v>
      </c>
      <c r="B831" s="26" t="str">
        <f>MID(tbl_forecast[[#This Row],[PACE Job Number]],3,3)</f>
        <v>WSH</v>
      </c>
      <c r="C831" t="s">
        <v>14</v>
      </c>
      <c r="D831" s="1">
        <v>43423</v>
      </c>
      <c r="E831" s="1">
        <v>43424</v>
      </c>
      <c r="F831" s="1">
        <v>43424</v>
      </c>
      <c r="G831" s="1">
        <v>43424</v>
      </c>
      <c r="H831" t="s">
        <v>9</v>
      </c>
      <c r="I831" t="s">
        <v>10</v>
      </c>
    </row>
    <row r="832" spans="1:9" x14ac:dyDescent="0.25">
      <c r="A832" t="s">
        <v>5330</v>
      </c>
      <c r="B832" s="26" t="str">
        <f>MID(tbl_forecast[[#This Row],[PACE Job Number]],3,3)</f>
        <v>WSH</v>
      </c>
      <c r="C832" t="s">
        <v>14</v>
      </c>
      <c r="D832" s="1">
        <v>43430</v>
      </c>
      <c r="E832" s="1">
        <v>43420</v>
      </c>
      <c r="F832" s="1">
        <v>43420</v>
      </c>
      <c r="G832" s="1">
        <v>43420</v>
      </c>
      <c r="H832" t="s">
        <v>9</v>
      </c>
      <c r="I832" t="s">
        <v>10</v>
      </c>
    </row>
    <row r="833" spans="1:9" x14ac:dyDescent="0.25">
      <c r="A833" t="s">
        <v>4327</v>
      </c>
      <c r="B833" s="26" t="str">
        <f>MID(tbl_forecast[[#This Row],[PACE Job Number]],3,3)</f>
        <v>STX</v>
      </c>
      <c r="C833" t="s">
        <v>14</v>
      </c>
      <c r="D833" s="1">
        <v>43416</v>
      </c>
      <c r="E833" s="1">
        <v>43416</v>
      </c>
      <c r="F833" s="1">
        <v>43423</v>
      </c>
      <c r="G833" s="1">
        <v>43423</v>
      </c>
      <c r="H833" t="s">
        <v>9</v>
      </c>
      <c r="I833" t="s">
        <v>10</v>
      </c>
    </row>
    <row r="834" spans="1:9" x14ac:dyDescent="0.25">
      <c r="A834" t="s">
        <v>5331</v>
      </c>
      <c r="B834" s="26" t="str">
        <f>MID(tbl_forecast[[#This Row],[PACE Job Number]],3,3)</f>
        <v>STX</v>
      </c>
      <c r="C834" t="s">
        <v>14</v>
      </c>
      <c r="D834" s="1">
        <v>43420</v>
      </c>
      <c r="E834" s="1">
        <v>43420</v>
      </c>
      <c r="F834" s="1">
        <v>43410</v>
      </c>
      <c r="G834" s="1">
        <v>43410</v>
      </c>
      <c r="H834" t="s">
        <v>9</v>
      </c>
      <c r="I834" t="s">
        <v>10</v>
      </c>
    </row>
    <row r="835" spans="1:9" x14ac:dyDescent="0.25">
      <c r="A835" t="s">
        <v>4329</v>
      </c>
      <c r="B835" s="26" t="str">
        <f>MID(tbl_forecast[[#This Row],[PACE Job Number]],3,3)</f>
        <v>STX</v>
      </c>
      <c r="C835" t="s">
        <v>14</v>
      </c>
      <c r="D835" s="1">
        <v>43416</v>
      </c>
      <c r="E835" s="1">
        <v>43416</v>
      </c>
      <c r="F835" s="1">
        <v>43413</v>
      </c>
      <c r="G835" s="1">
        <v>43413</v>
      </c>
      <c r="H835" t="s">
        <v>9</v>
      </c>
      <c r="I835" t="s">
        <v>10</v>
      </c>
    </row>
    <row r="836" spans="1:9" x14ac:dyDescent="0.25">
      <c r="A836" t="s">
        <v>187</v>
      </c>
      <c r="B836" s="26" t="str">
        <f>MID(tbl_forecast[[#This Row],[PACE Job Number]],3,3)</f>
        <v>STX</v>
      </c>
      <c r="C836" t="s">
        <v>14</v>
      </c>
      <c r="D836" s="1">
        <v>43416</v>
      </c>
      <c r="E836" s="1">
        <v>43416</v>
      </c>
      <c r="F836" s="1">
        <v>43415</v>
      </c>
      <c r="G836" s="1">
        <v>43415</v>
      </c>
      <c r="H836" t="s">
        <v>9</v>
      </c>
      <c r="I836" t="s">
        <v>10</v>
      </c>
    </row>
    <row r="837" spans="1:9" x14ac:dyDescent="0.25">
      <c r="A837" t="s">
        <v>5332</v>
      </c>
      <c r="B837" s="26" t="str">
        <f>MID(tbl_forecast[[#This Row],[PACE Job Number]],3,3)</f>
        <v>STX</v>
      </c>
      <c r="C837" t="s">
        <v>14</v>
      </c>
      <c r="D837" s="1">
        <v>43416</v>
      </c>
      <c r="E837" s="1">
        <v>43453</v>
      </c>
      <c r="F837" s="1">
        <v>43452</v>
      </c>
      <c r="G837" s="1"/>
      <c r="H837" t="s">
        <v>4664</v>
      </c>
      <c r="I837" t="s">
        <v>5645</v>
      </c>
    </row>
    <row r="838" spans="1:9" x14ac:dyDescent="0.25">
      <c r="A838" t="s">
        <v>2576</v>
      </c>
      <c r="B838" s="26" t="str">
        <f>MID(tbl_forecast[[#This Row],[PACE Job Number]],3,3)</f>
        <v>STX</v>
      </c>
      <c r="C838" t="s">
        <v>14</v>
      </c>
      <c r="D838" s="1">
        <v>43419</v>
      </c>
      <c r="E838" s="1">
        <v>43443</v>
      </c>
      <c r="F838" s="1">
        <v>43443</v>
      </c>
      <c r="G838" s="1"/>
      <c r="H838" t="s">
        <v>4664</v>
      </c>
      <c r="I838" t="s">
        <v>5645</v>
      </c>
    </row>
    <row r="839" spans="1:9" x14ac:dyDescent="0.25">
      <c r="A839" t="s">
        <v>4330</v>
      </c>
      <c r="B839" s="26" t="str">
        <f>MID(tbl_forecast[[#This Row],[PACE Job Number]],3,3)</f>
        <v>STX</v>
      </c>
      <c r="C839" t="s">
        <v>14</v>
      </c>
      <c r="D839" s="1">
        <v>43416</v>
      </c>
      <c r="E839" s="1">
        <v>43416</v>
      </c>
      <c r="F839" s="1">
        <v>43419</v>
      </c>
      <c r="G839" s="1">
        <v>43419</v>
      </c>
      <c r="H839" t="s">
        <v>9</v>
      </c>
      <c r="I839" t="s">
        <v>10</v>
      </c>
    </row>
    <row r="840" spans="1:9" x14ac:dyDescent="0.25">
      <c r="A840" t="s">
        <v>4331</v>
      </c>
      <c r="B840" s="26" t="str">
        <f>MID(tbl_forecast[[#This Row],[PACE Job Number]],3,3)</f>
        <v>STX</v>
      </c>
      <c r="C840" t="s">
        <v>14</v>
      </c>
      <c r="D840" s="1">
        <v>43416</v>
      </c>
      <c r="E840" s="1">
        <v>43416</v>
      </c>
      <c r="F840" s="1">
        <v>43417</v>
      </c>
      <c r="G840" s="1">
        <v>43417</v>
      </c>
      <c r="H840" t="s">
        <v>9</v>
      </c>
      <c r="I840" t="s">
        <v>10</v>
      </c>
    </row>
    <row r="841" spans="1:9" x14ac:dyDescent="0.25">
      <c r="A841" t="s">
        <v>3365</v>
      </c>
      <c r="B841" s="26" t="str">
        <f>MID(tbl_forecast[[#This Row],[PACE Job Number]],3,3)</f>
        <v>STX</v>
      </c>
      <c r="C841" t="s">
        <v>14</v>
      </c>
      <c r="D841" s="1">
        <v>43416</v>
      </c>
      <c r="E841" s="1">
        <v>43416</v>
      </c>
      <c r="F841" s="1">
        <v>43420</v>
      </c>
      <c r="G841" s="1">
        <v>43420</v>
      </c>
      <c r="H841" t="s">
        <v>9</v>
      </c>
      <c r="I841" t="s">
        <v>10</v>
      </c>
    </row>
    <row r="842" spans="1:9" x14ac:dyDescent="0.25">
      <c r="A842" t="s">
        <v>2571</v>
      </c>
      <c r="B842" s="26" t="str">
        <f>MID(tbl_forecast[[#This Row],[PACE Job Number]],3,3)</f>
        <v>STX</v>
      </c>
      <c r="C842" t="s">
        <v>14</v>
      </c>
      <c r="D842" s="1">
        <v>43416</v>
      </c>
      <c r="E842" s="1">
        <v>43453</v>
      </c>
      <c r="F842" s="1">
        <v>43451</v>
      </c>
      <c r="G842" s="1"/>
      <c r="H842" t="s">
        <v>4664</v>
      </c>
      <c r="I842" t="s">
        <v>5645</v>
      </c>
    </row>
    <row r="843" spans="1:9" x14ac:dyDescent="0.25">
      <c r="A843" t="s">
        <v>2578</v>
      </c>
      <c r="B843" s="26" t="str">
        <f>MID(tbl_forecast[[#This Row],[PACE Job Number]],3,3)</f>
        <v>STX</v>
      </c>
      <c r="C843" t="s">
        <v>14</v>
      </c>
      <c r="D843" s="1">
        <v>43419</v>
      </c>
      <c r="E843" s="1">
        <v>43419</v>
      </c>
      <c r="F843" s="1">
        <v>43410</v>
      </c>
      <c r="G843" s="1">
        <v>43410</v>
      </c>
      <c r="H843" t="s">
        <v>9</v>
      </c>
      <c r="I843" t="s">
        <v>10</v>
      </c>
    </row>
    <row r="844" spans="1:9" x14ac:dyDescent="0.25">
      <c r="A844" t="s">
        <v>3362</v>
      </c>
      <c r="B844" s="26" t="str">
        <f>MID(tbl_forecast[[#This Row],[PACE Job Number]],3,3)</f>
        <v>STX</v>
      </c>
      <c r="C844" t="s">
        <v>14</v>
      </c>
      <c r="D844" s="1">
        <v>43420</v>
      </c>
      <c r="E844" s="1">
        <v>43439</v>
      </c>
      <c r="F844" s="1">
        <v>43439</v>
      </c>
      <c r="G844" s="1"/>
      <c r="H844" t="s">
        <v>4664</v>
      </c>
      <c r="I844" t="s">
        <v>5645</v>
      </c>
    </row>
    <row r="845" spans="1:9" x14ac:dyDescent="0.25">
      <c r="A845" t="s">
        <v>5333</v>
      </c>
      <c r="B845" s="26" t="str">
        <f>MID(tbl_forecast[[#This Row],[PACE Job Number]],3,3)</f>
        <v>STX</v>
      </c>
      <c r="C845" t="s">
        <v>14</v>
      </c>
      <c r="D845" s="1">
        <v>43419</v>
      </c>
      <c r="E845" s="1">
        <v>43419</v>
      </c>
      <c r="F845" s="1">
        <v>43420</v>
      </c>
      <c r="G845" s="1">
        <v>43420</v>
      </c>
      <c r="H845" t="s">
        <v>9</v>
      </c>
      <c r="I845" t="s">
        <v>10</v>
      </c>
    </row>
    <row r="846" spans="1:9" x14ac:dyDescent="0.25">
      <c r="A846" t="s">
        <v>5334</v>
      </c>
      <c r="B846" s="26" t="str">
        <f>MID(tbl_forecast[[#This Row],[PACE Job Number]],3,3)</f>
        <v>STX</v>
      </c>
      <c r="C846" t="s">
        <v>14</v>
      </c>
      <c r="D846" s="1">
        <v>43419</v>
      </c>
      <c r="E846" s="1">
        <v>43419</v>
      </c>
      <c r="F846" s="1">
        <v>43420</v>
      </c>
      <c r="G846" s="1">
        <v>43420</v>
      </c>
      <c r="H846" t="s">
        <v>9</v>
      </c>
      <c r="I846" t="s">
        <v>10</v>
      </c>
    </row>
    <row r="847" spans="1:9" x14ac:dyDescent="0.25">
      <c r="A847" t="s">
        <v>5335</v>
      </c>
      <c r="B847" s="26" t="str">
        <f>MID(tbl_forecast[[#This Row],[PACE Job Number]],3,3)</f>
        <v>NTX</v>
      </c>
      <c r="C847" t="s">
        <v>14</v>
      </c>
      <c r="D847" s="1">
        <v>43419</v>
      </c>
      <c r="E847" s="1">
        <v>43438</v>
      </c>
      <c r="F847" s="1">
        <v>43438</v>
      </c>
      <c r="G847" s="1"/>
      <c r="H847" t="s">
        <v>4664</v>
      </c>
      <c r="I847" t="s">
        <v>5645</v>
      </c>
    </row>
    <row r="848" spans="1:9" x14ac:dyDescent="0.25">
      <c r="A848" t="s">
        <v>2322</v>
      </c>
      <c r="B848" s="26" t="str">
        <f>MID(tbl_forecast[[#This Row],[PACE Job Number]],3,3)</f>
        <v>NTX</v>
      </c>
      <c r="C848" t="s">
        <v>14</v>
      </c>
      <c r="D848" s="1">
        <v>43416</v>
      </c>
      <c r="E848" s="1">
        <v>43430</v>
      </c>
      <c r="F848" s="1">
        <v>43434</v>
      </c>
      <c r="G848" s="1"/>
      <c r="H848" t="s">
        <v>4664</v>
      </c>
      <c r="I848" t="s">
        <v>5645</v>
      </c>
    </row>
    <row r="849" spans="1:9" x14ac:dyDescent="0.25">
      <c r="A849" t="s">
        <v>920</v>
      </c>
      <c r="B849" s="26" t="str">
        <f>MID(tbl_forecast[[#This Row],[PACE Job Number]],3,3)</f>
        <v>NTX</v>
      </c>
      <c r="C849" t="s">
        <v>14</v>
      </c>
      <c r="D849" s="1">
        <v>43409</v>
      </c>
      <c r="E849" s="1">
        <v>43430</v>
      </c>
      <c r="F849" s="1">
        <v>43430</v>
      </c>
      <c r="G849" s="1">
        <v>43430</v>
      </c>
      <c r="H849" t="s">
        <v>4664</v>
      </c>
      <c r="I849" t="s">
        <v>10</v>
      </c>
    </row>
    <row r="850" spans="1:9" x14ac:dyDescent="0.25">
      <c r="A850" t="s">
        <v>3796</v>
      </c>
      <c r="B850" s="26" t="str">
        <f>MID(tbl_forecast[[#This Row],[PACE Job Number]],3,3)</f>
        <v>NTX</v>
      </c>
      <c r="C850" t="s">
        <v>14</v>
      </c>
      <c r="D850" s="1">
        <v>43432</v>
      </c>
      <c r="E850" s="1">
        <v>43493</v>
      </c>
      <c r="F850" s="1">
        <v>43493</v>
      </c>
      <c r="G850" s="1"/>
      <c r="H850" t="s">
        <v>4664</v>
      </c>
      <c r="I850" t="s">
        <v>4665</v>
      </c>
    </row>
    <row r="851" spans="1:9" x14ac:dyDescent="0.25">
      <c r="A851" t="s">
        <v>4416</v>
      </c>
      <c r="B851" s="26" t="str">
        <f>MID(tbl_forecast[[#This Row],[PACE Job Number]],3,3)</f>
        <v>NTX</v>
      </c>
      <c r="C851" t="s">
        <v>14</v>
      </c>
      <c r="D851" s="1">
        <v>43416</v>
      </c>
      <c r="E851" s="1">
        <v>43434</v>
      </c>
      <c r="F851" s="1">
        <v>43434</v>
      </c>
      <c r="G851" s="1"/>
      <c r="H851" t="s">
        <v>4664</v>
      </c>
      <c r="I851" t="s">
        <v>5645</v>
      </c>
    </row>
    <row r="852" spans="1:9" x14ac:dyDescent="0.25">
      <c r="A852" t="s">
        <v>921</v>
      </c>
      <c r="B852" s="26" t="str">
        <f>MID(tbl_forecast[[#This Row],[PACE Job Number]],3,3)</f>
        <v>NTX</v>
      </c>
      <c r="C852" t="s">
        <v>14</v>
      </c>
      <c r="D852" s="1">
        <v>43409</v>
      </c>
      <c r="E852" s="1">
        <v>43430</v>
      </c>
      <c r="F852" s="1">
        <v>43430</v>
      </c>
      <c r="G852" s="1">
        <v>43430</v>
      </c>
      <c r="H852" t="s">
        <v>4664</v>
      </c>
      <c r="I852" t="s">
        <v>10</v>
      </c>
    </row>
    <row r="853" spans="1:9" x14ac:dyDescent="0.25">
      <c r="A853" t="s">
        <v>1723</v>
      </c>
      <c r="B853" s="26" t="str">
        <f>MID(tbl_forecast[[#This Row],[PACE Job Number]],3,3)</f>
        <v>NTX</v>
      </c>
      <c r="C853" t="s">
        <v>14</v>
      </c>
      <c r="D853" s="1">
        <v>43413</v>
      </c>
      <c r="E853" s="1">
        <v>43430</v>
      </c>
      <c r="F853" s="1">
        <v>43434</v>
      </c>
      <c r="G853" s="1"/>
      <c r="H853" t="s">
        <v>4664</v>
      </c>
      <c r="I853" t="s">
        <v>5645</v>
      </c>
    </row>
    <row r="854" spans="1:9" x14ac:dyDescent="0.25">
      <c r="A854" t="s">
        <v>246</v>
      </c>
      <c r="B854" s="26" t="str">
        <f>MID(tbl_forecast[[#This Row],[PACE Job Number]],3,3)</f>
        <v>NTX</v>
      </c>
      <c r="C854" t="s">
        <v>14</v>
      </c>
      <c r="D854" s="1">
        <v>43409</v>
      </c>
      <c r="E854" s="1">
        <v>43424</v>
      </c>
      <c r="F854" s="1">
        <v>43419</v>
      </c>
      <c r="G854" s="1">
        <v>43419</v>
      </c>
      <c r="H854" t="s">
        <v>9</v>
      </c>
      <c r="I854" t="s">
        <v>10</v>
      </c>
    </row>
    <row r="855" spans="1:9" x14ac:dyDescent="0.25">
      <c r="A855" t="s">
        <v>588</v>
      </c>
      <c r="B855" s="26" t="str">
        <f>MID(tbl_forecast[[#This Row],[PACE Job Number]],3,3)</f>
        <v>NTX</v>
      </c>
      <c r="C855" t="s">
        <v>14</v>
      </c>
      <c r="D855" s="1">
        <v>43416</v>
      </c>
      <c r="E855" s="1">
        <v>43434</v>
      </c>
      <c r="F855" s="1">
        <v>43434</v>
      </c>
      <c r="G855" s="1"/>
      <c r="H855" t="s">
        <v>4664</v>
      </c>
      <c r="I855" t="s">
        <v>5645</v>
      </c>
    </row>
    <row r="856" spans="1:9" x14ac:dyDescent="0.25">
      <c r="A856" t="s">
        <v>5336</v>
      </c>
      <c r="B856" s="26" t="str">
        <f>MID(tbl_forecast[[#This Row],[PACE Job Number]],3,3)</f>
        <v>NTX</v>
      </c>
      <c r="C856" t="s">
        <v>14</v>
      </c>
      <c r="D856" s="1">
        <v>43416</v>
      </c>
      <c r="E856" s="1">
        <v>43430</v>
      </c>
      <c r="F856" s="1">
        <v>43423</v>
      </c>
      <c r="G856" s="1">
        <v>43423</v>
      </c>
      <c r="H856" t="s">
        <v>9</v>
      </c>
      <c r="I856" t="s">
        <v>10</v>
      </c>
    </row>
    <row r="857" spans="1:9" x14ac:dyDescent="0.25">
      <c r="A857" t="s">
        <v>3884</v>
      </c>
      <c r="B857" s="26" t="str">
        <f>MID(tbl_forecast[[#This Row],[PACE Job Number]],3,3)</f>
        <v>NTX</v>
      </c>
      <c r="C857" t="s">
        <v>14</v>
      </c>
      <c r="D857" s="1">
        <v>43432</v>
      </c>
      <c r="E857" s="1">
        <v>43440</v>
      </c>
      <c r="F857" s="1">
        <v>43440</v>
      </c>
      <c r="G857" s="1"/>
      <c r="H857" t="s">
        <v>9</v>
      </c>
      <c r="I857" t="s">
        <v>27</v>
      </c>
    </row>
    <row r="858" spans="1:9" x14ac:dyDescent="0.25">
      <c r="A858" t="s">
        <v>5337</v>
      </c>
      <c r="B858" s="26" t="str">
        <f>MID(tbl_forecast[[#This Row],[PACE Job Number]],3,3)</f>
        <v>NTX</v>
      </c>
      <c r="C858" t="s">
        <v>14</v>
      </c>
      <c r="D858" s="1">
        <v>43416</v>
      </c>
      <c r="E858" s="1">
        <v>43434</v>
      </c>
      <c r="F858" s="1">
        <v>43432</v>
      </c>
      <c r="G858" s="1">
        <v>43432</v>
      </c>
      <c r="H858" t="s">
        <v>4664</v>
      </c>
      <c r="I858" t="s">
        <v>10</v>
      </c>
    </row>
    <row r="859" spans="1:9" x14ac:dyDescent="0.25">
      <c r="A859" t="s">
        <v>5338</v>
      </c>
      <c r="B859" s="26" t="str">
        <f>MID(tbl_forecast[[#This Row],[PACE Job Number]],3,3)</f>
        <v>NTX</v>
      </c>
      <c r="C859" t="s">
        <v>14</v>
      </c>
      <c r="D859" s="1">
        <v>43432</v>
      </c>
      <c r="E859" s="1">
        <v>43434</v>
      </c>
      <c r="F859" s="1">
        <v>43434</v>
      </c>
      <c r="G859" s="1"/>
      <c r="H859" t="s">
        <v>9</v>
      </c>
      <c r="I859" t="s">
        <v>27</v>
      </c>
    </row>
    <row r="860" spans="1:9" x14ac:dyDescent="0.25">
      <c r="A860" t="s">
        <v>497</v>
      </c>
      <c r="B860" s="26" t="str">
        <f>MID(tbl_forecast[[#This Row],[PACE Job Number]],3,3)</f>
        <v>NTX</v>
      </c>
      <c r="C860" t="s">
        <v>14</v>
      </c>
      <c r="D860" s="1">
        <v>43432</v>
      </c>
      <c r="E860" s="1">
        <v>43444</v>
      </c>
      <c r="F860" s="1">
        <v>43444</v>
      </c>
      <c r="G860" s="1"/>
      <c r="H860" t="s">
        <v>9</v>
      </c>
      <c r="I860" t="s">
        <v>27</v>
      </c>
    </row>
    <row r="861" spans="1:9" x14ac:dyDescent="0.25">
      <c r="A861" t="s">
        <v>4384</v>
      </c>
      <c r="B861" s="26" t="str">
        <f>MID(tbl_forecast[[#This Row],[PACE Job Number]],3,3)</f>
        <v>NTX</v>
      </c>
      <c r="C861" t="s">
        <v>14</v>
      </c>
      <c r="D861" s="1">
        <v>43405</v>
      </c>
      <c r="E861" s="1">
        <v>43493</v>
      </c>
      <c r="F861" s="1">
        <v>43493</v>
      </c>
      <c r="G861" s="1"/>
      <c r="H861" t="s">
        <v>4664</v>
      </c>
      <c r="I861" t="s">
        <v>5645</v>
      </c>
    </row>
    <row r="862" spans="1:9" x14ac:dyDescent="0.25">
      <c r="A862" t="s">
        <v>590</v>
      </c>
      <c r="B862" s="26" t="str">
        <f>MID(tbl_forecast[[#This Row],[PACE Job Number]],3,3)</f>
        <v>NTX</v>
      </c>
      <c r="C862" t="s">
        <v>14</v>
      </c>
      <c r="D862" s="1">
        <v>43409</v>
      </c>
      <c r="E862" s="1">
        <v>43417</v>
      </c>
      <c r="F862" s="1">
        <v>43414</v>
      </c>
      <c r="G862" s="1">
        <v>43414</v>
      </c>
      <c r="H862" t="s">
        <v>9</v>
      </c>
      <c r="I862" t="s">
        <v>10</v>
      </c>
    </row>
    <row r="863" spans="1:9" x14ac:dyDescent="0.25">
      <c r="A863" t="s">
        <v>363</v>
      </c>
      <c r="B863" s="26" t="str">
        <f>MID(tbl_forecast[[#This Row],[PACE Job Number]],3,3)</f>
        <v>NTX</v>
      </c>
      <c r="C863" t="s">
        <v>14</v>
      </c>
      <c r="D863" s="1">
        <v>43409</v>
      </c>
      <c r="E863" s="1">
        <v>43434</v>
      </c>
      <c r="F863" s="1">
        <v>43434</v>
      </c>
      <c r="G863" s="1"/>
      <c r="H863" t="s">
        <v>4664</v>
      </c>
      <c r="I863" t="s">
        <v>5645</v>
      </c>
    </row>
    <row r="864" spans="1:9" x14ac:dyDescent="0.25">
      <c r="A864" t="s">
        <v>5339</v>
      </c>
      <c r="B864" s="26" t="str">
        <f>MID(tbl_forecast[[#This Row],[PACE Job Number]],3,3)</f>
        <v>NTX</v>
      </c>
      <c r="C864" t="s">
        <v>14</v>
      </c>
      <c r="D864" s="1">
        <v>43434</v>
      </c>
      <c r="E864" s="1">
        <v>43434</v>
      </c>
      <c r="F864" s="1">
        <v>43417</v>
      </c>
      <c r="G864" s="1">
        <v>43417</v>
      </c>
      <c r="H864" t="s">
        <v>9</v>
      </c>
      <c r="I864" t="s">
        <v>10</v>
      </c>
    </row>
    <row r="865" spans="1:9" x14ac:dyDescent="0.25">
      <c r="A865" t="s">
        <v>788</v>
      </c>
      <c r="B865" s="26" t="str">
        <f>MID(tbl_forecast[[#This Row],[PACE Job Number]],3,3)</f>
        <v>NTX</v>
      </c>
      <c r="C865" t="s">
        <v>14</v>
      </c>
      <c r="D865" s="1">
        <v>43409</v>
      </c>
      <c r="E865" s="1">
        <v>43417</v>
      </c>
      <c r="F865" s="1">
        <v>43414</v>
      </c>
      <c r="G865" s="1">
        <v>43414</v>
      </c>
      <c r="H865" t="s">
        <v>9</v>
      </c>
      <c r="I865" t="s">
        <v>10</v>
      </c>
    </row>
    <row r="866" spans="1:9" x14ac:dyDescent="0.25">
      <c r="A866" t="s">
        <v>4388</v>
      </c>
      <c r="B866" s="26" t="str">
        <f>MID(tbl_forecast[[#This Row],[PACE Job Number]],3,3)</f>
        <v>NTX</v>
      </c>
      <c r="C866" t="s">
        <v>14</v>
      </c>
      <c r="D866" s="1">
        <v>43405</v>
      </c>
      <c r="E866" s="1">
        <v>43493</v>
      </c>
      <c r="F866" s="1">
        <v>43493</v>
      </c>
      <c r="G866" s="1"/>
      <c r="H866" t="s">
        <v>4664</v>
      </c>
      <c r="I866" t="s">
        <v>5645</v>
      </c>
    </row>
    <row r="867" spans="1:9" x14ac:dyDescent="0.25">
      <c r="A867" t="s">
        <v>5340</v>
      </c>
      <c r="B867" s="26" t="str">
        <f>MID(tbl_forecast[[#This Row],[PACE Job Number]],3,3)</f>
        <v>NTX</v>
      </c>
      <c r="C867" t="s">
        <v>14</v>
      </c>
      <c r="D867" s="1">
        <v>43432</v>
      </c>
      <c r="E867" s="1">
        <v>43434</v>
      </c>
      <c r="F867" s="1">
        <v>43434</v>
      </c>
      <c r="G867" s="1"/>
      <c r="H867" t="s">
        <v>9</v>
      </c>
      <c r="I867" t="s">
        <v>27</v>
      </c>
    </row>
    <row r="868" spans="1:9" x14ac:dyDescent="0.25">
      <c r="A868" t="s">
        <v>5341</v>
      </c>
      <c r="B868" s="26" t="str">
        <f>MID(tbl_forecast[[#This Row],[PACE Job Number]],3,3)</f>
        <v>NTX</v>
      </c>
      <c r="C868" t="s">
        <v>14</v>
      </c>
      <c r="D868" s="1">
        <v>43430</v>
      </c>
      <c r="E868" s="1">
        <v>43493</v>
      </c>
      <c r="F868" s="1">
        <v>43493</v>
      </c>
      <c r="G868" s="1"/>
      <c r="H868" t="s">
        <v>4664</v>
      </c>
      <c r="I868" t="s">
        <v>4665</v>
      </c>
    </row>
    <row r="869" spans="1:9" x14ac:dyDescent="0.25">
      <c r="A869" t="s">
        <v>4381</v>
      </c>
      <c r="B869" s="26" t="str">
        <f>MID(tbl_forecast[[#This Row],[PACE Job Number]],3,3)</f>
        <v>STX</v>
      </c>
      <c r="C869" t="s">
        <v>14</v>
      </c>
      <c r="D869" s="1">
        <v>43406</v>
      </c>
      <c r="E869" s="1">
        <v>43406</v>
      </c>
      <c r="F869" s="1">
        <v>43406</v>
      </c>
      <c r="G869" s="1">
        <v>43406</v>
      </c>
      <c r="H869" t="s">
        <v>9</v>
      </c>
      <c r="I869" t="s">
        <v>10</v>
      </c>
    </row>
    <row r="870" spans="1:9" x14ac:dyDescent="0.25">
      <c r="A870" t="s">
        <v>4390</v>
      </c>
      <c r="B870" s="26" t="str">
        <f>MID(tbl_forecast[[#This Row],[PACE Job Number]],3,3)</f>
        <v>STX</v>
      </c>
      <c r="C870" t="s">
        <v>14</v>
      </c>
      <c r="D870" s="1">
        <v>43419</v>
      </c>
      <c r="E870" s="1">
        <v>43419</v>
      </c>
      <c r="F870" s="1">
        <v>43409</v>
      </c>
      <c r="G870" s="1">
        <v>43409</v>
      </c>
      <c r="H870" t="s">
        <v>9</v>
      </c>
      <c r="I870" t="s">
        <v>10</v>
      </c>
    </row>
    <row r="871" spans="1:9" x14ac:dyDescent="0.25">
      <c r="A871" t="s">
        <v>578</v>
      </c>
      <c r="B871" s="26" t="str">
        <f>MID(tbl_forecast[[#This Row],[PACE Job Number]],3,3)</f>
        <v>STX</v>
      </c>
      <c r="C871" t="s">
        <v>14</v>
      </c>
      <c r="D871" s="1">
        <v>43419</v>
      </c>
      <c r="E871" s="1">
        <v>43453</v>
      </c>
      <c r="F871" s="1">
        <v>43451</v>
      </c>
      <c r="G871" s="1"/>
      <c r="H871" t="s">
        <v>4664</v>
      </c>
      <c r="I871" t="s">
        <v>5645</v>
      </c>
    </row>
    <row r="872" spans="1:9" x14ac:dyDescent="0.25">
      <c r="A872" t="s">
        <v>3446</v>
      </c>
      <c r="B872" s="26" t="str">
        <f>MID(tbl_forecast[[#This Row],[PACE Job Number]],3,3)</f>
        <v>ANM</v>
      </c>
      <c r="C872" t="s">
        <v>14</v>
      </c>
      <c r="D872" s="1">
        <v>43409</v>
      </c>
      <c r="E872" s="1">
        <v>43409</v>
      </c>
      <c r="F872" s="1">
        <v>43409</v>
      </c>
      <c r="G872" s="1">
        <v>43409</v>
      </c>
      <c r="H872" t="s">
        <v>9</v>
      </c>
      <c r="I872" t="s">
        <v>10</v>
      </c>
    </row>
    <row r="873" spans="1:9" x14ac:dyDescent="0.25">
      <c r="A873" t="s">
        <v>5207</v>
      </c>
      <c r="B873" s="26" t="str">
        <f>MID(tbl_forecast[[#This Row],[PACE Job Number]],3,3)</f>
        <v>ANM</v>
      </c>
      <c r="C873" t="s">
        <v>14</v>
      </c>
      <c r="D873" s="1">
        <v>43412</v>
      </c>
      <c r="E873" s="1">
        <v>43416</v>
      </c>
      <c r="F873" s="1">
        <v>43417</v>
      </c>
      <c r="G873" s="1"/>
      <c r="H873" t="s">
        <v>9</v>
      </c>
      <c r="I873" t="s">
        <v>27</v>
      </c>
    </row>
    <row r="874" spans="1:9" x14ac:dyDescent="0.25">
      <c r="A874" t="s">
        <v>5208</v>
      </c>
      <c r="B874" s="26" t="str">
        <f>MID(tbl_forecast[[#This Row],[PACE Job Number]],3,3)</f>
        <v>ANM</v>
      </c>
      <c r="C874" t="s">
        <v>14</v>
      </c>
      <c r="D874" s="1">
        <v>43412</v>
      </c>
      <c r="E874" s="1">
        <v>43416</v>
      </c>
      <c r="F874" s="1">
        <v>43417</v>
      </c>
      <c r="G874" s="1"/>
      <c r="H874" t="s">
        <v>9</v>
      </c>
      <c r="I874" t="s">
        <v>27</v>
      </c>
    </row>
    <row r="875" spans="1:9" x14ac:dyDescent="0.25">
      <c r="A875" t="s">
        <v>5209</v>
      </c>
      <c r="B875" s="26" t="str">
        <f>MID(tbl_forecast[[#This Row],[PACE Job Number]],3,3)</f>
        <v>ANM</v>
      </c>
      <c r="C875" t="s">
        <v>14</v>
      </c>
      <c r="D875" s="1">
        <v>43412</v>
      </c>
      <c r="E875" s="1">
        <v>43416</v>
      </c>
      <c r="F875" s="1">
        <v>43417</v>
      </c>
      <c r="G875" s="1"/>
      <c r="H875" t="s">
        <v>9</v>
      </c>
      <c r="I875" t="s">
        <v>27</v>
      </c>
    </row>
    <row r="876" spans="1:9" x14ac:dyDescent="0.25">
      <c r="A876" t="s">
        <v>3773</v>
      </c>
      <c r="B876" s="26" t="str">
        <f>MID(tbl_forecast[[#This Row],[PACE Job Number]],3,3)</f>
        <v>NTX</v>
      </c>
      <c r="C876" t="s">
        <v>14</v>
      </c>
      <c r="D876" s="1">
        <v>43430</v>
      </c>
      <c r="E876" s="1">
        <v>43430</v>
      </c>
      <c r="F876" s="1">
        <v>43417</v>
      </c>
      <c r="G876" s="1">
        <v>43417</v>
      </c>
      <c r="H876" t="s">
        <v>9</v>
      </c>
      <c r="I876" t="s">
        <v>10</v>
      </c>
    </row>
    <row r="877" spans="1:9" x14ac:dyDescent="0.25">
      <c r="A877" t="s">
        <v>1793</v>
      </c>
      <c r="B877" s="26" t="str">
        <f>MID(tbl_forecast[[#This Row],[PACE Job Number]],3,3)</f>
        <v>NTX</v>
      </c>
      <c r="C877" t="s">
        <v>14</v>
      </c>
      <c r="D877" s="1">
        <v>43434</v>
      </c>
      <c r="E877" s="1">
        <v>43438</v>
      </c>
      <c r="F877" s="1">
        <v>43432</v>
      </c>
      <c r="G877" s="1">
        <v>43432</v>
      </c>
      <c r="H877" t="s">
        <v>9</v>
      </c>
      <c r="I877" t="s">
        <v>10</v>
      </c>
    </row>
    <row r="878" spans="1:9" x14ac:dyDescent="0.25">
      <c r="A878" t="s">
        <v>3774</v>
      </c>
      <c r="B878" s="26" t="str">
        <f>MID(tbl_forecast[[#This Row],[PACE Job Number]],3,3)</f>
        <v>NTX</v>
      </c>
      <c r="C878" t="s">
        <v>14</v>
      </c>
      <c r="D878" s="1">
        <v>43430</v>
      </c>
      <c r="E878" s="1">
        <v>43430</v>
      </c>
      <c r="F878" s="1">
        <v>43417</v>
      </c>
      <c r="G878" s="1">
        <v>43417</v>
      </c>
      <c r="H878" t="s">
        <v>9</v>
      </c>
      <c r="I878" t="s">
        <v>10</v>
      </c>
    </row>
    <row r="879" spans="1:9" x14ac:dyDescent="0.25">
      <c r="A879" t="s">
        <v>600</v>
      </c>
      <c r="B879" s="26" t="str">
        <f>MID(tbl_forecast[[#This Row],[PACE Job Number]],3,3)</f>
        <v>NTX</v>
      </c>
      <c r="C879" t="s">
        <v>14</v>
      </c>
      <c r="D879" s="1">
        <v>43434</v>
      </c>
      <c r="E879" s="1">
        <v>43434</v>
      </c>
      <c r="F879" s="1">
        <v>43425</v>
      </c>
      <c r="G879" s="1">
        <v>43425</v>
      </c>
      <c r="H879" t="s">
        <v>9</v>
      </c>
      <c r="I879" t="s">
        <v>10</v>
      </c>
    </row>
    <row r="880" spans="1:9" x14ac:dyDescent="0.25">
      <c r="A880" t="s">
        <v>855</v>
      </c>
      <c r="B880" s="26" t="str">
        <f>MID(tbl_forecast[[#This Row],[PACE Job Number]],3,3)</f>
        <v>NTX</v>
      </c>
      <c r="C880" t="s">
        <v>14</v>
      </c>
      <c r="D880" s="1">
        <v>43434</v>
      </c>
      <c r="E880" s="1">
        <v>43437</v>
      </c>
      <c r="F880" s="1">
        <v>43437</v>
      </c>
      <c r="G880" s="1"/>
      <c r="H880" t="s">
        <v>9</v>
      </c>
      <c r="I880" t="s">
        <v>27</v>
      </c>
    </row>
    <row r="881" spans="1:9" x14ac:dyDescent="0.25">
      <c r="A881" t="s">
        <v>1797</v>
      </c>
      <c r="B881" s="26" t="str">
        <f>MID(tbl_forecast[[#This Row],[PACE Job Number]],3,3)</f>
        <v>NTX</v>
      </c>
      <c r="C881" t="s">
        <v>14</v>
      </c>
      <c r="D881" s="1">
        <v>43434</v>
      </c>
      <c r="E881" s="1">
        <v>43434</v>
      </c>
      <c r="F881" s="1">
        <v>43425</v>
      </c>
      <c r="G881" s="1">
        <v>43425</v>
      </c>
      <c r="H881" t="s">
        <v>9</v>
      </c>
      <c r="I881" t="s">
        <v>10</v>
      </c>
    </row>
    <row r="882" spans="1:9" x14ac:dyDescent="0.25">
      <c r="A882" t="s">
        <v>3845</v>
      </c>
      <c r="B882" s="26" t="str">
        <f>MID(tbl_forecast[[#This Row],[PACE Job Number]],3,3)</f>
        <v>NTX</v>
      </c>
      <c r="C882" t="s">
        <v>14</v>
      </c>
      <c r="D882" s="1">
        <v>43406</v>
      </c>
      <c r="E882" s="1">
        <v>43413</v>
      </c>
      <c r="F882" s="1">
        <v>43424</v>
      </c>
      <c r="G882" s="1">
        <v>43424</v>
      </c>
      <c r="H882" t="s">
        <v>4664</v>
      </c>
      <c r="I882" t="s">
        <v>10</v>
      </c>
    </row>
    <row r="883" spans="1:9" x14ac:dyDescent="0.25">
      <c r="A883" t="s">
        <v>2700</v>
      </c>
      <c r="B883" s="26" t="str">
        <f>MID(tbl_forecast[[#This Row],[PACE Job Number]],3,3)</f>
        <v>STX</v>
      </c>
      <c r="C883" t="s">
        <v>14</v>
      </c>
      <c r="D883" s="1">
        <v>43419</v>
      </c>
      <c r="E883" s="1">
        <v>43453</v>
      </c>
      <c r="F883" s="1">
        <v>43451</v>
      </c>
      <c r="G883" s="1"/>
      <c r="H883" t="s">
        <v>4664</v>
      </c>
      <c r="I883" t="s">
        <v>5645</v>
      </c>
    </row>
    <row r="884" spans="1:9" x14ac:dyDescent="0.25">
      <c r="A884" t="s">
        <v>728</v>
      </c>
      <c r="B884" s="26" t="str">
        <f>MID(tbl_forecast[[#This Row],[PACE Job Number]],3,3)</f>
        <v>STX</v>
      </c>
      <c r="C884" t="s">
        <v>14</v>
      </c>
      <c r="D884" s="1">
        <v>43419</v>
      </c>
      <c r="E884" s="1">
        <v>43453</v>
      </c>
      <c r="F884" s="1">
        <v>43451</v>
      </c>
      <c r="G884" s="1"/>
      <c r="H884" t="s">
        <v>4664</v>
      </c>
      <c r="I884" t="s">
        <v>5645</v>
      </c>
    </row>
    <row r="885" spans="1:9" x14ac:dyDescent="0.25">
      <c r="A885" t="s">
        <v>3361</v>
      </c>
      <c r="B885" s="26" t="str">
        <f>MID(tbl_forecast[[#This Row],[PACE Job Number]],3,3)</f>
        <v>STX</v>
      </c>
      <c r="C885" t="s">
        <v>14</v>
      </c>
      <c r="D885" s="1">
        <v>43416</v>
      </c>
      <c r="E885" s="1">
        <v>43453</v>
      </c>
      <c r="F885" s="1">
        <v>43433</v>
      </c>
      <c r="G885" s="1"/>
      <c r="H885" t="s">
        <v>4664</v>
      </c>
      <c r="I885" t="s">
        <v>5645</v>
      </c>
    </row>
    <row r="886" spans="1:9" x14ac:dyDescent="0.25">
      <c r="A886" t="s">
        <v>4397</v>
      </c>
      <c r="B886" s="26" t="str">
        <f>MID(tbl_forecast[[#This Row],[PACE Job Number]],3,3)</f>
        <v>STX</v>
      </c>
      <c r="C886" t="s">
        <v>14</v>
      </c>
      <c r="D886" s="1">
        <v>43419</v>
      </c>
      <c r="E886" s="1">
        <v>43419</v>
      </c>
      <c r="F886" s="1">
        <v>43409</v>
      </c>
      <c r="G886" s="1">
        <v>43409</v>
      </c>
      <c r="H886" t="s">
        <v>9</v>
      </c>
      <c r="I886" t="s">
        <v>10</v>
      </c>
    </row>
    <row r="887" spans="1:9" x14ac:dyDescent="0.25">
      <c r="A887" t="s">
        <v>3911</v>
      </c>
      <c r="B887" s="26" t="str">
        <f>MID(tbl_forecast[[#This Row],[PACE Job Number]],3,3)</f>
        <v>WSH</v>
      </c>
      <c r="C887" t="s">
        <v>14</v>
      </c>
      <c r="D887" s="1">
        <v>43416</v>
      </c>
      <c r="E887" s="1">
        <v>43430</v>
      </c>
      <c r="F887" s="1">
        <v>43430</v>
      </c>
      <c r="G887" s="1">
        <v>43430</v>
      </c>
      <c r="H887" t="s">
        <v>9</v>
      </c>
      <c r="I887" t="s">
        <v>10</v>
      </c>
    </row>
    <row r="888" spans="1:9" x14ac:dyDescent="0.25">
      <c r="A888" t="s">
        <v>4210</v>
      </c>
      <c r="B888" s="26" t="str">
        <f>MID(tbl_forecast[[#This Row],[PACE Job Number]],3,3)</f>
        <v>WSH</v>
      </c>
      <c r="C888" t="s">
        <v>14</v>
      </c>
      <c r="D888" s="1">
        <v>43423</v>
      </c>
      <c r="E888" s="1">
        <v>43472</v>
      </c>
      <c r="F888" s="1">
        <v>43472</v>
      </c>
      <c r="G888" s="1"/>
      <c r="H888" t="s">
        <v>4664</v>
      </c>
      <c r="I888" t="s">
        <v>4665</v>
      </c>
    </row>
    <row r="889" spans="1:9" x14ac:dyDescent="0.25">
      <c r="A889" t="s">
        <v>5210</v>
      </c>
      <c r="B889" s="26" t="str">
        <f>MID(tbl_forecast[[#This Row],[PACE Job Number]],3,3)</f>
        <v>WSH</v>
      </c>
      <c r="C889" t="s">
        <v>14</v>
      </c>
      <c r="D889" s="1">
        <v>43411</v>
      </c>
      <c r="E889" s="1">
        <v>43413</v>
      </c>
      <c r="F889" s="1">
        <v>43413</v>
      </c>
      <c r="G889" s="1">
        <v>43413</v>
      </c>
      <c r="H889" t="s">
        <v>9</v>
      </c>
      <c r="I889" t="s">
        <v>10</v>
      </c>
    </row>
    <row r="890" spans="1:9" x14ac:dyDescent="0.25">
      <c r="A890" t="s">
        <v>5211</v>
      </c>
      <c r="B890" s="26" t="str">
        <f>MID(tbl_forecast[[#This Row],[PACE Job Number]],3,3)</f>
        <v>WSH</v>
      </c>
      <c r="C890" t="s">
        <v>14</v>
      </c>
      <c r="D890" s="1">
        <v>43423</v>
      </c>
      <c r="E890" s="1">
        <v>43410</v>
      </c>
      <c r="F890" s="1">
        <v>43410</v>
      </c>
      <c r="G890" s="1">
        <v>43410</v>
      </c>
      <c r="H890" t="s">
        <v>9</v>
      </c>
      <c r="I890" t="s">
        <v>10</v>
      </c>
    </row>
    <row r="891" spans="1:9" x14ac:dyDescent="0.25">
      <c r="A891" t="s">
        <v>3393</v>
      </c>
      <c r="B891" s="26" t="str">
        <f>MID(tbl_forecast[[#This Row],[PACE Job Number]],3,3)</f>
        <v>WSH</v>
      </c>
      <c r="C891" t="s">
        <v>14</v>
      </c>
      <c r="D891" s="1">
        <v>43430</v>
      </c>
      <c r="E891" s="1">
        <v>43438</v>
      </c>
      <c r="F891" s="1">
        <v>43437</v>
      </c>
      <c r="G891" s="1"/>
      <c r="H891" t="s">
        <v>9</v>
      </c>
      <c r="I891" t="s">
        <v>27</v>
      </c>
    </row>
    <row r="892" spans="1:9" x14ac:dyDescent="0.25">
      <c r="A892" t="s">
        <v>5212</v>
      </c>
      <c r="B892" s="26" t="str">
        <f>MID(tbl_forecast[[#This Row],[PACE Job Number]],3,3)</f>
        <v>WSH</v>
      </c>
      <c r="C892" t="s">
        <v>14</v>
      </c>
      <c r="D892" s="1">
        <v>43416</v>
      </c>
      <c r="E892" s="1">
        <v>43417</v>
      </c>
      <c r="F892" s="1">
        <v>43417</v>
      </c>
      <c r="G892" s="1">
        <v>43417</v>
      </c>
      <c r="H892" t="s">
        <v>9</v>
      </c>
      <c r="I892" t="s">
        <v>10</v>
      </c>
    </row>
    <row r="893" spans="1:9" x14ac:dyDescent="0.25">
      <c r="A893" t="s">
        <v>3821</v>
      </c>
      <c r="B893" s="26" t="str">
        <f>MID(tbl_forecast[[#This Row],[PACE Job Number]],3,3)</f>
        <v>WSH</v>
      </c>
      <c r="C893" t="s">
        <v>14</v>
      </c>
      <c r="D893" s="1">
        <v>43416</v>
      </c>
      <c r="E893" s="1">
        <v>43437</v>
      </c>
      <c r="F893" s="1">
        <v>43434</v>
      </c>
      <c r="G893" s="1"/>
      <c r="H893" t="s">
        <v>4664</v>
      </c>
      <c r="I893" t="s">
        <v>5645</v>
      </c>
    </row>
    <row r="894" spans="1:9" x14ac:dyDescent="0.25">
      <c r="A894" t="s">
        <v>649</v>
      </c>
      <c r="B894" s="26" t="str">
        <f>MID(tbl_forecast[[#This Row],[PACE Job Number]],3,3)</f>
        <v>NTX</v>
      </c>
      <c r="C894" t="s">
        <v>14</v>
      </c>
      <c r="D894" s="1">
        <v>43413</v>
      </c>
      <c r="E894" s="1">
        <v>43434</v>
      </c>
      <c r="F894" s="1">
        <v>43434</v>
      </c>
      <c r="G894" s="1"/>
      <c r="H894" t="s">
        <v>4664</v>
      </c>
      <c r="I894" t="s">
        <v>5645</v>
      </c>
    </row>
    <row r="895" spans="1:9" x14ac:dyDescent="0.25">
      <c r="A895" t="s">
        <v>5342</v>
      </c>
      <c r="B895" s="26" t="str">
        <f>MID(tbl_forecast[[#This Row],[PACE Job Number]],3,3)</f>
        <v>NTX</v>
      </c>
      <c r="C895" t="s">
        <v>14</v>
      </c>
      <c r="D895" s="1">
        <v>43409</v>
      </c>
      <c r="E895" s="1">
        <v>43413</v>
      </c>
      <c r="F895" s="1">
        <v>43426</v>
      </c>
      <c r="G895" s="1">
        <v>43426</v>
      </c>
      <c r="H895" t="s">
        <v>4664</v>
      </c>
      <c r="I895" t="s">
        <v>10</v>
      </c>
    </row>
    <row r="896" spans="1:9" x14ac:dyDescent="0.25">
      <c r="A896" t="s">
        <v>4337</v>
      </c>
      <c r="B896" s="26" t="str">
        <f>MID(tbl_forecast[[#This Row],[PACE Job Number]],3,3)</f>
        <v>NTX</v>
      </c>
      <c r="C896" t="s">
        <v>14</v>
      </c>
      <c r="D896" s="1">
        <v>43413</v>
      </c>
      <c r="E896" s="1">
        <v>43493</v>
      </c>
      <c r="F896" s="1">
        <v>43493</v>
      </c>
      <c r="G896" s="1"/>
      <c r="H896" t="s">
        <v>4664</v>
      </c>
      <c r="I896" t="s">
        <v>5645</v>
      </c>
    </row>
    <row r="897" spans="1:9" x14ac:dyDescent="0.25">
      <c r="A897" t="s">
        <v>5343</v>
      </c>
      <c r="B897" s="26" t="str">
        <f>MID(tbl_forecast[[#This Row],[PACE Job Number]],3,3)</f>
        <v>NTX</v>
      </c>
      <c r="C897" t="s">
        <v>14</v>
      </c>
      <c r="D897" s="1">
        <v>43416</v>
      </c>
      <c r="E897" s="1">
        <v>43434</v>
      </c>
      <c r="F897" s="1">
        <v>43432</v>
      </c>
      <c r="G897" s="1">
        <v>43432</v>
      </c>
      <c r="H897" t="s">
        <v>4664</v>
      </c>
      <c r="I897" t="s">
        <v>10</v>
      </c>
    </row>
    <row r="898" spans="1:9" x14ac:dyDescent="0.25">
      <c r="A898" t="s">
        <v>5344</v>
      </c>
      <c r="B898" s="26" t="str">
        <f>MID(tbl_forecast[[#This Row],[PACE Job Number]],3,3)</f>
        <v>NTX</v>
      </c>
      <c r="C898" t="s">
        <v>14</v>
      </c>
      <c r="D898" s="1">
        <v>43405</v>
      </c>
      <c r="E898" s="1">
        <v>43406</v>
      </c>
      <c r="F898" s="1">
        <v>43424</v>
      </c>
      <c r="G898" s="1">
        <v>43424</v>
      </c>
      <c r="H898" t="s">
        <v>4664</v>
      </c>
      <c r="I898" t="s">
        <v>10</v>
      </c>
    </row>
    <row r="899" spans="1:9" x14ac:dyDescent="0.25">
      <c r="A899" t="s">
        <v>5345</v>
      </c>
      <c r="B899" s="26" t="str">
        <f>MID(tbl_forecast[[#This Row],[PACE Job Number]],3,3)</f>
        <v>STX</v>
      </c>
      <c r="C899" t="s">
        <v>14</v>
      </c>
      <c r="D899" s="1">
        <v>43419</v>
      </c>
      <c r="E899" s="1">
        <v>43419</v>
      </c>
      <c r="F899" s="1">
        <v>43423</v>
      </c>
      <c r="G899" s="1">
        <v>43423</v>
      </c>
      <c r="H899" t="s">
        <v>9</v>
      </c>
      <c r="I899" t="s">
        <v>10</v>
      </c>
    </row>
    <row r="900" spans="1:9" x14ac:dyDescent="0.25">
      <c r="A900" t="s">
        <v>3822</v>
      </c>
      <c r="B900" s="26" t="str">
        <f>MID(tbl_forecast[[#This Row],[PACE Job Number]],3,3)</f>
        <v>WSH</v>
      </c>
      <c r="C900" t="s">
        <v>14</v>
      </c>
      <c r="D900" s="1">
        <v>43409</v>
      </c>
      <c r="E900" s="1">
        <v>43411</v>
      </c>
      <c r="F900" s="1">
        <v>43411</v>
      </c>
      <c r="G900" s="1">
        <v>43411</v>
      </c>
      <c r="H900" t="s">
        <v>9</v>
      </c>
      <c r="I900" t="s">
        <v>10</v>
      </c>
    </row>
    <row r="901" spans="1:9" x14ac:dyDescent="0.25">
      <c r="A901" t="s">
        <v>5213</v>
      </c>
      <c r="B901" s="26" t="str">
        <f>MID(tbl_forecast[[#This Row],[PACE Job Number]],3,3)</f>
        <v>WSH</v>
      </c>
      <c r="C901" t="s">
        <v>14</v>
      </c>
      <c r="D901" s="1">
        <v>43409</v>
      </c>
      <c r="E901" s="1">
        <v>43444</v>
      </c>
      <c r="F901" s="1">
        <v>43444</v>
      </c>
      <c r="G901" s="1"/>
      <c r="H901" t="s">
        <v>4664</v>
      </c>
      <c r="I901" t="s">
        <v>5645</v>
      </c>
    </row>
    <row r="902" spans="1:9" x14ac:dyDescent="0.25">
      <c r="A902" t="s">
        <v>5214</v>
      </c>
      <c r="B902" s="26" t="str">
        <f>MID(tbl_forecast[[#This Row],[PACE Job Number]],3,3)</f>
        <v>WSH</v>
      </c>
      <c r="C902" t="s">
        <v>14</v>
      </c>
      <c r="D902" s="1">
        <v>43416</v>
      </c>
      <c r="E902" s="1">
        <v>43420</v>
      </c>
      <c r="F902" s="1">
        <v>43420</v>
      </c>
      <c r="G902" s="1">
        <v>43420</v>
      </c>
      <c r="H902" t="s">
        <v>9</v>
      </c>
      <c r="I902" t="s">
        <v>10</v>
      </c>
    </row>
    <row r="903" spans="1:9" x14ac:dyDescent="0.25">
      <c r="A903" t="s">
        <v>5215</v>
      </c>
      <c r="B903" s="26" t="str">
        <f>MID(tbl_forecast[[#This Row],[PACE Job Number]],3,3)</f>
        <v>WSH</v>
      </c>
      <c r="C903" t="s">
        <v>14</v>
      </c>
      <c r="D903" s="1">
        <v>43410</v>
      </c>
      <c r="E903" s="1">
        <v>43412</v>
      </c>
      <c r="F903" s="1">
        <v>43412</v>
      </c>
      <c r="G903" s="1">
        <v>43412</v>
      </c>
      <c r="H903" t="s">
        <v>9</v>
      </c>
      <c r="I903" t="s">
        <v>10</v>
      </c>
    </row>
    <row r="904" spans="1:9" x14ac:dyDescent="0.25">
      <c r="A904" t="s">
        <v>5216</v>
      </c>
      <c r="B904" s="26" t="str">
        <f>MID(tbl_forecast[[#This Row],[PACE Job Number]],3,3)</f>
        <v>WSH</v>
      </c>
      <c r="C904" t="s">
        <v>14</v>
      </c>
      <c r="D904" s="1">
        <v>43411</v>
      </c>
      <c r="E904" s="1">
        <v>43413</v>
      </c>
      <c r="F904" s="1">
        <v>43413</v>
      </c>
      <c r="G904" s="1">
        <v>43413</v>
      </c>
      <c r="H904" t="s">
        <v>9</v>
      </c>
      <c r="I904" t="s">
        <v>10</v>
      </c>
    </row>
    <row r="905" spans="1:9" x14ac:dyDescent="0.25">
      <c r="A905" t="s">
        <v>4242</v>
      </c>
      <c r="B905" s="26" t="str">
        <f>MID(tbl_forecast[[#This Row],[PACE Job Number]],3,3)</f>
        <v>WSH</v>
      </c>
      <c r="C905" t="s">
        <v>14</v>
      </c>
      <c r="D905" s="1">
        <v>43411</v>
      </c>
      <c r="E905" s="1">
        <v>43410</v>
      </c>
      <c r="F905" s="1">
        <v>43410</v>
      </c>
      <c r="G905" s="1">
        <v>43410</v>
      </c>
      <c r="H905" t="s">
        <v>9</v>
      </c>
      <c r="I905" t="s">
        <v>10</v>
      </c>
    </row>
    <row r="906" spans="1:9" x14ac:dyDescent="0.25">
      <c r="A906" t="s">
        <v>5346</v>
      </c>
      <c r="B906" s="26" t="str">
        <f>MID(tbl_forecast[[#This Row],[PACE Job Number]],3,3)</f>
        <v>WSH</v>
      </c>
      <c r="C906" t="s">
        <v>14</v>
      </c>
      <c r="D906" s="1">
        <v>43423</v>
      </c>
      <c r="E906" s="1">
        <v>43410</v>
      </c>
      <c r="F906" s="1">
        <v>43410</v>
      </c>
      <c r="G906" s="1">
        <v>43410</v>
      </c>
      <c r="H906" t="s">
        <v>9</v>
      </c>
      <c r="I906" t="s">
        <v>10</v>
      </c>
    </row>
    <row r="907" spans="1:9" x14ac:dyDescent="0.25">
      <c r="A907" t="s">
        <v>5217</v>
      </c>
      <c r="B907" s="26" t="str">
        <f>MID(tbl_forecast[[#This Row],[PACE Job Number]],3,3)</f>
        <v>WSH</v>
      </c>
      <c r="C907" t="s">
        <v>14</v>
      </c>
      <c r="D907" s="1">
        <v>43410</v>
      </c>
      <c r="E907" s="1">
        <v>43412</v>
      </c>
      <c r="F907" s="1">
        <v>43412</v>
      </c>
      <c r="G907" s="1">
        <v>43412</v>
      </c>
      <c r="H907" t="s">
        <v>9</v>
      </c>
      <c r="I907" t="s">
        <v>10</v>
      </c>
    </row>
    <row r="908" spans="1:9" x14ac:dyDescent="0.25">
      <c r="A908" t="s">
        <v>5218</v>
      </c>
      <c r="B908" s="26" t="str">
        <f>MID(tbl_forecast[[#This Row],[PACE Job Number]],3,3)</f>
        <v>WSH</v>
      </c>
      <c r="C908" t="s">
        <v>14</v>
      </c>
      <c r="D908" s="1">
        <v>43430</v>
      </c>
      <c r="E908" s="1">
        <v>43430</v>
      </c>
      <c r="F908" s="1">
        <v>43430</v>
      </c>
      <c r="G908" s="1">
        <v>43430</v>
      </c>
      <c r="H908" t="s">
        <v>9</v>
      </c>
      <c r="I908" t="s">
        <v>10</v>
      </c>
    </row>
    <row r="909" spans="1:9" x14ac:dyDescent="0.25">
      <c r="A909" t="s">
        <v>4245</v>
      </c>
      <c r="B909" s="26" t="str">
        <f>MID(tbl_forecast[[#This Row],[PACE Job Number]],3,3)</f>
        <v>WSH</v>
      </c>
      <c r="C909" t="s">
        <v>14</v>
      </c>
      <c r="D909" s="1">
        <v>43411</v>
      </c>
      <c r="E909" s="1">
        <v>43410</v>
      </c>
      <c r="F909" s="1">
        <v>43410</v>
      </c>
      <c r="G909" s="1">
        <v>43410</v>
      </c>
      <c r="H909" t="s">
        <v>9</v>
      </c>
      <c r="I909" t="s">
        <v>10</v>
      </c>
    </row>
    <row r="910" spans="1:9" x14ac:dyDescent="0.25">
      <c r="A910" t="s">
        <v>5347</v>
      </c>
      <c r="B910" s="26" t="str">
        <f>MID(tbl_forecast[[#This Row],[PACE Job Number]],3,3)</f>
        <v>WSH</v>
      </c>
      <c r="C910" t="s">
        <v>14</v>
      </c>
      <c r="D910" s="1">
        <v>43423</v>
      </c>
      <c r="E910" s="1">
        <v>43410</v>
      </c>
      <c r="F910" s="1">
        <v>43410</v>
      </c>
      <c r="G910" s="1">
        <v>43410</v>
      </c>
      <c r="H910" t="s">
        <v>9</v>
      </c>
      <c r="I910" t="s">
        <v>10</v>
      </c>
    </row>
    <row r="911" spans="1:9" x14ac:dyDescent="0.25">
      <c r="A911" t="s">
        <v>3830</v>
      </c>
      <c r="B911" s="26" t="str">
        <f>MID(tbl_forecast[[#This Row],[PACE Job Number]],3,3)</f>
        <v>WSH</v>
      </c>
      <c r="C911" t="s">
        <v>14</v>
      </c>
      <c r="D911" s="1">
        <v>43416</v>
      </c>
      <c r="E911" s="1">
        <v>43437</v>
      </c>
      <c r="F911" s="1">
        <v>43434</v>
      </c>
      <c r="G911" s="1"/>
      <c r="H911" t="s">
        <v>4664</v>
      </c>
      <c r="I911" t="s">
        <v>5645</v>
      </c>
    </row>
    <row r="912" spans="1:9" x14ac:dyDescent="0.25">
      <c r="A912" t="s">
        <v>5219</v>
      </c>
      <c r="B912" s="26" t="str">
        <f>MID(tbl_forecast[[#This Row],[PACE Job Number]],3,3)</f>
        <v>WSH</v>
      </c>
      <c r="C912" t="s">
        <v>14</v>
      </c>
      <c r="D912" s="1">
        <v>43411</v>
      </c>
      <c r="E912" s="1">
        <v>43413</v>
      </c>
      <c r="F912" s="1">
        <v>43413</v>
      </c>
      <c r="G912" s="1">
        <v>43413</v>
      </c>
      <c r="H912" t="s">
        <v>9</v>
      </c>
      <c r="I912" t="s">
        <v>10</v>
      </c>
    </row>
    <row r="913" spans="1:9" x14ac:dyDescent="0.25">
      <c r="A913" t="s">
        <v>5220</v>
      </c>
      <c r="B913" s="26" t="str">
        <f>MID(tbl_forecast[[#This Row],[PACE Job Number]],3,3)</f>
        <v>WSH</v>
      </c>
      <c r="C913" t="s">
        <v>14</v>
      </c>
      <c r="D913" s="1">
        <v>43413</v>
      </c>
      <c r="E913" s="1">
        <v>43418</v>
      </c>
      <c r="F913" s="1">
        <v>43418</v>
      </c>
      <c r="G913" s="1">
        <v>43418</v>
      </c>
      <c r="H913" t="s">
        <v>9</v>
      </c>
      <c r="I913" t="s">
        <v>10</v>
      </c>
    </row>
    <row r="914" spans="1:9" x14ac:dyDescent="0.25">
      <c r="A914" t="s">
        <v>5348</v>
      </c>
      <c r="B914" s="26" t="str">
        <f>MID(tbl_forecast[[#This Row],[PACE Job Number]],3,3)</f>
        <v>NTX</v>
      </c>
      <c r="C914" t="s">
        <v>14</v>
      </c>
      <c r="D914" s="1">
        <v>43406</v>
      </c>
      <c r="E914" s="1">
        <v>43424</v>
      </c>
      <c r="F914" s="1">
        <v>43422</v>
      </c>
      <c r="G914" s="1">
        <v>43422</v>
      </c>
      <c r="H914" t="s">
        <v>4664</v>
      </c>
      <c r="I914" t="s">
        <v>10</v>
      </c>
    </row>
    <row r="915" spans="1:9" x14ac:dyDescent="0.25">
      <c r="A915" t="s">
        <v>5349</v>
      </c>
      <c r="B915" s="26" t="str">
        <f>MID(tbl_forecast[[#This Row],[PACE Job Number]],3,3)</f>
        <v>NTX</v>
      </c>
      <c r="C915" t="s">
        <v>14</v>
      </c>
      <c r="D915" s="1">
        <v>43406</v>
      </c>
      <c r="E915" s="1">
        <v>43424</v>
      </c>
      <c r="F915" s="1">
        <v>43422</v>
      </c>
      <c r="G915" s="1">
        <v>43422</v>
      </c>
      <c r="H915" t="s">
        <v>4664</v>
      </c>
      <c r="I915" t="s">
        <v>10</v>
      </c>
    </row>
    <row r="916" spans="1:9" x14ac:dyDescent="0.25">
      <c r="A916" t="s">
        <v>5350</v>
      </c>
      <c r="B916" s="26" t="str">
        <f>MID(tbl_forecast[[#This Row],[PACE Job Number]],3,3)</f>
        <v>STX</v>
      </c>
      <c r="C916" t="s">
        <v>14</v>
      </c>
      <c r="D916" s="1">
        <v>43416</v>
      </c>
      <c r="E916" s="1">
        <v>43416</v>
      </c>
      <c r="F916" s="1">
        <v>43420</v>
      </c>
      <c r="G916" s="1">
        <v>43420</v>
      </c>
      <c r="H916" t="s">
        <v>9</v>
      </c>
      <c r="I916" t="s">
        <v>10</v>
      </c>
    </row>
    <row r="917" spans="1:9" x14ac:dyDescent="0.25">
      <c r="A917" t="s">
        <v>3293</v>
      </c>
      <c r="B917" s="26" t="str">
        <f>MID(tbl_forecast[[#This Row],[PACE Job Number]],3,3)</f>
        <v>STX</v>
      </c>
      <c r="C917" t="s">
        <v>14</v>
      </c>
      <c r="D917" s="1">
        <v>43416</v>
      </c>
      <c r="E917" s="1">
        <v>43416</v>
      </c>
      <c r="F917" s="1">
        <v>43416</v>
      </c>
      <c r="G917" s="1">
        <v>43416</v>
      </c>
      <c r="H917" t="s">
        <v>9</v>
      </c>
      <c r="I917" t="s">
        <v>10</v>
      </c>
    </row>
    <row r="918" spans="1:9" x14ac:dyDescent="0.25">
      <c r="A918" t="s">
        <v>1702</v>
      </c>
      <c r="B918" s="26" t="str">
        <f>MID(tbl_forecast[[#This Row],[PACE Job Number]],3,3)</f>
        <v>STX</v>
      </c>
      <c r="C918" t="s">
        <v>14</v>
      </c>
      <c r="D918" s="1">
        <v>43416</v>
      </c>
      <c r="E918" s="1">
        <v>43453</v>
      </c>
      <c r="F918" s="1">
        <v>43416</v>
      </c>
      <c r="G918" s="1"/>
      <c r="H918" t="s">
        <v>9</v>
      </c>
      <c r="I918" t="s">
        <v>44</v>
      </c>
    </row>
    <row r="919" spans="1:9" x14ac:dyDescent="0.25">
      <c r="A919" t="s">
        <v>4341</v>
      </c>
      <c r="B919" s="26" t="str">
        <f>MID(tbl_forecast[[#This Row],[PACE Job Number]],3,3)</f>
        <v>STX</v>
      </c>
      <c r="C919" t="s">
        <v>14</v>
      </c>
      <c r="D919" s="1">
        <v>43416</v>
      </c>
      <c r="E919" s="1">
        <v>43416</v>
      </c>
      <c r="F919" s="1">
        <v>43423</v>
      </c>
      <c r="G919" s="1">
        <v>43423</v>
      </c>
      <c r="H919" t="s">
        <v>9</v>
      </c>
      <c r="I919" t="s">
        <v>10</v>
      </c>
    </row>
    <row r="920" spans="1:9" x14ac:dyDescent="0.25">
      <c r="A920" t="s">
        <v>4342</v>
      </c>
      <c r="B920" s="26" t="str">
        <f>MID(tbl_forecast[[#This Row],[PACE Job Number]],3,3)</f>
        <v>STX</v>
      </c>
      <c r="C920" t="s">
        <v>14</v>
      </c>
      <c r="D920" s="1">
        <v>43416</v>
      </c>
      <c r="E920" s="1">
        <v>43416</v>
      </c>
      <c r="F920" s="1">
        <v>43417</v>
      </c>
      <c r="G920" s="1">
        <v>43417</v>
      </c>
      <c r="H920" t="s">
        <v>9</v>
      </c>
      <c r="I920" t="s">
        <v>10</v>
      </c>
    </row>
    <row r="921" spans="1:9" x14ac:dyDescent="0.25">
      <c r="A921" t="s">
        <v>611</v>
      </c>
      <c r="B921" s="26" t="str">
        <f>MID(tbl_forecast[[#This Row],[PACE Job Number]],3,3)</f>
        <v>STX</v>
      </c>
      <c r="C921" t="s">
        <v>14</v>
      </c>
      <c r="D921" s="1">
        <v>43419</v>
      </c>
      <c r="E921" s="1">
        <v>43443</v>
      </c>
      <c r="F921" s="1">
        <v>43443</v>
      </c>
      <c r="G921" s="1"/>
      <c r="H921" t="s">
        <v>4664</v>
      </c>
      <c r="I921" t="s">
        <v>5645</v>
      </c>
    </row>
    <row r="922" spans="1:9" x14ac:dyDescent="0.25">
      <c r="A922" t="s">
        <v>4343</v>
      </c>
      <c r="B922" s="26" t="str">
        <f>MID(tbl_forecast[[#This Row],[PACE Job Number]],3,3)</f>
        <v>STX</v>
      </c>
      <c r="C922" t="s">
        <v>14</v>
      </c>
      <c r="D922" s="1">
        <v>43416</v>
      </c>
      <c r="E922" s="1">
        <v>43416</v>
      </c>
      <c r="F922" s="1">
        <v>43417</v>
      </c>
      <c r="G922" s="1">
        <v>43417</v>
      </c>
      <c r="H922" t="s">
        <v>9</v>
      </c>
      <c r="I922" t="s">
        <v>10</v>
      </c>
    </row>
    <row r="923" spans="1:9" x14ac:dyDescent="0.25">
      <c r="A923" t="s">
        <v>3236</v>
      </c>
      <c r="B923" s="26" t="str">
        <f>MID(tbl_forecast[[#This Row],[PACE Job Number]],3,3)</f>
        <v>STX</v>
      </c>
      <c r="C923" t="s">
        <v>14</v>
      </c>
      <c r="D923" s="1">
        <v>43419</v>
      </c>
      <c r="E923" s="1">
        <v>43419</v>
      </c>
      <c r="F923" s="1">
        <v>43420</v>
      </c>
      <c r="G923" s="1">
        <v>43420</v>
      </c>
      <c r="H923" t="s">
        <v>9</v>
      </c>
      <c r="I923" t="s">
        <v>10</v>
      </c>
    </row>
    <row r="924" spans="1:9" x14ac:dyDescent="0.25">
      <c r="A924" t="s">
        <v>3235</v>
      </c>
      <c r="B924" s="26" t="str">
        <f>MID(tbl_forecast[[#This Row],[PACE Job Number]],3,3)</f>
        <v>STX</v>
      </c>
      <c r="C924" t="s">
        <v>14</v>
      </c>
      <c r="D924" s="1">
        <v>43419</v>
      </c>
      <c r="E924" s="1">
        <v>43439</v>
      </c>
      <c r="F924" s="1">
        <v>43439</v>
      </c>
      <c r="G924" s="1"/>
      <c r="H924" t="s">
        <v>4664</v>
      </c>
      <c r="I924" t="s">
        <v>5645</v>
      </c>
    </row>
    <row r="925" spans="1:9" x14ac:dyDescent="0.25">
      <c r="A925" t="s">
        <v>4345</v>
      </c>
      <c r="B925" s="26" t="str">
        <f>MID(tbl_forecast[[#This Row],[PACE Job Number]],3,3)</f>
        <v>STX</v>
      </c>
      <c r="C925" t="s">
        <v>14</v>
      </c>
      <c r="D925" s="1">
        <v>43419</v>
      </c>
      <c r="E925" s="1">
        <v>43439</v>
      </c>
      <c r="F925" s="1">
        <v>43439</v>
      </c>
      <c r="G925" s="1"/>
      <c r="H925" t="s">
        <v>4664</v>
      </c>
      <c r="I925" t="s">
        <v>5645</v>
      </c>
    </row>
    <row r="926" spans="1:9" x14ac:dyDescent="0.25">
      <c r="A926" t="s">
        <v>3339</v>
      </c>
      <c r="B926" s="26" t="str">
        <f>MID(tbl_forecast[[#This Row],[PACE Job Number]],3,3)</f>
        <v>STX</v>
      </c>
      <c r="C926" t="s">
        <v>14</v>
      </c>
      <c r="D926" s="1">
        <v>43416</v>
      </c>
      <c r="E926" s="1">
        <v>43416</v>
      </c>
      <c r="F926" s="1">
        <v>43420</v>
      </c>
      <c r="G926" s="1">
        <v>43420</v>
      </c>
      <c r="H926" t="s">
        <v>9</v>
      </c>
      <c r="I926" t="s">
        <v>10</v>
      </c>
    </row>
    <row r="927" spans="1:9" x14ac:dyDescent="0.25">
      <c r="A927" t="s">
        <v>468</v>
      </c>
      <c r="B927" s="26" t="str">
        <f>MID(tbl_forecast[[#This Row],[PACE Job Number]],3,3)</f>
        <v>STX</v>
      </c>
      <c r="C927" t="s">
        <v>14</v>
      </c>
      <c r="D927" s="1">
        <v>43419</v>
      </c>
      <c r="E927" s="1">
        <v>43419</v>
      </c>
      <c r="F927" s="1">
        <v>43417</v>
      </c>
      <c r="G927" s="1">
        <v>43417</v>
      </c>
      <c r="H927" t="s">
        <v>9</v>
      </c>
      <c r="I927" t="s">
        <v>10</v>
      </c>
    </row>
    <row r="928" spans="1:9" x14ac:dyDescent="0.25">
      <c r="A928" t="s">
        <v>4346</v>
      </c>
      <c r="B928" s="26" t="str">
        <f>MID(tbl_forecast[[#This Row],[PACE Job Number]],3,3)</f>
        <v>STX</v>
      </c>
      <c r="C928" t="s">
        <v>14</v>
      </c>
      <c r="D928" s="1">
        <v>43416</v>
      </c>
      <c r="E928" s="1">
        <v>43416</v>
      </c>
      <c r="F928" s="1">
        <v>43417</v>
      </c>
      <c r="G928" s="1">
        <v>43417</v>
      </c>
      <c r="H928" t="s">
        <v>9</v>
      </c>
      <c r="I928" t="s">
        <v>10</v>
      </c>
    </row>
    <row r="929" spans="1:9" x14ac:dyDescent="0.25">
      <c r="A929" t="s">
        <v>286</v>
      </c>
      <c r="B929" s="26" t="str">
        <f>MID(tbl_forecast[[#This Row],[PACE Job Number]],3,3)</f>
        <v>STX</v>
      </c>
      <c r="C929" t="s">
        <v>14</v>
      </c>
      <c r="D929" s="1">
        <v>43416</v>
      </c>
      <c r="E929" s="1">
        <v>43416</v>
      </c>
      <c r="F929" s="1">
        <v>43419</v>
      </c>
      <c r="G929" s="1">
        <v>43419</v>
      </c>
      <c r="H929" t="s">
        <v>9</v>
      </c>
      <c r="I929" t="s">
        <v>10</v>
      </c>
    </row>
    <row r="930" spans="1:9" x14ac:dyDescent="0.25">
      <c r="A930" t="s">
        <v>2623</v>
      </c>
      <c r="B930" s="26" t="str">
        <f>MID(tbl_forecast[[#This Row],[PACE Job Number]],3,3)</f>
        <v>STX</v>
      </c>
      <c r="C930" t="s">
        <v>14</v>
      </c>
      <c r="D930" s="1">
        <v>43419</v>
      </c>
      <c r="E930" s="1">
        <v>43419</v>
      </c>
      <c r="F930" s="1">
        <v>43410</v>
      </c>
      <c r="G930" s="1">
        <v>43410</v>
      </c>
      <c r="H930" t="s">
        <v>9</v>
      </c>
      <c r="I930" t="s">
        <v>10</v>
      </c>
    </row>
    <row r="931" spans="1:9" x14ac:dyDescent="0.25">
      <c r="A931" t="s">
        <v>466</v>
      </c>
      <c r="B931" s="26" t="str">
        <f>MID(tbl_forecast[[#This Row],[PACE Job Number]],3,3)</f>
        <v>STX</v>
      </c>
      <c r="C931" t="s">
        <v>14</v>
      </c>
      <c r="D931" s="1">
        <v>43419</v>
      </c>
      <c r="E931" s="1">
        <v>43419</v>
      </c>
      <c r="F931" s="1">
        <v>43417</v>
      </c>
      <c r="G931" s="1">
        <v>43417</v>
      </c>
      <c r="H931" t="s">
        <v>9</v>
      </c>
      <c r="I931" t="s">
        <v>10</v>
      </c>
    </row>
    <row r="932" spans="1:9" x14ac:dyDescent="0.25">
      <c r="A932" t="s">
        <v>5351</v>
      </c>
      <c r="B932" s="26" t="str">
        <f>MID(tbl_forecast[[#This Row],[PACE Job Number]],3,3)</f>
        <v>NTX</v>
      </c>
      <c r="C932" t="s">
        <v>14</v>
      </c>
      <c r="D932" s="1">
        <v>43405</v>
      </c>
      <c r="E932" s="1">
        <v>43406</v>
      </c>
      <c r="F932" s="1">
        <v>43424</v>
      </c>
      <c r="G932" s="1">
        <v>43424</v>
      </c>
      <c r="H932" t="s">
        <v>4664</v>
      </c>
      <c r="I932" t="s">
        <v>10</v>
      </c>
    </row>
    <row r="933" spans="1:9" x14ac:dyDescent="0.25">
      <c r="A933" t="s">
        <v>3804</v>
      </c>
      <c r="B933" s="26" t="str">
        <f>MID(tbl_forecast[[#This Row],[PACE Job Number]],3,3)</f>
        <v>NTX</v>
      </c>
      <c r="C933" t="s">
        <v>14</v>
      </c>
      <c r="D933" s="1">
        <v>43423</v>
      </c>
      <c r="E933" s="1">
        <v>43423</v>
      </c>
      <c r="F933" s="1">
        <v>43414</v>
      </c>
      <c r="G933" s="1">
        <v>43414</v>
      </c>
      <c r="H933" t="s">
        <v>9</v>
      </c>
      <c r="I933" t="s">
        <v>10</v>
      </c>
    </row>
    <row r="934" spans="1:9" x14ac:dyDescent="0.25">
      <c r="A934" t="s">
        <v>1732</v>
      </c>
      <c r="B934" s="26" t="str">
        <f>MID(tbl_forecast[[#This Row],[PACE Job Number]],3,3)</f>
        <v>NTX</v>
      </c>
      <c r="C934" t="s">
        <v>14</v>
      </c>
      <c r="D934" s="1">
        <v>43416</v>
      </c>
      <c r="E934" s="1">
        <v>43493</v>
      </c>
      <c r="F934" s="1">
        <v>43493</v>
      </c>
      <c r="G934" s="1"/>
      <c r="H934" t="s">
        <v>4664</v>
      </c>
      <c r="I934" t="s">
        <v>5645</v>
      </c>
    </row>
    <row r="935" spans="1:9" x14ac:dyDescent="0.25">
      <c r="A935" t="s">
        <v>41</v>
      </c>
      <c r="B935" s="26" t="str">
        <f>MID(tbl_forecast[[#This Row],[PACE Job Number]],3,3)</f>
        <v>NTX</v>
      </c>
      <c r="C935" t="s">
        <v>14</v>
      </c>
      <c r="D935" s="1">
        <v>43416</v>
      </c>
      <c r="E935" s="1">
        <v>43416</v>
      </c>
      <c r="F935" s="1">
        <v>43409</v>
      </c>
      <c r="G935" s="1">
        <v>43409</v>
      </c>
      <c r="H935" t="s">
        <v>9</v>
      </c>
      <c r="I935" t="s">
        <v>10</v>
      </c>
    </row>
    <row r="936" spans="1:9" x14ac:dyDescent="0.25">
      <c r="A936" t="s">
        <v>3428</v>
      </c>
      <c r="B936" s="26" t="str">
        <f>MID(tbl_forecast[[#This Row],[PACE Job Number]],3,3)</f>
        <v>NTX</v>
      </c>
      <c r="C936" t="s">
        <v>14</v>
      </c>
      <c r="D936" s="1">
        <v>43406</v>
      </c>
      <c r="E936" s="1">
        <v>43413</v>
      </c>
      <c r="F936" s="1">
        <v>43424</v>
      </c>
      <c r="G936" s="1">
        <v>43424</v>
      </c>
      <c r="H936" t="s">
        <v>4664</v>
      </c>
      <c r="I936" t="s">
        <v>10</v>
      </c>
    </row>
    <row r="937" spans="1:9" x14ac:dyDescent="0.25">
      <c r="A937" t="s">
        <v>5352</v>
      </c>
      <c r="B937" s="26" t="str">
        <f>MID(tbl_forecast[[#This Row],[PACE Job Number]],3,3)</f>
        <v>NTX</v>
      </c>
      <c r="C937" t="s">
        <v>14</v>
      </c>
      <c r="D937" s="1">
        <v>43409</v>
      </c>
      <c r="E937" s="1">
        <v>43413</v>
      </c>
      <c r="F937" s="1">
        <v>43406</v>
      </c>
      <c r="G937" s="1">
        <v>43406</v>
      </c>
      <c r="H937" t="s">
        <v>9</v>
      </c>
      <c r="I937" t="s">
        <v>10</v>
      </c>
    </row>
    <row r="938" spans="1:9" x14ac:dyDescent="0.25">
      <c r="A938" t="s">
        <v>5353</v>
      </c>
      <c r="B938" s="26" t="str">
        <f>MID(tbl_forecast[[#This Row],[PACE Job Number]],3,3)</f>
        <v>NTX</v>
      </c>
      <c r="C938" t="s">
        <v>14</v>
      </c>
      <c r="D938" s="1">
        <v>43416</v>
      </c>
      <c r="E938" s="1">
        <v>43434</v>
      </c>
      <c r="F938" s="1">
        <v>43434</v>
      </c>
      <c r="G938" s="1"/>
      <c r="H938" t="s">
        <v>4664</v>
      </c>
      <c r="I938" t="s">
        <v>5645</v>
      </c>
    </row>
    <row r="939" spans="1:9" x14ac:dyDescent="0.25">
      <c r="A939" t="s">
        <v>557</v>
      </c>
      <c r="B939" s="26" t="str">
        <f>MID(tbl_forecast[[#This Row],[PACE Job Number]],3,3)</f>
        <v>NTX</v>
      </c>
      <c r="C939" t="s">
        <v>14</v>
      </c>
      <c r="D939" s="1">
        <v>43413</v>
      </c>
      <c r="E939" s="1">
        <v>43434</v>
      </c>
      <c r="F939" s="1">
        <v>43434</v>
      </c>
      <c r="G939" s="1"/>
      <c r="H939" t="s">
        <v>4664</v>
      </c>
      <c r="I939" t="s">
        <v>5645</v>
      </c>
    </row>
    <row r="940" spans="1:9" x14ac:dyDescent="0.25">
      <c r="A940" t="s">
        <v>5354</v>
      </c>
      <c r="B940" s="26" t="str">
        <f>MID(tbl_forecast[[#This Row],[PACE Job Number]],3,3)</f>
        <v>NTX</v>
      </c>
      <c r="C940" t="s">
        <v>14</v>
      </c>
      <c r="D940" s="1">
        <v>43409</v>
      </c>
      <c r="E940" s="1">
        <v>43413</v>
      </c>
      <c r="F940" s="1">
        <v>43426</v>
      </c>
      <c r="G940" s="1">
        <v>43426</v>
      </c>
      <c r="H940" t="s">
        <v>4664</v>
      </c>
      <c r="I940" t="s">
        <v>10</v>
      </c>
    </row>
    <row r="941" spans="1:9" x14ac:dyDescent="0.25">
      <c r="A941" t="s">
        <v>4475</v>
      </c>
      <c r="B941" s="26" t="str">
        <f>MID(tbl_forecast[[#This Row],[PACE Job Number]],3,3)</f>
        <v>NTX</v>
      </c>
      <c r="C941" t="s">
        <v>14</v>
      </c>
      <c r="D941" s="1">
        <v>43413</v>
      </c>
      <c r="E941" s="1">
        <v>43493</v>
      </c>
      <c r="F941" s="1">
        <v>43493</v>
      </c>
      <c r="G941" s="1"/>
      <c r="H941" t="s">
        <v>4664</v>
      </c>
      <c r="I941" t="s">
        <v>5645</v>
      </c>
    </row>
    <row r="942" spans="1:9" x14ac:dyDescent="0.25">
      <c r="A942" t="s">
        <v>3814</v>
      </c>
      <c r="B942" s="26" t="str">
        <f>MID(tbl_forecast[[#This Row],[PACE Job Number]],3,3)</f>
        <v>NTX</v>
      </c>
      <c r="C942" t="s">
        <v>14</v>
      </c>
      <c r="D942" s="1">
        <v>43430</v>
      </c>
      <c r="E942" s="1">
        <v>43430</v>
      </c>
      <c r="F942" s="1">
        <v>43417</v>
      </c>
      <c r="G942" s="1">
        <v>43417</v>
      </c>
      <c r="H942" t="s">
        <v>9</v>
      </c>
      <c r="I942" t="s">
        <v>10</v>
      </c>
    </row>
    <row r="943" spans="1:9" x14ac:dyDescent="0.25">
      <c r="A943" t="s">
        <v>1089</v>
      </c>
      <c r="B943" s="26" t="str">
        <f>MID(tbl_forecast[[#This Row],[PACE Job Number]],3,3)</f>
        <v>NTX</v>
      </c>
      <c r="C943" t="s">
        <v>14</v>
      </c>
      <c r="D943" s="1">
        <v>43406</v>
      </c>
      <c r="E943" s="1">
        <v>43406</v>
      </c>
      <c r="F943" s="1">
        <v>43410</v>
      </c>
      <c r="G943" s="1">
        <v>43410</v>
      </c>
      <c r="H943" t="s">
        <v>9</v>
      </c>
      <c r="I943" t="s">
        <v>10</v>
      </c>
    </row>
    <row r="944" spans="1:9" x14ac:dyDescent="0.25">
      <c r="A944" t="s">
        <v>404</v>
      </c>
      <c r="B944" s="26" t="str">
        <f>MID(tbl_forecast[[#This Row],[PACE Job Number]],3,3)</f>
        <v>NTX</v>
      </c>
      <c r="C944" t="s">
        <v>14</v>
      </c>
      <c r="D944" s="1">
        <v>43432</v>
      </c>
      <c r="E944" s="1">
        <v>43444</v>
      </c>
      <c r="F944" s="1">
        <v>43444</v>
      </c>
      <c r="G944" s="1"/>
      <c r="H944" t="s">
        <v>9</v>
      </c>
      <c r="I944" t="s">
        <v>27</v>
      </c>
    </row>
    <row r="945" spans="1:9" x14ac:dyDescent="0.25">
      <c r="A945" t="s">
        <v>4421</v>
      </c>
      <c r="B945" s="26" t="str">
        <f>MID(tbl_forecast[[#This Row],[PACE Job Number]],3,3)</f>
        <v>NTX</v>
      </c>
      <c r="C945" t="s">
        <v>14</v>
      </c>
      <c r="D945" s="1">
        <v>43405</v>
      </c>
      <c r="E945" s="1">
        <v>43493</v>
      </c>
      <c r="F945" s="1">
        <v>43493</v>
      </c>
      <c r="G945" s="1"/>
      <c r="H945" t="s">
        <v>4664</v>
      </c>
      <c r="I945" t="s">
        <v>5645</v>
      </c>
    </row>
    <row r="946" spans="1:9" x14ac:dyDescent="0.25">
      <c r="A946" t="s">
        <v>2428</v>
      </c>
      <c r="B946" s="26" t="str">
        <f>MID(tbl_forecast[[#This Row],[PACE Job Number]],3,3)</f>
        <v>NTX</v>
      </c>
      <c r="C946" t="s">
        <v>14</v>
      </c>
      <c r="D946" s="1">
        <v>43409</v>
      </c>
      <c r="E946" s="1">
        <v>43444</v>
      </c>
      <c r="F946" s="1">
        <v>43444</v>
      </c>
      <c r="G946" s="1"/>
      <c r="H946" t="s">
        <v>4664</v>
      </c>
      <c r="I946" t="s">
        <v>5645</v>
      </c>
    </row>
    <row r="947" spans="1:9" x14ac:dyDescent="0.25">
      <c r="A947" t="s">
        <v>647</v>
      </c>
      <c r="B947" s="26" t="str">
        <f>MID(tbl_forecast[[#This Row],[PACE Job Number]],3,3)</f>
        <v>NTX</v>
      </c>
      <c r="C947" t="s">
        <v>14</v>
      </c>
      <c r="D947" s="1">
        <v>43409</v>
      </c>
      <c r="E947" s="1">
        <v>43417</v>
      </c>
      <c r="F947" s="1">
        <v>43414</v>
      </c>
      <c r="G947" s="1">
        <v>43414</v>
      </c>
      <c r="H947" t="s">
        <v>9</v>
      </c>
      <c r="I947" t="s">
        <v>10</v>
      </c>
    </row>
    <row r="948" spans="1:9" x14ac:dyDescent="0.25">
      <c r="A948" t="s">
        <v>352</v>
      </c>
      <c r="B948" s="26" t="str">
        <f>MID(tbl_forecast[[#This Row],[PACE Job Number]],3,3)</f>
        <v>NTX</v>
      </c>
      <c r="C948" t="s">
        <v>14</v>
      </c>
      <c r="D948" s="1">
        <v>43409</v>
      </c>
      <c r="E948" s="1">
        <v>43434</v>
      </c>
      <c r="F948" s="1">
        <v>43434</v>
      </c>
      <c r="G948" s="1"/>
      <c r="H948" t="s">
        <v>4664</v>
      </c>
      <c r="I948" t="s">
        <v>5645</v>
      </c>
    </row>
    <row r="949" spans="1:9" x14ac:dyDescent="0.25">
      <c r="A949" t="s">
        <v>239</v>
      </c>
      <c r="B949" s="26" t="str">
        <f>MID(tbl_forecast[[#This Row],[PACE Job Number]],3,3)</f>
        <v>NTX</v>
      </c>
      <c r="C949" t="s">
        <v>14</v>
      </c>
      <c r="D949" s="1">
        <v>43432</v>
      </c>
      <c r="E949" s="1">
        <v>43432</v>
      </c>
      <c r="F949" s="1">
        <v>43423</v>
      </c>
      <c r="G949" s="1">
        <v>43423</v>
      </c>
      <c r="H949" t="s">
        <v>9</v>
      </c>
      <c r="I949" t="s">
        <v>10</v>
      </c>
    </row>
    <row r="950" spans="1:9" x14ac:dyDescent="0.25">
      <c r="A950" t="s">
        <v>5355</v>
      </c>
      <c r="B950" s="26" t="str">
        <f>MID(tbl_forecast[[#This Row],[PACE Job Number]],3,3)</f>
        <v>NTX</v>
      </c>
      <c r="C950" t="s">
        <v>14</v>
      </c>
      <c r="D950" s="1">
        <v>43409</v>
      </c>
      <c r="E950" s="1">
        <v>43440</v>
      </c>
      <c r="F950" s="1">
        <v>43440</v>
      </c>
      <c r="G950" s="1"/>
      <c r="H950" t="s">
        <v>4664</v>
      </c>
      <c r="I950" t="s">
        <v>5645</v>
      </c>
    </row>
    <row r="951" spans="1:9" x14ac:dyDescent="0.25">
      <c r="A951" t="s">
        <v>52</v>
      </c>
      <c r="B951" s="26" t="str">
        <f>MID(tbl_forecast[[#This Row],[PACE Job Number]],3,3)</f>
        <v>NTX</v>
      </c>
      <c r="C951" t="s">
        <v>14</v>
      </c>
      <c r="D951" s="1">
        <v>43432</v>
      </c>
      <c r="E951" s="1">
        <v>43432</v>
      </c>
      <c r="F951" s="1">
        <v>43423</v>
      </c>
      <c r="G951" s="1">
        <v>43423</v>
      </c>
      <c r="H951" t="s">
        <v>9</v>
      </c>
      <c r="I951" t="s">
        <v>10</v>
      </c>
    </row>
    <row r="952" spans="1:9" x14ac:dyDescent="0.25">
      <c r="A952" t="s">
        <v>238</v>
      </c>
      <c r="B952" s="26" t="str">
        <f>MID(tbl_forecast[[#This Row],[PACE Job Number]],3,3)</f>
        <v>NTX</v>
      </c>
      <c r="C952" t="s">
        <v>14</v>
      </c>
      <c r="D952" s="1">
        <v>43432</v>
      </c>
      <c r="E952" s="1">
        <v>43432</v>
      </c>
      <c r="F952" s="1">
        <v>43423</v>
      </c>
      <c r="G952" s="1">
        <v>43423</v>
      </c>
      <c r="H952" t="s">
        <v>9</v>
      </c>
      <c r="I952" t="s">
        <v>10</v>
      </c>
    </row>
    <row r="953" spans="1:9" x14ac:dyDescent="0.25">
      <c r="A953" t="s">
        <v>5356</v>
      </c>
      <c r="B953" s="26" t="str">
        <f>MID(tbl_forecast[[#This Row],[PACE Job Number]],3,3)</f>
        <v>NTX</v>
      </c>
      <c r="C953" t="s">
        <v>14</v>
      </c>
      <c r="D953" s="1">
        <v>43416</v>
      </c>
      <c r="E953" s="1">
        <v>43430</v>
      </c>
      <c r="F953" s="1">
        <v>43423</v>
      </c>
      <c r="G953" s="1">
        <v>43423</v>
      </c>
      <c r="H953" t="s">
        <v>9</v>
      </c>
      <c r="I953" t="s">
        <v>10</v>
      </c>
    </row>
    <row r="954" spans="1:9" x14ac:dyDescent="0.25">
      <c r="A954" t="s">
        <v>1874</v>
      </c>
      <c r="B954" s="26" t="str">
        <f>MID(tbl_forecast[[#This Row],[PACE Job Number]],3,3)</f>
        <v>NTX</v>
      </c>
      <c r="C954" t="s">
        <v>14</v>
      </c>
      <c r="D954" s="1">
        <v>43430</v>
      </c>
      <c r="E954" s="1">
        <v>43434</v>
      </c>
      <c r="F954" s="1">
        <v>43434</v>
      </c>
      <c r="G954" s="1"/>
      <c r="H954" t="s">
        <v>9</v>
      </c>
      <c r="I954" t="s">
        <v>27</v>
      </c>
    </row>
    <row r="955" spans="1:9" x14ac:dyDescent="0.25">
      <c r="A955" t="s">
        <v>5223</v>
      </c>
      <c r="B955" s="26" t="str">
        <f>MID(tbl_forecast[[#This Row],[PACE Job Number]],3,3)</f>
        <v>ANM</v>
      </c>
      <c r="C955" t="s">
        <v>14</v>
      </c>
      <c r="D955" s="1">
        <v>43412</v>
      </c>
      <c r="E955" s="1">
        <v>43430</v>
      </c>
      <c r="F955" s="1">
        <v>43432</v>
      </c>
      <c r="G955" s="1">
        <v>43432</v>
      </c>
      <c r="H955" t="s">
        <v>4664</v>
      </c>
      <c r="I955" t="s">
        <v>10</v>
      </c>
    </row>
    <row r="956" spans="1:9" x14ac:dyDescent="0.25">
      <c r="A956" t="s">
        <v>5224</v>
      </c>
      <c r="B956" s="26" t="str">
        <f>MID(tbl_forecast[[#This Row],[PACE Job Number]],3,3)</f>
        <v>ANM</v>
      </c>
      <c r="C956" t="s">
        <v>14</v>
      </c>
      <c r="D956" s="1">
        <v>43412</v>
      </c>
      <c r="E956" s="1">
        <v>43430</v>
      </c>
      <c r="F956" s="1">
        <v>43432</v>
      </c>
      <c r="G956" s="1">
        <v>43432</v>
      </c>
      <c r="H956" t="s">
        <v>4664</v>
      </c>
      <c r="I956" t="s">
        <v>10</v>
      </c>
    </row>
    <row r="957" spans="1:9" x14ac:dyDescent="0.25">
      <c r="A957" t="s">
        <v>5225</v>
      </c>
      <c r="B957" s="26" t="str">
        <f>MID(tbl_forecast[[#This Row],[PACE Job Number]],3,3)</f>
        <v>ANM</v>
      </c>
      <c r="C957" t="s">
        <v>14</v>
      </c>
      <c r="D957" s="1">
        <v>43412</v>
      </c>
      <c r="E957" s="1">
        <v>43430</v>
      </c>
      <c r="F957" s="1">
        <v>43432</v>
      </c>
      <c r="G957" s="1">
        <v>43432</v>
      </c>
      <c r="H957" t="s">
        <v>4664</v>
      </c>
      <c r="I957" t="s">
        <v>10</v>
      </c>
    </row>
    <row r="958" spans="1:9" x14ac:dyDescent="0.25">
      <c r="A958" t="s">
        <v>3430</v>
      </c>
      <c r="B958" s="26" t="str">
        <f>MID(tbl_forecast[[#This Row],[PACE Job Number]],3,3)</f>
        <v>ANM</v>
      </c>
      <c r="C958" t="s">
        <v>14</v>
      </c>
      <c r="D958" s="1">
        <v>43412</v>
      </c>
      <c r="E958" s="1">
        <v>43416</v>
      </c>
      <c r="F958" s="1">
        <v>43417</v>
      </c>
      <c r="G958" s="1">
        <v>43417</v>
      </c>
      <c r="H958" t="s">
        <v>9</v>
      </c>
      <c r="I958" t="s">
        <v>10</v>
      </c>
    </row>
    <row r="959" spans="1:9" x14ac:dyDescent="0.25">
      <c r="A959" t="s">
        <v>3431</v>
      </c>
      <c r="B959" s="26" t="str">
        <f>MID(tbl_forecast[[#This Row],[PACE Job Number]],3,3)</f>
        <v>ANM</v>
      </c>
      <c r="C959" t="s">
        <v>14</v>
      </c>
      <c r="D959" s="1">
        <v>43412</v>
      </c>
      <c r="E959" s="1">
        <v>43416</v>
      </c>
      <c r="F959" s="1">
        <v>43417</v>
      </c>
      <c r="G959" s="1">
        <v>43417</v>
      </c>
      <c r="H959" t="s">
        <v>9</v>
      </c>
      <c r="I959" t="s">
        <v>10</v>
      </c>
    </row>
    <row r="960" spans="1:9" x14ac:dyDescent="0.25">
      <c r="A960" t="s">
        <v>3440</v>
      </c>
      <c r="B960" s="26" t="str">
        <f>MID(tbl_forecast[[#This Row],[PACE Job Number]],3,3)</f>
        <v>ANM</v>
      </c>
      <c r="C960" t="s">
        <v>14</v>
      </c>
      <c r="D960" s="1">
        <v>43412</v>
      </c>
      <c r="E960" s="1">
        <v>43416</v>
      </c>
      <c r="F960" s="1">
        <v>43417</v>
      </c>
      <c r="G960" s="1">
        <v>43417</v>
      </c>
      <c r="H960" t="s">
        <v>9</v>
      </c>
      <c r="I960" t="s">
        <v>10</v>
      </c>
    </row>
    <row r="961" spans="1:9" x14ac:dyDescent="0.25">
      <c r="A961" t="s">
        <v>4145</v>
      </c>
      <c r="B961" s="26" t="str">
        <f>MID(tbl_forecast[[#This Row],[PACE Job Number]],3,3)</f>
        <v>ANM</v>
      </c>
      <c r="C961" t="s">
        <v>14</v>
      </c>
      <c r="D961" s="1">
        <v>43412</v>
      </c>
      <c r="E961" s="1">
        <v>43416</v>
      </c>
      <c r="F961" s="1">
        <v>43417</v>
      </c>
      <c r="G961" s="1">
        <v>43417</v>
      </c>
      <c r="H961" t="s">
        <v>9</v>
      </c>
      <c r="I961" t="s">
        <v>10</v>
      </c>
    </row>
    <row r="962" spans="1:9" x14ac:dyDescent="0.25">
      <c r="A962" t="s">
        <v>5226</v>
      </c>
      <c r="B962" s="26" t="str">
        <f>MID(tbl_forecast[[#This Row],[PACE Job Number]],3,3)</f>
        <v>ANM</v>
      </c>
      <c r="C962" t="s">
        <v>14</v>
      </c>
      <c r="D962" s="1">
        <v>43406</v>
      </c>
      <c r="E962" s="1">
        <v>43409</v>
      </c>
      <c r="F962" s="1">
        <v>43406</v>
      </c>
      <c r="G962" s="1">
        <v>43406</v>
      </c>
      <c r="H962" t="s">
        <v>9</v>
      </c>
      <c r="I962" t="s">
        <v>10</v>
      </c>
    </row>
    <row r="963" spans="1:9" x14ac:dyDescent="0.25">
      <c r="A963" t="s">
        <v>376</v>
      </c>
      <c r="B963" s="26" t="str">
        <f>MID(tbl_forecast[[#This Row],[PACE Job Number]],3,3)</f>
        <v>ANM</v>
      </c>
      <c r="C963" t="s">
        <v>14</v>
      </c>
      <c r="D963" s="1">
        <v>43434</v>
      </c>
      <c r="E963" s="1">
        <v>43441</v>
      </c>
      <c r="F963" s="1">
        <v>43441</v>
      </c>
      <c r="G963" s="1"/>
      <c r="H963" t="s">
        <v>9</v>
      </c>
      <c r="I963" t="s">
        <v>27</v>
      </c>
    </row>
    <row r="964" spans="1:9" x14ac:dyDescent="0.25">
      <c r="A964" t="s">
        <v>5227</v>
      </c>
      <c r="B964" s="26" t="str">
        <f>MID(tbl_forecast[[#This Row],[PACE Job Number]],3,3)</f>
        <v>ANM</v>
      </c>
      <c r="C964" t="s">
        <v>14</v>
      </c>
      <c r="D964" s="1">
        <v>43412</v>
      </c>
      <c r="E964" s="1">
        <v>43430</v>
      </c>
      <c r="F964" s="1">
        <v>43432</v>
      </c>
      <c r="G964" s="1">
        <v>43432</v>
      </c>
      <c r="H964" t="s">
        <v>4664</v>
      </c>
      <c r="I964" t="s">
        <v>10</v>
      </c>
    </row>
    <row r="965" spans="1:9" x14ac:dyDescent="0.25">
      <c r="A965" t="s">
        <v>167</v>
      </c>
      <c r="B965" s="26" t="str">
        <f>MID(tbl_forecast[[#This Row],[PACE Job Number]],3,3)</f>
        <v>NTX</v>
      </c>
      <c r="C965" t="s">
        <v>14</v>
      </c>
      <c r="D965" s="1">
        <v>43409</v>
      </c>
      <c r="E965" s="1">
        <v>43409</v>
      </c>
      <c r="F965" s="1">
        <v>43426</v>
      </c>
      <c r="G965" s="1">
        <v>43426</v>
      </c>
      <c r="H965" t="s">
        <v>4664</v>
      </c>
      <c r="I965" t="s">
        <v>10</v>
      </c>
    </row>
    <row r="966" spans="1:9" x14ac:dyDescent="0.25">
      <c r="A966" t="s">
        <v>3974</v>
      </c>
      <c r="B966" s="26" t="str">
        <f>MID(tbl_forecast[[#This Row],[PACE Job Number]],3,3)</f>
        <v>NTX</v>
      </c>
      <c r="C966" t="s">
        <v>14</v>
      </c>
      <c r="D966" s="1">
        <v>43406</v>
      </c>
      <c r="E966" s="1">
        <v>43430</v>
      </c>
      <c r="F966" s="1">
        <v>43434</v>
      </c>
      <c r="G966" s="1"/>
      <c r="H966" t="s">
        <v>4664</v>
      </c>
      <c r="I966" t="s">
        <v>5645</v>
      </c>
    </row>
    <row r="967" spans="1:9" x14ac:dyDescent="0.25">
      <c r="A967" t="s">
        <v>237</v>
      </c>
      <c r="B967" s="26" t="str">
        <f>MID(tbl_forecast[[#This Row],[PACE Job Number]],3,3)</f>
        <v>NTX</v>
      </c>
      <c r="C967" t="s">
        <v>14</v>
      </c>
      <c r="D967" s="1">
        <v>43432</v>
      </c>
      <c r="E967" s="1">
        <v>43432</v>
      </c>
      <c r="F967" s="1">
        <v>43423</v>
      </c>
      <c r="G967" s="1">
        <v>43423</v>
      </c>
      <c r="H967" t="s">
        <v>9</v>
      </c>
      <c r="I967" t="s">
        <v>10</v>
      </c>
    </row>
    <row r="968" spans="1:9" x14ac:dyDescent="0.25">
      <c r="A968" t="s">
        <v>4415</v>
      </c>
      <c r="B968" s="26" t="str">
        <f>MID(tbl_forecast[[#This Row],[PACE Job Number]],3,3)</f>
        <v>STX</v>
      </c>
      <c r="C968" t="s">
        <v>14</v>
      </c>
      <c r="D968" s="1">
        <v>43416</v>
      </c>
      <c r="E968" s="1">
        <v>43452</v>
      </c>
      <c r="F968" s="1">
        <v>43452</v>
      </c>
      <c r="G968" s="1"/>
      <c r="H968" t="s">
        <v>4664</v>
      </c>
      <c r="I968" t="s">
        <v>5645</v>
      </c>
    </row>
    <row r="969" spans="1:9" x14ac:dyDescent="0.25">
      <c r="A969" t="s">
        <v>5357</v>
      </c>
      <c r="B969" s="26" t="str">
        <f>MID(tbl_forecast[[#This Row],[PACE Job Number]],3,3)</f>
        <v>STX</v>
      </c>
      <c r="C969" t="s">
        <v>14</v>
      </c>
      <c r="D969" s="1">
        <v>43416</v>
      </c>
      <c r="E969" s="1">
        <v>43416</v>
      </c>
      <c r="F969" s="1">
        <v>43423</v>
      </c>
      <c r="G969" s="1">
        <v>43423</v>
      </c>
      <c r="H969" t="s">
        <v>9</v>
      </c>
      <c r="I969" t="s">
        <v>10</v>
      </c>
    </row>
    <row r="970" spans="1:9" x14ac:dyDescent="0.25">
      <c r="A970" t="s">
        <v>5358</v>
      </c>
      <c r="B970" s="26" t="str">
        <f>MID(tbl_forecast[[#This Row],[PACE Job Number]],3,3)</f>
        <v>STX</v>
      </c>
      <c r="C970" t="s">
        <v>14</v>
      </c>
      <c r="D970" s="1">
        <v>43416</v>
      </c>
      <c r="E970" s="1">
        <v>43447</v>
      </c>
      <c r="F970" s="1">
        <v>43447</v>
      </c>
      <c r="G970" s="1"/>
      <c r="H970" t="s">
        <v>4664</v>
      </c>
      <c r="I970" t="s">
        <v>5645</v>
      </c>
    </row>
    <row r="971" spans="1:9" x14ac:dyDescent="0.25">
      <c r="A971" t="s">
        <v>5359</v>
      </c>
      <c r="B971" s="26" t="str">
        <f>MID(tbl_forecast[[#This Row],[PACE Job Number]],3,3)</f>
        <v>STX</v>
      </c>
      <c r="C971" t="s">
        <v>14</v>
      </c>
      <c r="D971" s="1">
        <v>43419</v>
      </c>
      <c r="E971" s="1">
        <v>43419</v>
      </c>
      <c r="F971" s="1">
        <v>43420</v>
      </c>
      <c r="G971" s="1">
        <v>43420</v>
      </c>
      <c r="H971" t="s">
        <v>9</v>
      </c>
      <c r="I971" t="s">
        <v>10</v>
      </c>
    </row>
    <row r="972" spans="1:9" x14ac:dyDescent="0.25">
      <c r="A972" t="s">
        <v>40</v>
      </c>
      <c r="B972" s="26" t="str">
        <f>MID(tbl_forecast[[#This Row],[PACE Job Number]],3,3)</f>
        <v>STX</v>
      </c>
      <c r="C972" t="s">
        <v>14</v>
      </c>
      <c r="D972" s="1">
        <v>43419</v>
      </c>
      <c r="E972" s="1">
        <v>43419</v>
      </c>
      <c r="F972" s="1">
        <v>43419</v>
      </c>
      <c r="G972" s="1">
        <v>43419</v>
      </c>
      <c r="H972" t="s">
        <v>9</v>
      </c>
      <c r="I972" t="s">
        <v>10</v>
      </c>
    </row>
    <row r="973" spans="1:9" x14ac:dyDescent="0.25">
      <c r="A973" t="s">
        <v>4426</v>
      </c>
      <c r="B973" s="26" t="str">
        <f>MID(tbl_forecast[[#This Row],[PACE Job Number]],3,3)</f>
        <v>STX</v>
      </c>
      <c r="C973" t="s">
        <v>14</v>
      </c>
      <c r="D973" s="1">
        <v>43419</v>
      </c>
      <c r="E973" s="1">
        <v>43419</v>
      </c>
      <c r="F973" s="1">
        <v>43416</v>
      </c>
      <c r="G973" s="1">
        <v>43416</v>
      </c>
      <c r="H973" t="s">
        <v>9</v>
      </c>
      <c r="I973" t="s">
        <v>10</v>
      </c>
    </row>
    <row r="974" spans="1:9" x14ac:dyDescent="0.25">
      <c r="A974" t="s">
        <v>4217</v>
      </c>
      <c r="B974" s="26" t="str">
        <f>MID(tbl_forecast[[#This Row],[PACE Job Number]],3,3)</f>
        <v>ANM</v>
      </c>
      <c r="C974" t="s">
        <v>14</v>
      </c>
      <c r="D974" s="1">
        <v>43430</v>
      </c>
      <c r="E974" s="1">
        <v>43437</v>
      </c>
      <c r="F974" s="1">
        <v>43437</v>
      </c>
      <c r="G974" s="1"/>
      <c r="H974" t="s">
        <v>9</v>
      </c>
      <c r="I974" t="s">
        <v>27</v>
      </c>
    </row>
    <row r="975" spans="1:9" x14ac:dyDescent="0.25">
      <c r="A975" t="s">
        <v>4219</v>
      </c>
      <c r="B975" s="26" t="str">
        <f>MID(tbl_forecast[[#This Row],[PACE Job Number]],3,3)</f>
        <v>ANM</v>
      </c>
      <c r="C975" t="s">
        <v>14</v>
      </c>
      <c r="D975" s="1">
        <v>43430</v>
      </c>
      <c r="E975" s="1">
        <v>43432</v>
      </c>
      <c r="F975" s="1">
        <v>43432</v>
      </c>
      <c r="G975" s="1"/>
      <c r="H975" t="s">
        <v>9</v>
      </c>
      <c r="I975" t="s">
        <v>27</v>
      </c>
    </row>
    <row r="976" spans="1:9" x14ac:dyDescent="0.25">
      <c r="A976" t="s">
        <v>4146</v>
      </c>
      <c r="B976" s="26" t="str">
        <f>MID(tbl_forecast[[#This Row],[PACE Job Number]],3,3)</f>
        <v>ANM</v>
      </c>
      <c r="C976" t="s">
        <v>14</v>
      </c>
      <c r="D976" s="1">
        <v>43412</v>
      </c>
      <c r="E976" s="1">
        <v>43416</v>
      </c>
      <c r="F976" s="1">
        <v>43417</v>
      </c>
      <c r="G976" s="1">
        <v>43417</v>
      </c>
      <c r="H976" t="s">
        <v>9</v>
      </c>
      <c r="I976" t="s">
        <v>10</v>
      </c>
    </row>
    <row r="977" spans="1:9" x14ac:dyDescent="0.25">
      <c r="A977" t="s">
        <v>4220</v>
      </c>
      <c r="B977" s="26" t="str">
        <f>MID(tbl_forecast[[#This Row],[PACE Job Number]],3,3)</f>
        <v>ANM</v>
      </c>
      <c r="C977" t="s">
        <v>14</v>
      </c>
      <c r="D977" s="1">
        <v>43430</v>
      </c>
      <c r="E977" s="1">
        <v>43430</v>
      </c>
      <c r="F977" s="1">
        <v>43432</v>
      </c>
      <c r="G977" s="1">
        <v>43432</v>
      </c>
      <c r="H977" t="s">
        <v>9</v>
      </c>
      <c r="I977" t="s">
        <v>10</v>
      </c>
    </row>
    <row r="978" spans="1:9" x14ac:dyDescent="0.25">
      <c r="A978" t="s">
        <v>412</v>
      </c>
      <c r="B978" s="26" t="str">
        <f>MID(tbl_forecast[[#This Row],[PACE Job Number]],3,3)</f>
        <v>ANM</v>
      </c>
      <c r="C978" t="s">
        <v>14</v>
      </c>
      <c r="D978" s="1">
        <v>43434</v>
      </c>
      <c r="E978" s="1">
        <v>43441</v>
      </c>
      <c r="F978" s="1">
        <v>43441</v>
      </c>
      <c r="G978" s="1"/>
      <c r="H978" t="s">
        <v>9</v>
      </c>
      <c r="I978" t="s">
        <v>27</v>
      </c>
    </row>
    <row r="979" spans="1:9" x14ac:dyDescent="0.25">
      <c r="A979" t="s">
        <v>4224</v>
      </c>
      <c r="B979" s="26" t="str">
        <f>MID(tbl_forecast[[#This Row],[PACE Job Number]],3,3)</f>
        <v>ANM</v>
      </c>
      <c r="C979" t="s">
        <v>14</v>
      </c>
      <c r="D979" s="1">
        <v>43416</v>
      </c>
      <c r="E979" s="1">
        <v>43416</v>
      </c>
      <c r="F979" s="1">
        <v>43416</v>
      </c>
      <c r="G979" s="1"/>
      <c r="H979" t="s">
        <v>9</v>
      </c>
      <c r="I979" t="s">
        <v>27</v>
      </c>
    </row>
    <row r="980" spans="1:9" x14ac:dyDescent="0.25">
      <c r="A980" t="s">
        <v>4225</v>
      </c>
      <c r="B980" s="26" t="str">
        <f>MID(tbl_forecast[[#This Row],[PACE Job Number]],3,3)</f>
        <v>ANM</v>
      </c>
      <c r="C980" t="s">
        <v>14</v>
      </c>
      <c r="D980" s="1">
        <v>43407</v>
      </c>
      <c r="E980" s="1">
        <v>36524</v>
      </c>
      <c r="F980" s="1">
        <v>43407</v>
      </c>
      <c r="G980" s="1"/>
      <c r="H980" t="s">
        <v>9</v>
      </c>
      <c r="I980" t="s">
        <v>27</v>
      </c>
    </row>
    <row r="981" spans="1:9" x14ac:dyDescent="0.25">
      <c r="A981" t="s">
        <v>4226</v>
      </c>
      <c r="B981" s="26" t="str">
        <f>MID(tbl_forecast[[#This Row],[PACE Job Number]],3,3)</f>
        <v>ANM</v>
      </c>
      <c r="C981" t="s">
        <v>14</v>
      </c>
      <c r="D981" s="1">
        <v>43407</v>
      </c>
      <c r="E981" s="1">
        <v>36524</v>
      </c>
      <c r="F981" s="1">
        <v>43407</v>
      </c>
      <c r="G981" s="1"/>
      <c r="H981" t="s">
        <v>9</v>
      </c>
      <c r="I981" t="s">
        <v>27</v>
      </c>
    </row>
    <row r="982" spans="1:9" x14ac:dyDescent="0.25">
      <c r="A982" t="s">
        <v>4227</v>
      </c>
      <c r="B982" s="26" t="str">
        <f>MID(tbl_forecast[[#This Row],[PACE Job Number]],3,3)</f>
        <v>ANM</v>
      </c>
      <c r="C982" t="s">
        <v>14</v>
      </c>
      <c r="D982" s="1">
        <v>43407</v>
      </c>
      <c r="E982" s="1">
        <v>36524</v>
      </c>
      <c r="F982" s="1">
        <v>43407</v>
      </c>
      <c r="G982" s="1"/>
      <c r="H982" t="s">
        <v>9</v>
      </c>
      <c r="I982" t="s">
        <v>27</v>
      </c>
    </row>
    <row r="983" spans="1:9" x14ac:dyDescent="0.25">
      <c r="A983" t="s">
        <v>1809</v>
      </c>
      <c r="B983" s="26" t="str">
        <f>MID(tbl_forecast[[#This Row],[PACE Job Number]],3,3)</f>
        <v>NTX</v>
      </c>
      <c r="C983" t="s">
        <v>14</v>
      </c>
      <c r="D983" s="1">
        <v>43416</v>
      </c>
      <c r="E983" s="1">
        <v>43493</v>
      </c>
      <c r="F983" s="1">
        <v>43493</v>
      </c>
      <c r="G983" s="1"/>
      <c r="H983" t="s">
        <v>4664</v>
      </c>
      <c r="I983" t="s">
        <v>5645</v>
      </c>
    </row>
    <row r="984" spans="1:9" x14ac:dyDescent="0.25">
      <c r="A984" t="s">
        <v>5360</v>
      </c>
      <c r="B984" s="26" t="str">
        <f>MID(tbl_forecast[[#This Row],[PACE Job Number]],3,3)</f>
        <v>NTX</v>
      </c>
      <c r="C984" t="s">
        <v>14</v>
      </c>
      <c r="D984" s="1">
        <v>43432</v>
      </c>
      <c r="E984" s="1">
        <v>43432</v>
      </c>
      <c r="F984" s="1">
        <v>43417</v>
      </c>
      <c r="G984" s="1">
        <v>43417</v>
      </c>
      <c r="H984" t="s">
        <v>9</v>
      </c>
      <c r="I984" t="s">
        <v>10</v>
      </c>
    </row>
    <row r="985" spans="1:9" x14ac:dyDescent="0.25">
      <c r="A985" t="s">
        <v>119</v>
      </c>
      <c r="B985" s="26" t="str">
        <f>MID(tbl_forecast[[#This Row],[PACE Job Number]],3,3)</f>
        <v>NTX</v>
      </c>
      <c r="C985" t="s">
        <v>14</v>
      </c>
      <c r="D985" s="1">
        <v>43409</v>
      </c>
      <c r="E985" s="1">
        <v>43437</v>
      </c>
      <c r="F985" s="1">
        <v>43437</v>
      </c>
      <c r="G985" s="1"/>
      <c r="H985" t="s">
        <v>4664</v>
      </c>
      <c r="I985" t="s">
        <v>5645</v>
      </c>
    </row>
    <row r="986" spans="1:9" x14ac:dyDescent="0.25">
      <c r="A986" t="s">
        <v>3782</v>
      </c>
      <c r="B986" s="26" t="str">
        <f>MID(tbl_forecast[[#This Row],[PACE Job Number]],3,3)</f>
        <v>NTX</v>
      </c>
      <c r="C986" t="s">
        <v>14</v>
      </c>
      <c r="D986" s="1">
        <v>43423</v>
      </c>
      <c r="E986" s="1">
        <v>43423</v>
      </c>
      <c r="F986" s="1">
        <v>43413</v>
      </c>
      <c r="G986" s="1">
        <v>43413</v>
      </c>
      <c r="H986" t="s">
        <v>9</v>
      </c>
      <c r="I986" t="s">
        <v>10</v>
      </c>
    </row>
    <row r="987" spans="1:9" x14ac:dyDescent="0.25">
      <c r="A987" t="s">
        <v>5361</v>
      </c>
      <c r="B987" s="26" t="str">
        <f>MID(tbl_forecast[[#This Row],[PACE Job Number]],3,3)</f>
        <v>NTX</v>
      </c>
      <c r="C987" t="s">
        <v>14</v>
      </c>
      <c r="D987" s="1">
        <v>43416</v>
      </c>
      <c r="E987" s="1">
        <v>43434</v>
      </c>
      <c r="F987" s="1">
        <v>43432</v>
      </c>
      <c r="G987" s="1">
        <v>43432</v>
      </c>
      <c r="H987" t="s">
        <v>4664</v>
      </c>
      <c r="I987" t="s">
        <v>10</v>
      </c>
    </row>
    <row r="988" spans="1:9" x14ac:dyDescent="0.25">
      <c r="A988" t="s">
        <v>5362</v>
      </c>
      <c r="B988" s="26" t="str">
        <f>MID(tbl_forecast[[#This Row],[PACE Job Number]],3,3)</f>
        <v>NTX</v>
      </c>
      <c r="C988" t="s">
        <v>14</v>
      </c>
      <c r="D988" s="1">
        <v>43416</v>
      </c>
      <c r="E988" s="1">
        <v>43434</v>
      </c>
      <c r="F988" s="1">
        <v>43432</v>
      </c>
      <c r="G988" s="1">
        <v>43432</v>
      </c>
      <c r="H988" t="s">
        <v>4664</v>
      </c>
      <c r="I988" t="s">
        <v>10</v>
      </c>
    </row>
    <row r="989" spans="1:9" x14ac:dyDescent="0.25">
      <c r="A989" t="s">
        <v>2717</v>
      </c>
      <c r="B989" s="26" t="str">
        <f>MID(tbl_forecast[[#This Row],[PACE Job Number]],3,3)</f>
        <v>STX</v>
      </c>
      <c r="C989" t="s">
        <v>14</v>
      </c>
      <c r="D989" s="1">
        <v>43420</v>
      </c>
      <c r="E989" s="1">
        <v>43452</v>
      </c>
      <c r="F989" s="1">
        <v>43452</v>
      </c>
      <c r="G989" s="1"/>
      <c r="H989" t="s">
        <v>4664</v>
      </c>
      <c r="I989" t="s">
        <v>5645</v>
      </c>
    </row>
    <row r="990" spans="1:9" x14ac:dyDescent="0.25">
      <c r="A990" t="s">
        <v>5363</v>
      </c>
      <c r="B990" s="26" t="str">
        <f>MID(tbl_forecast[[#This Row],[PACE Job Number]],3,3)</f>
        <v>STX</v>
      </c>
      <c r="C990" t="s">
        <v>14</v>
      </c>
      <c r="D990" s="1">
        <v>43416</v>
      </c>
      <c r="E990" s="1">
        <v>43453</v>
      </c>
      <c r="F990" s="1">
        <v>43451</v>
      </c>
      <c r="G990" s="1"/>
      <c r="H990" t="s">
        <v>4664</v>
      </c>
      <c r="I990" t="s">
        <v>5645</v>
      </c>
    </row>
    <row r="991" spans="1:9" x14ac:dyDescent="0.25">
      <c r="A991" t="s">
        <v>5364</v>
      </c>
      <c r="B991" s="26" t="str">
        <f>MID(tbl_forecast[[#This Row],[PACE Job Number]],3,3)</f>
        <v>STX</v>
      </c>
      <c r="C991" t="s">
        <v>14</v>
      </c>
      <c r="D991" s="1">
        <v>43416</v>
      </c>
      <c r="E991" s="1">
        <v>43453</v>
      </c>
      <c r="F991" s="1">
        <v>43451</v>
      </c>
      <c r="G991" s="1"/>
      <c r="H991" t="s">
        <v>4664</v>
      </c>
      <c r="I991" t="s">
        <v>5645</v>
      </c>
    </row>
    <row r="992" spans="1:9" x14ac:dyDescent="0.25">
      <c r="A992" t="s">
        <v>3269</v>
      </c>
      <c r="B992" s="26" t="str">
        <f>MID(tbl_forecast[[#This Row],[PACE Job Number]],3,3)</f>
        <v>STX</v>
      </c>
      <c r="C992" t="s">
        <v>14</v>
      </c>
      <c r="D992" s="1">
        <v>43419</v>
      </c>
      <c r="E992" s="1">
        <v>43453</v>
      </c>
      <c r="F992" s="1">
        <v>43451</v>
      </c>
      <c r="G992" s="1"/>
      <c r="H992" t="s">
        <v>4664</v>
      </c>
      <c r="I992" t="s">
        <v>5645</v>
      </c>
    </row>
    <row r="993" spans="1:9" x14ac:dyDescent="0.25">
      <c r="A993" t="s">
        <v>5228</v>
      </c>
      <c r="B993" s="26" t="str">
        <f>MID(tbl_forecast[[#This Row],[PACE Job Number]],3,3)</f>
        <v>WSH</v>
      </c>
      <c r="C993" t="s">
        <v>14</v>
      </c>
      <c r="D993" s="1">
        <v>43416</v>
      </c>
      <c r="E993" s="1">
        <v>43409</v>
      </c>
      <c r="F993" s="1">
        <v>43409</v>
      </c>
      <c r="G993" s="1">
        <v>43409</v>
      </c>
      <c r="H993" t="s">
        <v>9</v>
      </c>
      <c r="I993" t="s">
        <v>10</v>
      </c>
    </row>
    <row r="994" spans="1:9" x14ac:dyDescent="0.25">
      <c r="A994" t="s">
        <v>5229</v>
      </c>
      <c r="B994" s="26" t="str">
        <f>MID(tbl_forecast[[#This Row],[PACE Job Number]],3,3)</f>
        <v>WSH</v>
      </c>
      <c r="C994" t="s">
        <v>14</v>
      </c>
      <c r="D994" s="1">
        <v>43423</v>
      </c>
      <c r="E994" s="1">
        <v>43424</v>
      </c>
      <c r="F994" s="1">
        <v>43424</v>
      </c>
      <c r="G994" s="1">
        <v>43424</v>
      </c>
      <c r="H994" t="s">
        <v>9</v>
      </c>
      <c r="I994" t="s">
        <v>10</v>
      </c>
    </row>
    <row r="995" spans="1:9" x14ac:dyDescent="0.25">
      <c r="A995" t="s">
        <v>5230</v>
      </c>
      <c r="B995" s="26" t="str">
        <f>MID(tbl_forecast[[#This Row],[PACE Job Number]],3,3)</f>
        <v>WSH</v>
      </c>
      <c r="C995" t="s">
        <v>14</v>
      </c>
      <c r="D995" s="1">
        <v>43430</v>
      </c>
      <c r="E995" s="1">
        <v>43420</v>
      </c>
      <c r="F995" s="1">
        <v>43420</v>
      </c>
      <c r="G995" s="1">
        <v>43420</v>
      </c>
      <c r="H995" t="s">
        <v>9</v>
      </c>
      <c r="I995" t="s">
        <v>10</v>
      </c>
    </row>
    <row r="996" spans="1:9" x14ac:dyDescent="0.25">
      <c r="A996" t="s">
        <v>3402</v>
      </c>
      <c r="B996" s="26" t="str">
        <f>MID(tbl_forecast[[#This Row],[PACE Job Number]],3,3)</f>
        <v>WSH</v>
      </c>
      <c r="C996" t="s">
        <v>14</v>
      </c>
      <c r="D996" s="1">
        <v>43423</v>
      </c>
      <c r="E996" s="1">
        <v>43432</v>
      </c>
      <c r="F996" s="1">
        <v>43432</v>
      </c>
      <c r="G996" s="1">
        <v>43432</v>
      </c>
      <c r="H996" t="s">
        <v>9</v>
      </c>
      <c r="I996" t="s">
        <v>10</v>
      </c>
    </row>
    <row r="997" spans="1:9" x14ac:dyDescent="0.25">
      <c r="A997" t="s">
        <v>5231</v>
      </c>
      <c r="B997" s="26" t="str">
        <f>MID(tbl_forecast[[#This Row],[PACE Job Number]],3,3)</f>
        <v>WSH</v>
      </c>
      <c r="C997" t="s">
        <v>14</v>
      </c>
      <c r="D997" s="1">
        <v>43410</v>
      </c>
      <c r="E997" s="1">
        <v>43410</v>
      </c>
      <c r="F997" s="1">
        <v>43410</v>
      </c>
      <c r="G997" s="1">
        <v>43410</v>
      </c>
      <c r="H997" t="s">
        <v>9</v>
      </c>
      <c r="I997" t="s">
        <v>10</v>
      </c>
    </row>
    <row r="998" spans="1:9" x14ac:dyDescent="0.25">
      <c r="A998" t="s">
        <v>4260</v>
      </c>
      <c r="B998" s="26" t="str">
        <f>MID(tbl_forecast[[#This Row],[PACE Job Number]],3,3)</f>
        <v>WSH</v>
      </c>
      <c r="C998" t="s">
        <v>14</v>
      </c>
      <c r="D998" s="1">
        <v>43410</v>
      </c>
      <c r="E998" s="1">
        <v>43430</v>
      </c>
      <c r="F998" s="1">
        <v>43430</v>
      </c>
      <c r="G998" s="1">
        <v>43430</v>
      </c>
      <c r="H998" t="s">
        <v>4664</v>
      </c>
      <c r="I998" t="s">
        <v>10</v>
      </c>
    </row>
    <row r="999" spans="1:9" x14ac:dyDescent="0.25">
      <c r="A999" t="s">
        <v>4261</v>
      </c>
      <c r="B999" s="26" t="str">
        <f>MID(tbl_forecast[[#This Row],[PACE Job Number]],3,3)</f>
        <v>WSH</v>
      </c>
      <c r="C999" t="s">
        <v>14</v>
      </c>
      <c r="D999" s="1">
        <v>43416</v>
      </c>
      <c r="E999" s="1">
        <v>43445</v>
      </c>
      <c r="F999" s="1">
        <v>43444</v>
      </c>
      <c r="G999" s="1"/>
      <c r="H999" t="s">
        <v>4664</v>
      </c>
      <c r="I999" t="s">
        <v>5645</v>
      </c>
    </row>
    <row r="1000" spans="1:9" x14ac:dyDescent="0.25">
      <c r="A1000" t="s">
        <v>5232</v>
      </c>
      <c r="B1000" s="26" t="str">
        <f>MID(tbl_forecast[[#This Row],[PACE Job Number]],3,3)</f>
        <v>WSH</v>
      </c>
      <c r="C1000" t="s">
        <v>14</v>
      </c>
      <c r="D1000" s="1">
        <v>43405</v>
      </c>
      <c r="E1000" s="1">
        <v>43405</v>
      </c>
      <c r="F1000" s="1">
        <v>43405</v>
      </c>
      <c r="G1000" s="1">
        <v>43405</v>
      </c>
      <c r="H1000" t="s">
        <v>9</v>
      </c>
      <c r="I1000" t="s">
        <v>10</v>
      </c>
    </row>
    <row r="1001" spans="1:9" x14ac:dyDescent="0.25">
      <c r="A1001" t="s">
        <v>5233</v>
      </c>
      <c r="B1001" s="26" t="str">
        <f>MID(tbl_forecast[[#This Row],[PACE Job Number]],3,3)</f>
        <v>WSH</v>
      </c>
      <c r="C1001" t="s">
        <v>14</v>
      </c>
      <c r="D1001" s="1">
        <v>43409</v>
      </c>
      <c r="E1001" s="1">
        <v>43409</v>
      </c>
      <c r="F1001" s="1">
        <v>43409</v>
      </c>
      <c r="G1001" s="1">
        <v>43409</v>
      </c>
      <c r="H1001" t="s">
        <v>9</v>
      </c>
      <c r="I1001" t="s">
        <v>10</v>
      </c>
    </row>
    <row r="1002" spans="1:9" x14ac:dyDescent="0.25">
      <c r="A1002" t="s">
        <v>1815</v>
      </c>
      <c r="B1002" s="26" t="str">
        <f>MID(tbl_forecast[[#This Row],[PACE Job Number]],3,3)</f>
        <v>NTX</v>
      </c>
      <c r="C1002" t="s">
        <v>14</v>
      </c>
      <c r="D1002" s="1">
        <v>43416</v>
      </c>
      <c r="E1002" s="1">
        <v>43423</v>
      </c>
      <c r="F1002" s="1">
        <v>43420</v>
      </c>
      <c r="G1002" s="1">
        <v>43420</v>
      </c>
      <c r="H1002" t="s">
        <v>9</v>
      </c>
      <c r="I1002" t="s">
        <v>10</v>
      </c>
    </row>
    <row r="1003" spans="1:9" x14ac:dyDescent="0.25">
      <c r="A1003" t="s">
        <v>1816</v>
      </c>
      <c r="B1003" s="26" t="str">
        <f>MID(tbl_forecast[[#This Row],[PACE Job Number]],3,3)</f>
        <v>NTX</v>
      </c>
      <c r="C1003" t="s">
        <v>14</v>
      </c>
      <c r="D1003" s="1">
        <v>43416</v>
      </c>
      <c r="E1003" s="1">
        <v>43423</v>
      </c>
      <c r="F1003" s="1">
        <v>43420</v>
      </c>
      <c r="G1003" s="1">
        <v>43420</v>
      </c>
      <c r="H1003" t="s">
        <v>9</v>
      </c>
      <c r="I1003" t="s">
        <v>10</v>
      </c>
    </row>
    <row r="1004" spans="1:9" x14ac:dyDescent="0.25">
      <c r="A1004" t="s">
        <v>2374</v>
      </c>
      <c r="B1004" s="26" t="str">
        <f>MID(tbl_forecast[[#This Row],[PACE Job Number]],3,3)</f>
        <v>NTX</v>
      </c>
      <c r="C1004" t="s">
        <v>14</v>
      </c>
      <c r="D1004" s="1">
        <v>43409</v>
      </c>
      <c r="E1004" s="1">
        <v>43417</v>
      </c>
      <c r="F1004" s="1">
        <v>43413</v>
      </c>
      <c r="G1004" s="1">
        <v>43413</v>
      </c>
      <c r="H1004" t="s">
        <v>9</v>
      </c>
      <c r="I1004" t="s">
        <v>10</v>
      </c>
    </row>
    <row r="1005" spans="1:9" x14ac:dyDescent="0.25">
      <c r="A1005" t="s">
        <v>4349</v>
      </c>
      <c r="B1005" s="26" t="str">
        <f>MID(tbl_forecast[[#This Row],[PACE Job Number]],3,3)</f>
        <v>NTX</v>
      </c>
      <c r="C1005" t="s">
        <v>14</v>
      </c>
      <c r="D1005" s="1">
        <v>43413</v>
      </c>
      <c r="E1005" s="1">
        <v>43413</v>
      </c>
      <c r="F1005" s="1">
        <v>43425</v>
      </c>
      <c r="G1005" s="1">
        <v>43425</v>
      </c>
      <c r="H1005" t="s">
        <v>9</v>
      </c>
      <c r="I1005" t="s">
        <v>10</v>
      </c>
    </row>
    <row r="1006" spans="1:9" x14ac:dyDescent="0.25">
      <c r="A1006" t="s">
        <v>2375</v>
      </c>
      <c r="B1006" s="26" t="str">
        <f>MID(tbl_forecast[[#This Row],[PACE Job Number]],3,3)</f>
        <v>NTX</v>
      </c>
      <c r="C1006" t="s">
        <v>14</v>
      </c>
      <c r="D1006" s="1">
        <v>43409</v>
      </c>
      <c r="E1006" s="1">
        <v>43417</v>
      </c>
      <c r="F1006" s="1">
        <v>43413</v>
      </c>
      <c r="G1006" s="1">
        <v>43413</v>
      </c>
      <c r="H1006" t="s">
        <v>9</v>
      </c>
      <c r="I1006" t="s">
        <v>10</v>
      </c>
    </row>
    <row r="1007" spans="1:9" x14ac:dyDescent="0.25">
      <c r="A1007" t="s">
        <v>3839</v>
      </c>
      <c r="B1007" s="26" t="str">
        <f>MID(tbl_forecast[[#This Row],[PACE Job Number]],3,3)</f>
        <v>NTX</v>
      </c>
      <c r="C1007" t="s">
        <v>14</v>
      </c>
      <c r="D1007" s="1">
        <v>43432</v>
      </c>
      <c r="E1007" s="1">
        <v>43434</v>
      </c>
      <c r="F1007" s="1">
        <v>43434</v>
      </c>
      <c r="G1007" s="1"/>
      <c r="H1007" t="s">
        <v>9</v>
      </c>
      <c r="I1007" t="s">
        <v>27</v>
      </c>
    </row>
    <row r="1008" spans="1:9" x14ac:dyDescent="0.25">
      <c r="A1008" t="s">
        <v>2376</v>
      </c>
      <c r="B1008" s="26" t="str">
        <f>MID(tbl_forecast[[#This Row],[PACE Job Number]],3,3)</f>
        <v>NTX</v>
      </c>
      <c r="C1008" t="s">
        <v>14</v>
      </c>
      <c r="D1008" s="1">
        <v>43416</v>
      </c>
      <c r="E1008" s="1">
        <v>43416</v>
      </c>
      <c r="F1008" s="1">
        <v>43416</v>
      </c>
      <c r="G1008" s="1">
        <v>43416</v>
      </c>
      <c r="H1008" t="s">
        <v>9</v>
      </c>
      <c r="I1008" t="s">
        <v>10</v>
      </c>
    </row>
    <row r="1009" spans="1:9" x14ac:dyDescent="0.25">
      <c r="A1009" t="s">
        <v>4350</v>
      </c>
      <c r="B1009" s="26" t="str">
        <f>MID(tbl_forecast[[#This Row],[PACE Job Number]],3,3)</f>
        <v>NTX</v>
      </c>
      <c r="C1009" t="s">
        <v>14</v>
      </c>
      <c r="D1009" s="1">
        <v>43413</v>
      </c>
      <c r="E1009" s="1">
        <v>43413</v>
      </c>
      <c r="F1009" s="1">
        <v>43425</v>
      </c>
      <c r="G1009" s="1">
        <v>43425</v>
      </c>
      <c r="H1009" t="s">
        <v>9</v>
      </c>
      <c r="I1009" t="s">
        <v>10</v>
      </c>
    </row>
    <row r="1010" spans="1:9" x14ac:dyDescent="0.25">
      <c r="A1010" t="s">
        <v>5365</v>
      </c>
      <c r="B1010" s="26" t="str">
        <f>MID(tbl_forecast[[#This Row],[PACE Job Number]],3,3)</f>
        <v>NTX</v>
      </c>
      <c r="C1010" t="s">
        <v>14</v>
      </c>
      <c r="D1010" s="1">
        <v>43419</v>
      </c>
      <c r="E1010" s="1">
        <v>43437</v>
      </c>
      <c r="F1010" s="1">
        <v>43437</v>
      </c>
      <c r="G1010" s="1"/>
      <c r="H1010" t="s">
        <v>4664</v>
      </c>
      <c r="I1010" t="s">
        <v>5645</v>
      </c>
    </row>
    <row r="1011" spans="1:9" x14ac:dyDescent="0.25">
      <c r="A1011" t="s">
        <v>144</v>
      </c>
      <c r="B1011" s="26" t="str">
        <f>MID(tbl_forecast[[#This Row],[PACE Job Number]],3,3)</f>
        <v>NTX</v>
      </c>
      <c r="C1011" t="s">
        <v>14</v>
      </c>
      <c r="D1011" s="1">
        <v>43416</v>
      </c>
      <c r="E1011" s="1">
        <v>43416</v>
      </c>
      <c r="F1011" s="1">
        <v>43416</v>
      </c>
      <c r="G1011" s="1">
        <v>43416</v>
      </c>
      <c r="H1011" t="s">
        <v>9</v>
      </c>
      <c r="I1011" t="s">
        <v>10</v>
      </c>
    </row>
    <row r="1012" spans="1:9" x14ac:dyDescent="0.25">
      <c r="A1012" t="s">
        <v>278</v>
      </c>
      <c r="B1012" s="26" t="str">
        <f>MID(tbl_forecast[[#This Row],[PACE Job Number]],3,3)</f>
        <v>NTX</v>
      </c>
      <c r="C1012" t="s">
        <v>14</v>
      </c>
      <c r="D1012" s="1">
        <v>43409</v>
      </c>
      <c r="E1012" s="1">
        <v>43409</v>
      </c>
      <c r="F1012" s="1">
        <v>43425</v>
      </c>
      <c r="G1012" s="1">
        <v>43425</v>
      </c>
      <c r="H1012" t="s">
        <v>4664</v>
      </c>
      <c r="I1012" t="s">
        <v>10</v>
      </c>
    </row>
    <row r="1013" spans="1:9" x14ac:dyDescent="0.25">
      <c r="A1013" t="s">
        <v>4351</v>
      </c>
      <c r="B1013" s="26" t="str">
        <f>MID(tbl_forecast[[#This Row],[PACE Job Number]],3,3)</f>
        <v>NTX</v>
      </c>
      <c r="C1013" t="s">
        <v>14</v>
      </c>
      <c r="D1013" s="1">
        <v>43413</v>
      </c>
      <c r="E1013" s="1">
        <v>43417</v>
      </c>
      <c r="F1013" s="1">
        <v>43418</v>
      </c>
      <c r="G1013" s="1">
        <v>43418</v>
      </c>
      <c r="H1013" t="s">
        <v>9</v>
      </c>
      <c r="I1013" t="s">
        <v>10</v>
      </c>
    </row>
    <row r="1014" spans="1:9" x14ac:dyDescent="0.25">
      <c r="A1014" t="s">
        <v>3931</v>
      </c>
      <c r="B1014" s="26" t="str">
        <f>MID(tbl_forecast[[#This Row],[PACE Job Number]],3,3)</f>
        <v>NTX</v>
      </c>
      <c r="C1014" t="s">
        <v>14</v>
      </c>
      <c r="D1014" s="1">
        <v>43406</v>
      </c>
      <c r="E1014" s="1">
        <v>43430</v>
      </c>
      <c r="F1014" s="1">
        <v>43434</v>
      </c>
      <c r="G1014" s="1"/>
      <c r="H1014" t="s">
        <v>4664</v>
      </c>
      <c r="I1014" t="s">
        <v>5645</v>
      </c>
    </row>
    <row r="1015" spans="1:9" x14ac:dyDescent="0.25">
      <c r="A1015" t="s">
        <v>2379</v>
      </c>
      <c r="B1015" s="26" t="str">
        <f>MID(tbl_forecast[[#This Row],[PACE Job Number]],3,3)</f>
        <v>NTX</v>
      </c>
      <c r="C1015" t="s">
        <v>14</v>
      </c>
      <c r="D1015" s="1">
        <v>43416</v>
      </c>
      <c r="E1015" s="1">
        <v>43416</v>
      </c>
      <c r="F1015" s="1">
        <v>43416</v>
      </c>
      <c r="G1015" s="1">
        <v>43416</v>
      </c>
      <c r="H1015" t="s">
        <v>9</v>
      </c>
      <c r="I1015" t="s">
        <v>10</v>
      </c>
    </row>
    <row r="1016" spans="1:9" x14ac:dyDescent="0.25">
      <c r="A1016" t="s">
        <v>4352</v>
      </c>
      <c r="B1016" s="26" t="str">
        <f>MID(tbl_forecast[[#This Row],[PACE Job Number]],3,3)</f>
        <v>NTX</v>
      </c>
      <c r="C1016" t="s">
        <v>14</v>
      </c>
      <c r="D1016" s="1">
        <v>43413</v>
      </c>
      <c r="E1016" s="1">
        <v>43417</v>
      </c>
      <c r="F1016" s="1">
        <v>43418</v>
      </c>
      <c r="G1016" s="1">
        <v>43418</v>
      </c>
      <c r="H1016" t="s">
        <v>9</v>
      </c>
      <c r="I1016" t="s">
        <v>10</v>
      </c>
    </row>
    <row r="1017" spans="1:9" x14ac:dyDescent="0.25">
      <c r="A1017" t="s">
        <v>98</v>
      </c>
      <c r="B1017" s="26" t="str">
        <f>MID(tbl_forecast[[#This Row],[PACE Job Number]],3,3)</f>
        <v>NTX</v>
      </c>
      <c r="C1017" t="s">
        <v>14</v>
      </c>
      <c r="D1017" s="1">
        <v>43406</v>
      </c>
      <c r="E1017" s="1">
        <v>43417</v>
      </c>
      <c r="F1017" s="1">
        <v>43412</v>
      </c>
      <c r="G1017" s="1">
        <v>43412</v>
      </c>
      <c r="H1017" t="s">
        <v>9</v>
      </c>
      <c r="I1017" t="s">
        <v>10</v>
      </c>
    </row>
    <row r="1018" spans="1:9" x14ac:dyDescent="0.25">
      <c r="A1018" t="s">
        <v>69</v>
      </c>
      <c r="B1018" s="26" t="str">
        <f>MID(tbl_forecast[[#This Row],[PACE Job Number]],3,3)</f>
        <v>NTX</v>
      </c>
      <c r="C1018" t="s">
        <v>14</v>
      </c>
      <c r="D1018" s="1">
        <v>43416</v>
      </c>
      <c r="E1018" s="1">
        <v>43416</v>
      </c>
      <c r="F1018" s="1">
        <v>43416</v>
      </c>
      <c r="G1018" s="1">
        <v>43416</v>
      </c>
      <c r="H1018" t="s">
        <v>9</v>
      </c>
      <c r="I1018" t="s">
        <v>10</v>
      </c>
    </row>
    <row r="1019" spans="1:9" x14ac:dyDescent="0.25">
      <c r="A1019" t="s">
        <v>4347</v>
      </c>
      <c r="B1019" s="26" t="str">
        <f>MID(tbl_forecast[[#This Row],[PACE Job Number]],3,3)</f>
        <v>STX</v>
      </c>
      <c r="C1019" t="s">
        <v>14</v>
      </c>
      <c r="D1019" s="1">
        <v>43416</v>
      </c>
      <c r="E1019" s="1">
        <v>43416</v>
      </c>
      <c r="F1019" s="1">
        <v>43423</v>
      </c>
      <c r="G1019" s="1">
        <v>43423</v>
      </c>
      <c r="H1019" t="s">
        <v>9</v>
      </c>
      <c r="I1019" t="s">
        <v>10</v>
      </c>
    </row>
    <row r="1020" spans="1:9" x14ac:dyDescent="0.25">
      <c r="A1020" t="s">
        <v>566</v>
      </c>
      <c r="B1020" s="26" t="str">
        <f>MID(tbl_forecast[[#This Row],[PACE Job Number]],3,3)</f>
        <v>STX</v>
      </c>
      <c r="C1020" t="s">
        <v>14</v>
      </c>
      <c r="D1020" s="1">
        <v>43419</v>
      </c>
      <c r="E1020" s="1">
        <v>43443</v>
      </c>
      <c r="F1020" s="1">
        <v>43443</v>
      </c>
      <c r="G1020" s="1"/>
      <c r="H1020" t="s">
        <v>4664</v>
      </c>
      <c r="I1020" t="s">
        <v>5645</v>
      </c>
    </row>
    <row r="1021" spans="1:9" x14ac:dyDescent="0.25">
      <c r="A1021" t="s">
        <v>5234</v>
      </c>
      <c r="B1021" s="26" t="str">
        <f>MID(tbl_forecast[[#This Row],[PACE Job Number]],3,3)</f>
        <v>WSH</v>
      </c>
      <c r="C1021" t="s">
        <v>14</v>
      </c>
      <c r="D1021" s="1">
        <v>43405</v>
      </c>
      <c r="E1021" s="1">
        <v>43405</v>
      </c>
      <c r="F1021" s="1">
        <v>43405</v>
      </c>
      <c r="G1021" s="1">
        <v>43405</v>
      </c>
      <c r="H1021" t="s">
        <v>9</v>
      </c>
      <c r="I1021" t="s">
        <v>10</v>
      </c>
    </row>
    <row r="1022" spans="1:9" x14ac:dyDescent="0.25">
      <c r="A1022" t="s">
        <v>5235</v>
      </c>
      <c r="B1022" s="26" t="str">
        <f>MID(tbl_forecast[[#This Row],[PACE Job Number]],3,3)</f>
        <v>WSH</v>
      </c>
      <c r="C1022" t="s">
        <v>14</v>
      </c>
      <c r="D1022" s="1">
        <v>43405</v>
      </c>
      <c r="E1022" s="1">
        <v>43405</v>
      </c>
      <c r="F1022" s="1">
        <v>43405</v>
      </c>
      <c r="G1022" s="1">
        <v>43405</v>
      </c>
      <c r="H1022" t="s">
        <v>9</v>
      </c>
      <c r="I1022" t="s">
        <v>10</v>
      </c>
    </row>
    <row r="1023" spans="1:9" x14ac:dyDescent="0.25">
      <c r="A1023" t="s">
        <v>5236</v>
      </c>
      <c r="B1023" s="26" t="str">
        <f>MID(tbl_forecast[[#This Row],[PACE Job Number]],3,3)</f>
        <v>WSH</v>
      </c>
      <c r="C1023" t="s">
        <v>14</v>
      </c>
      <c r="D1023" s="1">
        <v>43430</v>
      </c>
      <c r="E1023" s="1">
        <v>43479</v>
      </c>
      <c r="F1023" s="1">
        <v>43479</v>
      </c>
      <c r="G1023" s="1"/>
      <c r="H1023" t="s">
        <v>4664</v>
      </c>
      <c r="I1023" t="s">
        <v>4665</v>
      </c>
    </row>
    <row r="1024" spans="1:9" x14ac:dyDescent="0.25">
      <c r="A1024" t="s">
        <v>5238</v>
      </c>
      <c r="B1024" s="26" t="str">
        <f>MID(tbl_forecast[[#This Row],[PACE Job Number]],3,3)</f>
        <v>WSH</v>
      </c>
      <c r="C1024" t="s">
        <v>14</v>
      </c>
      <c r="D1024" s="1">
        <v>43430</v>
      </c>
      <c r="E1024" s="1">
        <v>43479</v>
      </c>
      <c r="F1024" s="1">
        <v>43479</v>
      </c>
      <c r="G1024" s="1"/>
      <c r="H1024" t="s">
        <v>4664</v>
      </c>
      <c r="I1024" t="s">
        <v>4665</v>
      </c>
    </row>
    <row r="1025" spans="1:9" x14ac:dyDescent="0.25">
      <c r="A1025" t="s">
        <v>5239</v>
      </c>
      <c r="B1025" s="26" t="str">
        <f>MID(tbl_forecast[[#This Row],[PACE Job Number]],3,3)</f>
        <v>WSH</v>
      </c>
      <c r="C1025" t="s">
        <v>14</v>
      </c>
      <c r="D1025" s="1">
        <v>43430</v>
      </c>
      <c r="E1025" s="1">
        <v>43439</v>
      </c>
      <c r="F1025" s="1">
        <v>43439</v>
      </c>
      <c r="G1025" s="1"/>
      <c r="H1025" t="s">
        <v>9</v>
      </c>
      <c r="I1025" t="s">
        <v>27</v>
      </c>
    </row>
    <row r="1026" spans="1:9" x14ac:dyDescent="0.25">
      <c r="A1026" t="s">
        <v>5240</v>
      </c>
      <c r="B1026" s="26" t="str">
        <f>MID(tbl_forecast[[#This Row],[PACE Job Number]],3,3)</f>
        <v>WSH</v>
      </c>
      <c r="C1026" t="s">
        <v>14</v>
      </c>
      <c r="D1026" s="1">
        <v>43430</v>
      </c>
      <c r="E1026" s="1">
        <v>43479</v>
      </c>
      <c r="F1026" s="1">
        <v>43479</v>
      </c>
      <c r="G1026" s="1"/>
      <c r="H1026" t="s">
        <v>4664</v>
      </c>
      <c r="I1026" t="s">
        <v>4665</v>
      </c>
    </row>
    <row r="1027" spans="1:9" x14ac:dyDescent="0.25">
      <c r="A1027" t="s">
        <v>5241</v>
      </c>
      <c r="B1027" s="26" t="str">
        <f>MID(tbl_forecast[[#This Row],[PACE Job Number]],3,3)</f>
        <v>WSH</v>
      </c>
      <c r="C1027" t="s">
        <v>14</v>
      </c>
      <c r="D1027" s="1">
        <v>43431</v>
      </c>
      <c r="E1027" s="1">
        <v>43442</v>
      </c>
      <c r="F1027" s="1">
        <v>43438</v>
      </c>
      <c r="G1027" s="1"/>
      <c r="H1027" t="s">
        <v>9</v>
      </c>
      <c r="I1027" t="s">
        <v>27</v>
      </c>
    </row>
    <row r="1028" spans="1:9" x14ac:dyDescent="0.25">
      <c r="A1028" t="s">
        <v>5242</v>
      </c>
      <c r="B1028" s="26" t="str">
        <f>MID(tbl_forecast[[#This Row],[PACE Job Number]],3,3)</f>
        <v>WSH</v>
      </c>
      <c r="C1028" t="s">
        <v>14</v>
      </c>
      <c r="D1028" s="1">
        <v>43431</v>
      </c>
      <c r="E1028" s="1">
        <v>43442</v>
      </c>
      <c r="F1028" s="1">
        <v>43438</v>
      </c>
      <c r="G1028" s="1"/>
      <c r="H1028" t="s">
        <v>9</v>
      </c>
      <c r="I1028" t="s">
        <v>27</v>
      </c>
    </row>
    <row r="1029" spans="1:9" x14ac:dyDescent="0.25">
      <c r="A1029" t="s">
        <v>4159</v>
      </c>
      <c r="B1029" s="26" t="str">
        <f>MID(tbl_forecast[[#This Row],[PACE Job Number]],3,3)</f>
        <v>WSH</v>
      </c>
      <c r="C1029" t="s">
        <v>14</v>
      </c>
      <c r="D1029" s="1">
        <v>43425</v>
      </c>
      <c r="E1029" s="1">
        <v>43317</v>
      </c>
      <c r="F1029" s="1">
        <v>43439</v>
      </c>
      <c r="G1029" s="1"/>
      <c r="H1029" t="s">
        <v>9</v>
      </c>
      <c r="I1029" t="s">
        <v>27</v>
      </c>
    </row>
    <row r="1030" spans="1:9" x14ac:dyDescent="0.25">
      <c r="A1030" t="s">
        <v>255</v>
      </c>
      <c r="B1030" s="26" t="str">
        <f>MID(tbl_forecast[[#This Row],[PACE Job Number]],3,3)</f>
        <v>WSH</v>
      </c>
      <c r="C1030" t="s">
        <v>14</v>
      </c>
      <c r="D1030" s="1">
        <v>43411</v>
      </c>
      <c r="E1030" s="1">
        <v>43409</v>
      </c>
      <c r="F1030" s="1">
        <v>43409</v>
      </c>
      <c r="G1030" s="1">
        <v>43409</v>
      </c>
      <c r="H1030" t="s">
        <v>9</v>
      </c>
      <c r="I1030" t="s">
        <v>10</v>
      </c>
    </row>
    <row r="1031" spans="1:9" x14ac:dyDescent="0.25">
      <c r="A1031" t="s">
        <v>5243</v>
      </c>
      <c r="B1031" s="26" t="str">
        <f>MID(tbl_forecast[[#This Row],[PACE Job Number]],3,3)</f>
        <v>WSH</v>
      </c>
      <c r="C1031" t="s">
        <v>14</v>
      </c>
      <c r="D1031" s="1">
        <v>43416</v>
      </c>
      <c r="E1031" s="1">
        <v>43437</v>
      </c>
      <c r="F1031" s="1">
        <v>43437</v>
      </c>
      <c r="G1031" s="1"/>
      <c r="H1031" t="s">
        <v>4664</v>
      </c>
      <c r="I1031" t="s">
        <v>5645</v>
      </c>
    </row>
    <row r="1032" spans="1:9" x14ac:dyDescent="0.25">
      <c r="A1032" t="s">
        <v>5244</v>
      </c>
      <c r="B1032" s="26" t="str">
        <f>MID(tbl_forecast[[#This Row],[PACE Job Number]],3,3)</f>
        <v>WSH</v>
      </c>
      <c r="C1032" t="s">
        <v>14</v>
      </c>
      <c r="D1032" s="1">
        <v>43423</v>
      </c>
      <c r="E1032" s="1">
        <v>43423</v>
      </c>
      <c r="F1032" s="1">
        <v>43423</v>
      </c>
      <c r="G1032" s="1">
        <v>43423</v>
      </c>
      <c r="H1032" t="s">
        <v>9</v>
      </c>
      <c r="I1032" t="s">
        <v>10</v>
      </c>
    </row>
    <row r="1033" spans="1:9" x14ac:dyDescent="0.25">
      <c r="A1033" t="s">
        <v>5245</v>
      </c>
      <c r="B1033" s="26" t="str">
        <f>MID(tbl_forecast[[#This Row],[PACE Job Number]],3,3)</f>
        <v>WSH</v>
      </c>
      <c r="C1033" t="s">
        <v>14</v>
      </c>
      <c r="D1033" s="1">
        <v>43416</v>
      </c>
      <c r="E1033" s="1">
        <v>43417</v>
      </c>
      <c r="F1033" s="1">
        <v>43416</v>
      </c>
      <c r="G1033" s="1">
        <v>43416</v>
      </c>
      <c r="H1033" t="s">
        <v>9</v>
      </c>
      <c r="I1033" t="s">
        <v>10</v>
      </c>
    </row>
    <row r="1034" spans="1:9" x14ac:dyDescent="0.25">
      <c r="A1034" t="s">
        <v>3854</v>
      </c>
      <c r="B1034" s="26" t="str">
        <f>MID(tbl_forecast[[#This Row],[PACE Job Number]],3,3)</f>
        <v>WSH</v>
      </c>
      <c r="C1034" t="s">
        <v>14</v>
      </c>
      <c r="D1034" s="1">
        <v>43411</v>
      </c>
      <c r="E1034" s="1">
        <v>43416</v>
      </c>
      <c r="F1034" s="1">
        <v>43416</v>
      </c>
      <c r="G1034" s="1">
        <v>43416</v>
      </c>
      <c r="H1034" t="s">
        <v>9</v>
      </c>
      <c r="I1034" t="s">
        <v>10</v>
      </c>
    </row>
    <row r="1035" spans="1:9" x14ac:dyDescent="0.25">
      <c r="A1035" t="s">
        <v>3776</v>
      </c>
      <c r="B1035" s="26" t="str">
        <f>MID(tbl_forecast[[#This Row],[PACE Job Number]],3,3)</f>
        <v>WSH</v>
      </c>
      <c r="C1035" t="s">
        <v>14</v>
      </c>
      <c r="D1035" s="1">
        <v>43411</v>
      </c>
      <c r="E1035" s="1">
        <v>43423</v>
      </c>
      <c r="F1035" s="1">
        <v>43423</v>
      </c>
      <c r="G1035" s="1">
        <v>43423</v>
      </c>
      <c r="H1035" t="s">
        <v>9</v>
      </c>
      <c r="I1035" t="s">
        <v>10</v>
      </c>
    </row>
    <row r="1036" spans="1:9" x14ac:dyDescent="0.25">
      <c r="A1036" t="s">
        <v>5246</v>
      </c>
      <c r="B1036" s="26" t="str">
        <f>MID(tbl_forecast[[#This Row],[PACE Job Number]],3,3)</f>
        <v>WSH</v>
      </c>
      <c r="C1036" t="s">
        <v>14</v>
      </c>
      <c r="D1036" s="1">
        <v>43416</v>
      </c>
      <c r="E1036" s="1">
        <v>43420</v>
      </c>
      <c r="F1036" s="1">
        <v>43420</v>
      </c>
      <c r="G1036" s="1">
        <v>43420</v>
      </c>
      <c r="H1036" t="s">
        <v>9</v>
      </c>
      <c r="I1036" t="s">
        <v>10</v>
      </c>
    </row>
    <row r="1037" spans="1:9" x14ac:dyDescent="0.25">
      <c r="A1037" t="s">
        <v>3857</v>
      </c>
      <c r="B1037" s="26" t="str">
        <f>MID(tbl_forecast[[#This Row],[PACE Job Number]],3,3)</f>
        <v>WSH</v>
      </c>
      <c r="C1037" t="s">
        <v>14</v>
      </c>
      <c r="D1037" s="1">
        <v>43416</v>
      </c>
      <c r="E1037" s="1">
        <v>43430</v>
      </c>
      <c r="F1037" s="1">
        <v>43430</v>
      </c>
      <c r="G1037" s="1">
        <v>43430</v>
      </c>
      <c r="H1037" t="s">
        <v>9</v>
      </c>
      <c r="I1037" t="s">
        <v>10</v>
      </c>
    </row>
    <row r="1038" spans="1:9" x14ac:dyDescent="0.25">
      <c r="A1038" t="s">
        <v>3861</v>
      </c>
      <c r="B1038" s="26" t="str">
        <f>MID(tbl_forecast[[#This Row],[PACE Job Number]],3,3)</f>
        <v>WSH</v>
      </c>
      <c r="C1038" t="s">
        <v>14</v>
      </c>
      <c r="D1038" s="1">
        <v>43416</v>
      </c>
      <c r="E1038" s="1">
        <v>43430</v>
      </c>
      <c r="F1038" s="1">
        <v>43430</v>
      </c>
      <c r="G1038" s="1">
        <v>43430</v>
      </c>
      <c r="H1038" t="s">
        <v>9</v>
      </c>
      <c r="I1038" t="s">
        <v>10</v>
      </c>
    </row>
    <row r="1039" spans="1:9" x14ac:dyDescent="0.25">
      <c r="A1039" t="s">
        <v>4130</v>
      </c>
      <c r="B1039" s="26" t="str">
        <f>MID(tbl_forecast[[#This Row],[PACE Job Number]],3,3)</f>
        <v>ANM</v>
      </c>
      <c r="C1039" t="s">
        <v>14</v>
      </c>
      <c r="D1039" s="1">
        <v>43434</v>
      </c>
      <c r="E1039" s="1">
        <v>43434</v>
      </c>
      <c r="F1039" s="1">
        <v>43434</v>
      </c>
      <c r="G1039" s="1"/>
      <c r="H1039" t="s">
        <v>9</v>
      </c>
      <c r="I1039" t="s">
        <v>27</v>
      </c>
    </row>
    <row r="1040" spans="1:9" x14ac:dyDescent="0.25">
      <c r="A1040" t="s">
        <v>33</v>
      </c>
      <c r="B1040" s="26" t="str">
        <f>MID(tbl_forecast[[#This Row],[PACE Job Number]],3,3)</f>
        <v>STX</v>
      </c>
      <c r="C1040" t="s">
        <v>14</v>
      </c>
      <c r="D1040" s="1">
        <v>43416</v>
      </c>
      <c r="E1040" s="1">
        <v>43416</v>
      </c>
      <c r="F1040" s="1">
        <v>43419</v>
      </c>
      <c r="G1040" s="1">
        <v>43419</v>
      </c>
      <c r="H1040" t="s">
        <v>9</v>
      </c>
      <c r="I1040" t="s">
        <v>10</v>
      </c>
    </row>
    <row r="1041" spans="1:9" x14ac:dyDescent="0.25">
      <c r="A1041" t="s">
        <v>30</v>
      </c>
      <c r="B1041" s="26" t="str">
        <f>MID(tbl_forecast[[#This Row],[PACE Job Number]],3,3)</f>
        <v>STX</v>
      </c>
      <c r="C1041" t="s">
        <v>14</v>
      </c>
      <c r="D1041" s="1">
        <v>43416</v>
      </c>
      <c r="E1041" s="1">
        <v>43416</v>
      </c>
      <c r="F1041" s="1">
        <v>43419</v>
      </c>
      <c r="G1041" s="1">
        <v>43419</v>
      </c>
      <c r="H1041" t="s">
        <v>9</v>
      </c>
      <c r="I1041" t="s">
        <v>10</v>
      </c>
    </row>
    <row r="1042" spans="1:9" x14ac:dyDescent="0.25">
      <c r="A1042" t="s">
        <v>253</v>
      </c>
      <c r="B1042" s="26" t="str">
        <f>MID(tbl_forecast[[#This Row],[PACE Job Number]],3,3)</f>
        <v>STX</v>
      </c>
      <c r="C1042" t="s">
        <v>14</v>
      </c>
      <c r="D1042" s="1">
        <v>43416</v>
      </c>
      <c r="E1042" s="1">
        <v>43416</v>
      </c>
      <c r="F1042" s="1">
        <v>43415</v>
      </c>
      <c r="G1042" s="1">
        <v>43415</v>
      </c>
      <c r="H1042" t="s">
        <v>9</v>
      </c>
      <c r="I1042" t="s">
        <v>10</v>
      </c>
    </row>
    <row r="1043" spans="1:9" x14ac:dyDescent="0.25">
      <c r="A1043" t="s">
        <v>4354</v>
      </c>
      <c r="B1043" s="26" t="str">
        <f>MID(tbl_forecast[[#This Row],[PACE Job Number]],3,3)</f>
        <v>STX</v>
      </c>
      <c r="C1043" t="s">
        <v>14</v>
      </c>
      <c r="D1043" s="1">
        <v>43419</v>
      </c>
      <c r="E1043" s="1">
        <v>43439</v>
      </c>
      <c r="F1043" s="1">
        <v>43439</v>
      </c>
      <c r="G1043" s="1"/>
      <c r="H1043" t="s">
        <v>4664</v>
      </c>
      <c r="I1043" t="s">
        <v>5645</v>
      </c>
    </row>
    <row r="1044" spans="1:9" x14ac:dyDescent="0.25">
      <c r="A1044" t="s">
        <v>573</v>
      </c>
      <c r="B1044" s="26" t="str">
        <f>MID(tbl_forecast[[#This Row],[PACE Job Number]],3,3)</f>
        <v>STX</v>
      </c>
      <c r="C1044" t="s">
        <v>14</v>
      </c>
      <c r="D1044" s="1">
        <v>43419</v>
      </c>
      <c r="E1044" s="1">
        <v>43443</v>
      </c>
      <c r="F1044" s="1">
        <v>43443</v>
      </c>
      <c r="G1044" s="1"/>
      <c r="H1044" t="s">
        <v>4664</v>
      </c>
      <c r="I1044" t="s">
        <v>5645</v>
      </c>
    </row>
    <row r="1045" spans="1:9" x14ac:dyDescent="0.25">
      <c r="A1045" t="s">
        <v>3114</v>
      </c>
      <c r="B1045" s="26" t="str">
        <f>MID(tbl_forecast[[#This Row],[PACE Job Number]],3,3)</f>
        <v>STX</v>
      </c>
      <c r="C1045" t="s">
        <v>14</v>
      </c>
      <c r="D1045" s="1">
        <v>43419</v>
      </c>
      <c r="E1045" s="1">
        <v>43419</v>
      </c>
      <c r="F1045" s="1">
        <v>43420</v>
      </c>
      <c r="G1045" s="1">
        <v>43420</v>
      </c>
      <c r="H1045" t="s">
        <v>9</v>
      </c>
      <c r="I1045" t="s">
        <v>10</v>
      </c>
    </row>
    <row r="1046" spans="1:9" x14ac:dyDescent="0.25">
      <c r="A1046" t="s">
        <v>723</v>
      </c>
      <c r="B1046" s="26" t="str">
        <f>MID(tbl_forecast[[#This Row],[PACE Job Number]],3,3)</f>
        <v>STX</v>
      </c>
      <c r="C1046" t="s">
        <v>14</v>
      </c>
      <c r="D1046" s="1">
        <v>43419</v>
      </c>
      <c r="E1046" s="1">
        <v>43443</v>
      </c>
      <c r="F1046" s="1">
        <v>43443</v>
      </c>
      <c r="G1046" s="1"/>
      <c r="H1046" t="s">
        <v>4664</v>
      </c>
      <c r="I1046" t="s">
        <v>5645</v>
      </c>
    </row>
    <row r="1047" spans="1:9" x14ac:dyDescent="0.25">
      <c r="A1047" t="s">
        <v>3104</v>
      </c>
      <c r="B1047" s="26" t="str">
        <f>MID(tbl_forecast[[#This Row],[PACE Job Number]],3,3)</f>
        <v>STX</v>
      </c>
      <c r="C1047" t="s">
        <v>14</v>
      </c>
      <c r="D1047" s="1">
        <v>43419</v>
      </c>
      <c r="E1047" s="1">
        <v>43419</v>
      </c>
      <c r="F1047" s="1">
        <v>43420</v>
      </c>
      <c r="G1047" s="1">
        <v>43420</v>
      </c>
      <c r="H1047" t="s">
        <v>9</v>
      </c>
      <c r="I1047" t="s">
        <v>10</v>
      </c>
    </row>
    <row r="1048" spans="1:9" x14ac:dyDescent="0.25">
      <c r="A1048" t="s">
        <v>1705</v>
      </c>
      <c r="B1048" s="26" t="str">
        <f>MID(tbl_forecast[[#This Row],[PACE Job Number]],3,3)</f>
        <v>STX</v>
      </c>
      <c r="C1048" t="s">
        <v>14</v>
      </c>
      <c r="D1048" s="1">
        <v>43416</v>
      </c>
      <c r="E1048" s="1">
        <v>43453</v>
      </c>
      <c r="F1048" s="1">
        <v>43416</v>
      </c>
      <c r="G1048" s="1"/>
      <c r="H1048" t="s">
        <v>9</v>
      </c>
      <c r="I1048" t="s">
        <v>44</v>
      </c>
    </row>
    <row r="1049" spans="1:9" x14ac:dyDescent="0.25">
      <c r="A1049" t="s">
        <v>5366</v>
      </c>
      <c r="B1049" s="26" t="str">
        <f>MID(tbl_forecast[[#This Row],[PACE Job Number]],3,3)</f>
        <v>STX</v>
      </c>
      <c r="C1049" t="s">
        <v>14</v>
      </c>
      <c r="D1049" s="1">
        <v>43416</v>
      </c>
      <c r="E1049" s="1">
        <v>43453</v>
      </c>
      <c r="F1049" s="1">
        <v>43452</v>
      </c>
      <c r="G1049" s="1"/>
      <c r="H1049" t="s">
        <v>4664</v>
      </c>
      <c r="I1049" t="s">
        <v>5645</v>
      </c>
    </row>
    <row r="1050" spans="1:9" x14ac:dyDescent="0.25">
      <c r="A1050" t="s">
        <v>4356</v>
      </c>
      <c r="B1050" s="26" t="str">
        <f>MID(tbl_forecast[[#This Row],[PACE Job Number]],3,3)</f>
        <v>STX</v>
      </c>
      <c r="C1050" t="s">
        <v>14</v>
      </c>
      <c r="D1050" s="1">
        <v>43416</v>
      </c>
      <c r="E1050" s="1">
        <v>43416</v>
      </c>
      <c r="F1050" s="1">
        <v>43417</v>
      </c>
      <c r="G1050" s="1">
        <v>43417</v>
      </c>
      <c r="H1050" t="s">
        <v>9</v>
      </c>
      <c r="I1050" t="s">
        <v>10</v>
      </c>
    </row>
    <row r="1051" spans="1:9" x14ac:dyDescent="0.25">
      <c r="A1051" t="s">
        <v>4357</v>
      </c>
      <c r="B1051" s="26" t="str">
        <f>MID(tbl_forecast[[#This Row],[PACE Job Number]],3,3)</f>
        <v>STX</v>
      </c>
      <c r="C1051" t="s">
        <v>14</v>
      </c>
      <c r="D1051" s="1">
        <v>43416</v>
      </c>
      <c r="E1051" s="1">
        <v>43416</v>
      </c>
      <c r="F1051" s="1">
        <v>43419</v>
      </c>
      <c r="G1051" s="1">
        <v>43419</v>
      </c>
      <c r="H1051" t="s">
        <v>9</v>
      </c>
      <c r="I1051" t="s">
        <v>10</v>
      </c>
    </row>
    <row r="1052" spans="1:9" x14ac:dyDescent="0.25">
      <c r="A1052" t="s">
        <v>1749</v>
      </c>
      <c r="B1052" s="26" t="str">
        <f>MID(tbl_forecast[[#This Row],[PACE Job Number]],3,3)</f>
        <v>NTX</v>
      </c>
      <c r="C1052" t="s">
        <v>14</v>
      </c>
      <c r="D1052" s="1">
        <v>43416</v>
      </c>
      <c r="E1052" s="1">
        <v>43416</v>
      </c>
      <c r="F1052" s="1">
        <v>43420</v>
      </c>
      <c r="G1052" s="1">
        <v>43420</v>
      </c>
      <c r="H1052" t="s">
        <v>9</v>
      </c>
      <c r="I1052" t="s">
        <v>10</v>
      </c>
    </row>
    <row r="1053" spans="1:9" x14ac:dyDescent="0.25">
      <c r="A1053" t="s">
        <v>2272</v>
      </c>
      <c r="B1053" s="26" t="str">
        <f>MID(tbl_forecast[[#This Row],[PACE Job Number]],3,3)</f>
        <v>NTX</v>
      </c>
      <c r="C1053" t="s">
        <v>14</v>
      </c>
      <c r="D1053" s="1">
        <v>43430</v>
      </c>
      <c r="E1053" s="1">
        <v>43430</v>
      </c>
      <c r="F1053" s="1">
        <v>43432</v>
      </c>
      <c r="G1053" s="1">
        <v>43432</v>
      </c>
      <c r="H1053" t="s">
        <v>9</v>
      </c>
      <c r="I1053" t="s">
        <v>10</v>
      </c>
    </row>
    <row r="1054" spans="1:9" x14ac:dyDescent="0.25">
      <c r="A1054" t="s">
        <v>5367</v>
      </c>
      <c r="B1054" s="26" t="str">
        <f>MID(tbl_forecast[[#This Row],[PACE Job Number]],3,3)</f>
        <v>NTX</v>
      </c>
      <c r="C1054" t="s">
        <v>14</v>
      </c>
      <c r="D1054" s="1">
        <v>43432</v>
      </c>
      <c r="E1054" s="1">
        <v>43432</v>
      </c>
      <c r="F1054" s="1">
        <v>43417</v>
      </c>
      <c r="G1054" s="1">
        <v>43417</v>
      </c>
      <c r="H1054" t="s">
        <v>9</v>
      </c>
      <c r="I1054" t="s">
        <v>10</v>
      </c>
    </row>
    <row r="1055" spans="1:9" x14ac:dyDescent="0.25">
      <c r="A1055" t="s">
        <v>5368</v>
      </c>
      <c r="B1055" s="26" t="str">
        <f>MID(tbl_forecast[[#This Row],[PACE Job Number]],3,3)</f>
        <v>NTX</v>
      </c>
      <c r="C1055" t="s">
        <v>14</v>
      </c>
      <c r="D1055" s="1">
        <v>43405</v>
      </c>
      <c r="E1055" s="1">
        <v>43406</v>
      </c>
      <c r="F1055" s="1">
        <v>43424</v>
      </c>
      <c r="G1055" s="1">
        <v>43424</v>
      </c>
      <c r="H1055" t="s">
        <v>4664</v>
      </c>
      <c r="I1055" t="s">
        <v>10</v>
      </c>
    </row>
    <row r="1056" spans="1:9" x14ac:dyDescent="0.25">
      <c r="A1056" t="s">
        <v>5369</v>
      </c>
      <c r="B1056" s="26" t="str">
        <f>MID(tbl_forecast[[#This Row],[PACE Job Number]],3,3)</f>
        <v>NTX</v>
      </c>
      <c r="C1056" t="s">
        <v>14</v>
      </c>
      <c r="D1056" s="1">
        <v>43434</v>
      </c>
      <c r="E1056" s="1">
        <v>43434</v>
      </c>
      <c r="F1056" s="1">
        <v>43417</v>
      </c>
      <c r="G1056" s="1">
        <v>43417</v>
      </c>
      <c r="H1056" t="s">
        <v>9</v>
      </c>
      <c r="I1056" t="s">
        <v>10</v>
      </c>
    </row>
    <row r="1057" spans="1:9" x14ac:dyDescent="0.25">
      <c r="A1057" t="s">
        <v>2347</v>
      </c>
      <c r="B1057" s="26" t="str">
        <f>MID(tbl_forecast[[#This Row],[PACE Job Number]],3,3)</f>
        <v>NTX</v>
      </c>
      <c r="C1057" t="s">
        <v>14</v>
      </c>
      <c r="D1057" s="1">
        <v>43406</v>
      </c>
      <c r="E1057" s="1">
        <v>43406</v>
      </c>
      <c r="F1057" s="1">
        <v>43410</v>
      </c>
      <c r="G1057" s="1">
        <v>43410</v>
      </c>
      <c r="H1057" t="s">
        <v>9</v>
      </c>
      <c r="I1057" t="s">
        <v>10</v>
      </c>
    </row>
    <row r="1058" spans="1:9" x14ac:dyDescent="0.25">
      <c r="A1058" t="s">
        <v>781</v>
      </c>
      <c r="B1058" s="26" t="str">
        <f>MID(tbl_forecast[[#This Row],[PACE Job Number]],3,3)</f>
        <v>NTX</v>
      </c>
      <c r="C1058" t="s">
        <v>14</v>
      </c>
      <c r="D1058" s="1">
        <v>43434</v>
      </c>
      <c r="E1058" s="1">
        <v>43434</v>
      </c>
      <c r="F1058" s="1">
        <v>43430</v>
      </c>
      <c r="G1058" s="1">
        <v>43430</v>
      </c>
      <c r="H1058" t="s">
        <v>9</v>
      </c>
      <c r="I1058" t="s">
        <v>10</v>
      </c>
    </row>
    <row r="1059" spans="1:9" x14ac:dyDescent="0.25">
      <c r="A1059" t="s">
        <v>1755</v>
      </c>
      <c r="B1059" s="26" t="str">
        <f>MID(tbl_forecast[[#This Row],[PACE Job Number]],3,3)</f>
        <v>NTX</v>
      </c>
      <c r="C1059" t="s">
        <v>14</v>
      </c>
      <c r="D1059" s="1">
        <v>43416</v>
      </c>
      <c r="E1059" s="1">
        <v>43493</v>
      </c>
      <c r="F1059" s="1">
        <v>43493</v>
      </c>
      <c r="G1059" s="1"/>
      <c r="H1059" t="s">
        <v>4664</v>
      </c>
      <c r="I1059" t="s">
        <v>5645</v>
      </c>
    </row>
    <row r="1060" spans="1:9" x14ac:dyDescent="0.25">
      <c r="A1060" t="s">
        <v>530</v>
      </c>
      <c r="B1060" s="26" t="str">
        <f>MID(tbl_forecast[[#This Row],[PACE Job Number]],3,3)</f>
        <v>NTX</v>
      </c>
      <c r="C1060" t="s">
        <v>14</v>
      </c>
      <c r="D1060" s="1">
        <v>43434</v>
      </c>
      <c r="E1060" s="1">
        <v>43434</v>
      </c>
      <c r="F1060" s="1">
        <v>43409</v>
      </c>
      <c r="G1060" s="1">
        <v>43409</v>
      </c>
      <c r="H1060" t="s">
        <v>9</v>
      </c>
      <c r="I1060" t="s">
        <v>10</v>
      </c>
    </row>
    <row r="1061" spans="1:9" x14ac:dyDescent="0.25">
      <c r="A1061" t="s">
        <v>572</v>
      </c>
      <c r="B1061" s="26" t="str">
        <f>MID(tbl_forecast[[#This Row],[PACE Job Number]],3,3)</f>
        <v>NTX</v>
      </c>
      <c r="C1061" t="s">
        <v>14</v>
      </c>
      <c r="D1061" s="1">
        <v>43434</v>
      </c>
      <c r="E1061" s="1">
        <v>43434</v>
      </c>
      <c r="F1061" s="1">
        <v>43409</v>
      </c>
      <c r="G1061" s="1">
        <v>43409</v>
      </c>
      <c r="H1061" t="s">
        <v>9</v>
      </c>
      <c r="I1061" t="s">
        <v>10</v>
      </c>
    </row>
    <row r="1062" spans="1:9" x14ac:dyDescent="0.25">
      <c r="A1062" t="s">
        <v>343</v>
      </c>
      <c r="B1062" s="26" t="str">
        <f>MID(tbl_forecast[[#This Row],[PACE Job Number]],3,3)</f>
        <v>NTX</v>
      </c>
      <c r="C1062" t="s">
        <v>14</v>
      </c>
      <c r="D1062" s="1">
        <v>43416</v>
      </c>
      <c r="E1062" s="1">
        <v>43416</v>
      </c>
      <c r="F1062" s="1">
        <v>43425</v>
      </c>
      <c r="G1062" s="1">
        <v>43425</v>
      </c>
      <c r="H1062" t="s">
        <v>9</v>
      </c>
      <c r="I1062" t="s">
        <v>10</v>
      </c>
    </row>
    <row r="1063" spans="1:9" x14ac:dyDescent="0.25">
      <c r="A1063" t="s">
        <v>1659</v>
      </c>
      <c r="B1063" s="26" t="str">
        <f>MID(tbl_forecast[[#This Row],[PACE Job Number]],3,3)</f>
        <v>NTX</v>
      </c>
      <c r="C1063" t="s">
        <v>14</v>
      </c>
      <c r="D1063" s="1">
        <v>43434</v>
      </c>
      <c r="E1063" s="1">
        <v>43434</v>
      </c>
      <c r="F1063" s="1">
        <v>43400</v>
      </c>
      <c r="G1063" s="1">
        <v>43400</v>
      </c>
      <c r="H1063" t="s">
        <v>9</v>
      </c>
      <c r="I1063" t="s">
        <v>10</v>
      </c>
    </row>
    <row r="1064" spans="1:9" x14ac:dyDescent="0.25">
      <c r="A1064" t="s">
        <v>1758</v>
      </c>
      <c r="B1064" s="26" t="str">
        <f>MID(tbl_forecast[[#This Row],[PACE Job Number]],3,3)</f>
        <v>NTX</v>
      </c>
      <c r="C1064" t="s">
        <v>14</v>
      </c>
      <c r="D1064" s="1">
        <v>43416</v>
      </c>
      <c r="E1064" s="1">
        <v>43416</v>
      </c>
      <c r="F1064" s="1">
        <v>43420</v>
      </c>
      <c r="G1064" s="1">
        <v>43420</v>
      </c>
      <c r="H1064" t="s">
        <v>9</v>
      </c>
      <c r="I1064" t="s">
        <v>10</v>
      </c>
    </row>
    <row r="1065" spans="1:9" x14ac:dyDescent="0.25">
      <c r="A1065" t="s">
        <v>291</v>
      </c>
      <c r="B1065" s="26" t="str">
        <f>MID(tbl_forecast[[#This Row],[PACE Job Number]],3,3)</f>
        <v>NTX</v>
      </c>
      <c r="C1065" t="s">
        <v>14</v>
      </c>
      <c r="D1065" s="1">
        <v>43416</v>
      </c>
      <c r="E1065" s="1">
        <v>43416</v>
      </c>
      <c r="F1065" s="1">
        <v>43409</v>
      </c>
      <c r="G1065" s="1">
        <v>43409</v>
      </c>
      <c r="H1065" t="s">
        <v>9</v>
      </c>
      <c r="I1065" t="s">
        <v>10</v>
      </c>
    </row>
    <row r="1066" spans="1:9" x14ac:dyDescent="0.25">
      <c r="A1066" t="s">
        <v>1879</v>
      </c>
      <c r="B1066" s="26" t="str">
        <f>MID(tbl_forecast[[#This Row],[PACE Job Number]],3,3)</f>
        <v>NTX</v>
      </c>
      <c r="C1066" t="s">
        <v>14</v>
      </c>
      <c r="D1066" s="1">
        <v>43430</v>
      </c>
      <c r="E1066" s="1">
        <v>43434</v>
      </c>
      <c r="F1066" s="1">
        <v>43434</v>
      </c>
      <c r="G1066" s="1"/>
      <c r="H1066" t="s">
        <v>9</v>
      </c>
      <c r="I1066" t="s">
        <v>27</v>
      </c>
    </row>
    <row r="1067" spans="1:9" x14ac:dyDescent="0.25">
      <c r="A1067" t="s">
        <v>5370</v>
      </c>
      <c r="B1067" s="26" t="str">
        <f>MID(tbl_forecast[[#This Row],[PACE Job Number]],3,3)</f>
        <v>NTX</v>
      </c>
      <c r="C1067" t="s">
        <v>14</v>
      </c>
      <c r="D1067" s="1">
        <v>43409</v>
      </c>
      <c r="E1067" s="1">
        <v>43440</v>
      </c>
      <c r="F1067" s="1">
        <v>43440</v>
      </c>
      <c r="G1067" s="1"/>
      <c r="H1067" t="s">
        <v>4664</v>
      </c>
      <c r="I1067" t="s">
        <v>5645</v>
      </c>
    </row>
    <row r="1068" spans="1:9" x14ac:dyDescent="0.25">
      <c r="A1068" t="s">
        <v>4423</v>
      </c>
      <c r="B1068" s="26" t="str">
        <f>MID(tbl_forecast[[#This Row],[PACE Job Number]],3,3)</f>
        <v>NTX</v>
      </c>
      <c r="C1068" t="s">
        <v>14</v>
      </c>
      <c r="D1068" s="1">
        <v>43405</v>
      </c>
      <c r="E1068" s="1">
        <v>43406</v>
      </c>
      <c r="F1068" s="1">
        <v>43405</v>
      </c>
      <c r="G1068" s="1">
        <v>43405</v>
      </c>
      <c r="H1068" t="s">
        <v>9</v>
      </c>
      <c r="I1068" t="s">
        <v>10</v>
      </c>
    </row>
    <row r="1069" spans="1:9" x14ac:dyDescent="0.25">
      <c r="A1069" t="s">
        <v>5371</v>
      </c>
      <c r="B1069" s="26" t="str">
        <f>MID(tbl_forecast[[#This Row],[PACE Job Number]],3,3)</f>
        <v>NTX</v>
      </c>
      <c r="C1069" t="s">
        <v>14</v>
      </c>
      <c r="D1069" s="1">
        <v>43409</v>
      </c>
      <c r="E1069" s="1">
        <v>43440</v>
      </c>
      <c r="F1069" s="1">
        <v>43440</v>
      </c>
      <c r="G1069" s="1"/>
      <c r="H1069" t="s">
        <v>4664</v>
      </c>
      <c r="I1069" t="s">
        <v>5645</v>
      </c>
    </row>
    <row r="1070" spans="1:9" x14ac:dyDescent="0.25">
      <c r="A1070" t="s">
        <v>446</v>
      </c>
      <c r="B1070" s="26" t="str">
        <f>MID(tbl_forecast[[#This Row],[PACE Job Number]],3,3)</f>
        <v>NTX</v>
      </c>
      <c r="C1070" t="s">
        <v>14</v>
      </c>
      <c r="D1070" s="1">
        <v>43406</v>
      </c>
      <c r="E1070" s="1">
        <v>43406</v>
      </c>
      <c r="F1070" s="1">
        <v>43408</v>
      </c>
      <c r="G1070" s="1">
        <v>43408</v>
      </c>
      <c r="H1070" t="s">
        <v>9</v>
      </c>
      <c r="I1070" t="s">
        <v>10</v>
      </c>
    </row>
    <row r="1071" spans="1:9" x14ac:dyDescent="0.25">
      <c r="A1071" t="s">
        <v>4441</v>
      </c>
      <c r="B1071" s="26" t="str">
        <f>MID(tbl_forecast[[#This Row],[PACE Job Number]],3,3)</f>
        <v>NTX</v>
      </c>
      <c r="C1071" t="s">
        <v>14</v>
      </c>
      <c r="D1071" s="1">
        <v>43409</v>
      </c>
      <c r="E1071" s="1">
        <v>43430</v>
      </c>
      <c r="F1071" s="1">
        <v>43425</v>
      </c>
      <c r="G1071" s="1">
        <v>43425</v>
      </c>
      <c r="H1071" t="s">
        <v>4664</v>
      </c>
      <c r="I1071" t="s">
        <v>10</v>
      </c>
    </row>
    <row r="1072" spans="1:9" x14ac:dyDescent="0.25">
      <c r="A1072" t="s">
        <v>5372</v>
      </c>
      <c r="B1072" s="26" t="str">
        <f>MID(tbl_forecast[[#This Row],[PACE Job Number]],3,3)</f>
        <v>NTX</v>
      </c>
      <c r="C1072" t="s">
        <v>14</v>
      </c>
      <c r="D1072" s="1">
        <v>43416</v>
      </c>
      <c r="E1072" s="1">
        <v>43423</v>
      </c>
      <c r="F1072" s="1">
        <v>43422</v>
      </c>
      <c r="G1072" s="1">
        <v>43422</v>
      </c>
      <c r="H1072" t="s">
        <v>9</v>
      </c>
      <c r="I1072" t="s">
        <v>10</v>
      </c>
    </row>
    <row r="1073" spans="1:9" x14ac:dyDescent="0.25">
      <c r="A1073" t="s">
        <v>4445</v>
      </c>
      <c r="B1073" s="26" t="str">
        <f>MID(tbl_forecast[[#This Row],[PACE Job Number]],3,3)</f>
        <v>NTX</v>
      </c>
      <c r="C1073" t="s">
        <v>14</v>
      </c>
      <c r="D1073" s="1">
        <v>43413</v>
      </c>
      <c r="E1073" s="1">
        <v>43413</v>
      </c>
      <c r="F1073" s="1">
        <v>43410</v>
      </c>
      <c r="G1073" s="1">
        <v>43410</v>
      </c>
      <c r="H1073" t="s">
        <v>9</v>
      </c>
      <c r="I1073" t="s">
        <v>10</v>
      </c>
    </row>
    <row r="1074" spans="1:9" x14ac:dyDescent="0.25">
      <c r="A1074" t="s">
        <v>4446</v>
      </c>
      <c r="B1074" s="26" t="str">
        <f>MID(tbl_forecast[[#This Row],[PACE Job Number]],3,3)</f>
        <v>NTX</v>
      </c>
      <c r="C1074" t="s">
        <v>14</v>
      </c>
      <c r="D1074" s="1">
        <v>43413</v>
      </c>
      <c r="E1074" s="1">
        <v>43417</v>
      </c>
      <c r="F1074" s="1">
        <v>43414</v>
      </c>
      <c r="G1074" s="1">
        <v>43414</v>
      </c>
      <c r="H1074" t="s">
        <v>9</v>
      </c>
      <c r="I1074" t="s">
        <v>10</v>
      </c>
    </row>
    <row r="1075" spans="1:9" x14ac:dyDescent="0.25">
      <c r="A1075" t="s">
        <v>4447</v>
      </c>
      <c r="B1075" s="26" t="str">
        <f>MID(tbl_forecast[[#This Row],[PACE Job Number]],3,3)</f>
        <v>NTX</v>
      </c>
      <c r="C1075" t="s">
        <v>14</v>
      </c>
      <c r="D1075" s="1">
        <v>43416</v>
      </c>
      <c r="E1075" s="1">
        <v>43416</v>
      </c>
      <c r="F1075" s="1">
        <v>43410</v>
      </c>
      <c r="G1075" s="1">
        <v>43410</v>
      </c>
      <c r="H1075" t="s">
        <v>9</v>
      </c>
      <c r="I1075" t="s">
        <v>10</v>
      </c>
    </row>
    <row r="1076" spans="1:9" x14ac:dyDescent="0.25">
      <c r="A1076" t="s">
        <v>5373</v>
      </c>
      <c r="B1076" s="26" t="str">
        <f>MID(tbl_forecast[[#This Row],[PACE Job Number]],3,3)</f>
        <v>NTX</v>
      </c>
      <c r="C1076" t="s">
        <v>14</v>
      </c>
      <c r="D1076" s="1">
        <v>43423</v>
      </c>
      <c r="E1076" s="1">
        <v>43423</v>
      </c>
      <c r="F1076" s="1">
        <v>43420</v>
      </c>
      <c r="G1076" s="1">
        <v>43420</v>
      </c>
      <c r="H1076" t="s">
        <v>9</v>
      </c>
      <c r="I1076" t="s">
        <v>10</v>
      </c>
    </row>
    <row r="1077" spans="1:9" x14ac:dyDescent="0.25">
      <c r="A1077" t="s">
        <v>4449</v>
      </c>
      <c r="B1077" s="26" t="str">
        <f>MID(tbl_forecast[[#This Row],[PACE Job Number]],3,3)</f>
        <v>NTX</v>
      </c>
      <c r="C1077" t="s">
        <v>14</v>
      </c>
      <c r="D1077" s="1">
        <v>43406</v>
      </c>
      <c r="E1077" s="1">
        <v>43409</v>
      </c>
      <c r="F1077" s="1">
        <v>43406</v>
      </c>
      <c r="G1077" s="1">
        <v>43406</v>
      </c>
      <c r="H1077" t="s">
        <v>9</v>
      </c>
      <c r="I1077" t="s">
        <v>10</v>
      </c>
    </row>
    <row r="1078" spans="1:9" x14ac:dyDescent="0.25">
      <c r="A1078" t="s">
        <v>4450</v>
      </c>
      <c r="B1078" s="26" t="str">
        <f>MID(tbl_forecast[[#This Row],[PACE Job Number]],3,3)</f>
        <v>NTX</v>
      </c>
      <c r="C1078" t="s">
        <v>14</v>
      </c>
      <c r="D1078" s="1">
        <v>43416</v>
      </c>
      <c r="E1078" s="1">
        <v>43438</v>
      </c>
      <c r="F1078" s="1">
        <v>43438</v>
      </c>
      <c r="G1078" s="1"/>
      <c r="H1078" t="s">
        <v>4664</v>
      </c>
      <c r="I1078" t="s">
        <v>5645</v>
      </c>
    </row>
    <row r="1079" spans="1:9" x14ac:dyDescent="0.25">
      <c r="A1079" t="s">
        <v>4451</v>
      </c>
      <c r="B1079" s="26" t="str">
        <f>MID(tbl_forecast[[#This Row],[PACE Job Number]],3,3)</f>
        <v>NTX</v>
      </c>
      <c r="C1079" t="s">
        <v>14</v>
      </c>
      <c r="D1079" s="1">
        <v>43409</v>
      </c>
      <c r="E1079" s="1">
        <v>43417</v>
      </c>
      <c r="F1079" s="1">
        <v>43423</v>
      </c>
      <c r="G1079" s="1">
        <v>43423</v>
      </c>
      <c r="H1079" t="s">
        <v>9</v>
      </c>
      <c r="I1079" t="s">
        <v>10</v>
      </c>
    </row>
    <row r="1080" spans="1:9" x14ac:dyDescent="0.25">
      <c r="A1080" t="s">
        <v>5374</v>
      </c>
      <c r="B1080" s="26" t="str">
        <f>MID(tbl_forecast[[#This Row],[PACE Job Number]],3,3)</f>
        <v>NTX</v>
      </c>
      <c r="C1080" t="s">
        <v>14</v>
      </c>
      <c r="D1080" s="1">
        <v>43406</v>
      </c>
      <c r="E1080" s="1">
        <v>43409</v>
      </c>
      <c r="F1080" s="1">
        <v>43406</v>
      </c>
      <c r="G1080" s="1">
        <v>43406</v>
      </c>
      <c r="H1080" t="s">
        <v>9</v>
      </c>
      <c r="I1080" t="s">
        <v>10</v>
      </c>
    </row>
    <row r="1081" spans="1:9" x14ac:dyDescent="0.25">
      <c r="A1081" t="s">
        <v>2439</v>
      </c>
      <c r="B1081" s="26" t="str">
        <f>MID(tbl_forecast[[#This Row],[PACE Job Number]],3,3)</f>
        <v>NTX</v>
      </c>
      <c r="C1081" t="s">
        <v>14</v>
      </c>
      <c r="D1081" s="1">
        <v>43423</v>
      </c>
      <c r="E1081" s="1">
        <v>43423</v>
      </c>
      <c r="F1081" s="1">
        <v>43417</v>
      </c>
      <c r="G1081" s="1">
        <v>43417</v>
      </c>
      <c r="H1081" t="s">
        <v>9</v>
      </c>
      <c r="I1081" t="s">
        <v>10</v>
      </c>
    </row>
    <row r="1082" spans="1:9" x14ac:dyDescent="0.25">
      <c r="A1082" t="s">
        <v>4276</v>
      </c>
      <c r="B1082" s="26" t="str">
        <f>MID(tbl_forecast[[#This Row],[PACE Job Number]],3,3)</f>
        <v>NTX</v>
      </c>
      <c r="C1082" t="s">
        <v>14</v>
      </c>
      <c r="D1082" s="1">
        <v>43406</v>
      </c>
      <c r="E1082" s="1">
        <v>43437</v>
      </c>
      <c r="F1082" s="1">
        <v>43406</v>
      </c>
      <c r="G1082" s="1">
        <v>43406</v>
      </c>
      <c r="H1082" t="s">
        <v>9</v>
      </c>
      <c r="I1082" t="s">
        <v>10</v>
      </c>
    </row>
    <row r="1083" spans="1:9" x14ac:dyDescent="0.25">
      <c r="A1083" t="s">
        <v>5375</v>
      </c>
      <c r="B1083" s="26" t="str">
        <f>MID(tbl_forecast[[#This Row],[PACE Job Number]],3,3)</f>
        <v>NTX</v>
      </c>
      <c r="C1083" t="s">
        <v>14</v>
      </c>
      <c r="D1083" s="1">
        <v>43416</v>
      </c>
      <c r="E1083" s="1">
        <v>43423</v>
      </c>
      <c r="F1083" s="1">
        <v>43418</v>
      </c>
      <c r="G1083" s="1">
        <v>43418</v>
      </c>
      <c r="H1083" t="s">
        <v>9</v>
      </c>
      <c r="I1083" t="s">
        <v>10</v>
      </c>
    </row>
    <row r="1084" spans="1:9" x14ac:dyDescent="0.25">
      <c r="A1084" t="s">
        <v>5376</v>
      </c>
      <c r="B1084" s="26" t="str">
        <f>MID(tbl_forecast[[#This Row],[PACE Job Number]],3,3)</f>
        <v>NTX</v>
      </c>
      <c r="C1084" t="s">
        <v>14</v>
      </c>
      <c r="D1084" s="1">
        <v>43416</v>
      </c>
      <c r="E1084" s="1">
        <v>43423</v>
      </c>
      <c r="F1084" s="1">
        <v>43418</v>
      </c>
      <c r="G1084" s="1">
        <v>43418</v>
      </c>
      <c r="H1084" t="s">
        <v>9</v>
      </c>
      <c r="I1084" t="s">
        <v>10</v>
      </c>
    </row>
    <row r="1085" spans="1:9" x14ac:dyDescent="0.25">
      <c r="A1085" t="s">
        <v>2291</v>
      </c>
      <c r="B1085" s="26" t="str">
        <f>MID(tbl_forecast[[#This Row],[PACE Job Number]],3,3)</f>
        <v>NTX</v>
      </c>
      <c r="C1085" t="s">
        <v>14</v>
      </c>
      <c r="D1085" s="1">
        <v>43416</v>
      </c>
      <c r="E1085" s="1">
        <v>43416</v>
      </c>
      <c r="F1085" s="1">
        <v>43416</v>
      </c>
      <c r="G1085" s="1">
        <v>43416</v>
      </c>
      <c r="H1085" t="s">
        <v>9</v>
      </c>
      <c r="I1085" t="s">
        <v>10</v>
      </c>
    </row>
    <row r="1086" spans="1:9" x14ac:dyDescent="0.25">
      <c r="A1086" t="s">
        <v>5377</v>
      </c>
      <c r="B1086" s="26" t="str">
        <f>MID(tbl_forecast[[#This Row],[PACE Job Number]],3,3)</f>
        <v>NTX</v>
      </c>
      <c r="C1086" t="s">
        <v>14</v>
      </c>
      <c r="D1086" s="1">
        <v>43432</v>
      </c>
      <c r="E1086" s="1">
        <v>43432</v>
      </c>
      <c r="F1086" s="1">
        <v>43424</v>
      </c>
      <c r="G1086" s="1">
        <v>43424</v>
      </c>
      <c r="H1086" t="s">
        <v>9</v>
      </c>
      <c r="I1086" t="s">
        <v>10</v>
      </c>
    </row>
    <row r="1087" spans="1:9" x14ac:dyDescent="0.25">
      <c r="A1087" t="s">
        <v>2292</v>
      </c>
      <c r="B1087" s="26" t="str">
        <f>MID(tbl_forecast[[#This Row],[PACE Job Number]],3,3)</f>
        <v>NTX</v>
      </c>
      <c r="C1087" t="s">
        <v>14</v>
      </c>
      <c r="D1087" s="1">
        <v>43416</v>
      </c>
      <c r="E1087" s="1">
        <v>43424</v>
      </c>
      <c r="F1087" s="1">
        <v>43420</v>
      </c>
      <c r="G1087" s="1">
        <v>43420</v>
      </c>
      <c r="H1087" t="s">
        <v>9</v>
      </c>
      <c r="I1087" t="s">
        <v>10</v>
      </c>
    </row>
    <row r="1088" spans="1:9" x14ac:dyDescent="0.25">
      <c r="A1088" t="s">
        <v>4277</v>
      </c>
      <c r="B1088" s="26" t="str">
        <f>MID(tbl_forecast[[#This Row],[PACE Job Number]],3,3)</f>
        <v>NTX</v>
      </c>
      <c r="C1088" t="s">
        <v>14</v>
      </c>
      <c r="D1088" s="1">
        <v>43406</v>
      </c>
      <c r="E1088" s="1">
        <v>43437</v>
      </c>
      <c r="F1088" s="1">
        <v>43406</v>
      </c>
      <c r="G1088" s="1">
        <v>43406</v>
      </c>
      <c r="H1088" t="s">
        <v>9</v>
      </c>
      <c r="I1088" t="s">
        <v>10</v>
      </c>
    </row>
    <row r="1089" spans="1:9" x14ac:dyDescent="0.25">
      <c r="A1089" t="s">
        <v>2440</v>
      </c>
      <c r="B1089" s="26" t="str">
        <f>MID(tbl_forecast[[#This Row],[PACE Job Number]],3,3)</f>
        <v>NTX</v>
      </c>
      <c r="C1089" t="s">
        <v>14</v>
      </c>
      <c r="D1089" s="1">
        <v>43416</v>
      </c>
      <c r="E1089" s="1">
        <v>43434</v>
      </c>
      <c r="F1089" s="1">
        <v>43434</v>
      </c>
      <c r="G1089" s="1"/>
      <c r="H1089" t="s">
        <v>4664</v>
      </c>
      <c r="I1089" t="s">
        <v>5645</v>
      </c>
    </row>
    <row r="1090" spans="1:9" x14ac:dyDescent="0.25">
      <c r="A1090" t="s">
        <v>4452</v>
      </c>
      <c r="B1090" s="26" t="str">
        <f>MID(tbl_forecast[[#This Row],[PACE Job Number]],3,3)</f>
        <v>NTX</v>
      </c>
      <c r="C1090" t="s">
        <v>14</v>
      </c>
      <c r="D1090" s="1">
        <v>43416</v>
      </c>
      <c r="E1090" s="1">
        <v>43416</v>
      </c>
      <c r="F1090" s="1">
        <v>43426</v>
      </c>
      <c r="G1090" s="1">
        <v>43426</v>
      </c>
      <c r="H1090" t="s">
        <v>9</v>
      </c>
      <c r="I1090" t="s">
        <v>10</v>
      </c>
    </row>
    <row r="1091" spans="1:9" x14ac:dyDescent="0.25">
      <c r="A1091" t="s">
        <v>5378</v>
      </c>
      <c r="B1091" s="26" t="str">
        <f>MID(tbl_forecast[[#This Row],[PACE Job Number]],3,3)</f>
        <v>NTX</v>
      </c>
      <c r="C1091" t="s">
        <v>14</v>
      </c>
      <c r="D1091" s="1">
        <v>43416</v>
      </c>
      <c r="E1091" s="1">
        <v>43423</v>
      </c>
      <c r="F1091" s="1">
        <v>43418</v>
      </c>
      <c r="G1091" s="1">
        <v>43418</v>
      </c>
      <c r="H1091" t="s">
        <v>9</v>
      </c>
      <c r="I1091" t="s">
        <v>10</v>
      </c>
    </row>
    <row r="1092" spans="1:9" x14ac:dyDescent="0.25">
      <c r="A1092" t="s">
        <v>5379</v>
      </c>
      <c r="B1092" s="26" t="str">
        <f>MID(tbl_forecast[[#This Row],[PACE Job Number]],3,3)</f>
        <v>NTX</v>
      </c>
      <c r="C1092" t="s">
        <v>14</v>
      </c>
      <c r="D1092" s="1">
        <v>43411</v>
      </c>
      <c r="E1092" s="1">
        <v>43424</v>
      </c>
      <c r="F1092" s="1">
        <v>43420</v>
      </c>
      <c r="G1092" s="1">
        <v>43420</v>
      </c>
      <c r="H1092" t="s">
        <v>9</v>
      </c>
      <c r="I1092" t="s">
        <v>10</v>
      </c>
    </row>
    <row r="1093" spans="1:9" x14ac:dyDescent="0.25">
      <c r="A1093" t="s">
        <v>5380</v>
      </c>
      <c r="B1093" s="26" t="str">
        <f>MID(tbl_forecast[[#This Row],[PACE Job Number]],3,3)</f>
        <v>NTX</v>
      </c>
      <c r="C1093" t="s">
        <v>14</v>
      </c>
      <c r="D1093" s="1">
        <v>43416</v>
      </c>
      <c r="E1093" s="1">
        <v>43434</v>
      </c>
      <c r="F1093" s="1">
        <v>43434</v>
      </c>
      <c r="G1093" s="1"/>
      <c r="H1093" t="s">
        <v>4664</v>
      </c>
      <c r="I1093" t="s">
        <v>5645</v>
      </c>
    </row>
    <row r="1094" spans="1:9" x14ac:dyDescent="0.25">
      <c r="A1094" t="s">
        <v>4455</v>
      </c>
      <c r="B1094" s="26" t="str">
        <f>MID(tbl_forecast[[#This Row],[PACE Job Number]],3,3)</f>
        <v>NTX</v>
      </c>
      <c r="C1094" t="s">
        <v>14</v>
      </c>
      <c r="D1094" s="1">
        <v>43416</v>
      </c>
      <c r="E1094" s="1">
        <v>43416</v>
      </c>
      <c r="F1094" s="1">
        <v>43426</v>
      </c>
      <c r="G1094" s="1">
        <v>43426</v>
      </c>
      <c r="H1094" t="s">
        <v>9</v>
      </c>
      <c r="I1094" t="s">
        <v>10</v>
      </c>
    </row>
    <row r="1095" spans="1:9" x14ac:dyDescent="0.25">
      <c r="A1095" t="s">
        <v>5381</v>
      </c>
      <c r="B1095" s="26" t="str">
        <f>MID(tbl_forecast[[#This Row],[PACE Job Number]],3,3)</f>
        <v>NTX</v>
      </c>
      <c r="C1095" t="s">
        <v>14</v>
      </c>
      <c r="D1095" s="1">
        <v>43416</v>
      </c>
      <c r="E1095" s="1">
        <v>43434</v>
      </c>
      <c r="F1095" s="1">
        <v>43434</v>
      </c>
      <c r="G1095" s="1"/>
      <c r="H1095" t="s">
        <v>4664</v>
      </c>
      <c r="I1095" t="s">
        <v>5645</v>
      </c>
    </row>
    <row r="1096" spans="1:9" x14ac:dyDescent="0.25">
      <c r="A1096" t="s">
        <v>5382</v>
      </c>
      <c r="B1096" s="26" t="str">
        <f>MID(tbl_forecast[[#This Row],[PACE Job Number]],3,3)</f>
        <v>NTX</v>
      </c>
      <c r="C1096" t="s">
        <v>14</v>
      </c>
      <c r="D1096" s="1">
        <v>43411</v>
      </c>
      <c r="E1096" s="1">
        <v>43424</v>
      </c>
      <c r="F1096" s="1">
        <v>43420</v>
      </c>
      <c r="G1096" s="1">
        <v>43420</v>
      </c>
      <c r="H1096" t="s">
        <v>9</v>
      </c>
      <c r="I1096" t="s">
        <v>10</v>
      </c>
    </row>
    <row r="1097" spans="1:9" x14ac:dyDescent="0.25">
      <c r="A1097" t="s">
        <v>2293</v>
      </c>
      <c r="B1097" s="26" t="str">
        <f>MID(tbl_forecast[[#This Row],[PACE Job Number]],3,3)</f>
        <v>NTX</v>
      </c>
      <c r="C1097" t="s">
        <v>14</v>
      </c>
      <c r="D1097" s="1">
        <v>43416</v>
      </c>
      <c r="E1097" s="1">
        <v>43416</v>
      </c>
      <c r="F1097" s="1">
        <v>43416</v>
      </c>
      <c r="G1097" s="1">
        <v>43416</v>
      </c>
      <c r="H1097" t="s">
        <v>9</v>
      </c>
      <c r="I1097" t="s">
        <v>10</v>
      </c>
    </row>
    <row r="1098" spans="1:9" x14ac:dyDescent="0.25">
      <c r="A1098" t="s">
        <v>5383</v>
      </c>
      <c r="B1098" s="26" t="str">
        <f>MID(tbl_forecast[[#This Row],[PACE Job Number]],3,3)</f>
        <v>NTX</v>
      </c>
      <c r="C1098" t="s">
        <v>14</v>
      </c>
      <c r="D1098" s="1">
        <v>43416</v>
      </c>
      <c r="E1098" s="1">
        <v>43434</v>
      </c>
      <c r="F1098" s="1">
        <v>43434</v>
      </c>
      <c r="G1098" s="1"/>
      <c r="H1098" t="s">
        <v>4664</v>
      </c>
      <c r="I1098" t="s">
        <v>5645</v>
      </c>
    </row>
    <row r="1099" spans="1:9" x14ac:dyDescent="0.25">
      <c r="A1099" t="s">
        <v>2441</v>
      </c>
      <c r="B1099" s="26" t="str">
        <f>MID(tbl_forecast[[#This Row],[PACE Job Number]],3,3)</f>
        <v>NTX</v>
      </c>
      <c r="C1099" t="s">
        <v>14</v>
      </c>
      <c r="D1099" s="1">
        <v>43416</v>
      </c>
      <c r="E1099" s="1">
        <v>43434</v>
      </c>
      <c r="F1099" s="1">
        <v>43434</v>
      </c>
      <c r="G1099" s="1"/>
      <c r="H1099" t="s">
        <v>4664</v>
      </c>
      <c r="I1099" t="s">
        <v>5645</v>
      </c>
    </row>
    <row r="1100" spans="1:9" x14ac:dyDescent="0.25">
      <c r="A1100" t="s">
        <v>5384</v>
      </c>
      <c r="B1100" s="26" t="str">
        <f>MID(tbl_forecast[[#This Row],[PACE Job Number]],3,3)</f>
        <v>NTX</v>
      </c>
      <c r="C1100" t="s">
        <v>14</v>
      </c>
      <c r="D1100" s="1">
        <v>43416</v>
      </c>
      <c r="E1100" s="1">
        <v>43423</v>
      </c>
      <c r="F1100" s="1">
        <v>43418</v>
      </c>
      <c r="G1100" s="1">
        <v>43418</v>
      </c>
      <c r="H1100" t="s">
        <v>9</v>
      </c>
      <c r="I1100" t="s">
        <v>10</v>
      </c>
    </row>
    <row r="1101" spans="1:9" x14ac:dyDescent="0.25">
      <c r="A1101" t="s">
        <v>5385</v>
      </c>
      <c r="B1101" s="26" t="str">
        <f>MID(tbl_forecast[[#This Row],[PACE Job Number]],3,3)</f>
        <v>NTX</v>
      </c>
      <c r="C1101" t="s">
        <v>14</v>
      </c>
      <c r="D1101" s="1">
        <v>43416</v>
      </c>
      <c r="E1101" s="1">
        <v>43434</v>
      </c>
      <c r="F1101" s="1">
        <v>43434</v>
      </c>
      <c r="G1101" s="1"/>
      <c r="H1101" t="s">
        <v>4664</v>
      </c>
      <c r="I1101" t="s">
        <v>5645</v>
      </c>
    </row>
    <row r="1102" spans="1:9" x14ac:dyDescent="0.25">
      <c r="A1102" t="s">
        <v>2294</v>
      </c>
      <c r="B1102" s="26" t="str">
        <f>MID(tbl_forecast[[#This Row],[PACE Job Number]],3,3)</f>
        <v>NTX</v>
      </c>
      <c r="C1102" t="s">
        <v>14</v>
      </c>
      <c r="D1102" s="1">
        <v>43430</v>
      </c>
      <c r="E1102" s="1">
        <v>43430</v>
      </c>
      <c r="F1102" s="1">
        <v>43432</v>
      </c>
      <c r="G1102" s="1">
        <v>43432</v>
      </c>
      <c r="H1102" t="s">
        <v>9</v>
      </c>
      <c r="I1102" t="s">
        <v>10</v>
      </c>
    </row>
    <row r="1103" spans="1:9" x14ac:dyDescent="0.25">
      <c r="A1103" t="s">
        <v>3805</v>
      </c>
      <c r="B1103" s="26" t="str">
        <f>MID(tbl_forecast[[#This Row],[PACE Job Number]],3,3)</f>
        <v>NTX</v>
      </c>
      <c r="C1103" t="s">
        <v>14</v>
      </c>
      <c r="D1103" s="1">
        <v>43432</v>
      </c>
      <c r="E1103" s="1">
        <v>43493</v>
      </c>
      <c r="F1103" s="1">
        <v>43493</v>
      </c>
      <c r="G1103" s="1"/>
      <c r="H1103" t="s">
        <v>4664</v>
      </c>
      <c r="I1103" t="s">
        <v>4665</v>
      </c>
    </row>
    <row r="1104" spans="1:9" x14ac:dyDescent="0.25">
      <c r="A1104" t="s">
        <v>3473</v>
      </c>
      <c r="B1104" s="26" t="str">
        <f>MID(tbl_forecast[[#This Row],[PACE Job Number]],3,3)</f>
        <v>NTX</v>
      </c>
      <c r="C1104" t="s">
        <v>14</v>
      </c>
      <c r="D1104" s="1">
        <v>43406</v>
      </c>
      <c r="E1104" s="1">
        <v>43430</v>
      </c>
      <c r="F1104" s="1">
        <v>43434</v>
      </c>
      <c r="G1104" s="1"/>
      <c r="H1104" t="s">
        <v>4664</v>
      </c>
      <c r="I1104" t="s">
        <v>5645</v>
      </c>
    </row>
    <row r="1105" spans="1:9" x14ac:dyDescent="0.25">
      <c r="A1105" t="s">
        <v>2442</v>
      </c>
      <c r="B1105" s="26" t="str">
        <f>MID(tbl_forecast[[#This Row],[PACE Job Number]],3,3)</f>
        <v>NTX</v>
      </c>
      <c r="C1105" t="s">
        <v>14</v>
      </c>
      <c r="D1105" s="1">
        <v>43419</v>
      </c>
      <c r="E1105" s="1">
        <v>43434</v>
      </c>
      <c r="F1105" s="1">
        <v>43434</v>
      </c>
      <c r="G1105" s="1"/>
      <c r="H1105" t="s">
        <v>4664</v>
      </c>
      <c r="I1105" t="s">
        <v>5645</v>
      </c>
    </row>
    <row r="1106" spans="1:9" x14ac:dyDescent="0.25">
      <c r="A1106" t="s">
        <v>5386</v>
      </c>
      <c r="B1106" s="26" t="str">
        <f>MID(tbl_forecast[[#This Row],[PACE Job Number]],3,3)</f>
        <v>NTX</v>
      </c>
      <c r="C1106" t="s">
        <v>14</v>
      </c>
      <c r="D1106" s="1">
        <v>43416</v>
      </c>
      <c r="E1106" s="1">
        <v>43430</v>
      </c>
      <c r="F1106" s="1">
        <v>43423</v>
      </c>
      <c r="G1106" s="1">
        <v>43423</v>
      </c>
      <c r="H1106" t="s">
        <v>9</v>
      </c>
      <c r="I1106" t="s">
        <v>10</v>
      </c>
    </row>
    <row r="1107" spans="1:9" x14ac:dyDescent="0.25">
      <c r="A1107" t="s">
        <v>2444</v>
      </c>
      <c r="B1107" s="26" t="str">
        <f>MID(tbl_forecast[[#This Row],[PACE Job Number]],3,3)</f>
        <v>NTX</v>
      </c>
      <c r="C1107" t="s">
        <v>14</v>
      </c>
      <c r="D1107" s="1">
        <v>43419</v>
      </c>
      <c r="E1107" s="1">
        <v>43434</v>
      </c>
      <c r="F1107" s="1">
        <v>43434</v>
      </c>
      <c r="G1107" s="1"/>
      <c r="H1107" t="s">
        <v>4664</v>
      </c>
      <c r="I1107" t="s">
        <v>5645</v>
      </c>
    </row>
    <row r="1108" spans="1:9" x14ac:dyDescent="0.25">
      <c r="A1108" t="s">
        <v>4457</v>
      </c>
      <c r="B1108" s="26" t="str">
        <f>MID(tbl_forecast[[#This Row],[PACE Job Number]],3,3)</f>
        <v>NTX</v>
      </c>
      <c r="C1108" t="s">
        <v>14</v>
      </c>
      <c r="D1108" s="1">
        <v>43413</v>
      </c>
      <c r="E1108" s="1">
        <v>43417</v>
      </c>
      <c r="F1108" s="1">
        <v>43418</v>
      </c>
      <c r="G1108" s="1">
        <v>43418</v>
      </c>
      <c r="H1108" t="s">
        <v>9</v>
      </c>
      <c r="I1108" t="s">
        <v>10</v>
      </c>
    </row>
    <row r="1109" spans="1:9" x14ac:dyDescent="0.25">
      <c r="A1109" t="s">
        <v>2445</v>
      </c>
      <c r="B1109" s="26" t="str">
        <f>MID(tbl_forecast[[#This Row],[PACE Job Number]],3,3)</f>
        <v>NTX</v>
      </c>
      <c r="C1109" t="s">
        <v>14</v>
      </c>
      <c r="D1109" s="1">
        <v>43419</v>
      </c>
      <c r="E1109" s="1">
        <v>43434</v>
      </c>
      <c r="F1109" s="1">
        <v>43434</v>
      </c>
      <c r="G1109" s="1"/>
      <c r="H1109" t="s">
        <v>4664</v>
      </c>
      <c r="I1109" t="s">
        <v>5645</v>
      </c>
    </row>
    <row r="1110" spans="1:9" x14ac:dyDescent="0.25">
      <c r="A1110" t="s">
        <v>3897</v>
      </c>
      <c r="B1110" s="26" t="str">
        <f>MID(tbl_forecast[[#This Row],[PACE Job Number]],3,3)</f>
        <v>NTX</v>
      </c>
      <c r="C1110" t="s">
        <v>14</v>
      </c>
      <c r="D1110" s="1">
        <v>43432</v>
      </c>
      <c r="E1110" s="1">
        <v>43440</v>
      </c>
      <c r="F1110" s="1">
        <v>43440</v>
      </c>
      <c r="G1110" s="1"/>
      <c r="H1110" t="s">
        <v>9</v>
      </c>
      <c r="I1110" t="s">
        <v>27</v>
      </c>
    </row>
    <row r="1111" spans="1:9" x14ac:dyDescent="0.25">
      <c r="A1111" t="s">
        <v>118</v>
      </c>
      <c r="B1111" s="26" t="str">
        <f>MID(tbl_forecast[[#This Row],[PACE Job Number]],3,3)</f>
        <v>NTX</v>
      </c>
      <c r="C1111" t="s">
        <v>14</v>
      </c>
      <c r="D1111" s="1">
        <v>43409</v>
      </c>
      <c r="E1111" s="1">
        <v>43437</v>
      </c>
      <c r="F1111" s="1">
        <v>43437</v>
      </c>
      <c r="G1111" s="1"/>
      <c r="H1111" t="s">
        <v>4664</v>
      </c>
      <c r="I1111" t="s">
        <v>5645</v>
      </c>
    </row>
    <row r="1112" spans="1:9" x14ac:dyDescent="0.25">
      <c r="A1112" t="s">
        <v>4458</v>
      </c>
      <c r="B1112" s="26" t="str">
        <f>MID(tbl_forecast[[#This Row],[PACE Job Number]],3,3)</f>
        <v>NTX</v>
      </c>
      <c r="C1112" t="s">
        <v>14</v>
      </c>
      <c r="D1112" s="1">
        <v>43413</v>
      </c>
      <c r="E1112" s="1">
        <v>43413</v>
      </c>
      <c r="F1112" s="1">
        <v>43425</v>
      </c>
      <c r="G1112" s="1">
        <v>43425</v>
      </c>
      <c r="H1112" t="s">
        <v>9</v>
      </c>
      <c r="I1112" t="s">
        <v>10</v>
      </c>
    </row>
    <row r="1113" spans="1:9" x14ac:dyDescent="0.25">
      <c r="A1113" t="s">
        <v>4459</v>
      </c>
      <c r="B1113" s="26" t="str">
        <f>MID(tbl_forecast[[#This Row],[PACE Job Number]],3,3)</f>
        <v>NTX</v>
      </c>
      <c r="C1113" t="s">
        <v>14</v>
      </c>
      <c r="D1113" s="1">
        <v>43406</v>
      </c>
      <c r="E1113" s="1">
        <v>43417</v>
      </c>
      <c r="F1113" s="1">
        <v>43413</v>
      </c>
      <c r="G1113" s="1">
        <v>43413</v>
      </c>
      <c r="H1113" t="s">
        <v>9</v>
      </c>
      <c r="I1113" t="s">
        <v>10</v>
      </c>
    </row>
    <row r="1114" spans="1:9" x14ac:dyDescent="0.25">
      <c r="A1114" t="s">
        <v>4460</v>
      </c>
      <c r="B1114" s="26" t="str">
        <f>MID(tbl_forecast[[#This Row],[PACE Job Number]],3,3)</f>
        <v>NTX</v>
      </c>
      <c r="C1114" t="s">
        <v>14</v>
      </c>
      <c r="D1114" s="1">
        <v>43423</v>
      </c>
      <c r="E1114" s="1">
        <v>43423</v>
      </c>
      <c r="F1114" s="1">
        <v>43411</v>
      </c>
      <c r="G1114" s="1">
        <v>43411</v>
      </c>
      <c r="H1114" t="s">
        <v>9</v>
      </c>
      <c r="I1114" t="s">
        <v>10</v>
      </c>
    </row>
    <row r="1115" spans="1:9" x14ac:dyDescent="0.25">
      <c r="A1115" t="s">
        <v>5387</v>
      </c>
      <c r="B1115" s="26" t="str">
        <f>MID(tbl_forecast[[#This Row],[PACE Job Number]],3,3)</f>
        <v>NTX</v>
      </c>
      <c r="C1115" t="s">
        <v>14</v>
      </c>
      <c r="D1115" s="1">
        <v>43432</v>
      </c>
      <c r="E1115" s="1">
        <v>43434</v>
      </c>
      <c r="F1115" s="1">
        <v>43434</v>
      </c>
      <c r="G1115" s="1"/>
      <c r="H1115" t="s">
        <v>9</v>
      </c>
      <c r="I1115" t="s">
        <v>27</v>
      </c>
    </row>
    <row r="1116" spans="1:9" x14ac:dyDescent="0.25">
      <c r="A1116" t="s">
        <v>338</v>
      </c>
      <c r="B1116" s="26" t="str">
        <f>MID(tbl_forecast[[#This Row],[PACE Job Number]],3,3)</f>
        <v>NTX</v>
      </c>
      <c r="C1116" t="s">
        <v>14</v>
      </c>
      <c r="D1116" s="1">
        <v>43432</v>
      </c>
      <c r="E1116" s="1">
        <v>43434</v>
      </c>
      <c r="F1116" s="1">
        <v>43434</v>
      </c>
      <c r="G1116" s="1"/>
      <c r="H1116" t="s">
        <v>9</v>
      </c>
      <c r="I1116" t="s">
        <v>27</v>
      </c>
    </row>
    <row r="1117" spans="1:9" x14ac:dyDescent="0.25">
      <c r="A1117" t="s">
        <v>342</v>
      </c>
      <c r="B1117" s="26" t="str">
        <f>MID(tbl_forecast[[#This Row],[PACE Job Number]],3,3)</f>
        <v>NTX</v>
      </c>
      <c r="C1117" t="s">
        <v>14</v>
      </c>
      <c r="D1117" s="1">
        <v>43409</v>
      </c>
      <c r="E1117" s="1">
        <v>43424</v>
      </c>
      <c r="F1117" s="1">
        <v>43419</v>
      </c>
      <c r="G1117" s="1">
        <v>43419</v>
      </c>
      <c r="H1117" t="s">
        <v>9</v>
      </c>
      <c r="I1117" t="s">
        <v>10</v>
      </c>
    </row>
    <row r="1118" spans="1:9" x14ac:dyDescent="0.25">
      <c r="A1118" t="s">
        <v>2447</v>
      </c>
      <c r="B1118" s="26" t="str">
        <f>MID(tbl_forecast[[#This Row],[PACE Job Number]],3,3)</f>
        <v>NTX</v>
      </c>
      <c r="C1118" t="s">
        <v>14</v>
      </c>
      <c r="D1118" s="1">
        <v>43416</v>
      </c>
      <c r="E1118" s="1">
        <v>43416</v>
      </c>
      <c r="F1118" s="1">
        <v>43416</v>
      </c>
      <c r="G1118" s="1">
        <v>43416</v>
      </c>
      <c r="H1118" t="s">
        <v>9</v>
      </c>
      <c r="I1118" t="s">
        <v>10</v>
      </c>
    </row>
    <row r="1119" spans="1:9" x14ac:dyDescent="0.25">
      <c r="A1119" t="s">
        <v>2448</v>
      </c>
      <c r="B1119" s="26" t="str">
        <f>MID(tbl_forecast[[#This Row],[PACE Job Number]],3,3)</f>
        <v>NTX</v>
      </c>
      <c r="C1119" t="s">
        <v>14</v>
      </c>
      <c r="D1119" s="1">
        <v>43432</v>
      </c>
      <c r="E1119" s="1">
        <v>43444</v>
      </c>
      <c r="F1119" s="1">
        <v>43444</v>
      </c>
      <c r="G1119" s="1"/>
      <c r="H1119" t="s">
        <v>9</v>
      </c>
      <c r="I1119" t="s">
        <v>27</v>
      </c>
    </row>
    <row r="1120" spans="1:9" x14ac:dyDescent="0.25">
      <c r="A1120" t="s">
        <v>471</v>
      </c>
      <c r="B1120" s="26" t="str">
        <f>MID(tbl_forecast[[#This Row],[PACE Job Number]],3,3)</f>
        <v>NTX</v>
      </c>
      <c r="C1120" t="s">
        <v>14</v>
      </c>
      <c r="D1120" s="1">
        <v>43413</v>
      </c>
      <c r="E1120" s="1">
        <v>43424</v>
      </c>
      <c r="F1120" s="1">
        <v>43418</v>
      </c>
      <c r="G1120" s="1">
        <v>43418</v>
      </c>
      <c r="H1120" t="s">
        <v>9</v>
      </c>
      <c r="I1120" t="s">
        <v>10</v>
      </c>
    </row>
    <row r="1121" spans="1:9" x14ac:dyDescent="0.25">
      <c r="A1121" t="s">
        <v>5388</v>
      </c>
      <c r="B1121" s="26" t="str">
        <f>MID(tbl_forecast[[#This Row],[PACE Job Number]],3,3)</f>
        <v>NTX</v>
      </c>
      <c r="C1121" t="s">
        <v>14</v>
      </c>
      <c r="D1121" s="1">
        <v>43419</v>
      </c>
      <c r="E1121" s="1">
        <v>43437</v>
      </c>
      <c r="F1121" s="1">
        <v>43437</v>
      </c>
      <c r="G1121" s="1"/>
      <c r="H1121" t="s">
        <v>4664</v>
      </c>
      <c r="I1121" t="s">
        <v>5645</v>
      </c>
    </row>
    <row r="1122" spans="1:9" x14ac:dyDescent="0.25">
      <c r="A1122" t="s">
        <v>4418</v>
      </c>
      <c r="B1122" s="26" t="str">
        <f>MID(tbl_forecast[[#This Row],[PACE Job Number]],3,3)</f>
        <v>NTX</v>
      </c>
      <c r="C1122" t="s">
        <v>14</v>
      </c>
      <c r="D1122" s="1">
        <v>43416</v>
      </c>
      <c r="E1122" s="1">
        <v>43434</v>
      </c>
      <c r="F1122" s="1">
        <v>43434</v>
      </c>
      <c r="G1122" s="1"/>
      <c r="H1122" t="s">
        <v>4664</v>
      </c>
      <c r="I1122" t="s">
        <v>5645</v>
      </c>
    </row>
    <row r="1123" spans="1:9" x14ac:dyDescent="0.25">
      <c r="A1123" t="s">
        <v>768</v>
      </c>
      <c r="B1123" s="26" t="str">
        <f>MID(tbl_forecast[[#This Row],[PACE Job Number]],3,3)</f>
        <v>NTX</v>
      </c>
      <c r="C1123" t="s">
        <v>14</v>
      </c>
      <c r="D1123" s="1">
        <v>43416</v>
      </c>
      <c r="E1123" s="1">
        <v>43434</v>
      </c>
      <c r="F1123" s="1">
        <v>43434</v>
      </c>
      <c r="G1123" s="1"/>
      <c r="H1123" t="s">
        <v>4664</v>
      </c>
      <c r="I1123" t="s">
        <v>5645</v>
      </c>
    </row>
    <row r="1124" spans="1:9" x14ac:dyDescent="0.25">
      <c r="A1124" t="s">
        <v>5389</v>
      </c>
      <c r="B1124" s="26" t="str">
        <f>MID(tbl_forecast[[#This Row],[PACE Job Number]],3,3)</f>
        <v>NTX</v>
      </c>
      <c r="C1124" t="s">
        <v>14</v>
      </c>
      <c r="D1124" s="1">
        <v>43416</v>
      </c>
      <c r="E1124" s="1">
        <v>43437</v>
      </c>
      <c r="F1124" s="1">
        <v>43437</v>
      </c>
      <c r="G1124" s="1"/>
      <c r="H1124" t="s">
        <v>4664</v>
      </c>
      <c r="I1124" t="s">
        <v>5645</v>
      </c>
    </row>
    <row r="1125" spans="1:9" x14ac:dyDescent="0.25">
      <c r="A1125" t="s">
        <v>4419</v>
      </c>
      <c r="B1125" s="26" t="str">
        <f>MID(tbl_forecast[[#This Row],[PACE Job Number]],3,3)</f>
        <v>NTX</v>
      </c>
      <c r="C1125" t="s">
        <v>14</v>
      </c>
      <c r="D1125" s="1">
        <v>43413</v>
      </c>
      <c r="E1125" s="1">
        <v>43417</v>
      </c>
      <c r="F1125" s="1">
        <v>43418</v>
      </c>
      <c r="G1125" s="1">
        <v>43418</v>
      </c>
      <c r="H1125" t="s">
        <v>9</v>
      </c>
      <c r="I1125" t="s">
        <v>10</v>
      </c>
    </row>
    <row r="1126" spans="1:9" x14ac:dyDescent="0.25">
      <c r="A1126" t="s">
        <v>3506</v>
      </c>
      <c r="B1126" s="26" t="str">
        <f>MID(tbl_forecast[[#This Row],[PACE Job Number]],3,3)</f>
        <v>NTX</v>
      </c>
      <c r="C1126" t="s">
        <v>14</v>
      </c>
      <c r="D1126" s="1">
        <v>43406</v>
      </c>
      <c r="E1126" s="1">
        <v>43430</v>
      </c>
      <c r="F1126" s="1">
        <v>43434</v>
      </c>
      <c r="G1126" s="1"/>
      <c r="H1126" t="s">
        <v>4664</v>
      </c>
      <c r="I1126" t="s">
        <v>5645</v>
      </c>
    </row>
    <row r="1127" spans="1:9" x14ac:dyDescent="0.25">
      <c r="A1127" t="s">
        <v>5390</v>
      </c>
      <c r="B1127" s="26" t="str">
        <f>MID(tbl_forecast[[#This Row],[PACE Job Number]],3,3)</f>
        <v>NTX</v>
      </c>
      <c r="C1127" t="s">
        <v>14</v>
      </c>
      <c r="D1127" s="1">
        <v>43416</v>
      </c>
      <c r="E1127" s="1">
        <v>43430</v>
      </c>
      <c r="F1127" s="1">
        <v>43430</v>
      </c>
      <c r="G1127" s="1">
        <v>43430</v>
      </c>
      <c r="H1127" t="s">
        <v>9</v>
      </c>
      <c r="I1127" t="s">
        <v>10</v>
      </c>
    </row>
    <row r="1128" spans="1:9" x14ac:dyDescent="0.25">
      <c r="A1128" t="s">
        <v>2146</v>
      </c>
      <c r="B1128" s="26" t="str">
        <f>MID(tbl_forecast[[#This Row],[PACE Job Number]],3,3)</f>
        <v>NTX</v>
      </c>
      <c r="C1128" t="s">
        <v>14</v>
      </c>
      <c r="D1128" s="1">
        <v>43432</v>
      </c>
      <c r="E1128" s="1">
        <v>43444</v>
      </c>
      <c r="F1128" s="1">
        <v>43444</v>
      </c>
      <c r="G1128" s="1"/>
      <c r="H1128" t="s">
        <v>9</v>
      </c>
      <c r="I1128" t="s">
        <v>27</v>
      </c>
    </row>
    <row r="1129" spans="1:9" x14ac:dyDescent="0.25">
      <c r="A1129" t="s">
        <v>3376</v>
      </c>
      <c r="B1129" s="26" t="str">
        <f>MID(tbl_forecast[[#This Row],[PACE Job Number]],3,3)</f>
        <v>NTX</v>
      </c>
      <c r="C1129" t="s">
        <v>14</v>
      </c>
      <c r="D1129" s="1">
        <v>43406</v>
      </c>
      <c r="E1129" s="1">
        <v>43409</v>
      </c>
      <c r="F1129" s="1">
        <v>43406</v>
      </c>
      <c r="G1129" s="1">
        <v>43406</v>
      </c>
      <c r="H1129" t="s">
        <v>9</v>
      </c>
      <c r="I1129" t="s">
        <v>10</v>
      </c>
    </row>
    <row r="1130" spans="1:9" x14ac:dyDescent="0.25">
      <c r="A1130" t="s">
        <v>5391</v>
      </c>
      <c r="B1130" s="26" t="str">
        <f>MID(tbl_forecast[[#This Row],[PACE Job Number]],3,3)</f>
        <v>NTX</v>
      </c>
      <c r="C1130" t="s">
        <v>14</v>
      </c>
      <c r="D1130" s="1">
        <v>43416</v>
      </c>
      <c r="E1130" s="1">
        <v>43430</v>
      </c>
      <c r="F1130" s="1">
        <v>43430</v>
      </c>
      <c r="G1130" s="1">
        <v>43430</v>
      </c>
      <c r="H1130" t="s">
        <v>9</v>
      </c>
      <c r="I1130" t="s">
        <v>10</v>
      </c>
    </row>
    <row r="1131" spans="1:9" x14ac:dyDescent="0.25">
      <c r="A1131" t="s">
        <v>2330</v>
      </c>
      <c r="B1131" s="26" t="str">
        <f>MID(tbl_forecast[[#This Row],[PACE Job Number]],3,3)</f>
        <v>NTX</v>
      </c>
      <c r="C1131" t="s">
        <v>14</v>
      </c>
      <c r="D1131" s="1">
        <v>43419</v>
      </c>
      <c r="E1131" s="1">
        <v>43434</v>
      </c>
      <c r="F1131" s="1">
        <v>43432</v>
      </c>
      <c r="G1131" s="1">
        <v>43432</v>
      </c>
      <c r="H1131" t="s">
        <v>9</v>
      </c>
      <c r="I1131" t="s">
        <v>10</v>
      </c>
    </row>
    <row r="1132" spans="1:9" x14ac:dyDescent="0.25">
      <c r="A1132" t="s">
        <v>3378</v>
      </c>
      <c r="B1132" s="26" t="str">
        <f>MID(tbl_forecast[[#This Row],[PACE Job Number]],3,3)</f>
        <v>NTX</v>
      </c>
      <c r="C1132" t="s">
        <v>14</v>
      </c>
      <c r="D1132" s="1">
        <v>43406</v>
      </c>
      <c r="E1132" s="1">
        <v>43409</v>
      </c>
      <c r="F1132" s="1">
        <v>43406</v>
      </c>
      <c r="G1132" s="1">
        <v>43406</v>
      </c>
      <c r="H1132" t="s">
        <v>9</v>
      </c>
      <c r="I1132" t="s">
        <v>10</v>
      </c>
    </row>
    <row r="1133" spans="1:9" x14ac:dyDescent="0.25">
      <c r="A1133" t="s">
        <v>4163</v>
      </c>
      <c r="B1133" s="26" t="str">
        <f>MID(tbl_forecast[[#This Row],[PACE Job Number]],3,3)</f>
        <v>NTX</v>
      </c>
      <c r="C1133" t="s">
        <v>14</v>
      </c>
      <c r="D1133" s="1">
        <v>43414</v>
      </c>
      <c r="E1133" s="1">
        <v>43430</v>
      </c>
      <c r="F1133" s="1">
        <v>43430</v>
      </c>
      <c r="G1133" s="1">
        <v>43430</v>
      </c>
      <c r="H1133" t="s">
        <v>4664</v>
      </c>
      <c r="I1133" t="s">
        <v>10</v>
      </c>
    </row>
    <row r="1134" spans="1:9" x14ac:dyDescent="0.25">
      <c r="A1134" t="s">
        <v>4436</v>
      </c>
      <c r="B1134" s="26" t="str">
        <f>MID(tbl_forecast[[#This Row],[PACE Job Number]],3,3)</f>
        <v>NTX</v>
      </c>
      <c r="C1134" t="s">
        <v>14</v>
      </c>
      <c r="D1134" s="1">
        <v>43416</v>
      </c>
      <c r="E1134" s="1">
        <v>43430</v>
      </c>
      <c r="F1134" s="1">
        <v>43434</v>
      </c>
      <c r="G1134" s="1"/>
      <c r="H1134" t="s">
        <v>4664</v>
      </c>
      <c r="I1134" t="s">
        <v>5645</v>
      </c>
    </row>
    <row r="1135" spans="1:9" x14ac:dyDescent="0.25">
      <c r="A1135" t="s">
        <v>5392</v>
      </c>
      <c r="B1135" s="26" t="str">
        <f>MID(tbl_forecast[[#This Row],[PACE Job Number]],3,3)</f>
        <v>NTX</v>
      </c>
      <c r="C1135" t="s">
        <v>14</v>
      </c>
      <c r="D1135" s="1">
        <v>43414</v>
      </c>
      <c r="E1135" s="1">
        <v>43440</v>
      </c>
      <c r="F1135" s="1">
        <v>43440</v>
      </c>
      <c r="G1135" s="1"/>
      <c r="H1135" t="s">
        <v>4664</v>
      </c>
      <c r="I1135" t="s">
        <v>5645</v>
      </c>
    </row>
    <row r="1136" spans="1:9" x14ac:dyDescent="0.25">
      <c r="A1136" t="s">
        <v>2332</v>
      </c>
      <c r="B1136" s="26" t="str">
        <f>MID(tbl_forecast[[#This Row],[PACE Job Number]],3,3)</f>
        <v>NTX</v>
      </c>
      <c r="C1136" t="s">
        <v>14</v>
      </c>
      <c r="D1136" s="1">
        <v>43432</v>
      </c>
      <c r="E1136" s="1">
        <v>43434</v>
      </c>
      <c r="F1136" s="1">
        <v>43432</v>
      </c>
      <c r="G1136" s="1">
        <v>43432</v>
      </c>
      <c r="H1136" t="s">
        <v>9</v>
      </c>
      <c r="I1136" t="s">
        <v>10</v>
      </c>
    </row>
    <row r="1137" spans="1:9" x14ac:dyDescent="0.25">
      <c r="A1137" t="s">
        <v>370</v>
      </c>
      <c r="B1137" s="26" t="str">
        <f>MID(tbl_forecast[[#This Row],[PACE Job Number]],3,3)</f>
        <v>NTX</v>
      </c>
      <c r="C1137" t="s">
        <v>14</v>
      </c>
      <c r="D1137" s="1">
        <v>43414</v>
      </c>
      <c r="E1137" s="1">
        <v>43430</v>
      </c>
      <c r="F1137" s="1">
        <v>43424</v>
      </c>
      <c r="G1137" s="1">
        <v>43424</v>
      </c>
      <c r="H1137" t="s">
        <v>9</v>
      </c>
      <c r="I1137" t="s">
        <v>10</v>
      </c>
    </row>
    <row r="1138" spans="1:9" x14ac:dyDescent="0.25">
      <c r="A1138" t="s">
        <v>2148</v>
      </c>
      <c r="B1138" s="26" t="str">
        <f>MID(tbl_forecast[[#This Row],[PACE Job Number]],3,3)</f>
        <v>NTX</v>
      </c>
      <c r="C1138" t="s">
        <v>14</v>
      </c>
      <c r="D1138" s="1">
        <v>43432</v>
      </c>
      <c r="E1138" s="1">
        <v>43444</v>
      </c>
      <c r="F1138" s="1">
        <v>43444</v>
      </c>
      <c r="G1138" s="1"/>
      <c r="H1138" t="s">
        <v>9</v>
      </c>
      <c r="I1138" t="s">
        <v>27</v>
      </c>
    </row>
    <row r="1139" spans="1:9" x14ac:dyDescent="0.25">
      <c r="A1139" t="s">
        <v>5393</v>
      </c>
      <c r="B1139" s="26" t="str">
        <f>MID(tbl_forecast[[#This Row],[PACE Job Number]],3,3)</f>
        <v>NTX</v>
      </c>
      <c r="C1139" t="s">
        <v>14</v>
      </c>
      <c r="D1139" s="1">
        <v>43416</v>
      </c>
      <c r="E1139" s="1">
        <v>43430</v>
      </c>
      <c r="F1139" s="1">
        <v>43430</v>
      </c>
      <c r="G1139" s="1">
        <v>43430</v>
      </c>
      <c r="H1139" t="s">
        <v>9</v>
      </c>
      <c r="I1139" t="s">
        <v>10</v>
      </c>
    </row>
    <row r="1140" spans="1:9" x14ac:dyDescent="0.25">
      <c r="A1140" t="s">
        <v>3501</v>
      </c>
      <c r="B1140" s="26" t="str">
        <f>MID(tbl_forecast[[#This Row],[PACE Job Number]],3,3)</f>
        <v>NTX</v>
      </c>
      <c r="C1140" t="s">
        <v>14</v>
      </c>
      <c r="D1140" s="1">
        <v>43413</v>
      </c>
      <c r="E1140" s="1">
        <v>43424</v>
      </c>
      <c r="F1140" s="1">
        <v>43418</v>
      </c>
      <c r="G1140" s="1">
        <v>43418</v>
      </c>
      <c r="H1140" t="s">
        <v>9</v>
      </c>
      <c r="I1140" t="s">
        <v>10</v>
      </c>
    </row>
    <row r="1141" spans="1:9" x14ac:dyDescent="0.25">
      <c r="A1141" t="s">
        <v>2334</v>
      </c>
      <c r="B1141" s="26" t="str">
        <f>MID(tbl_forecast[[#This Row],[PACE Job Number]],3,3)</f>
        <v>NTX</v>
      </c>
      <c r="C1141" t="s">
        <v>14</v>
      </c>
      <c r="D1141" s="1">
        <v>43423</v>
      </c>
      <c r="E1141" s="1">
        <v>43430</v>
      </c>
      <c r="F1141" s="1">
        <v>43434</v>
      </c>
      <c r="G1141" s="1"/>
      <c r="H1141" t="s">
        <v>9</v>
      </c>
      <c r="I1141" t="s">
        <v>27</v>
      </c>
    </row>
    <row r="1142" spans="1:9" x14ac:dyDescent="0.25">
      <c r="A1142" t="s">
        <v>5394</v>
      </c>
      <c r="B1142" s="26" t="str">
        <f>MID(tbl_forecast[[#This Row],[PACE Job Number]],3,3)</f>
        <v>NTX</v>
      </c>
      <c r="C1142" t="s">
        <v>14</v>
      </c>
      <c r="D1142" s="1">
        <v>43414</v>
      </c>
      <c r="E1142" s="1">
        <v>43430</v>
      </c>
      <c r="F1142" s="1">
        <v>43434</v>
      </c>
      <c r="G1142" s="1"/>
      <c r="H1142" t="s">
        <v>4664</v>
      </c>
      <c r="I1142" t="s">
        <v>5645</v>
      </c>
    </row>
    <row r="1143" spans="1:9" x14ac:dyDescent="0.25">
      <c r="A1143" t="s">
        <v>5395</v>
      </c>
      <c r="B1143" s="26" t="str">
        <f>MID(tbl_forecast[[#This Row],[PACE Job Number]],3,3)</f>
        <v>NTX</v>
      </c>
      <c r="C1143" t="s">
        <v>14</v>
      </c>
      <c r="D1143" s="1">
        <v>43406</v>
      </c>
      <c r="E1143" s="1">
        <v>43493</v>
      </c>
      <c r="F1143" s="1">
        <v>43493</v>
      </c>
      <c r="G1143" s="1"/>
      <c r="H1143" t="s">
        <v>4664</v>
      </c>
      <c r="I1143" t="s">
        <v>5645</v>
      </c>
    </row>
    <row r="1144" spans="1:9" x14ac:dyDescent="0.25">
      <c r="A1144" t="s">
        <v>5396</v>
      </c>
      <c r="B1144" s="26" t="str">
        <f>MID(tbl_forecast[[#This Row],[PACE Job Number]],3,3)</f>
        <v>NTX</v>
      </c>
      <c r="C1144" t="s">
        <v>14</v>
      </c>
      <c r="D1144" s="1">
        <v>43416</v>
      </c>
      <c r="E1144" s="1">
        <v>43430</v>
      </c>
      <c r="F1144" s="1">
        <v>43432</v>
      </c>
      <c r="G1144" s="1">
        <v>43432</v>
      </c>
      <c r="H1144" t="s">
        <v>4664</v>
      </c>
      <c r="I1144" t="s">
        <v>10</v>
      </c>
    </row>
    <row r="1145" spans="1:9" x14ac:dyDescent="0.25">
      <c r="A1145" t="s">
        <v>5397</v>
      </c>
      <c r="B1145" s="26" t="str">
        <f>MID(tbl_forecast[[#This Row],[PACE Job Number]],3,3)</f>
        <v>NTX</v>
      </c>
      <c r="C1145" t="s">
        <v>14</v>
      </c>
      <c r="D1145" s="1">
        <v>43416</v>
      </c>
      <c r="E1145" s="1">
        <v>43430</v>
      </c>
      <c r="F1145" s="1">
        <v>43430</v>
      </c>
      <c r="G1145" s="1">
        <v>43430</v>
      </c>
      <c r="H1145" t="s">
        <v>9</v>
      </c>
      <c r="I1145" t="s">
        <v>10</v>
      </c>
    </row>
    <row r="1146" spans="1:9" x14ac:dyDescent="0.25">
      <c r="A1146" t="s">
        <v>5398</v>
      </c>
      <c r="B1146" s="26" t="str">
        <f>MID(tbl_forecast[[#This Row],[PACE Job Number]],3,3)</f>
        <v>NTX</v>
      </c>
      <c r="C1146" t="s">
        <v>14</v>
      </c>
      <c r="D1146" s="1">
        <v>43416</v>
      </c>
      <c r="E1146" s="1">
        <v>43430</v>
      </c>
      <c r="F1146" s="1">
        <v>43432</v>
      </c>
      <c r="G1146" s="1">
        <v>43432</v>
      </c>
      <c r="H1146" t="s">
        <v>4664</v>
      </c>
      <c r="I1146" t="s">
        <v>10</v>
      </c>
    </row>
    <row r="1147" spans="1:9" x14ac:dyDescent="0.25">
      <c r="A1147" t="s">
        <v>1731</v>
      </c>
      <c r="B1147" s="26" t="str">
        <f>MID(tbl_forecast[[#This Row],[PACE Job Number]],3,3)</f>
        <v>NTX</v>
      </c>
      <c r="C1147" t="s">
        <v>14</v>
      </c>
      <c r="D1147" s="1">
        <v>43413</v>
      </c>
      <c r="E1147" s="1">
        <v>43430</v>
      </c>
      <c r="F1147" s="1">
        <v>43434</v>
      </c>
      <c r="G1147" s="1"/>
      <c r="H1147" t="s">
        <v>4664</v>
      </c>
      <c r="I1147" t="s">
        <v>5645</v>
      </c>
    </row>
    <row r="1148" spans="1:9" x14ac:dyDescent="0.25">
      <c r="A1148" t="s">
        <v>2335</v>
      </c>
      <c r="B1148" s="26" t="str">
        <f>MID(tbl_forecast[[#This Row],[PACE Job Number]],3,3)</f>
        <v>NTX</v>
      </c>
      <c r="C1148" t="s">
        <v>14</v>
      </c>
      <c r="D1148" s="1">
        <v>43419</v>
      </c>
      <c r="E1148" s="1">
        <v>43434</v>
      </c>
      <c r="F1148" s="1">
        <v>43432</v>
      </c>
      <c r="G1148" s="1">
        <v>43432</v>
      </c>
      <c r="H1148" t="s">
        <v>9</v>
      </c>
      <c r="I1148" t="s">
        <v>10</v>
      </c>
    </row>
    <row r="1149" spans="1:9" x14ac:dyDescent="0.25">
      <c r="A1149" t="s">
        <v>3389</v>
      </c>
      <c r="B1149" s="26" t="str">
        <f>MID(tbl_forecast[[#This Row],[PACE Job Number]],3,3)</f>
        <v>NTX</v>
      </c>
      <c r="C1149" t="s">
        <v>14</v>
      </c>
      <c r="D1149" s="1">
        <v>43406</v>
      </c>
      <c r="E1149" s="1">
        <v>43409</v>
      </c>
      <c r="F1149" s="1">
        <v>43406</v>
      </c>
      <c r="G1149" s="1">
        <v>43406</v>
      </c>
      <c r="H1149" t="s">
        <v>9</v>
      </c>
      <c r="I1149" t="s">
        <v>10</v>
      </c>
    </row>
    <row r="1150" spans="1:9" x14ac:dyDescent="0.25">
      <c r="A1150" t="s">
        <v>5399</v>
      </c>
      <c r="B1150" s="26" t="str">
        <f>MID(tbl_forecast[[#This Row],[PACE Job Number]],3,3)</f>
        <v>NTX</v>
      </c>
      <c r="C1150" t="s">
        <v>14</v>
      </c>
      <c r="D1150" s="1">
        <v>43416</v>
      </c>
      <c r="E1150" s="1">
        <v>43437</v>
      </c>
      <c r="F1150" s="1">
        <v>43437</v>
      </c>
      <c r="G1150" s="1"/>
      <c r="H1150" t="s">
        <v>4664</v>
      </c>
      <c r="I1150" t="s">
        <v>5645</v>
      </c>
    </row>
    <row r="1151" spans="1:9" x14ac:dyDescent="0.25">
      <c r="A1151" t="s">
        <v>5400</v>
      </c>
      <c r="B1151" s="26" t="str">
        <f>MID(tbl_forecast[[#This Row],[PACE Job Number]],3,3)</f>
        <v>NTX</v>
      </c>
      <c r="C1151" t="s">
        <v>14</v>
      </c>
      <c r="D1151" s="1">
        <v>43416</v>
      </c>
      <c r="E1151" s="1">
        <v>43430</v>
      </c>
      <c r="F1151" s="1">
        <v>43430</v>
      </c>
      <c r="G1151" s="1">
        <v>43430</v>
      </c>
      <c r="H1151" t="s">
        <v>9</v>
      </c>
      <c r="I1151" t="s">
        <v>10</v>
      </c>
    </row>
    <row r="1152" spans="1:9" x14ac:dyDescent="0.25">
      <c r="A1152" t="s">
        <v>3507</v>
      </c>
      <c r="B1152" s="26" t="str">
        <f>MID(tbl_forecast[[#This Row],[PACE Job Number]],3,3)</f>
        <v>NTX</v>
      </c>
      <c r="C1152" t="s">
        <v>14</v>
      </c>
      <c r="D1152" s="1">
        <v>43413</v>
      </c>
      <c r="E1152" s="1">
        <v>43424</v>
      </c>
      <c r="F1152" s="1">
        <v>43418</v>
      </c>
      <c r="G1152" s="1">
        <v>43418</v>
      </c>
      <c r="H1152" t="s">
        <v>9</v>
      </c>
      <c r="I1152" t="s">
        <v>10</v>
      </c>
    </row>
    <row r="1153" spans="1:9" x14ac:dyDescent="0.25">
      <c r="A1153" t="s">
        <v>5401</v>
      </c>
      <c r="B1153" s="26" t="str">
        <f>MID(tbl_forecast[[#This Row],[PACE Job Number]],3,3)</f>
        <v>NTX</v>
      </c>
      <c r="C1153" t="s">
        <v>14</v>
      </c>
      <c r="D1153" s="1">
        <v>43406</v>
      </c>
      <c r="E1153" s="1">
        <v>43493</v>
      </c>
      <c r="F1153" s="1">
        <v>43493</v>
      </c>
      <c r="G1153" s="1"/>
      <c r="H1153" t="s">
        <v>4664</v>
      </c>
      <c r="I1153" t="s">
        <v>5645</v>
      </c>
    </row>
    <row r="1154" spans="1:9" x14ac:dyDescent="0.25">
      <c r="A1154" t="s">
        <v>5402</v>
      </c>
      <c r="B1154" s="26" t="str">
        <f>MID(tbl_forecast[[#This Row],[PACE Job Number]],3,3)</f>
        <v>NTX</v>
      </c>
      <c r="C1154" t="s">
        <v>14</v>
      </c>
      <c r="D1154" s="1">
        <v>43430</v>
      </c>
      <c r="E1154" s="1">
        <v>43493</v>
      </c>
      <c r="F1154" s="1">
        <v>43493</v>
      </c>
      <c r="G1154" s="1"/>
      <c r="H1154" t="s">
        <v>4664</v>
      </c>
      <c r="I1154" t="s">
        <v>4665</v>
      </c>
    </row>
    <row r="1155" spans="1:9" x14ac:dyDescent="0.25">
      <c r="A1155" t="s">
        <v>4403</v>
      </c>
      <c r="B1155" s="26" t="str">
        <f>MID(tbl_forecast[[#This Row],[PACE Job Number]],3,3)</f>
        <v>NTX</v>
      </c>
      <c r="C1155" t="s">
        <v>14</v>
      </c>
      <c r="D1155" s="1">
        <v>43405</v>
      </c>
      <c r="E1155" s="1">
        <v>43493</v>
      </c>
      <c r="F1155" s="1">
        <v>43493</v>
      </c>
      <c r="G1155" s="1"/>
      <c r="H1155" t="s">
        <v>4664</v>
      </c>
      <c r="I1155" t="s">
        <v>5645</v>
      </c>
    </row>
    <row r="1156" spans="1:9" x14ac:dyDescent="0.25">
      <c r="A1156" t="s">
        <v>400</v>
      </c>
      <c r="B1156" s="26" t="str">
        <f>MID(tbl_forecast[[#This Row],[PACE Job Number]],3,3)</f>
        <v>NTX</v>
      </c>
      <c r="C1156" t="s">
        <v>14</v>
      </c>
      <c r="D1156" s="1">
        <v>43432</v>
      </c>
      <c r="E1156" s="1">
        <v>43444</v>
      </c>
      <c r="F1156" s="1">
        <v>43444</v>
      </c>
      <c r="G1156" s="1"/>
      <c r="H1156" t="s">
        <v>9</v>
      </c>
      <c r="I1156" t="s">
        <v>27</v>
      </c>
    </row>
    <row r="1157" spans="1:9" x14ac:dyDescent="0.25">
      <c r="A1157" t="s">
        <v>4264</v>
      </c>
      <c r="B1157" s="26" t="str">
        <f>MID(tbl_forecast[[#This Row],[PACE Job Number]],3,3)</f>
        <v>NTX</v>
      </c>
      <c r="C1157" t="s">
        <v>14</v>
      </c>
      <c r="D1157" s="1">
        <v>43416</v>
      </c>
      <c r="E1157" s="1">
        <v>43416</v>
      </c>
      <c r="F1157" s="1">
        <v>43420</v>
      </c>
      <c r="G1157" s="1">
        <v>43420</v>
      </c>
      <c r="H1157" t="s">
        <v>9</v>
      </c>
      <c r="I1157" t="s">
        <v>10</v>
      </c>
    </row>
    <row r="1158" spans="1:9" x14ac:dyDescent="0.25">
      <c r="A1158" t="s">
        <v>106</v>
      </c>
      <c r="B1158" s="26" t="str">
        <f>MID(tbl_forecast[[#This Row],[PACE Job Number]],3,3)</f>
        <v>NTX</v>
      </c>
      <c r="C1158" t="s">
        <v>14</v>
      </c>
      <c r="D1158" s="1">
        <v>43409</v>
      </c>
      <c r="E1158" s="1">
        <v>43434</v>
      </c>
      <c r="F1158" s="1">
        <v>43434</v>
      </c>
      <c r="G1158" s="1"/>
      <c r="H1158" t="s">
        <v>4664</v>
      </c>
      <c r="I1158" t="s">
        <v>5645</v>
      </c>
    </row>
    <row r="1159" spans="1:9" x14ac:dyDescent="0.25">
      <c r="A1159" t="s">
        <v>4265</v>
      </c>
      <c r="B1159" s="26" t="str">
        <f>MID(tbl_forecast[[#This Row],[PACE Job Number]],3,3)</f>
        <v>NTX</v>
      </c>
      <c r="C1159" t="s">
        <v>14</v>
      </c>
      <c r="D1159" s="1">
        <v>43416</v>
      </c>
      <c r="E1159" s="1">
        <v>43416</v>
      </c>
      <c r="F1159" s="1">
        <v>43420</v>
      </c>
      <c r="G1159" s="1">
        <v>43420</v>
      </c>
      <c r="H1159" t="s">
        <v>9</v>
      </c>
      <c r="I1159" t="s">
        <v>10</v>
      </c>
    </row>
    <row r="1160" spans="1:9" x14ac:dyDescent="0.25">
      <c r="A1160" t="s">
        <v>2419</v>
      </c>
      <c r="B1160" s="26" t="str">
        <f>MID(tbl_forecast[[#This Row],[PACE Job Number]],3,3)</f>
        <v>NTX</v>
      </c>
      <c r="C1160" t="s">
        <v>14</v>
      </c>
      <c r="D1160" s="1">
        <v>43409</v>
      </c>
      <c r="E1160" s="1">
        <v>43444</v>
      </c>
      <c r="F1160" s="1">
        <v>43444</v>
      </c>
      <c r="G1160" s="1"/>
      <c r="H1160" t="s">
        <v>4664</v>
      </c>
      <c r="I1160" t="s">
        <v>5645</v>
      </c>
    </row>
    <row r="1161" spans="1:9" x14ac:dyDescent="0.25">
      <c r="A1161" t="s">
        <v>5403</v>
      </c>
      <c r="B1161" s="26" t="str">
        <f>MID(tbl_forecast[[#This Row],[PACE Job Number]],3,3)</f>
        <v>NTX</v>
      </c>
      <c r="C1161" t="s">
        <v>14</v>
      </c>
      <c r="D1161" s="1">
        <v>43430</v>
      </c>
      <c r="E1161" s="1">
        <v>43493</v>
      </c>
      <c r="F1161" s="1">
        <v>43493</v>
      </c>
      <c r="G1161" s="1"/>
      <c r="H1161" t="s">
        <v>4664</v>
      </c>
      <c r="I1161" t="s">
        <v>4665</v>
      </c>
    </row>
    <row r="1162" spans="1:9" x14ac:dyDescent="0.25">
      <c r="A1162" t="s">
        <v>3798</v>
      </c>
      <c r="B1162" s="26" t="str">
        <f>MID(tbl_forecast[[#This Row],[PACE Job Number]],3,3)</f>
        <v>WSH</v>
      </c>
      <c r="C1162" t="s">
        <v>14</v>
      </c>
      <c r="D1162" s="1">
        <v>43430</v>
      </c>
      <c r="E1162" s="1">
        <v>43444</v>
      </c>
      <c r="F1162" s="1">
        <v>43444</v>
      </c>
      <c r="G1162" s="1"/>
      <c r="H1162" t="s">
        <v>9</v>
      </c>
      <c r="I1162" t="s">
        <v>27</v>
      </c>
    </row>
    <row r="1163" spans="1:9" x14ac:dyDescent="0.25">
      <c r="A1163" t="s">
        <v>4196</v>
      </c>
      <c r="B1163" s="26" t="str">
        <f>MID(tbl_forecast[[#This Row],[PACE Job Number]],3,3)</f>
        <v>WSH</v>
      </c>
      <c r="C1163" t="s">
        <v>14</v>
      </c>
      <c r="D1163" s="1">
        <v>43407</v>
      </c>
      <c r="E1163" s="1">
        <v>43373</v>
      </c>
      <c r="F1163" s="1">
        <v>43407</v>
      </c>
      <c r="G1163" s="1">
        <v>43407</v>
      </c>
      <c r="H1163" t="s">
        <v>9</v>
      </c>
      <c r="I1163" t="s">
        <v>10</v>
      </c>
    </row>
    <row r="1164" spans="1:9" x14ac:dyDescent="0.25">
      <c r="A1164" t="s">
        <v>5249</v>
      </c>
      <c r="B1164" s="26" t="str">
        <f>MID(tbl_forecast[[#This Row],[PACE Job Number]],3,3)</f>
        <v>WSH</v>
      </c>
      <c r="C1164" t="s">
        <v>14</v>
      </c>
      <c r="D1164" s="1">
        <v>43416</v>
      </c>
      <c r="E1164" s="1">
        <v>43444</v>
      </c>
      <c r="F1164" s="1">
        <v>43444</v>
      </c>
      <c r="G1164" s="1"/>
      <c r="H1164" t="s">
        <v>4664</v>
      </c>
      <c r="I1164" t="s">
        <v>5645</v>
      </c>
    </row>
    <row r="1165" spans="1:9" x14ac:dyDescent="0.25">
      <c r="A1165" t="s">
        <v>31</v>
      </c>
      <c r="B1165" s="26" t="str">
        <f>MID(tbl_forecast[[#This Row],[PACE Job Number]],3,3)</f>
        <v>WSH</v>
      </c>
      <c r="C1165" t="s">
        <v>14</v>
      </c>
      <c r="D1165" s="1">
        <v>43430</v>
      </c>
      <c r="E1165" s="1">
        <v>43444</v>
      </c>
      <c r="F1165" s="1">
        <v>43444</v>
      </c>
      <c r="G1165" s="1"/>
      <c r="H1165" t="s">
        <v>9</v>
      </c>
      <c r="I1165" t="s">
        <v>27</v>
      </c>
    </row>
    <row r="1166" spans="1:9" x14ac:dyDescent="0.25">
      <c r="A1166" t="s">
        <v>5250</v>
      </c>
      <c r="B1166" s="26" t="str">
        <f>MID(tbl_forecast[[#This Row],[PACE Job Number]],3,3)</f>
        <v>WSH</v>
      </c>
      <c r="C1166" t="s">
        <v>14</v>
      </c>
      <c r="D1166" s="1">
        <v>43423</v>
      </c>
      <c r="E1166" s="1">
        <v>43423</v>
      </c>
      <c r="F1166" s="1">
        <v>43423</v>
      </c>
      <c r="G1166" s="1">
        <v>43423</v>
      </c>
      <c r="H1166" t="s">
        <v>9</v>
      </c>
      <c r="I1166" t="s">
        <v>10</v>
      </c>
    </row>
    <row r="1167" spans="1:9" x14ac:dyDescent="0.25">
      <c r="A1167" t="s">
        <v>5251</v>
      </c>
      <c r="B1167" s="26" t="str">
        <f>MID(tbl_forecast[[#This Row],[PACE Job Number]],3,3)</f>
        <v>WSH</v>
      </c>
      <c r="C1167" t="s">
        <v>14</v>
      </c>
      <c r="D1167" s="1">
        <v>43430</v>
      </c>
      <c r="E1167" s="1">
        <v>43427</v>
      </c>
      <c r="F1167" s="1">
        <v>43427</v>
      </c>
      <c r="G1167" s="1">
        <v>43427</v>
      </c>
      <c r="H1167" t="s">
        <v>9</v>
      </c>
      <c r="I1167" t="s">
        <v>10</v>
      </c>
    </row>
    <row r="1168" spans="1:9" x14ac:dyDescent="0.25">
      <c r="A1168" t="s">
        <v>5404</v>
      </c>
      <c r="B1168" s="26" t="str">
        <f>MID(tbl_forecast[[#This Row],[PACE Job Number]],3,3)</f>
        <v>WSH</v>
      </c>
      <c r="C1168" t="s">
        <v>14</v>
      </c>
      <c r="D1168" s="1">
        <v>43423</v>
      </c>
      <c r="E1168" s="1">
        <v>43420</v>
      </c>
      <c r="F1168" s="1">
        <v>43420</v>
      </c>
      <c r="G1168" s="1">
        <v>43420</v>
      </c>
      <c r="H1168" t="s">
        <v>9</v>
      </c>
      <c r="I1168" t="s">
        <v>10</v>
      </c>
    </row>
    <row r="1169" spans="1:9" x14ac:dyDescent="0.25">
      <c r="A1169" t="s">
        <v>5252</v>
      </c>
      <c r="B1169" s="26" t="str">
        <f>MID(tbl_forecast[[#This Row],[PACE Job Number]],3,3)</f>
        <v>WSH</v>
      </c>
      <c r="C1169" t="s">
        <v>14</v>
      </c>
      <c r="D1169" s="1">
        <v>43416</v>
      </c>
      <c r="E1169" s="1">
        <v>43437</v>
      </c>
      <c r="F1169" s="1">
        <v>43437</v>
      </c>
      <c r="G1169" s="1"/>
      <c r="H1169" t="s">
        <v>4664</v>
      </c>
      <c r="I1169" t="s">
        <v>5645</v>
      </c>
    </row>
    <row r="1170" spans="1:9" x14ac:dyDescent="0.25">
      <c r="A1170" t="s">
        <v>3799</v>
      </c>
      <c r="B1170" s="26" t="str">
        <f>MID(tbl_forecast[[#This Row],[PACE Job Number]],3,3)</f>
        <v>WSH</v>
      </c>
      <c r="C1170" t="s">
        <v>14</v>
      </c>
      <c r="D1170" s="1">
        <v>43409</v>
      </c>
      <c r="E1170" s="1">
        <v>43411</v>
      </c>
      <c r="F1170" s="1">
        <v>43411</v>
      </c>
      <c r="G1170" s="1">
        <v>43411</v>
      </c>
      <c r="H1170" t="s">
        <v>9</v>
      </c>
      <c r="I1170" t="s">
        <v>10</v>
      </c>
    </row>
    <row r="1171" spans="1:9" x14ac:dyDescent="0.25">
      <c r="A1171" t="s">
        <v>4228</v>
      </c>
      <c r="B1171" s="26" t="str">
        <f>MID(tbl_forecast[[#This Row],[PACE Job Number]],3,3)</f>
        <v>ANM</v>
      </c>
      <c r="C1171" t="s">
        <v>14</v>
      </c>
      <c r="D1171" s="1">
        <v>43407</v>
      </c>
      <c r="E1171" s="1">
        <v>36524</v>
      </c>
      <c r="F1171" s="1">
        <v>43407</v>
      </c>
      <c r="G1171" s="1"/>
      <c r="H1171" t="s">
        <v>9</v>
      </c>
      <c r="I1171" t="s">
        <v>27</v>
      </c>
    </row>
    <row r="1172" spans="1:9" x14ac:dyDescent="0.25">
      <c r="A1172" t="s">
        <v>4229</v>
      </c>
      <c r="B1172" s="26" t="str">
        <f>MID(tbl_forecast[[#This Row],[PACE Job Number]],3,3)</f>
        <v>ANM</v>
      </c>
      <c r="C1172" t="s">
        <v>14</v>
      </c>
      <c r="D1172" s="1">
        <v>43407</v>
      </c>
      <c r="E1172" s="1">
        <v>36524</v>
      </c>
      <c r="F1172" s="1">
        <v>43407</v>
      </c>
      <c r="G1172" s="1"/>
      <c r="H1172" t="s">
        <v>9</v>
      </c>
      <c r="I1172" t="s">
        <v>27</v>
      </c>
    </row>
    <row r="1173" spans="1:9" x14ac:dyDescent="0.25">
      <c r="A1173" t="s">
        <v>4231</v>
      </c>
      <c r="B1173" s="26" t="str">
        <f>MID(tbl_forecast[[#This Row],[PACE Job Number]],3,3)</f>
        <v>ANM</v>
      </c>
      <c r="C1173" t="s">
        <v>14</v>
      </c>
      <c r="D1173" s="1">
        <v>43407</v>
      </c>
      <c r="E1173" s="1">
        <v>36524</v>
      </c>
      <c r="F1173" s="1">
        <v>43407</v>
      </c>
      <c r="G1173" s="1"/>
      <c r="H1173" t="s">
        <v>9</v>
      </c>
      <c r="I1173" t="s">
        <v>27</v>
      </c>
    </row>
    <row r="1174" spans="1:9" x14ac:dyDescent="0.25">
      <c r="A1174" t="s">
        <v>4232</v>
      </c>
      <c r="B1174" s="26" t="str">
        <f>MID(tbl_forecast[[#This Row],[PACE Job Number]],3,3)</f>
        <v>ANM</v>
      </c>
      <c r="C1174" t="s">
        <v>14</v>
      </c>
      <c r="D1174" s="1">
        <v>43407</v>
      </c>
      <c r="E1174" s="1">
        <v>36524</v>
      </c>
      <c r="F1174" s="1">
        <v>43407</v>
      </c>
      <c r="G1174" s="1"/>
      <c r="H1174" t="s">
        <v>9</v>
      </c>
      <c r="I1174" t="s">
        <v>27</v>
      </c>
    </row>
    <row r="1175" spans="1:9" x14ac:dyDescent="0.25">
      <c r="A1175" t="s">
        <v>4233</v>
      </c>
      <c r="B1175" s="26" t="str">
        <f>MID(tbl_forecast[[#This Row],[PACE Job Number]],3,3)</f>
        <v>ANM</v>
      </c>
      <c r="C1175" t="s">
        <v>14</v>
      </c>
      <c r="D1175" s="1">
        <v>43407</v>
      </c>
      <c r="E1175" s="1">
        <v>36524</v>
      </c>
      <c r="F1175" s="1">
        <v>43407</v>
      </c>
      <c r="G1175" s="1"/>
      <c r="H1175" t="s">
        <v>9</v>
      </c>
      <c r="I1175" t="s">
        <v>27</v>
      </c>
    </row>
    <row r="1176" spans="1:9" x14ac:dyDescent="0.25">
      <c r="A1176" t="s">
        <v>4234</v>
      </c>
      <c r="B1176" s="26" t="str">
        <f>MID(tbl_forecast[[#This Row],[PACE Job Number]],3,3)</f>
        <v>ANM</v>
      </c>
      <c r="C1176" t="s">
        <v>14</v>
      </c>
      <c r="D1176" s="1">
        <v>43407</v>
      </c>
      <c r="E1176" s="1">
        <v>36524</v>
      </c>
      <c r="F1176" s="1">
        <v>43407</v>
      </c>
      <c r="G1176" s="1"/>
      <c r="H1176" t="s">
        <v>9</v>
      </c>
      <c r="I1176" t="s">
        <v>27</v>
      </c>
    </row>
    <row r="1177" spans="1:9" x14ac:dyDescent="0.25">
      <c r="A1177" t="s">
        <v>4235</v>
      </c>
      <c r="B1177" s="26" t="str">
        <f>MID(tbl_forecast[[#This Row],[PACE Job Number]],3,3)</f>
        <v>ANM</v>
      </c>
      <c r="C1177" t="s">
        <v>14</v>
      </c>
      <c r="D1177" s="1">
        <v>43407</v>
      </c>
      <c r="E1177" s="1">
        <v>36524</v>
      </c>
      <c r="F1177" s="1">
        <v>43407</v>
      </c>
      <c r="G1177" s="1"/>
      <c r="H1177" t="s">
        <v>9</v>
      </c>
      <c r="I1177" t="s">
        <v>27</v>
      </c>
    </row>
    <row r="1178" spans="1:9" x14ac:dyDescent="0.25">
      <c r="A1178" t="s">
        <v>4236</v>
      </c>
      <c r="B1178" s="26" t="str">
        <f>MID(tbl_forecast[[#This Row],[PACE Job Number]],3,3)</f>
        <v>ANM</v>
      </c>
      <c r="C1178" t="s">
        <v>14</v>
      </c>
      <c r="D1178" s="1">
        <v>43407</v>
      </c>
      <c r="E1178" s="1">
        <v>36524</v>
      </c>
      <c r="F1178" s="1">
        <v>43407</v>
      </c>
      <c r="G1178" s="1"/>
      <c r="H1178" t="s">
        <v>9</v>
      </c>
      <c r="I1178" t="s">
        <v>27</v>
      </c>
    </row>
    <row r="1179" spans="1:9" x14ac:dyDescent="0.25">
      <c r="A1179" t="s">
        <v>4237</v>
      </c>
      <c r="B1179" s="26" t="str">
        <f>MID(tbl_forecast[[#This Row],[PACE Job Number]],3,3)</f>
        <v>ANM</v>
      </c>
      <c r="C1179" t="s">
        <v>14</v>
      </c>
      <c r="D1179" s="1">
        <v>43407</v>
      </c>
      <c r="E1179" s="1">
        <v>36524</v>
      </c>
      <c r="F1179" s="1">
        <v>43407</v>
      </c>
      <c r="G1179" s="1"/>
      <c r="H1179" t="s">
        <v>9</v>
      </c>
      <c r="I1179" t="s">
        <v>27</v>
      </c>
    </row>
    <row r="1180" spans="1:9" x14ac:dyDescent="0.25">
      <c r="A1180" t="s">
        <v>5253</v>
      </c>
      <c r="B1180" s="26" t="str">
        <f>MID(tbl_forecast[[#This Row],[PACE Job Number]],3,3)</f>
        <v>ANM</v>
      </c>
      <c r="C1180" t="s">
        <v>14</v>
      </c>
      <c r="D1180" s="1">
        <v>43416</v>
      </c>
      <c r="E1180" s="1">
        <v>43451</v>
      </c>
      <c r="F1180" s="1">
        <v>43416</v>
      </c>
      <c r="G1180" s="1"/>
      <c r="H1180" t="s">
        <v>9</v>
      </c>
      <c r="I1180" t="s">
        <v>44</v>
      </c>
    </row>
    <row r="1181" spans="1:9" x14ac:dyDescent="0.25">
      <c r="A1181" t="s">
        <v>4238</v>
      </c>
      <c r="B1181" s="26" t="str">
        <f>MID(tbl_forecast[[#This Row],[PACE Job Number]],3,3)</f>
        <v>ANM</v>
      </c>
      <c r="C1181" t="s">
        <v>14</v>
      </c>
      <c r="D1181" s="1">
        <v>43423</v>
      </c>
      <c r="E1181" s="1">
        <v>43423</v>
      </c>
      <c r="F1181" s="1">
        <v>43423</v>
      </c>
      <c r="G1181" s="1"/>
      <c r="H1181" t="s">
        <v>9</v>
      </c>
      <c r="I1181" t="s">
        <v>27</v>
      </c>
    </row>
    <row r="1182" spans="1:9" x14ac:dyDescent="0.25">
      <c r="A1182" t="s">
        <v>5254</v>
      </c>
      <c r="B1182" s="26" t="str">
        <f>MID(tbl_forecast[[#This Row],[PACE Job Number]],3,3)</f>
        <v>ANM</v>
      </c>
      <c r="C1182" t="s">
        <v>14</v>
      </c>
      <c r="D1182" s="1">
        <v>43430</v>
      </c>
      <c r="E1182" s="1">
        <v>43444</v>
      </c>
      <c r="F1182" s="1">
        <v>43444</v>
      </c>
      <c r="G1182" s="1"/>
      <c r="H1182" t="s">
        <v>9</v>
      </c>
      <c r="I1182" t="s">
        <v>27</v>
      </c>
    </row>
    <row r="1183" spans="1:9" x14ac:dyDescent="0.25">
      <c r="A1183" t="s">
        <v>1683</v>
      </c>
      <c r="B1183" s="26" t="str">
        <f>MID(tbl_forecast[[#This Row],[PACE Job Number]],3,3)</f>
        <v>ANM</v>
      </c>
      <c r="C1183" t="s">
        <v>14</v>
      </c>
      <c r="D1183" s="1">
        <v>43430</v>
      </c>
      <c r="E1183" s="1">
        <v>43432</v>
      </c>
      <c r="F1183" s="1">
        <v>43432</v>
      </c>
      <c r="G1183" s="1"/>
      <c r="H1183" t="s">
        <v>9</v>
      </c>
      <c r="I1183" t="s">
        <v>27</v>
      </c>
    </row>
    <row r="1184" spans="1:9" x14ac:dyDescent="0.25">
      <c r="A1184" t="s">
        <v>1692</v>
      </c>
      <c r="B1184" s="26" t="str">
        <f>MID(tbl_forecast[[#This Row],[PACE Job Number]],3,3)</f>
        <v>ANM</v>
      </c>
      <c r="C1184" t="s">
        <v>14</v>
      </c>
      <c r="D1184" s="1">
        <v>43430</v>
      </c>
      <c r="E1184" s="1">
        <v>43432</v>
      </c>
      <c r="F1184" s="1">
        <v>43432</v>
      </c>
      <c r="G1184" s="1"/>
      <c r="H1184" t="s">
        <v>9</v>
      </c>
      <c r="I1184" t="s">
        <v>27</v>
      </c>
    </row>
    <row r="1185" spans="1:9" x14ac:dyDescent="0.25">
      <c r="A1185" t="s">
        <v>1685</v>
      </c>
      <c r="B1185" s="26" t="str">
        <f>MID(tbl_forecast[[#This Row],[PACE Job Number]],3,3)</f>
        <v>ANM</v>
      </c>
      <c r="C1185" t="s">
        <v>14</v>
      </c>
      <c r="D1185" s="1">
        <v>43430</v>
      </c>
      <c r="E1185" s="1">
        <v>43432</v>
      </c>
      <c r="F1185" s="1">
        <v>43432</v>
      </c>
      <c r="G1185" s="1"/>
      <c r="H1185" t="s">
        <v>9</v>
      </c>
      <c r="I1185" t="s">
        <v>27</v>
      </c>
    </row>
    <row r="1186" spans="1:9" x14ac:dyDescent="0.25">
      <c r="A1186" t="s">
        <v>4464</v>
      </c>
      <c r="B1186" s="26" t="str">
        <f>MID(tbl_forecast[[#This Row],[PACE Job Number]],3,3)</f>
        <v>STX</v>
      </c>
      <c r="C1186" t="s">
        <v>14</v>
      </c>
      <c r="D1186" s="1">
        <v>43419</v>
      </c>
      <c r="E1186" s="1">
        <v>43441</v>
      </c>
      <c r="F1186" s="1">
        <v>43439</v>
      </c>
      <c r="G1186" s="1"/>
      <c r="H1186" t="s">
        <v>4664</v>
      </c>
      <c r="I1186" t="s">
        <v>5645</v>
      </c>
    </row>
    <row r="1187" spans="1:9" x14ac:dyDescent="0.25">
      <c r="A1187" t="s">
        <v>4465</v>
      </c>
      <c r="B1187" s="26" t="str">
        <f>MID(tbl_forecast[[#This Row],[PACE Job Number]],3,3)</f>
        <v>STX</v>
      </c>
      <c r="C1187" t="s">
        <v>14</v>
      </c>
      <c r="D1187" s="1">
        <v>43419</v>
      </c>
      <c r="E1187" s="1">
        <v>43441</v>
      </c>
      <c r="F1187" s="1">
        <v>43439</v>
      </c>
      <c r="G1187" s="1"/>
      <c r="H1187" t="s">
        <v>4664</v>
      </c>
      <c r="I1187" t="s">
        <v>5645</v>
      </c>
    </row>
    <row r="1188" spans="1:9" x14ac:dyDescent="0.25">
      <c r="A1188" t="s">
        <v>3259</v>
      </c>
      <c r="B1188" s="26" t="str">
        <f>MID(tbl_forecast[[#This Row],[PACE Job Number]],3,3)</f>
        <v>STX</v>
      </c>
      <c r="C1188" t="s">
        <v>14</v>
      </c>
      <c r="D1188" s="1">
        <v>43419</v>
      </c>
      <c r="E1188" s="1">
        <v>43453</v>
      </c>
      <c r="F1188" s="1">
        <v>43451</v>
      </c>
      <c r="G1188" s="1"/>
      <c r="H1188" t="s">
        <v>4664</v>
      </c>
      <c r="I1188" t="s">
        <v>5645</v>
      </c>
    </row>
    <row r="1189" spans="1:9" x14ac:dyDescent="0.25">
      <c r="A1189" t="s">
        <v>1205</v>
      </c>
      <c r="B1189" s="26" t="str">
        <f>MID(tbl_forecast[[#This Row],[PACE Job Number]],3,3)</f>
        <v>STX</v>
      </c>
      <c r="C1189" t="s">
        <v>14</v>
      </c>
      <c r="D1189" s="1">
        <v>43419</v>
      </c>
      <c r="E1189" s="1">
        <v>43446</v>
      </c>
      <c r="F1189" s="1">
        <v>43444</v>
      </c>
      <c r="G1189" s="1"/>
      <c r="H1189" t="s">
        <v>4664</v>
      </c>
      <c r="I1189" t="s">
        <v>5645</v>
      </c>
    </row>
    <row r="1190" spans="1:9" x14ac:dyDescent="0.25">
      <c r="A1190" t="s">
        <v>4467</v>
      </c>
      <c r="B1190" s="26" t="str">
        <f>MID(tbl_forecast[[#This Row],[PACE Job Number]],3,3)</f>
        <v>STX</v>
      </c>
      <c r="C1190" t="s">
        <v>14</v>
      </c>
      <c r="D1190" s="1">
        <v>43419</v>
      </c>
      <c r="E1190" s="1">
        <v>43419</v>
      </c>
      <c r="F1190" s="1">
        <v>43417</v>
      </c>
      <c r="G1190" s="1">
        <v>43417</v>
      </c>
      <c r="H1190" t="s">
        <v>9</v>
      </c>
      <c r="I1190" t="s">
        <v>10</v>
      </c>
    </row>
    <row r="1191" spans="1:9" x14ac:dyDescent="0.25">
      <c r="A1191" t="s">
        <v>4468</v>
      </c>
      <c r="B1191" s="26" t="str">
        <f>MID(tbl_forecast[[#This Row],[PACE Job Number]],3,3)</f>
        <v>STX</v>
      </c>
      <c r="C1191" t="s">
        <v>14</v>
      </c>
      <c r="D1191" s="1">
        <v>43419</v>
      </c>
      <c r="E1191" s="1">
        <v>43419</v>
      </c>
      <c r="F1191" s="1">
        <v>43417</v>
      </c>
      <c r="G1191" s="1">
        <v>43417</v>
      </c>
      <c r="H1191" t="s">
        <v>9</v>
      </c>
      <c r="I1191" t="s">
        <v>10</v>
      </c>
    </row>
    <row r="1192" spans="1:9" x14ac:dyDescent="0.25">
      <c r="A1192" t="s">
        <v>3294</v>
      </c>
      <c r="B1192" s="26" t="str">
        <f>MID(tbl_forecast[[#This Row],[PACE Job Number]],3,3)</f>
        <v>STX</v>
      </c>
      <c r="C1192" t="s">
        <v>14</v>
      </c>
      <c r="D1192" s="1">
        <v>43416</v>
      </c>
      <c r="E1192" s="1">
        <v>43453</v>
      </c>
      <c r="F1192" s="1">
        <v>43451</v>
      </c>
      <c r="G1192" s="1"/>
      <c r="H1192" t="s">
        <v>4664</v>
      </c>
      <c r="I1192" t="s">
        <v>5645</v>
      </c>
    </row>
    <row r="1193" spans="1:9" x14ac:dyDescent="0.25">
      <c r="A1193" t="s">
        <v>2726</v>
      </c>
      <c r="B1193" s="26" t="str">
        <f>MID(tbl_forecast[[#This Row],[PACE Job Number]],3,3)</f>
        <v>STX</v>
      </c>
      <c r="C1193" t="s">
        <v>14</v>
      </c>
      <c r="D1193" s="1">
        <v>43419</v>
      </c>
      <c r="E1193" s="1">
        <v>43419</v>
      </c>
      <c r="F1193" s="1">
        <v>43409</v>
      </c>
      <c r="G1193" s="1">
        <v>43409</v>
      </c>
      <c r="H1193" t="s">
        <v>9</v>
      </c>
      <c r="I1193" t="s">
        <v>10</v>
      </c>
    </row>
    <row r="1194" spans="1:9" x14ac:dyDescent="0.25">
      <c r="A1194" t="s">
        <v>2731</v>
      </c>
      <c r="B1194" s="26" t="str">
        <f>MID(tbl_forecast[[#This Row],[PACE Job Number]],3,3)</f>
        <v>STX</v>
      </c>
      <c r="C1194" t="s">
        <v>14</v>
      </c>
      <c r="D1194" s="1">
        <v>43419</v>
      </c>
      <c r="E1194" s="1">
        <v>43419</v>
      </c>
      <c r="F1194" s="1">
        <v>43409</v>
      </c>
      <c r="G1194" s="1">
        <v>43409</v>
      </c>
      <c r="H1194" t="s">
        <v>9</v>
      </c>
      <c r="I1194" t="s">
        <v>10</v>
      </c>
    </row>
    <row r="1195" spans="1:9" x14ac:dyDescent="0.25">
      <c r="A1195" t="s">
        <v>2729</v>
      </c>
      <c r="B1195" s="26" t="str">
        <f>MID(tbl_forecast[[#This Row],[PACE Job Number]],3,3)</f>
        <v>STX</v>
      </c>
      <c r="C1195" t="s">
        <v>14</v>
      </c>
      <c r="D1195" s="1">
        <v>43419</v>
      </c>
      <c r="E1195" s="1">
        <v>43419</v>
      </c>
      <c r="F1195" s="1">
        <v>43409</v>
      </c>
      <c r="G1195" s="1">
        <v>43409</v>
      </c>
      <c r="H1195" t="s">
        <v>9</v>
      </c>
      <c r="I1195" t="s">
        <v>10</v>
      </c>
    </row>
    <row r="1196" spans="1:9" x14ac:dyDescent="0.25">
      <c r="A1196" t="s">
        <v>3128</v>
      </c>
      <c r="B1196" s="26" t="str">
        <f>MID(tbl_forecast[[#This Row],[PACE Job Number]],3,3)</f>
        <v>STX</v>
      </c>
      <c r="C1196" t="s">
        <v>14</v>
      </c>
      <c r="D1196" s="1">
        <v>43419</v>
      </c>
      <c r="E1196" s="1">
        <v>43453</v>
      </c>
      <c r="F1196" s="1">
        <v>43451</v>
      </c>
      <c r="G1196" s="1"/>
      <c r="H1196" t="s">
        <v>4664</v>
      </c>
      <c r="I1196" t="s">
        <v>5645</v>
      </c>
    </row>
    <row r="1197" spans="1:9" x14ac:dyDescent="0.25">
      <c r="A1197" t="s">
        <v>4278</v>
      </c>
      <c r="B1197" s="26" t="str">
        <f>MID(tbl_forecast[[#This Row],[PACE Job Number]],3,3)</f>
        <v>STX</v>
      </c>
      <c r="C1197" t="s">
        <v>14</v>
      </c>
      <c r="D1197" s="1">
        <v>43412</v>
      </c>
      <c r="E1197" s="1">
        <v>43296</v>
      </c>
      <c r="F1197" s="1">
        <v>43435</v>
      </c>
      <c r="G1197" s="1"/>
      <c r="H1197" t="s">
        <v>4664</v>
      </c>
      <c r="I1197" t="s">
        <v>4666</v>
      </c>
    </row>
    <row r="1198" spans="1:9" x14ac:dyDescent="0.25">
      <c r="A1198" t="s">
        <v>5405</v>
      </c>
      <c r="B1198" s="26" t="str">
        <f>MID(tbl_forecast[[#This Row],[PACE Job Number]],3,3)</f>
        <v>STX</v>
      </c>
      <c r="C1198" t="s">
        <v>14</v>
      </c>
      <c r="D1198" s="1">
        <v>43416</v>
      </c>
      <c r="E1198" s="1">
        <v>43453</v>
      </c>
      <c r="F1198" s="1">
        <v>43451</v>
      </c>
      <c r="G1198" s="1"/>
      <c r="H1198" t="s">
        <v>4664</v>
      </c>
      <c r="I1198" t="s">
        <v>5645</v>
      </c>
    </row>
    <row r="1199" spans="1:9" x14ac:dyDescent="0.25">
      <c r="A1199" t="s">
        <v>4279</v>
      </c>
      <c r="B1199" s="26" t="str">
        <f>MID(tbl_forecast[[#This Row],[PACE Job Number]],3,3)</f>
        <v>STX</v>
      </c>
      <c r="C1199" t="s">
        <v>14</v>
      </c>
      <c r="D1199" s="1">
        <v>43420</v>
      </c>
      <c r="E1199" s="1">
        <v>43420</v>
      </c>
      <c r="F1199" s="1">
        <v>43414</v>
      </c>
      <c r="G1199" s="1">
        <v>43414</v>
      </c>
      <c r="H1199" t="s">
        <v>9</v>
      </c>
      <c r="I1199" t="s">
        <v>10</v>
      </c>
    </row>
    <row r="1200" spans="1:9" x14ac:dyDescent="0.25">
      <c r="A1200" t="s">
        <v>1270</v>
      </c>
      <c r="B1200" s="26" t="str">
        <f>MID(tbl_forecast[[#This Row],[PACE Job Number]],3,3)</f>
        <v>STX</v>
      </c>
      <c r="C1200" t="s">
        <v>14</v>
      </c>
      <c r="D1200" s="1">
        <v>43419</v>
      </c>
      <c r="E1200" s="1">
        <v>43446</v>
      </c>
      <c r="F1200" s="1">
        <v>43444</v>
      </c>
      <c r="G1200" s="1"/>
      <c r="H1200" t="s">
        <v>4664</v>
      </c>
      <c r="I1200" t="s">
        <v>5645</v>
      </c>
    </row>
    <row r="1201" spans="1:9" x14ac:dyDescent="0.25">
      <c r="A1201" t="s">
        <v>4406</v>
      </c>
      <c r="B1201" s="26" t="str">
        <f>MID(tbl_forecast[[#This Row],[PACE Job Number]],3,3)</f>
        <v>STX</v>
      </c>
      <c r="C1201" t="s">
        <v>14</v>
      </c>
      <c r="D1201" s="1">
        <v>43406</v>
      </c>
      <c r="E1201" s="1">
        <v>43406</v>
      </c>
      <c r="F1201" s="1">
        <v>43406</v>
      </c>
      <c r="G1201" s="1">
        <v>43406</v>
      </c>
      <c r="H1201" t="s">
        <v>9</v>
      </c>
      <c r="I1201" t="s">
        <v>10</v>
      </c>
    </row>
    <row r="1202" spans="1:9" x14ac:dyDescent="0.25">
      <c r="A1202" t="s">
        <v>4407</v>
      </c>
      <c r="B1202" s="26" t="str">
        <f>MID(tbl_forecast[[#This Row],[PACE Job Number]],3,3)</f>
        <v>STX</v>
      </c>
      <c r="C1202" t="s">
        <v>14</v>
      </c>
      <c r="D1202" s="1">
        <v>43406</v>
      </c>
      <c r="E1202" s="1">
        <v>43406</v>
      </c>
      <c r="F1202" s="1">
        <v>43406</v>
      </c>
      <c r="G1202" s="1">
        <v>43406</v>
      </c>
      <c r="H1202" t="s">
        <v>9</v>
      </c>
      <c r="I1202" t="s">
        <v>10</v>
      </c>
    </row>
    <row r="1203" spans="1:9" x14ac:dyDescent="0.25">
      <c r="A1203" t="s">
        <v>4408</v>
      </c>
      <c r="B1203" s="26" t="str">
        <f>MID(tbl_forecast[[#This Row],[PACE Job Number]],3,3)</f>
        <v>STX</v>
      </c>
      <c r="C1203" t="s">
        <v>14</v>
      </c>
      <c r="D1203" s="1">
        <v>43406</v>
      </c>
      <c r="E1203" s="1">
        <v>43406</v>
      </c>
      <c r="F1203" s="1">
        <v>43406</v>
      </c>
      <c r="G1203" s="1">
        <v>43406</v>
      </c>
      <c r="H1203" t="s">
        <v>9</v>
      </c>
      <c r="I1203" t="s">
        <v>10</v>
      </c>
    </row>
    <row r="1204" spans="1:9" x14ac:dyDescent="0.25">
      <c r="A1204" t="s">
        <v>677</v>
      </c>
      <c r="B1204" s="26" t="str">
        <f>MID(tbl_forecast[[#This Row],[PACE Job Number]],3,3)</f>
        <v>STX</v>
      </c>
      <c r="C1204" t="s">
        <v>14</v>
      </c>
      <c r="D1204" s="1">
        <v>43419</v>
      </c>
      <c r="E1204" s="1">
        <v>43453</v>
      </c>
      <c r="F1204" s="1">
        <v>43451</v>
      </c>
      <c r="G1204" s="1"/>
      <c r="H1204" t="s">
        <v>4664</v>
      </c>
      <c r="I1204" t="s">
        <v>5645</v>
      </c>
    </row>
    <row r="1205" spans="1:9" x14ac:dyDescent="0.25">
      <c r="A1205" t="s">
        <v>3472</v>
      </c>
      <c r="B1205" s="26" t="str">
        <f>MID(tbl_forecast[[#This Row],[PACE Job Number]],3,3)</f>
        <v>STX</v>
      </c>
      <c r="C1205" t="s">
        <v>14</v>
      </c>
      <c r="D1205" s="1">
        <v>43409</v>
      </c>
      <c r="E1205" s="1">
        <v>43409</v>
      </c>
      <c r="F1205" s="1">
        <v>43410</v>
      </c>
      <c r="G1205" s="1">
        <v>43410</v>
      </c>
      <c r="H1205" t="s">
        <v>9</v>
      </c>
      <c r="I1205" t="s">
        <v>10</v>
      </c>
    </row>
    <row r="1206" spans="1:9" x14ac:dyDescent="0.25">
      <c r="A1206" t="s">
        <v>261</v>
      </c>
      <c r="B1206" s="26" t="str">
        <f>MID(tbl_forecast[[#This Row],[PACE Job Number]],3,3)</f>
        <v>STX</v>
      </c>
      <c r="C1206" t="s">
        <v>14</v>
      </c>
      <c r="D1206" s="1">
        <v>43416</v>
      </c>
      <c r="E1206" s="1">
        <v>43416</v>
      </c>
      <c r="F1206" s="1">
        <v>43417</v>
      </c>
      <c r="G1206" s="1">
        <v>43417</v>
      </c>
      <c r="H1206" t="s">
        <v>9</v>
      </c>
      <c r="I1206" t="s">
        <v>10</v>
      </c>
    </row>
    <row r="1207" spans="1:9" x14ac:dyDescent="0.25">
      <c r="A1207" t="s">
        <v>5406</v>
      </c>
      <c r="B1207" s="26" t="str">
        <f>MID(tbl_forecast[[#This Row],[PACE Job Number]],3,3)</f>
        <v>STX</v>
      </c>
      <c r="C1207" t="s">
        <v>14</v>
      </c>
      <c r="D1207" s="1">
        <v>43405</v>
      </c>
      <c r="E1207" s="1">
        <v>43439</v>
      </c>
      <c r="F1207" s="1">
        <v>43415</v>
      </c>
      <c r="G1207" s="1">
        <v>43415</v>
      </c>
      <c r="H1207" t="s">
        <v>9</v>
      </c>
      <c r="I1207" t="s">
        <v>10</v>
      </c>
    </row>
    <row r="1208" spans="1:9" x14ac:dyDescent="0.25">
      <c r="A1208" t="s">
        <v>53</v>
      </c>
      <c r="B1208" s="26" t="str">
        <f>MID(tbl_forecast[[#This Row],[PACE Job Number]],3,3)</f>
        <v>STX</v>
      </c>
      <c r="C1208" t="s">
        <v>14</v>
      </c>
      <c r="D1208" s="1">
        <v>43416</v>
      </c>
      <c r="E1208" s="1">
        <v>43453</v>
      </c>
      <c r="F1208" s="1">
        <v>43451</v>
      </c>
      <c r="G1208" s="1"/>
      <c r="H1208" t="s">
        <v>4664</v>
      </c>
      <c r="I1208" t="s">
        <v>5645</v>
      </c>
    </row>
    <row r="1209" spans="1:9" x14ac:dyDescent="0.25">
      <c r="A1209" t="s">
        <v>5407</v>
      </c>
      <c r="B1209" s="26" t="str">
        <f>MID(tbl_forecast[[#This Row],[PACE Job Number]],3,3)</f>
        <v>STX</v>
      </c>
      <c r="C1209" t="s">
        <v>14</v>
      </c>
      <c r="D1209" s="1">
        <v>43416</v>
      </c>
      <c r="E1209" s="1">
        <v>43416</v>
      </c>
      <c r="F1209" s="1">
        <v>43413</v>
      </c>
      <c r="G1209" s="1">
        <v>43413</v>
      </c>
      <c r="H1209" t="s">
        <v>9</v>
      </c>
      <c r="I1209" t="s">
        <v>10</v>
      </c>
    </row>
    <row r="1210" spans="1:9" x14ac:dyDescent="0.25">
      <c r="A1210" t="s">
        <v>3958</v>
      </c>
      <c r="B1210" s="26" t="str">
        <f>MID(tbl_forecast[[#This Row],[PACE Job Number]],3,3)</f>
        <v>NTX</v>
      </c>
      <c r="C1210" t="s">
        <v>14</v>
      </c>
      <c r="D1210" s="1">
        <v>43413</v>
      </c>
      <c r="E1210" s="1">
        <v>43430</v>
      </c>
      <c r="F1210" s="1">
        <v>43432</v>
      </c>
      <c r="G1210" s="1">
        <v>43432</v>
      </c>
      <c r="H1210" t="s">
        <v>4664</v>
      </c>
      <c r="I1210" t="s">
        <v>10</v>
      </c>
    </row>
    <row r="1211" spans="1:9" x14ac:dyDescent="0.25">
      <c r="A1211" t="s">
        <v>4382</v>
      </c>
      <c r="B1211" s="26" t="str">
        <f>MID(tbl_forecast[[#This Row],[PACE Job Number]],3,3)</f>
        <v>NTX</v>
      </c>
      <c r="C1211" t="s">
        <v>14</v>
      </c>
      <c r="D1211" s="1">
        <v>43432</v>
      </c>
      <c r="E1211" s="1">
        <v>43434</v>
      </c>
      <c r="F1211" s="1">
        <v>43434</v>
      </c>
      <c r="G1211" s="1"/>
      <c r="H1211" t="s">
        <v>9</v>
      </c>
      <c r="I1211" t="s">
        <v>27</v>
      </c>
    </row>
    <row r="1212" spans="1:9" x14ac:dyDescent="0.25">
      <c r="A1212" t="s">
        <v>318</v>
      </c>
      <c r="B1212" s="26" t="str">
        <f>MID(tbl_forecast[[#This Row],[PACE Job Number]],3,3)</f>
        <v>NTX</v>
      </c>
      <c r="C1212" t="s">
        <v>14</v>
      </c>
      <c r="D1212" s="1">
        <v>43416</v>
      </c>
      <c r="E1212" s="1">
        <v>43434</v>
      </c>
      <c r="F1212" s="1">
        <v>43434</v>
      </c>
      <c r="G1212" s="1"/>
      <c r="H1212" t="s">
        <v>4664</v>
      </c>
      <c r="I1212" t="s">
        <v>5645</v>
      </c>
    </row>
    <row r="1213" spans="1:9" x14ac:dyDescent="0.25">
      <c r="A1213" t="s">
        <v>1820</v>
      </c>
      <c r="B1213" s="26" t="str">
        <f>MID(tbl_forecast[[#This Row],[PACE Job Number]],3,3)</f>
        <v>NTX</v>
      </c>
      <c r="C1213" t="s">
        <v>14</v>
      </c>
      <c r="D1213" s="1">
        <v>43434</v>
      </c>
      <c r="E1213" s="1">
        <v>43437</v>
      </c>
      <c r="F1213" s="1">
        <v>43430</v>
      </c>
      <c r="G1213" s="1">
        <v>43430</v>
      </c>
      <c r="H1213" t="s">
        <v>9</v>
      </c>
      <c r="I1213" t="s">
        <v>10</v>
      </c>
    </row>
    <row r="1214" spans="1:9" x14ac:dyDescent="0.25">
      <c r="A1214" t="s">
        <v>1825</v>
      </c>
      <c r="B1214" s="26" t="str">
        <f>MID(tbl_forecast[[#This Row],[PACE Job Number]],3,3)</f>
        <v>NTX</v>
      </c>
      <c r="C1214" t="s">
        <v>14</v>
      </c>
      <c r="D1214" s="1">
        <v>43416</v>
      </c>
      <c r="E1214" s="1">
        <v>43493</v>
      </c>
      <c r="F1214" s="1">
        <v>43493</v>
      </c>
      <c r="G1214" s="1"/>
      <c r="H1214" t="s">
        <v>4664</v>
      </c>
      <c r="I1214" t="s">
        <v>5645</v>
      </c>
    </row>
    <row r="1215" spans="1:9" x14ac:dyDescent="0.25">
      <c r="A1215" t="s">
        <v>1013</v>
      </c>
      <c r="B1215" s="26" t="str">
        <f>MID(tbl_forecast[[#This Row],[PACE Job Number]],3,3)</f>
        <v>NTX</v>
      </c>
      <c r="C1215" t="s">
        <v>14</v>
      </c>
      <c r="D1215" s="1">
        <v>43434</v>
      </c>
      <c r="E1215" s="1">
        <v>43434</v>
      </c>
      <c r="F1215" s="1">
        <v>43406</v>
      </c>
      <c r="G1215" s="1">
        <v>43406</v>
      </c>
      <c r="H1215" t="s">
        <v>9</v>
      </c>
      <c r="I1215" t="s">
        <v>10</v>
      </c>
    </row>
    <row r="1216" spans="1:9" x14ac:dyDescent="0.25">
      <c r="A1216" t="s">
        <v>521</v>
      </c>
      <c r="B1216" s="26" t="str">
        <f>MID(tbl_forecast[[#This Row],[PACE Job Number]],3,3)</f>
        <v>NTX</v>
      </c>
      <c r="C1216" t="s">
        <v>14</v>
      </c>
      <c r="D1216" s="1">
        <v>43434</v>
      </c>
      <c r="E1216" s="1">
        <v>43434</v>
      </c>
      <c r="F1216" s="1">
        <v>43417</v>
      </c>
      <c r="G1216" s="1">
        <v>43417</v>
      </c>
      <c r="H1216" t="s">
        <v>9</v>
      </c>
      <c r="I1216" t="s">
        <v>10</v>
      </c>
    </row>
    <row r="1217" spans="1:9" x14ac:dyDescent="0.25">
      <c r="A1217" t="s">
        <v>5408</v>
      </c>
      <c r="B1217" s="26" t="str">
        <f>MID(tbl_forecast[[#This Row],[PACE Job Number]],3,3)</f>
        <v>NTX</v>
      </c>
      <c r="C1217" t="s">
        <v>14</v>
      </c>
      <c r="D1217" s="1">
        <v>43405</v>
      </c>
      <c r="E1217" s="1">
        <v>43409</v>
      </c>
      <c r="F1217" s="1">
        <v>43405</v>
      </c>
      <c r="G1217" s="1">
        <v>43405</v>
      </c>
      <c r="H1217" t="s">
        <v>9</v>
      </c>
      <c r="I1217" t="s">
        <v>10</v>
      </c>
    </row>
    <row r="1218" spans="1:9" x14ac:dyDescent="0.25">
      <c r="A1218" t="s">
        <v>645</v>
      </c>
      <c r="B1218" s="26" t="str">
        <f>MID(tbl_forecast[[#This Row],[PACE Job Number]],3,3)</f>
        <v>NTX</v>
      </c>
      <c r="C1218" t="s">
        <v>14</v>
      </c>
      <c r="D1218" s="1">
        <v>43413</v>
      </c>
      <c r="E1218" s="1">
        <v>43434</v>
      </c>
      <c r="F1218" s="1">
        <v>43434</v>
      </c>
      <c r="G1218" s="1"/>
      <c r="H1218" t="s">
        <v>4664</v>
      </c>
      <c r="I1218" t="s">
        <v>5645</v>
      </c>
    </row>
    <row r="1219" spans="1:9" x14ac:dyDescent="0.25">
      <c r="A1219" t="s">
        <v>5409</v>
      </c>
      <c r="B1219" s="26" t="str">
        <f>MID(tbl_forecast[[#This Row],[PACE Job Number]],3,3)</f>
        <v>NTX</v>
      </c>
      <c r="C1219" t="s">
        <v>14</v>
      </c>
      <c r="D1219" s="1">
        <v>43409</v>
      </c>
      <c r="E1219" s="1">
        <v>43413</v>
      </c>
      <c r="F1219" s="1">
        <v>43426</v>
      </c>
      <c r="G1219" s="1">
        <v>43426</v>
      </c>
      <c r="H1219" t="s">
        <v>4664</v>
      </c>
      <c r="I1219" t="s">
        <v>10</v>
      </c>
    </row>
    <row r="1220" spans="1:9" x14ac:dyDescent="0.25">
      <c r="A1220" t="s">
        <v>5258</v>
      </c>
      <c r="B1220" s="26" t="str">
        <f>MID(tbl_forecast[[#This Row],[PACE Job Number]],3,3)</f>
        <v>WSH</v>
      </c>
      <c r="C1220" t="s">
        <v>14</v>
      </c>
      <c r="D1220" s="1">
        <v>43413</v>
      </c>
      <c r="E1220" s="1">
        <v>43486</v>
      </c>
      <c r="F1220" s="1">
        <v>43486</v>
      </c>
      <c r="G1220" s="1"/>
      <c r="H1220" t="s">
        <v>4664</v>
      </c>
      <c r="I1220" t="s">
        <v>5645</v>
      </c>
    </row>
    <row r="1221" spans="1:9" x14ac:dyDescent="0.25">
      <c r="A1221" t="s">
        <v>242</v>
      </c>
      <c r="B1221" s="26" t="str">
        <f>MID(tbl_forecast[[#This Row],[PACE Job Number]],3,3)</f>
        <v>WSH</v>
      </c>
      <c r="C1221" t="s">
        <v>14</v>
      </c>
      <c r="D1221" s="1">
        <v>43411</v>
      </c>
      <c r="E1221" s="1">
        <v>43409</v>
      </c>
      <c r="F1221" s="1">
        <v>43409</v>
      </c>
      <c r="G1221" s="1">
        <v>43409</v>
      </c>
      <c r="H1221" t="s">
        <v>9</v>
      </c>
      <c r="I1221" t="s">
        <v>10</v>
      </c>
    </row>
    <row r="1222" spans="1:9" x14ac:dyDescent="0.25">
      <c r="A1222" t="s">
        <v>5259</v>
      </c>
      <c r="B1222" s="26" t="str">
        <f>MID(tbl_forecast[[#This Row],[PACE Job Number]],3,3)</f>
        <v>WSH</v>
      </c>
      <c r="C1222" t="s">
        <v>14</v>
      </c>
      <c r="D1222" s="1">
        <v>43410</v>
      </c>
      <c r="E1222" s="1">
        <v>43416</v>
      </c>
      <c r="F1222" s="1">
        <v>43416</v>
      </c>
      <c r="G1222" s="1">
        <v>43416</v>
      </c>
      <c r="H1222" t="s">
        <v>9</v>
      </c>
      <c r="I1222" t="s">
        <v>10</v>
      </c>
    </row>
    <row r="1223" spans="1:9" x14ac:dyDescent="0.25">
      <c r="A1223" t="s">
        <v>121</v>
      </c>
      <c r="B1223" s="26" t="str">
        <f>MID(tbl_forecast[[#This Row],[PACE Job Number]],3,3)</f>
        <v>WSH</v>
      </c>
      <c r="C1223" t="s">
        <v>14</v>
      </c>
      <c r="D1223" s="1">
        <v>43409</v>
      </c>
      <c r="E1223" s="1">
        <v>43479</v>
      </c>
      <c r="F1223" s="1">
        <v>43479</v>
      </c>
      <c r="G1223" s="1"/>
      <c r="H1223" t="s">
        <v>4664</v>
      </c>
      <c r="I1223" t="s">
        <v>5645</v>
      </c>
    </row>
    <row r="1224" spans="1:9" x14ac:dyDescent="0.25">
      <c r="A1224" t="s">
        <v>5260</v>
      </c>
      <c r="B1224" s="26" t="str">
        <f>MID(tbl_forecast[[#This Row],[PACE Job Number]],3,3)</f>
        <v>WSH</v>
      </c>
      <c r="C1224" t="s">
        <v>14</v>
      </c>
      <c r="D1224" s="1">
        <v>43430</v>
      </c>
      <c r="E1224" s="1">
        <v>43423</v>
      </c>
      <c r="F1224" s="1">
        <v>43423</v>
      </c>
      <c r="G1224" s="1">
        <v>43423</v>
      </c>
      <c r="H1224" t="s">
        <v>9</v>
      </c>
      <c r="I1224" t="s">
        <v>10</v>
      </c>
    </row>
    <row r="1225" spans="1:9" x14ac:dyDescent="0.25">
      <c r="A1225" t="s">
        <v>5262</v>
      </c>
      <c r="B1225" s="26" t="str">
        <f>MID(tbl_forecast[[#This Row],[PACE Job Number]],3,3)</f>
        <v>WSH</v>
      </c>
      <c r="C1225" t="s">
        <v>14</v>
      </c>
      <c r="D1225" s="1">
        <v>43413</v>
      </c>
      <c r="E1225" s="1">
        <v>43486</v>
      </c>
      <c r="F1225" s="1">
        <v>43486</v>
      </c>
      <c r="G1225" s="1"/>
      <c r="H1225" t="s">
        <v>4664</v>
      </c>
      <c r="I1225" t="s">
        <v>5645</v>
      </c>
    </row>
    <row r="1226" spans="1:9" x14ac:dyDescent="0.25">
      <c r="A1226" t="s">
        <v>153</v>
      </c>
      <c r="B1226" s="26" t="str">
        <f>MID(tbl_forecast[[#This Row],[PACE Job Number]],3,3)</f>
        <v>WSH</v>
      </c>
      <c r="C1226" t="s">
        <v>14</v>
      </c>
      <c r="D1226" s="1">
        <v>43409</v>
      </c>
      <c r="E1226" s="1">
        <v>43479</v>
      </c>
      <c r="F1226" s="1">
        <v>43479</v>
      </c>
      <c r="G1226" s="1"/>
      <c r="H1226" t="s">
        <v>4664</v>
      </c>
      <c r="I1226" t="s">
        <v>5645</v>
      </c>
    </row>
    <row r="1227" spans="1:9" x14ac:dyDescent="0.25">
      <c r="A1227" t="s">
        <v>5263</v>
      </c>
      <c r="B1227" s="26" t="str">
        <f>MID(tbl_forecast[[#This Row],[PACE Job Number]],3,3)</f>
        <v>WSH</v>
      </c>
      <c r="C1227" t="s">
        <v>14</v>
      </c>
      <c r="D1227" s="1">
        <v>43413</v>
      </c>
      <c r="E1227" s="1">
        <v>43486</v>
      </c>
      <c r="F1227" s="1">
        <v>43486</v>
      </c>
      <c r="G1227" s="1"/>
      <c r="H1227" t="s">
        <v>4664</v>
      </c>
      <c r="I1227" t="s">
        <v>5645</v>
      </c>
    </row>
    <row r="1228" spans="1:9" x14ac:dyDescent="0.25">
      <c r="A1228" t="s">
        <v>5264</v>
      </c>
      <c r="B1228" s="26" t="str">
        <f>MID(tbl_forecast[[#This Row],[PACE Job Number]],3,3)</f>
        <v>WSH</v>
      </c>
      <c r="C1228" t="s">
        <v>14</v>
      </c>
      <c r="D1228" s="1">
        <v>43409</v>
      </c>
      <c r="E1228" s="1">
        <v>43412</v>
      </c>
      <c r="F1228" s="1">
        <v>43412</v>
      </c>
      <c r="G1228" s="1">
        <v>43412</v>
      </c>
      <c r="H1228" t="s">
        <v>9</v>
      </c>
      <c r="I1228" t="s">
        <v>10</v>
      </c>
    </row>
    <row r="1229" spans="1:9" x14ac:dyDescent="0.25">
      <c r="A1229" t="s">
        <v>5265</v>
      </c>
      <c r="B1229" s="26" t="str">
        <f>MID(tbl_forecast[[#This Row],[PACE Job Number]],3,3)</f>
        <v>WSH</v>
      </c>
      <c r="C1229" t="s">
        <v>14</v>
      </c>
      <c r="D1229" s="1">
        <v>43409</v>
      </c>
      <c r="E1229" s="1">
        <v>43412</v>
      </c>
      <c r="F1229" s="1">
        <v>43412</v>
      </c>
      <c r="G1229" s="1">
        <v>43412</v>
      </c>
      <c r="H1229" t="s">
        <v>9</v>
      </c>
      <c r="I1229" t="s">
        <v>10</v>
      </c>
    </row>
    <row r="1230" spans="1:9" x14ac:dyDescent="0.25">
      <c r="A1230" t="s">
        <v>5266</v>
      </c>
      <c r="B1230" s="26" t="str">
        <f>MID(tbl_forecast[[#This Row],[PACE Job Number]],3,3)</f>
        <v>WSH</v>
      </c>
      <c r="C1230" t="s">
        <v>14</v>
      </c>
      <c r="D1230" s="1">
        <v>43430</v>
      </c>
      <c r="E1230" s="1">
        <v>43427</v>
      </c>
      <c r="F1230" s="1">
        <v>43427</v>
      </c>
      <c r="G1230" s="1">
        <v>43427</v>
      </c>
      <c r="H1230" t="s">
        <v>9</v>
      </c>
      <c r="I1230" t="s">
        <v>10</v>
      </c>
    </row>
    <row r="1231" spans="1:9" x14ac:dyDescent="0.25">
      <c r="A1231" t="s">
        <v>5267</v>
      </c>
      <c r="B1231" s="26" t="str">
        <f>MID(tbl_forecast[[#This Row],[PACE Job Number]],3,3)</f>
        <v>WSH</v>
      </c>
      <c r="C1231" t="s">
        <v>14</v>
      </c>
      <c r="D1231" s="1">
        <v>43430</v>
      </c>
      <c r="E1231" s="1">
        <v>43439</v>
      </c>
      <c r="F1231" s="1">
        <v>43439</v>
      </c>
      <c r="G1231" s="1"/>
      <c r="H1231" t="s">
        <v>9</v>
      </c>
      <c r="I1231" t="s">
        <v>27</v>
      </c>
    </row>
    <row r="1232" spans="1:9" x14ac:dyDescent="0.25">
      <c r="A1232" t="s">
        <v>5268</v>
      </c>
      <c r="B1232" s="26" t="str">
        <f>MID(tbl_forecast[[#This Row],[PACE Job Number]],3,3)</f>
        <v>WSH</v>
      </c>
      <c r="C1232" t="s">
        <v>14</v>
      </c>
      <c r="D1232" s="1">
        <v>43413</v>
      </c>
      <c r="E1232" s="1">
        <v>43486</v>
      </c>
      <c r="F1232" s="1">
        <v>43486</v>
      </c>
      <c r="G1232" s="1"/>
      <c r="H1232" t="s">
        <v>4664</v>
      </c>
      <c r="I1232" t="s">
        <v>5645</v>
      </c>
    </row>
    <row r="1233" spans="1:9" x14ac:dyDescent="0.25">
      <c r="A1233" t="s">
        <v>5269</v>
      </c>
      <c r="B1233" s="26" t="str">
        <f>MID(tbl_forecast[[#This Row],[PACE Job Number]],3,3)</f>
        <v>WSH</v>
      </c>
      <c r="C1233" t="s">
        <v>14</v>
      </c>
      <c r="D1233" s="1">
        <v>43410</v>
      </c>
      <c r="E1233" s="1">
        <v>43416</v>
      </c>
      <c r="F1233" s="1">
        <v>43416</v>
      </c>
      <c r="G1233" s="1">
        <v>43416</v>
      </c>
      <c r="H1233" t="s">
        <v>9</v>
      </c>
      <c r="I1233" t="s">
        <v>10</v>
      </c>
    </row>
    <row r="1234" spans="1:9" x14ac:dyDescent="0.25">
      <c r="A1234" t="s">
        <v>2694</v>
      </c>
      <c r="B1234" s="26" t="str">
        <f>MID(tbl_forecast[[#This Row],[PACE Job Number]],3,3)</f>
        <v>STX</v>
      </c>
      <c r="C1234" t="s">
        <v>14</v>
      </c>
      <c r="D1234" s="1">
        <v>43419</v>
      </c>
      <c r="E1234" s="1">
        <v>43453</v>
      </c>
      <c r="F1234" s="1">
        <v>43451</v>
      </c>
      <c r="G1234" s="1"/>
      <c r="H1234" t="s">
        <v>4664</v>
      </c>
      <c r="I1234" t="s">
        <v>5645</v>
      </c>
    </row>
    <row r="1235" spans="1:9" x14ac:dyDescent="0.25">
      <c r="A1235" t="s">
        <v>3510</v>
      </c>
      <c r="B1235" s="26" t="str">
        <f>MID(tbl_forecast[[#This Row],[PACE Job Number]],3,3)</f>
        <v>STX</v>
      </c>
      <c r="C1235" t="s">
        <v>14</v>
      </c>
      <c r="D1235" s="1">
        <v>43419</v>
      </c>
      <c r="E1235" s="1">
        <v>43447</v>
      </c>
      <c r="F1235" s="1">
        <v>43447</v>
      </c>
      <c r="G1235" s="1"/>
      <c r="H1235" t="s">
        <v>4664</v>
      </c>
      <c r="I1235" t="s">
        <v>5645</v>
      </c>
    </row>
    <row r="1236" spans="1:9" x14ac:dyDescent="0.25">
      <c r="A1236" t="s">
        <v>5410</v>
      </c>
      <c r="B1236" s="26" t="str">
        <f>MID(tbl_forecast[[#This Row],[PACE Job Number]],3,3)</f>
        <v>STX</v>
      </c>
      <c r="C1236" t="s">
        <v>14</v>
      </c>
      <c r="D1236" s="1">
        <v>43419</v>
      </c>
      <c r="E1236" s="1">
        <v>43419</v>
      </c>
      <c r="F1236" s="1">
        <v>43417</v>
      </c>
      <c r="G1236" s="1">
        <v>43417</v>
      </c>
      <c r="H1236" t="s">
        <v>9</v>
      </c>
      <c r="I1236" t="s">
        <v>10</v>
      </c>
    </row>
    <row r="1237" spans="1:9" x14ac:dyDescent="0.25">
      <c r="A1237" t="s">
        <v>3831</v>
      </c>
      <c r="B1237" s="26" t="str">
        <f>MID(tbl_forecast[[#This Row],[PACE Job Number]],3,3)</f>
        <v>WSH</v>
      </c>
      <c r="C1237" t="s">
        <v>14</v>
      </c>
      <c r="D1237" s="1">
        <v>43416</v>
      </c>
      <c r="E1237" s="1">
        <v>43437</v>
      </c>
      <c r="F1237" s="1">
        <v>43434</v>
      </c>
      <c r="G1237" s="1"/>
      <c r="H1237" t="s">
        <v>4664</v>
      </c>
      <c r="I1237" t="s">
        <v>5645</v>
      </c>
    </row>
    <row r="1238" spans="1:9" x14ac:dyDescent="0.25">
      <c r="A1238" t="s">
        <v>5411</v>
      </c>
      <c r="B1238" s="26" t="str">
        <f>MID(tbl_forecast[[#This Row],[PACE Job Number]],3,3)</f>
        <v>WSH</v>
      </c>
      <c r="C1238" t="s">
        <v>14</v>
      </c>
      <c r="D1238" s="1">
        <v>43430</v>
      </c>
      <c r="E1238" s="1">
        <v>43416</v>
      </c>
      <c r="F1238" s="1">
        <v>43416</v>
      </c>
      <c r="G1238" s="1">
        <v>43416</v>
      </c>
      <c r="H1238" t="s">
        <v>9</v>
      </c>
      <c r="I1238" t="s">
        <v>10</v>
      </c>
    </row>
    <row r="1239" spans="1:9" x14ac:dyDescent="0.25">
      <c r="A1239" t="s">
        <v>4249</v>
      </c>
      <c r="B1239" s="26" t="str">
        <f>MID(tbl_forecast[[#This Row],[PACE Job Number]],3,3)</f>
        <v>WSH</v>
      </c>
      <c r="C1239" t="s">
        <v>14</v>
      </c>
      <c r="D1239" s="1">
        <v>43411</v>
      </c>
      <c r="E1239" s="1">
        <v>43410</v>
      </c>
      <c r="F1239" s="1">
        <v>43410</v>
      </c>
      <c r="G1239" s="1">
        <v>43410</v>
      </c>
      <c r="H1239" t="s">
        <v>9</v>
      </c>
      <c r="I1239" t="s">
        <v>10</v>
      </c>
    </row>
    <row r="1240" spans="1:9" x14ac:dyDescent="0.25">
      <c r="A1240" t="s">
        <v>232</v>
      </c>
      <c r="B1240" s="26" t="str">
        <f>MID(tbl_forecast[[#This Row],[PACE Job Number]],3,3)</f>
        <v>WSH</v>
      </c>
      <c r="C1240" t="s">
        <v>14</v>
      </c>
      <c r="D1240" s="1">
        <v>43423</v>
      </c>
      <c r="E1240" s="1">
        <v>43414</v>
      </c>
      <c r="F1240" s="1">
        <v>43414</v>
      </c>
      <c r="G1240" s="1">
        <v>43414</v>
      </c>
      <c r="H1240" t="s">
        <v>9</v>
      </c>
      <c r="I1240" t="s">
        <v>10</v>
      </c>
    </row>
    <row r="1241" spans="1:9" x14ac:dyDescent="0.25">
      <c r="A1241" t="s">
        <v>177</v>
      </c>
      <c r="B1241" s="26" t="str">
        <f>MID(tbl_forecast[[#This Row],[PACE Job Number]],3,3)</f>
        <v>WSH</v>
      </c>
      <c r="C1241" t="s">
        <v>14</v>
      </c>
      <c r="D1241" s="1">
        <v>43416</v>
      </c>
      <c r="E1241" s="1">
        <v>43417</v>
      </c>
      <c r="F1241" s="1">
        <v>43417</v>
      </c>
      <c r="G1241" s="1">
        <v>43417</v>
      </c>
      <c r="H1241" t="s">
        <v>9</v>
      </c>
      <c r="I1241" t="s">
        <v>10</v>
      </c>
    </row>
    <row r="1242" spans="1:9" x14ac:dyDescent="0.25">
      <c r="A1242" t="s">
        <v>5271</v>
      </c>
      <c r="B1242" s="26" t="str">
        <f>MID(tbl_forecast[[#This Row],[PACE Job Number]],3,3)</f>
        <v>WSH</v>
      </c>
      <c r="C1242" t="s">
        <v>14</v>
      </c>
      <c r="D1242" s="1">
        <v>43423</v>
      </c>
      <c r="E1242" s="1">
        <v>43420</v>
      </c>
      <c r="F1242" s="1">
        <v>43420</v>
      </c>
      <c r="G1242" s="1">
        <v>43420</v>
      </c>
      <c r="H1242" t="s">
        <v>9</v>
      </c>
      <c r="I1242" t="s">
        <v>10</v>
      </c>
    </row>
    <row r="1243" spans="1:9" x14ac:dyDescent="0.25">
      <c r="A1243" t="s">
        <v>5412</v>
      </c>
      <c r="B1243" s="26" t="str">
        <f>MID(tbl_forecast[[#This Row],[PACE Job Number]],3,3)</f>
        <v>NTX</v>
      </c>
      <c r="C1243" t="s">
        <v>14</v>
      </c>
      <c r="D1243" s="1">
        <v>43432</v>
      </c>
      <c r="E1243" s="1">
        <v>43432</v>
      </c>
      <c r="F1243" s="1">
        <v>43417</v>
      </c>
      <c r="G1243" s="1">
        <v>43417</v>
      </c>
      <c r="H1243" t="s">
        <v>9</v>
      </c>
      <c r="I1243" t="s">
        <v>10</v>
      </c>
    </row>
    <row r="1244" spans="1:9" x14ac:dyDescent="0.25">
      <c r="A1244" t="s">
        <v>3787</v>
      </c>
      <c r="B1244" s="26" t="str">
        <f>MID(tbl_forecast[[#This Row],[PACE Job Number]],3,3)</f>
        <v>NTX</v>
      </c>
      <c r="C1244" t="s">
        <v>14</v>
      </c>
      <c r="D1244" s="1">
        <v>43423</v>
      </c>
      <c r="E1244" s="1">
        <v>43423</v>
      </c>
      <c r="F1244" s="1">
        <v>43416</v>
      </c>
      <c r="G1244" s="1">
        <v>43416</v>
      </c>
      <c r="H1244" t="s">
        <v>9</v>
      </c>
      <c r="I1244" t="s">
        <v>10</v>
      </c>
    </row>
    <row r="1245" spans="1:9" x14ac:dyDescent="0.25">
      <c r="A1245" t="s">
        <v>89</v>
      </c>
      <c r="B1245" s="26" t="str">
        <f>MID(tbl_forecast[[#This Row],[PACE Job Number]],3,3)</f>
        <v>NTX</v>
      </c>
      <c r="C1245" t="s">
        <v>14</v>
      </c>
      <c r="D1245" s="1">
        <v>43409</v>
      </c>
      <c r="E1245" s="1">
        <v>43409</v>
      </c>
      <c r="F1245" s="1">
        <v>43425</v>
      </c>
      <c r="G1245" s="1">
        <v>43425</v>
      </c>
      <c r="H1245" t="s">
        <v>4664</v>
      </c>
      <c r="I1245" t="s">
        <v>10</v>
      </c>
    </row>
    <row r="1246" spans="1:9" x14ac:dyDescent="0.25">
      <c r="A1246" t="s">
        <v>1096</v>
      </c>
      <c r="B1246" s="26" t="str">
        <f>MID(tbl_forecast[[#This Row],[PACE Job Number]],3,3)</f>
        <v>NTX</v>
      </c>
      <c r="C1246" t="s">
        <v>14</v>
      </c>
      <c r="D1246" s="1">
        <v>43434</v>
      </c>
      <c r="E1246" s="1">
        <v>43434</v>
      </c>
      <c r="F1246" s="1">
        <v>43434</v>
      </c>
      <c r="G1246" s="1"/>
      <c r="H1246" t="s">
        <v>9</v>
      </c>
      <c r="I1246" t="s">
        <v>27</v>
      </c>
    </row>
    <row r="1247" spans="1:9" x14ac:dyDescent="0.25">
      <c r="A1247" t="s">
        <v>5413</v>
      </c>
      <c r="B1247" s="26" t="str">
        <f>MID(tbl_forecast[[#This Row],[PACE Job Number]],3,3)</f>
        <v>NTX</v>
      </c>
      <c r="C1247" t="s">
        <v>14</v>
      </c>
      <c r="D1247" s="1">
        <v>43414</v>
      </c>
      <c r="E1247" s="1">
        <v>43423</v>
      </c>
      <c r="F1247" s="1">
        <v>43417</v>
      </c>
      <c r="G1247" s="1">
        <v>43417</v>
      </c>
      <c r="H1247" t="s">
        <v>9</v>
      </c>
      <c r="I1247" t="s">
        <v>10</v>
      </c>
    </row>
    <row r="1248" spans="1:9" x14ac:dyDescent="0.25">
      <c r="A1248" t="s">
        <v>3304</v>
      </c>
      <c r="B1248" s="26" t="str">
        <f>MID(tbl_forecast[[#This Row],[PACE Job Number]],3,3)</f>
        <v>STX</v>
      </c>
      <c r="C1248" t="s">
        <v>14</v>
      </c>
      <c r="D1248" s="1">
        <v>43416</v>
      </c>
      <c r="E1248" s="1">
        <v>43416</v>
      </c>
      <c r="F1248" s="1">
        <v>43420</v>
      </c>
      <c r="G1248" s="1">
        <v>43420</v>
      </c>
      <c r="H1248" t="s">
        <v>9</v>
      </c>
      <c r="I1248" t="s">
        <v>10</v>
      </c>
    </row>
    <row r="1249" spans="1:9" x14ac:dyDescent="0.25">
      <c r="A1249" t="s">
        <v>5414</v>
      </c>
      <c r="B1249" s="26" t="str">
        <f>MID(tbl_forecast[[#This Row],[PACE Job Number]],3,3)</f>
        <v>STX</v>
      </c>
      <c r="C1249" t="s">
        <v>14</v>
      </c>
      <c r="D1249" s="1">
        <v>43419</v>
      </c>
      <c r="E1249" s="1">
        <v>43419</v>
      </c>
      <c r="F1249" s="1">
        <v>43423</v>
      </c>
      <c r="G1249" s="1">
        <v>43423</v>
      </c>
      <c r="H1249" t="s">
        <v>9</v>
      </c>
      <c r="I1249" t="s">
        <v>10</v>
      </c>
    </row>
    <row r="1250" spans="1:9" x14ac:dyDescent="0.25">
      <c r="A1250" t="s">
        <v>4364</v>
      </c>
      <c r="B1250" s="26" t="str">
        <f>MID(tbl_forecast[[#This Row],[PACE Job Number]],3,3)</f>
        <v>STX</v>
      </c>
      <c r="C1250" t="s">
        <v>14</v>
      </c>
      <c r="D1250" s="1">
        <v>43416</v>
      </c>
      <c r="E1250" s="1">
        <v>43416</v>
      </c>
      <c r="F1250" s="1">
        <v>43423</v>
      </c>
      <c r="G1250" s="1">
        <v>43423</v>
      </c>
      <c r="H1250" t="s">
        <v>9</v>
      </c>
      <c r="I1250" t="s">
        <v>10</v>
      </c>
    </row>
    <row r="1251" spans="1:9" x14ac:dyDescent="0.25">
      <c r="A1251" t="s">
        <v>4365</v>
      </c>
      <c r="B1251" s="26" t="str">
        <f>MID(tbl_forecast[[#This Row],[PACE Job Number]],3,3)</f>
        <v>STX</v>
      </c>
      <c r="C1251" t="s">
        <v>14</v>
      </c>
      <c r="D1251" s="1">
        <v>43416</v>
      </c>
      <c r="E1251" s="1">
        <v>43416</v>
      </c>
      <c r="F1251" s="1">
        <v>43419</v>
      </c>
      <c r="G1251" s="1">
        <v>43419</v>
      </c>
      <c r="H1251" t="s">
        <v>9</v>
      </c>
      <c r="I1251" t="s">
        <v>10</v>
      </c>
    </row>
    <row r="1252" spans="1:9" x14ac:dyDescent="0.25">
      <c r="A1252" t="s">
        <v>5272</v>
      </c>
      <c r="B1252" s="26" t="str">
        <f>MID(tbl_forecast[[#This Row],[PACE Job Number]],3,3)</f>
        <v>WSH</v>
      </c>
      <c r="C1252" t="s">
        <v>14</v>
      </c>
      <c r="D1252" s="1">
        <v>43423</v>
      </c>
      <c r="E1252" s="1">
        <v>43418</v>
      </c>
      <c r="F1252" s="1">
        <v>43418</v>
      </c>
      <c r="G1252" s="1">
        <v>43418</v>
      </c>
      <c r="H1252" t="s">
        <v>9</v>
      </c>
      <c r="I1252" t="s">
        <v>10</v>
      </c>
    </row>
    <row r="1253" spans="1:9" x14ac:dyDescent="0.25">
      <c r="A1253" t="s">
        <v>5273</v>
      </c>
      <c r="B1253" s="26" t="str">
        <f>MID(tbl_forecast[[#This Row],[PACE Job Number]],3,3)</f>
        <v>WSH</v>
      </c>
      <c r="C1253" t="s">
        <v>14</v>
      </c>
      <c r="D1253" s="1">
        <v>43423</v>
      </c>
      <c r="E1253" s="1">
        <v>43418</v>
      </c>
      <c r="F1253" s="1">
        <v>43418</v>
      </c>
      <c r="G1253" s="1">
        <v>43418</v>
      </c>
      <c r="H1253" t="s">
        <v>9</v>
      </c>
      <c r="I1253" t="s">
        <v>10</v>
      </c>
    </row>
    <row r="1254" spans="1:9" x14ac:dyDescent="0.25">
      <c r="A1254" t="s">
        <v>306</v>
      </c>
      <c r="B1254" s="26" t="str">
        <f>MID(tbl_forecast[[#This Row],[PACE Job Number]],3,3)</f>
        <v>WSH</v>
      </c>
      <c r="C1254" t="s">
        <v>14</v>
      </c>
      <c r="D1254" s="1">
        <v>43405</v>
      </c>
      <c r="E1254" s="1">
        <v>43405</v>
      </c>
      <c r="F1254" s="1">
        <v>43405</v>
      </c>
      <c r="G1254" s="1">
        <v>43405</v>
      </c>
      <c r="H1254" t="s">
        <v>9</v>
      </c>
      <c r="I1254" t="s">
        <v>10</v>
      </c>
    </row>
    <row r="1255" spans="1:9" x14ac:dyDescent="0.25">
      <c r="A1255" t="s">
        <v>5274</v>
      </c>
      <c r="B1255" s="26" t="str">
        <f>MID(tbl_forecast[[#This Row],[PACE Job Number]],3,3)</f>
        <v>WSH</v>
      </c>
      <c r="C1255" t="s">
        <v>14</v>
      </c>
      <c r="D1255" s="1">
        <v>43430</v>
      </c>
      <c r="E1255" s="1">
        <v>43427</v>
      </c>
      <c r="F1255" s="1">
        <v>43427</v>
      </c>
      <c r="G1255" s="1">
        <v>43427</v>
      </c>
      <c r="H1255" t="s">
        <v>9</v>
      </c>
      <c r="I1255" t="s">
        <v>10</v>
      </c>
    </row>
    <row r="1256" spans="1:9" x14ac:dyDescent="0.25">
      <c r="A1256" t="s">
        <v>123</v>
      </c>
      <c r="B1256" s="26" t="str">
        <f>MID(tbl_forecast[[#This Row],[PACE Job Number]],3,3)</f>
        <v>WSH</v>
      </c>
      <c r="C1256" t="s">
        <v>14</v>
      </c>
      <c r="D1256" s="1">
        <v>43405</v>
      </c>
      <c r="E1256" s="1">
        <v>43405</v>
      </c>
      <c r="F1256" s="1">
        <v>43405</v>
      </c>
      <c r="G1256" s="1">
        <v>43405</v>
      </c>
      <c r="H1256" t="s">
        <v>9</v>
      </c>
      <c r="I1256" t="s">
        <v>10</v>
      </c>
    </row>
    <row r="1257" spans="1:9" x14ac:dyDescent="0.25">
      <c r="A1257" t="s">
        <v>4273</v>
      </c>
      <c r="B1257" s="26" t="str">
        <f>MID(tbl_forecast[[#This Row],[PACE Job Number]],3,3)</f>
        <v>WSH</v>
      </c>
      <c r="C1257" t="s">
        <v>14</v>
      </c>
      <c r="D1257" s="1">
        <v>43416</v>
      </c>
      <c r="E1257" s="1">
        <v>43413</v>
      </c>
      <c r="F1257" s="1">
        <v>43413</v>
      </c>
      <c r="G1257" s="1">
        <v>43413</v>
      </c>
      <c r="H1257" t="s">
        <v>9</v>
      </c>
      <c r="I1257" t="s">
        <v>10</v>
      </c>
    </row>
    <row r="1258" spans="1:9" x14ac:dyDescent="0.25">
      <c r="A1258" t="s">
        <v>2316</v>
      </c>
      <c r="B1258" s="26" t="str">
        <f>MID(tbl_forecast[[#This Row],[PACE Job Number]],3,3)</f>
        <v>NTX</v>
      </c>
      <c r="C1258" t="s">
        <v>14</v>
      </c>
      <c r="D1258" s="1">
        <v>43432</v>
      </c>
      <c r="E1258" s="1">
        <v>43434</v>
      </c>
      <c r="F1258" s="1">
        <v>43434</v>
      </c>
      <c r="G1258" s="1"/>
      <c r="H1258" t="s">
        <v>9</v>
      </c>
      <c r="I1258" t="s">
        <v>27</v>
      </c>
    </row>
    <row r="1259" spans="1:9" x14ac:dyDescent="0.25">
      <c r="A1259" t="s">
        <v>3914</v>
      </c>
      <c r="B1259" s="26" t="str">
        <f>MID(tbl_forecast[[#This Row],[PACE Job Number]],3,3)</f>
        <v>NTX</v>
      </c>
      <c r="C1259" t="s">
        <v>14</v>
      </c>
      <c r="D1259" s="1">
        <v>43406</v>
      </c>
      <c r="E1259" s="1">
        <v>43413</v>
      </c>
      <c r="F1259" s="1">
        <v>43424</v>
      </c>
      <c r="G1259" s="1">
        <v>43424</v>
      </c>
      <c r="H1259" t="s">
        <v>4664</v>
      </c>
      <c r="I1259" t="s">
        <v>10</v>
      </c>
    </row>
    <row r="1260" spans="1:9" x14ac:dyDescent="0.25">
      <c r="A1260" t="s">
        <v>3825</v>
      </c>
      <c r="B1260" s="26" t="str">
        <f>MID(tbl_forecast[[#This Row],[PACE Job Number]],3,3)</f>
        <v>NTX</v>
      </c>
      <c r="C1260" t="s">
        <v>14</v>
      </c>
      <c r="D1260" s="1">
        <v>43430</v>
      </c>
      <c r="E1260" s="1">
        <v>43430</v>
      </c>
      <c r="F1260" s="1">
        <v>43417</v>
      </c>
      <c r="G1260" s="1">
        <v>43417</v>
      </c>
      <c r="H1260" t="s">
        <v>9</v>
      </c>
      <c r="I1260" t="s">
        <v>10</v>
      </c>
    </row>
    <row r="1261" spans="1:9" x14ac:dyDescent="0.25">
      <c r="A1261" t="s">
        <v>5415</v>
      </c>
      <c r="B1261" s="26" t="str">
        <f>MID(tbl_forecast[[#This Row],[PACE Job Number]],3,3)</f>
        <v>NTX</v>
      </c>
      <c r="C1261" t="s">
        <v>14</v>
      </c>
      <c r="D1261" s="1">
        <v>43409</v>
      </c>
      <c r="E1261" s="1">
        <v>43413</v>
      </c>
      <c r="F1261" s="1">
        <v>43406</v>
      </c>
      <c r="G1261" s="1">
        <v>43406</v>
      </c>
      <c r="H1261" t="s">
        <v>9</v>
      </c>
      <c r="I1261" t="s">
        <v>10</v>
      </c>
    </row>
    <row r="1262" spans="1:9" x14ac:dyDescent="0.25">
      <c r="A1262" t="s">
        <v>4502</v>
      </c>
      <c r="B1262" s="26" t="str">
        <f>MID(tbl_forecast[[#This Row],[PACE Job Number]],3,3)</f>
        <v>NTX</v>
      </c>
      <c r="C1262" t="s">
        <v>14</v>
      </c>
      <c r="D1262" s="1">
        <v>43413</v>
      </c>
      <c r="E1262" s="1">
        <v>43493</v>
      </c>
      <c r="F1262" s="1">
        <v>43493</v>
      </c>
      <c r="G1262" s="1"/>
      <c r="H1262" t="s">
        <v>4664</v>
      </c>
      <c r="I1262" t="s">
        <v>5645</v>
      </c>
    </row>
    <row r="1263" spans="1:9" x14ac:dyDescent="0.25">
      <c r="A1263" t="s">
        <v>5275</v>
      </c>
      <c r="B1263" s="26" t="str">
        <f>MID(tbl_forecast[[#This Row],[PACE Job Number]],3,3)</f>
        <v>WSH</v>
      </c>
      <c r="C1263" t="s">
        <v>14</v>
      </c>
      <c r="D1263" s="1">
        <v>43409</v>
      </c>
      <c r="E1263" s="1">
        <v>43410</v>
      </c>
      <c r="F1263" s="1">
        <v>43410</v>
      </c>
      <c r="G1263" s="1">
        <v>43410</v>
      </c>
      <c r="H1263" t="s">
        <v>9</v>
      </c>
      <c r="I1263" t="s">
        <v>10</v>
      </c>
    </row>
    <row r="1264" spans="1:9" x14ac:dyDescent="0.25">
      <c r="A1264" t="s">
        <v>5276</v>
      </c>
      <c r="B1264" s="26" t="str">
        <f>MID(tbl_forecast[[#This Row],[PACE Job Number]],3,3)</f>
        <v>WSH</v>
      </c>
      <c r="C1264" t="s">
        <v>14</v>
      </c>
      <c r="D1264" s="1">
        <v>43416</v>
      </c>
      <c r="E1264" s="1">
        <v>43420</v>
      </c>
      <c r="F1264" s="1">
        <v>43420</v>
      </c>
      <c r="G1264" s="1">
        <v>43420</v>
      </c>
      <c r="H1264" t="s">
        <v>9</v>
      </c>
      <c r="I1264" t="s">
        <v>10</v>
      </c>
    </row>
    <row r="1265" spans="1:9" x14ac:dyDescent="0.25">
      <c r="A1265" t="s">
        <v>5277</v>
      </c>
      <c r="B1265" s="26" t="str">
        <f>MID(tbl_forecast[[#This Row],[PACE Job Number]],3,3)</f>
        <v>WSH</v>
      </c>
      <c r="C1265" t="s">
        <v>14</v>
      </c>
      <c r="D1265" s="1">
        <v>43409</v>
      </c>
      <c r="E1265" s="1">
        <v>43410</v>
      </c>
      <c r="F1265" s="1">
        <v>43410</v>
      </c>
      <c r="G1265" s="1">
        <v>43410</v>
      </c>
      <c r="H1265" t="s">
        <v>9</v>
      </c>
      <c r="I1265" t="s">
        <v>10</v>
      </c>
    </row>
    <row r="1266" spans="1:9" x14ac:dyDescent="0.25">
      <c r="A1266" t="s">
        <v>5278</v>
      </c>
      <c r="B1266" s="26" t="str">
        <f>MID(tbl_forecast[[#This Row],[PACE Job Number]],3,3)</f>
        <v>WSH</v>
      </c>
      <c r="C1266" t="s">
        <v>14</v>
      </c>
      <c r="D1266" s="1">
        <v>43430</v>
      </c>
      <c r="E1266" s="1">
        <v>43437</v>
      </c>
      <c r="F1266" s="1">
        <v>43437</v>
      </c>
      <c r="G1266" s="1"/>
      <c r="H1266" t="s">
        <v>9</v>
      </c>
      <c r="I1266" t="s">
        <v>27</v>
      </c>
    </row>
    <row r="1267" spans="1:9" x14ac:dyDescent="0.25">
      <c r="A1267" t="s">
        <v>5416</v>
      </c>
      <c r="B1267" s="26" t="str">
        <f>MID(tbl_forecast[[#This Row],[PACE Job Number]],3,3)</f>
        <v>WSH</v>
      </c>
      <c r="C1267" t="s">
        <v>14</v>
      </c>
      <c r="D1267" s="1">
        <v>43416</v>
      </c>
      <c r="E1267" s="1">
        <v>43420</v>
      </c>
      <c r="F1267" s="1">
        <v>43420</v>
      </c>
      <c r="G1267" s="1">
        <v>43420</v>
      </c>
      <c r="H1267" t="s">
        <v>9</v>
      </c>
      <c r="I1267" t="s">
        <v>10</v>
      </c>
    </row>
    <row r="1268" spans="1:9" x14ac:dyDescent="0.25">
      <c r="A1268" t="s">
        <v>275</v>
      </c>
      <c r="B1268" s="26" t="str">
        <f>MID(tbl_forecast[[#This Row],[PACE Job Number]],3,3)</f>
        <v>WSH</v>
      </c>
      <c r="C1268" t="s">
        <v>14</v>
      </c>
      <c r="D1268" s="1">
        <v>43423</v>
      </c>
      <c r="E1268" s="1">
        <v>43414</v>
      </c>
      <c r="F1268" s="1">
        <v>43414</v>
      </c>
      <c r="G1268" s="1">
        <v>43414</v>
      </c>
      <c r="H1268" t="s">
        <v>9</v>
      </c>
      <c r="I1268" t="s">
        <v>10</v>
      </c>
    </row>
    <row r="1269" spans="1:9" x14ac:dyDescent="0.25">
      <c r="A1269" t="s">
        <v>326</v>
      </c>
      <c r="B1269" s="26" t="str">
        <f>MID(tbl_forecast[[#This Row],[PACE Job Number]],3,3)</f>
        <v>WSH</v>
      </c>
      <c r="C1269" t="s">
        <v>14</v>
      </c>
      <c r="D1269" s="1">
        <v>43423</v>
      </c>
      <c r="E1269" s="1">
        <v>43414</v>
      </c>
      <c r="F1269" s="1">
        <v>43414</v>
      </c>
      <c r="G1269" s="1">
        <v>43414</v>
      </c>
      <c r="H1269" t="s">
        <v>9</v>
      </c>
      <c r="I1269" t="s">
        <v>10</v>
      </c>
    </row>
    <row r="1270" spans="1:9" x14ac:dyDescent="0.25">
      <c r="A1270" t="s">
        <v>5417</v>
      </c>
      <c r="B1270" s="26" t="str">
        <f>MID(tbl_forecast[[#This Row],[PACE Job Number]],3,3)</f>
        <v>WSH</v>
      </c>
      <c r="C1270" t="s">
        <v>14</v>
      </c>
      <c r="D1270" s="1">
        <v>43423</v>
      </c>
      <c r="E1270" s="1">
        <v>43424</v>
      </c>
      <c r="F1270" s="1">
        <v>43424</v>
      </c>
      <c r="G1270" s="1">
        <v>43424</v>
      </c>
      <c r="H1270" t="s">
        <v>9</v>
      </c>
      <c r="I1270" t="s">
        <v>10</v>
      </c>
    </row>
    <row r="1271" spans="1:9" x14ac:dyDescent="0.25">
      <c r="A1271" t="s">
        <v>3837</v>
      </c>
      <c r="B1271" s="26" t="str">
        <f>MID(tbl_forecast[[#This Row],[PACE Job Number]],3,3)</f>
        <v>WSH</v>
      </c>
      <c r="C1271" t="s">
        <v>14</v>
      </c>
      <c r="D1271" s="1">
        <v>43412</v>
      </c>
      <c r="E1271" s="1">
        <v>43410</v>
      </c>
      <c r="F1271" s="1">
        <v>43410</v>
      </c>
      <c r="G1271" s="1">
        <v>43410</v>
      </c>
      <c r="H1271" t="s">
        <v>9</v>
      </c>
      <c r="I1271" t="s">
        <v>10</v>
      </c>
    </row>
    <row r="1272" spans="1:9" x14ac:dyDescent="0.25">
      <c r="A1272" t="s">
        <v>5418</v>
      </c>
      <c r="B1272" s="26" t="str">
        <f>MID(tbl_forecast[[#This Row],[PACE Job Number]],3,3)</f>
        <v>WSH</v>
      </c>
      <c r="C1272" t="s">
        <v>14</v>
      </c>
      <c r="D1272" s="1">
        <v>43423</v>
      </c>
      <c r="E1272" s="1">
        <v>43424</v>
      </c>
      <c r="F1272" s="1">
        <v>43424</v>
      </c>
      <c r="G1272" s="1">
        <v>43424</v>
      </c>
      <c r="H1272" t="s">
        <v>9</v>
      </c>
      <c r="I1272" t="s">
        <v>10</v>
      </c>
    </row>
    <row r="1273" spans="1:9" x14ac:dyDescent="0.25">
      <c r="A1273" t="s">
        <v>4253</v>
      </c>
      <c r="B1273" s="26" t="str">
        <f>MID(tbl_forecast[[#This Row],[PACE Job Number]],3,3)</f>
        <v>WSH</v>
      </c>
      <c r="C1273" t="s">
        <v>14</v>
      </c>
      <c r="D1273" s="1">
        <v>43416</v>
      </c>
      <c r="E1273" s="1">
        <v>43445</v>
      </c>
      <c r="F1273" s="1">
        <v>43444</v>
      </c>
      <c r="G1273" s="1"/>
      <c r="H1273" t="s">
        <v>4664</v>
      </c>
      <c r="I1273" t="s">
        <v>5645</v>
      </c>
    </row>
    <row r="1274" spans="1:9" x14ac:dyDescent="0.25">
      <c r="A1274" t="s">
        <v>4254</v>
      </c>
      <c r="B1274" s="26" t="str">
        <f>MID(tbl_forecast[[#This Row],[PACE Job Number]],3,3)</f>
        <v>WSH</v>
      </c>
      <c r="C1274" t="s">
        <v>14</v>
      </c>
      <c r="D1274" s="1">
        <v>43416</v>
      </c>
      <c r="E1274" s="1">
        <v>43445</v>
      </c>
      <c r="F1274" s="1">
        <v>43444</v>
      </c>
      <c r="G1274" s="1"/>
      <c r="H1274" t="s">
        <v>4664</v>
      </c>
      <c r="I1274" t="s">
        <v>5645</v>
      </c>
    </row>
    <row r="1275" spans="1:9" x14ac:dyDescent="0.25">
      <c r="A1275" t="s">
        <v>5282</v>
      </c>
      <c r="B1275" s="26" t="str">
        <f>MID(tbl_forecast[[#This Row],[PACE Job Number]],3,3)</f>
        <v>WSH</v>
      </c>
      <c r="C1275" t="s">
        <v>14</v>
      </c>
      <c r="D1275" s="1">
        <v>43416</v>
      </c>
      <c r="E1275" s="1">
        <v>43409</v>
      </c>
      <c r="F1275" s="1">
        <v>43409</v>
      </c>
      <c r="G1275" s="1">
        <v>43409</v>
      </c>
      <c r="H1275" t="s">
        <v>9</v>
      </c>
      <c r="I1275" t="s">
        <v>10</v>
      </c>
    </row>
    <row r="1276" spans="1:9" x14ac:dyDescent="0.25">
      <c r="A1276" t="s">
        <v>3392</v>
      </c>
      <c r="B1276" s="26" t="str">
        <f>MID(tbl_forecast[[#This Row],[PACE Job Number]],3,3)</f>
        <v>WSH</v>
      </c>
      <c r="C1276" t="s">
        <v>14</v>
      </c>
      <c r="D1276" s="1">
        <v>43423</v>
      </c>
      <c r="E1276" s="1">
        <v>43432</v>
      </c>
      <c r="F1276" s="1">
        <v>43432</v>
      </c>
      <c r="G1276" s="1">
        <v>43432</v>
      </c>
      <c r="H1276" t="s">
        <v>9</v>
      </c>
      <c r="I1276" t="s">
        <v>10</v>
      </c>
    </row>
    <row r="1277" spans="1:9" x14ac:dyDescent="0.25">
      <c r="A1277" t="s">
        <v>5283</v>
      </c>
      <c r="B1277" s="26" t="str">
        <f>MID(tbl_forecast[[#This Row],[PACE Job Number]],3,3)</f>
        <v>WSH</v>
      </c>
      <c r="C1277" t="s">
        <v>14</v>
      </c>
      <c r="D1277" s="1">
        <v>43410</v>
      </c>
      <c r="E1277" s="1">
        <v>43410</v>
      </c>
      <c r="F1277" s="1">
        <v>43410</v>
      </c>
      <c r="G1277" s="1">
        <v>43410</v>
      </c>
      <c r="H1277" t="s">
        <v>9</v>
      </c>
      <c r="I1277" t="s">
        <v>10</v>
      </c>
    </row>
    <row r="1278" spans="1:9" x14ac:dyDescent="0.25">
      <c r="A1278" t="s">
        <v>4257</v>
      </c>
      <c r="B1278" s="26" t="str">
        <f>MID(tbl_forecast[[#This Row],[PACE Job Number]],3,3)</f>
        <v>WSH</v>
      </c>
      <c r="C1278" t="s">
        <v>14</v>
      </c>
      <c r="D1278" s="1">
        <v>43410</v>
      </c>
      <c r="E1278" s="1">
        <v>43430</v>
      </c>
      <c r="F1278" s="1">
        <v>43430</v>
      </c>
      <c r="G1278" s="1">
        <v>43430</v>
      </c>
      <c r="H1278" t="s">
        <v>4664</v>
      </c>
      <c r="I1278" t="s">
        <v>10</v>
      </c>
    </row>
    <row r="1279" spans="1:9" x14ac:dyDescent="0.25">
      <c r="A1279" t="s">
        <v>689</v>
      </c>
      <c r="B1279" s="26" t="str">
        <f>MID(tbl_forecast[[#This Row],[PACE Job Number]],3,3)</f>
        <v>STX</v>
      </c>
      <c r="C1279" t="s">
        <v>14</v>
      </c>
      <c r="D1279" s="1">
        <v>43420</v>
      </c>
      <c r="E1279" s="1">
        <v>43439</v>
      </c>
      <c r="F1279" s="1">
        <v>43439</v>
      </c>
      <c r="G1279" s="1"/>
      <c r="H1279" t="s">
        <v>4664</v>
      </c>
      <c r="I1279" t="s">
        <v>5645</v>
      </c>
    </row>
    <row r="1280" spans="1:9" x14ac:dyDescent="0.25">
      <c r="A1280" t="s">
        <v>3344</v>
      </c>
      <c r="B1280" s="26" t="str">
        <f>MID(tbl_forecast[[#This Row],[PACE Job Number]],3,3)</f>
        <v>STX</v>
      </c>
      <c r="C1280" t="s">
        <v>14</v>
      </c>
      <c r="D1280" s="1">
        <v>43416</v>
      </c>
      <c r="E1280" s="1">
        <v>43416</v>
      </c>
      <c r="F1280" s="1">
        <v>43420</v>
      </c>
      <c r="G1280" s="1">
        <v>43420</v>
      </c>
      <c r="H1280" t="s">
        <v>9</v>
      </c>
      <c r="I1280" t="s">
        <v>10</v>
      </c>
    </row>
    <row r="1281" spans="1:9" x14ac:dyDescent="0.25">
      <c r="A1281" t="s">
        <v>181</v>
      </c>
      <c r="B1281" s="26" t="str">
        <f>MID(tbl_forecast[[#This Row],[PACE Job Number]],3,3)</f>
        <v>STX</v>
      </c>
      <c r="C1281" t="s">
        <v>14</v>
      </c>
      <c r="D1281" s="1">
        <v>43416</v>
      </c>
      <c r="E1281" s="1">
        <v>43416</v>
      </c>
      <c r="F1281" s="1">
        <v>43415</v>
      </c>
      <c r="G1281" s="1">
        <v>43415</v>
      </c>
      <c r="H1281" t="s">
        <v>9</v>
      </c>
      <c r="I1281" t="s">
        <v>10</v>
      </c>
    </row>
    <row r="1282" spans="1:9" x14ac:dyDescent="0.25">
      <c r="A1282" t="s">
        <v>1706</v>
      </c>
      <c r="B1282" s="26" t="str">
        <f>MID(tbl_forecast[[#This Row],[PACE Job Number]],3,3)</f>
        <v>STX</v>
      </c>
      <c r="C1282" t="s">
        <v>14</v>
      </c>
      <c r="D1282" s="1">
        <v>43416</v>
      </c>
      <c r="E1282" s="1">
        <v>43453</v>
      </c>
      <c r="F1282" s="1">
        <v>43451</v>
      </c>
      <c r="G1282" s="1"/>
      <c r="H1282" t="s">
        <v>4664</v>
      </c>
      <c r="I1282" t="s">
        <v>5645</v>
      </c>
    </row>
    <row r="1283" spans="1:9" x14ac:dyDescent="0.25">
      <c r="A1283" t="s">
        <v>5419</v>
      </c>
      <c r="B1283" s="26" t="str">
        <f>MID(tbl_forecast[[#This Row],[PACE Job Number]],3,3)</f>
        <v>STX</v>
      </c>
      <c r="C1283" t="s">
        <v>14</v>
      </c>
      <c r="D1283" s="1">
        <v>43416</v>
      </c>
      <c r="E1283" s="1">
        <v>43416</v>
      </c>
      <c r="F1283" s="1">
        <v>43420</v>
      </c>
      <c r="G1283" s="1">
        <v>43420</v>
      </c>
      <c r="H1283" t="s">
        <v>9</v>
      </c>
      <c r="I1283" t="s">
        <v>10</v>
      </c>
    </row>
    <row r="1284" spans="1:9" x14ac:dyDescent="0.25">
      <c r="A1284" t="s">
        <v>5420</v>
      </c>
      <c r="B1284" s="26" t="str">
        <f>MID(tbl_forecast[[#This Row],[PACE Job Number]],3,3)</f>
        <v>STX</v>
      </c>
      <c r="C1284" t="s">
        <v>14</v>
      </c>
      <c r="D1284" s="1">
        <v>43416</v>
      </c>
      <c r="E1284" s="1">
        <v>43453</v>
      </c>
      <c r="F1284" s="1">
        <v>43451</v>
      </c>
      <c r="G1284" s="1"/>
      <c r="H1284" t="s">
        <v>4664</v>
      </c>
      <c r="I1284" t="s">
        <v>5645</v>
      </c>
    </row>
    <row r="1285" spans="1:9" x14ac:dyDescent="0.25">
      <c r="A1285" t="s">
        <v>659</v>
      </c>
      <c r="B1285" s="26" t="str">
        <f>MID(tbl_forecast[[#This Row],[PACE Job Number]],3,3)</f>
        <v>STX</v>
      </c>
      <c r="C1285" t="s">
        <v>14</v>
      </c>
      <c r="D1285" s="1">
        <v>43419</v>
      </c>
      <c r="E1285" s="1">
        <v>43419</v>
      </c>
      <c r="F1285" s="1">
        <v>43420</v>
      </c>
      <c r="G1285" s="1">
        <v>43420</v>
      </c>
      <c r="H1285" t="s">
        <v>9</v>
      </c>
      <c r="I1285" t="s">
        <v>10</v>
      </c>
    </row>
    <row r="1286" spans="1:9" x14ac:dyDescent="0.25">
      <c r="A1286" t="s">
        <v>319</v>
      </c>
      <c r="B1286" s="26" t="str">
        <f>MID(tbl_forecast[[#This Row],[PACE Job Number]],3,3)</f>
        <v>STX</v>
      </c>
      <c r="C1286" t="s">
        <v>14</v>
      </c>
      <c r="D1286" s="1">
        <v>43416</v>
      </c>
      <c r="E1286" s="1">
        <v>43416</v>
      </c>
      <c r="F1286" s="1">
        <v>43433</v>
      </c>
      <c r="G1286" s="1"/>
      <c r="H1286" t="s">
        <v>4664</v>
      </c>
      <c r="I1286" t="s">
        <v>4666</v>
      </c>
    </row>
    <row r="1287" spans="1:9" x14ac:dyDescent="0.25">
      <c r="A1287" t="s">
        <v>3401</v>
      </c>
      <c r="B1287" s="26" t="str">
        <f>MID(tbl_forecast[[#This Row],[PACE Job Number]],3,3)</f>
        <v>WSH</v>
      </c>
      <c r="C1287" t="s">
        <v>14</v>
      </c>
      <c r="D1287" s="1">
        <v>43430</v>
      </c>
      <c r="E1287" s="1">
        <v>43438</v>
      </c>
      <c r="F1287" s="1">
        <v>43437</v>
      </c>
      <c r="G1287" s="1"/>
      <c r="H1287" t="s">
        <v>9</v>
      </c>
      <c r="I1287" t="s">
        <v>27</v>
      </c>
    </row>
    <row r="1288" spans="1:9" x14ac:dyDescent="0.25">
      <c r="A1288" t="s">
        <v>537</v>
      </c>
      <c r="B1288" s="26" t="str">
        <f>MID(tbl_forecast[[#This Row],[PACE Job Number]],3,3)</f>
        <v>NTX</v>
      </c>
      <c r="C1288" t="s">
        <v>14</v>
      </c>
      <c r="D1288" s="1">
        <v>43413</v>
      </c>
      <c r="E1288" s="1">
        <v>43434</v>
      </c>
      <c r="F1288" s="1">
        <v>43434</v>
      </c>
      <c r="G1288" s="1"/>
      <c r="H1288" t="s">
        <v>4664</v>
      </c>
      <c r="I1288" t="s">
        <v>5645</v>
      </c>
    </row>
    <row r="1289" spans="1:9" x14ac:dyDescent="0.25">
      <c r="A1289" t="s">
        <v>5421</v>
      </c>
      <c r="B1289" s="26" t="str">
        <f>MID(tbl_forecast[[#This Row],[PACE Job Number]],3,3)</f>
        <v>NTX</v>
      </c>
      <c r="C1289" t="s">
        <v>14</v>
      </c>
      <c r="D1289" s="1">
        <v>43409</v>
      </c>
      <c r="E1289" s="1">
        <v>43413</v>
      </c>
      <c r="F1289" s="1">
        <v>43426</v>
      </c>
      <c r="G1289" s="1">
        <v>43426</v>
      </c>
      <c r="H1289" t="s">
        <v>4664</v>
      </c>
      <c r="I1289" t="s">
        <v>10</v>
      </c>
    </row>
    <row r="1290" spans="1:9" x14ac:dyDescent="0.25">
      <c r="A1290" t="s">
        <v>1772</v>
      </c>
      <c r="B1290" s="26" t="str">
        <f>MID(tbl_forecast[[#This Row],[PACE Job Number]],3,3)</f>
        <v>NTX</v>
      </c>
      <c r="C1290" t="s">
        <v>14</v>
      </c>
      <c r="D1290" s="1">
        <v>43416</v>
      </c>
      <c r="E1290" s="1">
        <v>43416</v>
      </c>
      <c r="F1290" s="1">
        <v>43420</v>
      </c>
      <c r="G1290" s="1">
        <v>43420</v>
      </c>
      <c r="H1290" t="s">
        <v>9</v>
      </c>
      <c r="I1290" t="s">
        <v>10</v>
      </c>
    </row>
    <row r="1291" spans="1:9" x14ac:dyDescent="0.25">
      <c r="A1291" t="s">
        <v>2353</v>
      </c>
      <c r="B1291" s="26" t="str">
        <f>MID(tbl_forecast[[#This Row],[PACE Job Number]],3,3)</f>
        <v>NTX</v>
      </c>
      <c r="C1291" t="s">
        <v>14</v>
      </c>
      <c r="D1291" s="1">
        <v>43416</v>
      </c>
      <c r="E1291" s="1">
        <v>43430</v>
      </c>
      <c r="F1291" s="1">
        <v>43431</v>
      </c>
      <c r="G1291" s="1">
        <v>43431</v>
      </c>
      <c r="H1291" t="s">
        <v>4664</v>
      </c>
      <c r="I1291" t="s">
        <v>10</v>
      </c>
    </row>
    <row r="1292" spans="1:9" x14ac:dyDescent="0.25">
      <c r="A1292" t="s">
        <v>472</v>
      </c>
      <c r="B1292" s="26" t="str">
        <f>MID(tbl_forecast[[#This Row],[PACE Job Number]],3,3)</f>
        <v>NTX</v>
      </c>
      <c r="C1292" t="s">
        <v>14</v>
      </c>
      <c r="D1292" s="1">
        <v>43413</v>
      </c>
      <c r="E1292" s="1">
        <v>43424</v>
      </c>
      <c r="F1292" s="1">
        <v>43418</v>
      </c>
      <c r="G1292" s="1">
        <v>43418</v>
      </c>
      <c r="H1292" t="s">
        <v>9</v>
      </c>
      <c r="I1292" t="s">
        <v>10</v>
      </c>
    </row>
    <row r="1293" spans="1:9" x14ac:dyDescent="0.25">
      <c r="A1293" t="s">
        <v>1776</v>
      </c>
      <c r="B1293" s="26" t="str">
        <f>MID(tbl_forecast[[#This Row],[PACE Job Number]],3,3)</f>
        <v>NTX</v>
      </c>
      <c r="C1293" t="s">
        <v>14</v>
      </c>
      <c r="D1293" s="1">
        <v>43413</v>
      </c>
      <c r="E1293" s="1">
        <v>43430</v>
      </c>
      <c r="F1293" s="1">
        <v>43434</v>
      </c>
      <c r="G1293" s="1"/>
      <c r="H1293" t="s">
        <v>4664</v>
      </c>
      <c r="I1293" t="s">
        <v>5645</v>
      </c>
    </row>
    <row r="1294" spans="1:9" x14ac:dyDescent="0.25">
      <c r="A1294" t="s">
        <v>5422</v>
      </c>
      <c r="B1294" s="26" t="str">
        <f>MID(tbl_forecast[[#This Row],[PACE Job Number]],3,3)</f>
        <v>NTX</v>
      </c>
      <c r="C1294" t="s">
        <v>14</v>
      </c>
      <c r="D1294" s="1">
        <v>43416</v>
      </c>
      <c r="E1294" s="1">
        <v>43430</v>
      </c>
      <c r="F1294" s="1">
        <v>43430</v>
      </c>
      <c r="G1294" s="1">
        <v>43430</v>
      </c>
      <c r="H1294" t="s">
        <v>9</v>
      </c>
      <c r="I1294" t="s">
        <v>10</v>
      </c>
    </row>
    <row r="1295" spans="1:9" x14ac:dyDescent="0.25">
      <c r="A1295" t="s">
        <v>188</v>
      </c>
      <c r="B1295" s="26" t="str">
        <f>MID(tbl_forecast[[#This Row],[PACE Job Number]],3,3)</f>
        <v>NTX</v>
      </c>
      <c r="C1295" t="s">
        <v>14</v>
      </c>
      <c r="D1295" s="1">
        <v>43432</v>
      </c>
      <c r="E1295" s="1">
        <v>43432</v>
      </c>
      <c r="F1295" s="1">
        <v>43424</v>
      </c>
      <c r="G1295" s="1">
        <v>43424</v>
      </c>
      <c r="H1295" t="s">
        <v>9</v>
      </c>
      <c r="I1295" t="s">
        <v>10</v>
      </c>
    </row>
    <row r="1296" spans="1:9" x14ac:dyDescent="0.25">
      <c r="A1296" t="s">
        <v>4463</v>
      </c>
      <c r="B1296" s="26" t="str">
        <f>MID(tbl_forecast[[#This Row],[PACE Job Number]],3,3)</f>
        <v>NTX</v>
      </c>
      <c r="C1296" t="s">
        <v>14</v>
      </c>
      <c r="D1296" s="1">
        <v>43416</v>
      </c>
      <c r="E1296" s="1">
        <v>43430</v>
      </c>
      <c r="F1296" s="1">
        <v>43434</v>
      </c>
      <c r="G1296" s="1"/>
      <c r="H1296" t="s">
        <v>4664</v>
      </c>
      <c r="I1296" t="s">
        <v>5645</v>
      </c>
    </row>
    <row r="1297" spans="1:9" x14ac:dyDescent="0.25">
      <c r="A1297" t="s">
        <v>5423</v>
      </c>
      <c r="B1297" s="26" t="str">
        <f>MID(tbl_forecast[[#This Row],[PACE Job Number]],3,3)</f>
        <v>NTX</v>
      </c>
      <c r="C1297" t="s">
        <v>14</v>
      </c>
      <c r="D1297" s="1">
        <v>43432</v>
      </c>
      <c r="E1297" s="1">
        <v>43440</v>
      </c>
      <c r="F1297" s="1">
        <v>43440</v>
      </c>
      <c r="G1297" s="1"/>
      <c r="H1297" t="s">
        <v>9</v>
      </c>
      <c r="I1297" t="s">
        <v>27</v>
      </c>
    </row>
    <row r="1298" spans="1:9" x14ac:dyDescent="0.25">
      <c r="A1298" t="s">
        <v>4291</v>
      </c>
      <c r="B1298" s="26" t="str">
        <f>MID(tbl_forecast[[#This Row],[PACE Job Number]],3,3)</f>
        <v>NTX</v>
      </c>
      <c r="C1298" t="s">
        <v>14</v>
      </c>
      <c r="D1298" s="1">
        <v>43423</v>
      </c>
      <c r="E1298" s="1">
        <v>43437</v>
      </c>
      <c r="F1298" s="1">
        <v>43437</v>
      </c>
      <c r="G1298" s="1"/>
      <c r="H1298" t="s">
        <v>9</v>
      </c>
      <c r="I1298" t="s">
        <v>27</v>
      </c>
    </row>
    <row r="1299" spans="1:9" x14ac:dyDescent="0.25">
      <c r="A1299" t="s">
        <v>5424</v>
      </c>
      <c r="B1299" s="26" t="str">
        <f>MID(tbl_forecast[[#This Row],[PACE Job Number]],3,3)</f>
        <v>NTX</v>
      </c>
      <c r="C1299" t="s">
        <v>14</v>
      </c>
      <c r="D1299" s="1">
        <v>43432</v>
      </c>
      <c r="E1299" s="1">
        <v>43437</v>
      </c>
      <c r="F1299" s="1">
        <v>43437</v>
      </c>
      <c r="G1299" s="1"/>
      <c r="H1299" t="s">
        <v>9</v>
      </c>
      <c r="I1299" t="s">
        <v>27</v>
      </c>
    </row>
    <row r="1300" spans="1:9" x14ac:dyDescent="0.25">
      <c r="A1300" t="s">
        <v>5425</v>
      </c>
      <c r="B1300" s="26" t="str">
        <f>MID(tbl_forecast[[#This Row],[PACE Job Number]],3,3)</f>
        <v>NTX</v>
      </c>
      <c r="C1300" t="s">
        <v>14</v>
      </c>
      <c r="D1300" s="1">
        <v>43423</v>
      </c>
      <c r="E1300" s="1">
        <v>43434</v>
      </c>
      <c r="F1300" s="1">
        <v>43434</v>
      </c>
      <c r="G1300" s="1"/>
      <c r="H1300" t="s">
        <v>9</v>
      </c>
      <c r="I1300" t="s">
        <v>27</v>
      </c>
    </row>
    <row r="1301" spans="1:9" x14ac:dyDescent="0.25">
      <c r="A1301" t="s">
        <v>5426</v>
      </c>
      <c r="B1301" s="26" t="str">
        <f>MID(tbl_forecast[[#This Row],[PACE Job Number]],3,3)</f>
        <v>NTX</v>
      </c>
      <c r="C1301" t="s">
        <v>14</v>
      </c>
      <c r="D1301" s="1">
        <v>43423</v>
      </c>
      <c r="E1301" s="1">
        <v>43434</v>
      </c>
      <c r="F1301" s="1">
        <v>43434</v>
      </c>
      <c r="G1301" s="1"/>
      <c r="H1301" t="s">
        <v>9</v>
      </c>
      <c r="I1301" t="s">
        <v>27</v>
      </c>
    </row>
    <row r="1302" spans="1:9" x14ac:dyDescent="0.25">
      <c r="A1302" t="s">
        <v>5427</v>
      </c>
      <c r="B1302" s="26" t="str">
        <f>MID(tbl_forecast[[#This Row],[PACE Job Number]],3,3)</f>
        <v>NTX</v>
      </c>
      <c r="C1302" t="s">
        <v>14</v>
      </c>
      <c r="D1302" s="1">
        <v>43423</v>
      </c>
      <c r="E1302" s="1">
        <v>43434</v>
      </c>
      <c r="F1302" s="1">
        <v>43434</v>
      </c>
      <c r="G1302" s="1"/>
      <c r="H1302" t="s">
        <v>9</v>
      </c>
      <c r="I1302" t="s">
        <v>27</v>
      </c>
    </row>
    <row r="1303" spans="1:9" x14ac:dyDescent="0.25">
      <c r="A1303" t="s">
        <v>5428</v>
      </c>
      <c r="B1303" s="26" t="str">
        <f>MID(tbl_forecast[[#This Row],[PACE Job Number]],3,3)</f>
        <v>NTX</v>
      </c>
      <c r="C1303" t="s">
        <v>14</v>
      </c>
      <c r="D1303" s="1">
        <v>43416</v>
      </c>
      <c r="E1303" s="1">
        <v>43434</v>
      </c>
      <c r="F1303" s="1">
        <v>43432</v>
      </c>
      <c r="G1303" s="1">
        <v>43432</v>
      </c>
      <c r="H1303" t="s">
        <v>4664</v>
      </c>
      <c r="I1303" t="s">
        <v>10</v>
      </c>
    </row>
    <row r="1304" spans="1:9" x14ac:dyDescent="0.25">
      <c r="A1304" t="s">
        <v>5429</v>
      </c>
      <c r="B1304" s="26" t="str">
        <f>MID(tbl_forecast[[#This Row],[PACE Job Number]],3,3)</f>
        <v>NTX</v>
      </c>
      <c r="C1304" t="s">
        <v>14</v>
      </c>
      <c r="D1304" s="1">
        <v>43416</v>
      </c>
      <c r="E1304" s="1">
        <v>43434</v>
      </c>
      <c r="F1304" s="1">
        <v>43432</v>
      </c>
      <c r="G1304" s="1">
        <v>43432</v>
      </c>
      <c r="H1304" t="s">
        <v>4664</v>
      </c>
      <c r="I1304" t="s">
        <v>10</v>
      </c>
    </row>
    <row r="1305" spans="1:9" x14ac:dyDescent="0.25">
      <c r="A1305" t="s">
        <v>5430</v>
      </c>
      <c r="B1305" s="26" t="str">
        <f>MID(tbl_forecast[[#This Row],[PACE Job Number]],3,3)</f>
        <v>NTX</v>
      </c>
      <c r="C1305" t="s">
        <v>14</v>
      </c>
      <c r="D1305" s="1">
        <v>43416</v>
      </c>
      <c r="E1305" s="1">
        <v>43430</v>
      </c>
      <c r="F1305" s="1">
        <v>43432</v>
      </c>
      <c r="G1305" s="1">
        <v>43432</v>
      </c>
      <c r="H1305" t="s">
        <v>4664</v>
      </c>
      <c r="I1305" t="s">
        <v>10</v>
      </c>
    </row>
    <row r="1306" spans="1:9" x14ac:dyDescent="0.25">
      <c r="A1306" t="s">
        <v>2455</v>
      </c>
      <c r="B1306" s="26" t="str">
        <f>MID(tbl_forecast[[#This Row],[PACE Job Number]],3,3)</f>
        <v>NTX</v>
      </c>
      <c r="C1306" t="s">
        <v>14</v>
      </c>
      <c r="D1306" s="1">
        <v>43419</v>
      </c>
      <c r="E1306" s="1">
        <v>43434</v>
      </c>
      <c r="F1306" s="1">
        <v>43432</v>
      </c>
      <c r="G1306" s="1">
        <v>43432</v>
      </c>
      <c r="H1306" t="s">
        <v>9</v>
      </c>
      <c r="I1306" t="s">
        <v>10</v>
      </c>
    </row>
    <row r="1307" spans="1:9" x14ac:dyDescent="0.25">
      <c r="A1307" t="s">
        <v>2456</v>
      </c>
      <c r="B1307" s="26" t="str">
        <f>MID(tbl_forecast[[#This Row],[PACE Job Number]],3,3)</f>
        <v>NTX</v>
      </c>
      <c r="C1307" t="s">
        <v>14</v>
      </c>
      <c r="D1307" s="1">
        <v>43419</v>
      </c>
      <c r="E1307" s="1">
        <v>43434</v>
      </c>
      <c r="F1307" s="1">
        <v>43432</v>
      </c>
      <c r="G1307" s="1">
        <v>43432</v>
      </c>
      <c r="H1307" t="s">
        <v>9</v>
      </c>
      <c r="I1307" t="s">
        <v>10</v>
      </c>
    </row>
    <row r="1308" spans="1:9" x14ac:dyDescent="0.25">
      <c r="A1308" t="s">
        <v>878</v>
      </c>
      <c r="B1308" s="26" t="str">
        <f>MID(tbl_forecast[[#This Row],[PACE Job Number]],3,3)</f>
        <v>NTX</v>
      </c>
      <c r="C1308" t="s">
        <v>14</v>
      </c>
      <c r="D1308" s="1">
        <v>43409</v>
      </c>
      <c r="E1308" s="1">
        <v>43430</v>
      </c>
      <c r="F1308" s="1">
        <v>43430</v>
      </c>
      <c r="G1308" s="1">
        <v>43430</v>
      </c>
      <c r="H1308" t="s">
        <v>4664</v>
      </c>
      <c r="I1308" t="s">
        <v>10</v>
      </c>
    </row>
    <row r="1309" spans="1:9" x14ac:dyDescent="0.25">
      <c r="A1309" t="s">
        <v>824</v>
      </c>
      <c r="B1309" s="26" t="str">
        <f>MID(tbl_forecast[[#This Row],[PACE Job Number]],3,3)</f>
        <v>NTX</v>
      </c>
      <c r="C1309" t="s">
        <v>14</v>
      </c>
      <c r="D1309" s="1">
        <v>43409</v>
      </c>
      <c r="E1309" s="1">
        <v>43430</v>
      </c>
      <c r="F1309" s="1">
        <v>43430</v>
      </c>
      <c r="G1309" s="1">
        <v>43430</v>
      </c>
      <c r="H1309" t="s">
        <v>4664</v>
      </c>
      <c r="I1309" t="s">
        <v>10</v>
      </c>
    </row>
    <row r="1310" spans="1:9" x14ac:dyDescent="0.25">
      <c r="A1310" t="s">
        <v>2460</v>
      </c>
      <c r="B1310" s="26" t="str">
        <f>MID(tbl_forecast[[#This Row],[PACE Job Number]],3,3)</f>
        <v>NTX</v>
      </c>
      <c r="C1310" t="s">
        <v>14</v>
      </c>
      <c r="D1310" s="1">
        <v>43419</v>
      </c>
      <c r="E1310" s="1">
        <v>43434</v>
      </c>
      <c r="F1310" s="1">
        <v>43432</v>
      </c>
      <c r="G1310" s="1">
        <v>43432</v>
      </c>
      <c r="H1310" t="s">
        <v>9</v>
      </c>
      <c r="I1310" t="s">
        <v>10</v>
      </c>
    </row>
    <row r="1311" spans="1:9" x14ac:dyDescent="0.25">
      <c r="A1311" t="s">
        <v>3381</v>
      </c>
      <c r="B1311" s="26" t="str">
        <f>MID(tbl_forecast[[#This Row],[PACE Job Number]],3,3)</f>
        <v>NTX</v>
      </c>
      <c r="C1311" t="s">
        <v>14</v>
      </c>
      <c r="D1311" s="1">
        <v>43406</v>
      </c>
      <c r="E1311" s="1">
        <v>43409</v>
      </c>
      <c r="F1311" s="1">
        <v>43406</v>
      </c>
      <c r="G1311" s="1">
        <v>43406</v>
      </c>
      <c r="H1311" t="s">
        <v>9</v>
      </c>
      <c r="I1311" t="s">
        <v>10</v>
      </c>
    </row>
    <row r="1312" spans="1:9" x14ac:dyDescent="0.25">
      <c r="A1312" t="s">
        <v>4294</v>
      </c>
      <c r="B1312" s="26" t="str">
        <f>MID(tbl_forecast[[#This Row],[PACE Job Number]],3,3)</f>
        <v>NTX</v>
      </c>
      <c r="C1312" t="s">
        <v>14</v>
      </c>
      <c r="D1312" s="1">
        <v>43416</v>
      </c>
      <c r="E1312" s="1">
        <v>43416</v>
      </c>
      <c r="F1312" s="1">
        <v>43420</v>
      </c>
      <c r="G1312" s="1">
        <v>43420</v>
      </c>
      <c r="H1312" t="s">
        <v>9</v>
      </c>
      <c r="I1312" t="s">
        <v>10</v>
      </c>
    </row>
    <row r="1313" spans="1:9" x14ac:dyDescent="0.25">
      <c r="A1313" t="s">
        <v>5431</v>
      </c>
      <c r="B1313" s="26" t="str">
        <f>MID(tbl_forecast[[#This Row],[PACE Job Number]],3,3)</f>
        <v>NTX</v>
      </c>
      <c r="C1313" t="s">
        <v>14</v>
      </c>
      <c r="D1313" s="1">
        <v>43406</v>
      </c>
      <c r="E1313" s="1">
        <v>43493</v>
      </c>
      <c r="F1313" s="1">
        <v>43493</v>
      </c>
      <c r="G1313" s="1"/>
      <c r="H1313" t="s">
        <v>4664</v>
      </c>
      <c r="I1313" t="s">
        <v>5645</v>
      </c>
    </row>
    <row r="1314" spans="1:9" x14ac:dyDescent="0.25">
      <c r="A1314" t="s">
        <v>494</v>
      </c>
      <c r="B1314" s="26" t="str">
        <f>MID(tbl_forecast[[#This Row],[PACE Job Number]],3,3)</f>
        <v>NTX</v>
      </c>
      <c r="C1314" t="s">
        <v>14</v>
      </c>
      <c r="D1314" s="1">
        <v>43432</v>
      </c>
      <c r="E1314" s="1">
        <v>43444</v>
      </c>
      <c r="F1314" s="1">
        <v>43444</v>
      </c>
      <c r="G1314" s="1"/>
      <c r="H1314" t="s">
        <v>9</v>
      </c>
      <c r="I1314" t="s">
        <v>27</v>
      </c>
    </row>
    <row r="1315" spans="1:9" x14ac:dyDescent="0.25">
      <c r="A1315" t="s">
        <v>5432</v>
      </c>
      <c r="B1315" s="26" t="str">
        <f>MID(tbl_forecast[[#This Row],[PACE Job Number]],3,3)</f>
        <v>NTX</v>
      </c>
      <c r="C1315" t="s">
        <v>14</v>
      </c>
      <c r="D1315" s="1">
        <v>43416</v>
      </c>
      <c r="E1315" s="1">
        <v>43430</v>
      </c>
      <c r="F1315" s="1">
        <v>43430</v>
      </c>
      <c r="G1315" s="1">
        <v>43430</v>
      </c>
      <c r="H1315" t="s">
        <v>9</v>
      </c>
      <c r="I1315" t="s">
        <v>10</v>
      </c>
    </row>
    <row r="1316" spans="1:9" x14ac:dyDescent="0.25">
      <c r="A1316" t="s">
        <v>5433</v>
      </c>
      <c r="B1316" s="26" t="str">
        <f>MID(tbl_forecast[[#This Row],[PACE Job Number]],3,3)</f>
        <v>NTX</v>
      </c>
      <c r="C1316" t="s">
        <v>14</v>
      </c>
      <c r="D1316" s="1">
        <v>43416</v>
      </c>
      <c r="E1316" s="1">
        <v>43437</v>
      </c>
      <c r="F1316" s="1">
        <v>43437</v>
      </c>
      <c r="G1316" s="1"/>
      <c r="H1316" t="s">
        <v>4664</v>
      </c>
      <c r="I1316" t="s">
        <v>5645</v>
      </c>
    </row>
    <row r="1317" spans="1:9" x14ac:dyDescent="0.25">
      <c r="A1317" t="s">
        <v>5434</v>
      </c>
      <c r="B1317" s="26" t="str">
        <f>MID(tbl_forecast[[#This Row],[PACE Job Number]],3,3)</f>
        <v>NTX</v>
      </c>
      <c r="C1317" t="s">
        <v>14</v>
      </c>
      <c r="D1317" s="1">
        <v>43416</v>
      </c>
      <c r="E1317" s="1">
        <v>43434</v>
      </c>
      <c r="F1317" s="1">
        <v>43432</v>
      </c>
      <c r="G1317" s="1">
        <v>43432</v>
      </c>
      <c r="H1317" t="s">
        <v>4664</v>
      </c>
      <c r="I1317" t="s">
        <v>10</v>
      </c>
    </row>
    <row r="1318" spans="1:9" x14ac:dyDescent="0.25">
      <c r="A1318" t="s">
        <v>166</v>
      </c>
      <c r="B1318" s="26" t="str">
        <f>MID(tbl_forecast[[#This Row],[PACE Job Number]],3,3)</f>
        <v>NTX</v>
      </c>
      <c r="C1318" t="s">
        <v>14</v>
      </c>
      <c r="D1318" s="1">
        <v>43409</v>
      </c>
      <c r="E1318" s="1">
        <v>43409</v>
      </c>
      <c r="F1318" s="1">
        <v>43426</v>
      </c>
      <c r="G1318" s="1">
        <v>43426</v>
      </c>
      <c r="H1318" t="s">
        <v>4664</v>
      </c>
      <c r="I1318" t="s">
        <v>10</v>
      </c>
    </row>
    <row r="1319" spans="1:9" x14ac:dyDescent="0.25">
      <c r="A1319" t="s">
        <v>4174</v>
      </c>
      <c r="B1319" s="26" t="str">
        <f>MID(tbl_forecast[[#This Row],[PACE Job Number]],3,3)</f>
        <v>NTX</v>
      </c>
      <c r="C1319" t="s">
        <v>14</v>
      </c>
      <c r="D1319" s="1">
        <v>43430</v>
      </c>
      <c r="E1319" s="1">
        <v>43434</v>
      </c>
      <c r="F1319" s="1">
        <v>43434</v>
      </c>
      <c r="G1319" s="1"/>
      <c r="H1319" t="s">
        <v>9</v>
      </c>
      <c r="I1319" t="s">
        <v>27</v>
      </c>
    </row>
    <row r="1320" spans="1:9" x14ac:dyDescent="0.25">
      <c r="A1320" t="s">
        <v>4466</v>
      </c>
      <c r="B1320" s="26" t="str">
        <f>MID(tbl_forecast[[#This Row],[PACE Job Number]],3,3)</f>
        <v>STX</v>
      </c>
      <c r="C1320" t="s">
        <v>14</v>
      </c>
      <c r="D1320" s="1">
        <v>43419</v>
      </c>
      <c r="E1320" s="1">
        <v>43439</v>
      </c>
      <c r="F1320" s="1">
        <v>43439</v>
      </c>
      <c r="G1320" s="1"/>
      <c r="H1320" t="s">
        <v>4664</v>
      </c>
      <c r="I1320" t="s">
        <v>5645</v>
      </c>
    </row>
    <row r="1321" spans="1:9" x14ac:dyDescent="0.25">
      <c r="A1321" t="s">
        <v>141</v>
      </c>
      <c r="B1321" s="26" t="str">
        <f>MID(tbl_forecast[[#This Row],[PACE Job Number]],3,3)</f>
        <v>STX</v>
      </c>
      <c r="C1321" t="s">
        <v>14</v>
      </c>
      <c r="D1321" s="1">
        <v>43416</v>
      </c>
      <c r="E1321" s="1">
        <v>43416</v>
      </c>
      <c r="F1321" s="1">
        <v>43433</v>
      </c>
      <c r="G1321" s="1"/>
      <c r="H1321" t="s">
        <v>4664</v>
      </c>
      <c r="I1321" t="s">
        <v>4666</v>
      </c>
    </row>
    <row r="1322" spans="1:9" x14ac:dyDescent="0.25">
      <c r="A1322" t="s">
        <v>3967</v>
      </c>
      <c r="B1322" s="26" t="str">
        <f>MID(tbl_forecast[[#This Row],[PACE Job Number]],3,3)</f>
        <v>STX</v>
      </c>
      <c r="C1322" t="s">
        <v>14</v>
      </c>
      <c r="D1322" s="1">
        <v>43419</v>
      </c>
      <c r="E1322" s="1">
        <v>43419</v>
      </c>
      <c r="F1322" s="1">
        <v>43419</v>
      </c>
      <c r="G1322" s="1">
        <v>43419</v>
      </c>
      <c r="H1322" t="s">
        <v>9</v>
      </c>
      <c r="I1322" t="s">
        <v>10</v>
      </c>
    </row>
    <row r="1323" spans="1:9" x14ac:dyDescent="0.25">
      <c r="A1323" t="s">
        <v>59</v>
      </c>
      <c r="B1323" s="26" t="str">
        <f>MID(tbl_forecast[[#This Row],[PACE Job Number]],3,3)</f>
        <v>NTX</v>
      </c>
      <c r="C1323" t="s">
        <v>14</v>
      </c>
      <c r="D1323" s="1">
        <v>43416</v>
      </c>
      <c r="E1323" s="1">
        <v>43416</v>
      </c>
      <c r="F1323" s="1">
        <v>43425</v>
      </c>
      <c r="G1323" s="1">
        <v>43425</v>
      </c>
      <c r="H1323" t="s">
        <v>9</v>
      </c>
      <c r="I1323" t="s">
        <v>10</v>
      </c>
    </row>
    <row r="1324" spans="1:9" x14ac:dyDescent="0.25">
      <c r="A1324" t="s">
        <v>1782</v>
      </c>
      <c r="B1324" s="26" t="str">
        <f>MID(tbl_forecast[[#This Row],[PACE Job Number]],3,3)</f>
        <v>NTX</v>
      </c>
      <c r="C1324" t="s">
        <v>14</v>
      </c>
      <c r="D1324" s="1">
        <v>43416</v>
      </c>
      <c r="E1324" s="1">
        <v>43416</v>
      </c>
      <c r="F1324" s="1">
        <v>43420</v>
      </c>
      <c r="G1324" s="1">
        <v>43420</v>
      </c>
      <c r="H1324" t="s">
        <v>9</v>
      </c>
      <c r="I1324" t="s">
        <v>10</v>
      </c>
    </row>
    <row r="1325" spans="1:9" x14ac:dyDescent="0.25">
      <c r="A1325" t="s">
        <v>4323</v>
      </c>
      <c r="B1325" s="26" t="str">
        <f>MID(tbl_forecast[[#This Row],[PACE Job Number]],3,3)</f>
        <v>NTX</v>
      </c>
      <c r="C1325" t="s">
        <v>14</v>
      </c>
      <c r="D1325" s="1">
        <v>43409</v>
      </c>
      <c r="E1325" s="1">
        <v>43430</v>
      </c>
      <c r="F1325" s="1">
        <v>43434</v>
      </c>
      <c r="G1325" s="1"/>
      <c r="H1325" t="s">
        <v>4664</v>
      </c>
      <c r="I1325" t="s">
        <v>5645</v>
      </c>
    </row>
    <row r="1326" spans="1:9" x14ac:dyDescent="0.25">
      <c r="A1326" t="s">
        <v>4192</v>
      </c>
      <c r="B1326" s="26" t="str">
        <f>MID(tbl_forecast[[#This Row],[PACE Job Number]],3,3)</f>
        <v>NTX</v>
      </c>
      <c r="C1326" t="s">
        <v>14</v>
      </c>
      <c r="D1326" s="1">
        <v>43416</v>
      </c>
      <c r="E1326" s="1">
        <v>43416</v>
      </c>
      <c r="F1326" s="1">
        <v>43420</v>
      </c>
      <c r="G1326" s="1">
        <v>43420</v>
      </c>
      <c r="H1326" t="s">
        <v>9</v>
      </c>
      <c r="I1326" t="s">
        <v>10</v>
      </c>
    </row>
    <row r="1327" spans="1:9" x14ac:dyDescent="0.25">
      <c r="A1327" t="s">
        <v>346</v>
      </c>
      <c r="B1327" s="26" t="str">
        <f>MID(tbl_forecast[[#This Row],[PACE Job Number]],3,3)</f>
        <v>NTX</v>
      </c>
      <c r="C1327" t="s">
        <v>14</v>
      </c>
      <c r="D1327" s="1">
        <v>43416</v>
      </c>
      <c r="E1327" s="1">
        <v>43416</v>
      </c>
      <c r="F1327" s="1">
        <v>43425</v>
      </c>
      <c r="G1327" s="1">
        <v>43425</v>
      </c>
      <c r="H1327" t="s">
        <v>9</v>
      </c>
      <c r="I1327" t="s">
        <v>10</v>
      </c>
    </row>
    <row r="1328" spans="1:9" x14ac:dyDescent="0.25">
      <c r="A1328" t="s">
        <v>72</v>
      </c>
      <c r="B1328" s="26" t="str">
        <f>MID(tbl_forecast[[#This Row],[PACE Job Number]],3,3)</f>
        <v>NTX</v>
      </c>
      <c r="C1328" t="s">
        <v>14</v>
      </c>
      <c r="D1328" s="1">
        <v>43416</v>
      </c>
      <c r="E1328" s="1">
        <v>43416</v>
      </c>
      <c r="F1328" s="1">
        <v>43409</v>
      </c>
      <c r="G1328" s="1">
        <v>43409</v>
      </c>
      <c r="H1328" t="s">
        <v>9</v>
      </c>
      <c r="I1328" t="s">
        <v>10</v>
      </c>
    </row>
    <row r="1329" spans="1:9" x14ac:dyDescent="0.25">
      <c r="A1329" t="s">
        <v>4324</v>
      </c>
      <c r="B1329" s="26" t="str">
        <f>MID(tbl_forecast[[#This Row],[PACE Job Number]],3,3)</f>
        <v>NTX</v>
      </c>
      <c r="C1329" t="s">
        <v>14</v>
      </c>
      <c r="D1329" s="1">
        <v>43405</v>
      </c>
      <c r="E1329" s="1">
        <v>43406</v>
      </c>
      <c r="F1329" s="1">
        <v>43405</v>
      </c>
      <c r="G1329" s="1">
        <v>43405</v>
      </c>
      <c r="H1329" t="s">
        <v>9</v>
      </c>
      <c r="I1329" t="s">
        <v>10</v>
      </c>
    </row>
    <row r="1330" spans="1:9" x14ac:dyDescent="0.25">
      <c r="A1330" t="s">
        <v>2277</v>
      </c>
      <c r="B1330" s="26" t="str">
        <f>MID(tbl_forecast[[#This Row],[PACE Job Number]],3,3)</f>
        <v>NTX</v>
      </c>
      <c r="C1330" t="s">
        <v>14</v>
      </c>
      <c r="D1330" s="1">
        <v>43430</v>
      </c>
      <c r="E1330" s="1">
        <v>43430</v>
      </c>
      <c r="F1330" s="1">
        <v>43432</v>
      </c>
      <c r="G1330" s="1">
        <v>43432</v>
      </c>
      <c r="H1330" t="s">
        <v>9</v>
      </c>
      <c r="I1330" t="s">
        <v>10</v>
      </c>
    </row>
    <row r="1331" spans="1:9" x14ac:dyDescent="0.25">
      <c r="A1331" t="s">
        <v>2362</v>
      </c>
      <c r="B1331" s="26" t="str">
        <f>MID(tbl_forecast[[#This Row],[PACE Job Number]],3,3)</f>
        <v>NTX</v>
      </c>
      <c r="C1331" t="s">
        <v>14</v>
      </c>
      <c r="D1331" s="1">
        <v>43406</v>
      </c>
      <c r="E1331" s="1">
        <v>43406</v>
      </c>
      <c r="F1331" s="1">
        <v>43410</v>
      </c>
      <c r="G1331" s="1">
        <v>43410</v>
      </c>
      <c r="H1331" t="s">
        <v>9</v>
      </c>
      <c r="I1331" t="s">
        <v>10</v>
      </c>
    </row>
    <row r="1332" spans="1:9" x14ac:dyDescent="0.25">
      <c r="A1332" t="s">
        <v>3844</v>
      </c>
      <c r="B1332" s="26" t="str">
        <f>MID(tbl_forecast[[#This Row],[PACE Job Number]],3,3)</f>
        <v>NTX</v>
      </c>
      <c r="C1332" t="s">
        <v>14</v>
      </c>
      <c r="D1332" s="1">
        <v>43406</v>
      </c>
      <c r="E1332" s="1">
        <v>43413</v>
      </c>
      <c r="F1332" s="1">
        <v>43424</v>
      </c>
      <c r="G1332" s="1">
        <v>43424</v>
      </c>
      <c r="H1332" t="s">
        <v>4664</v>
      </c>
      <c r="I1332" t="s">
        <v>10</v>
      </c>
    </row>
    <row r="1333" spans="1:9" x14ac:dyDescent="0.25">
      <c r="A1333" t="s">
        <v>4325</v>
      </c>
      <c r="B1333" s="26" t="str">
        <f>MID(tbl_forecast[[#This Row],[PACE Job Number]],3,3)</f>
        <v>NTX</v>
      </c>
      <c r="C1333" t="s">
        <v>14</v>
      </c>
      <c r="D1333" s="1">
        <v>43413</v>
      </c>
      <c r="E1333" s="1">
        <v>43493</v>
      </c>
      <c r="F1333" s="1">
        <v>43493</v>
      </c>
      <c r="G1333" s="1"/>
      <c r="H1333" t="s">
        <v>4664</v>
      </c>
      <c r="I1333" t="s">
        <v>5645</v>
      </c>
    </row>
    <row r="1334" spans="1:9" x14ac:dyDescent="0.25">
      <c r="A1334" t="s">
        <v>2363</v>
      </c>
      <c r="B1334" s="26" t="str">
        <f>MID(tbl_forecast[[#This Row],[PACE Job Number]],3,3)</f>
        <v>NTX</v>
      </c>
      <c r="C1334" t="s">
        <v>14</v>
      </c>
      <c r="D1334" s="1">
        <v>43406</v>
      </c>
      <c r="E1334" s="1">
        <v>43406</v>
      </c>
      <c r="F1334" s="1">
        <v>43410</v>
      </c>
      <c r="G1334" s="1">
        <v>43410</v>
      </c>
      <c r="H1334" t="s">
        <v>9</v>
      </c>
      <c r="I1334" t="s">
        <v>10</v>
      </c>
    </row>
    <row r="1335" spans="1:9" x14ac:dyDescent="0.25">
      <c r="A1335" t="s">
        <v>2483</v>
      </c>
      <c r="B1335" s="26" t="str">
        <f>MID(tbl_forecast[[#This Row],[PACE Job Number]],3,3)</f>
        <v>NTX</v>
      </c>
      <c r="C1335" t="s">
        <v>14</v>
      </c>
      <c r="D1335" s="1">
        <v>43416</v>
      </c>
      <c r="E1335" s="1">
        <v>43493</v>
      </c>
      <c r="F1335" s="1">
        <v>43493</v>
      </c>
      <c r="G1335" s="1"/>
      <c r="H1335" t="s">
        <v>4664</v>
      </c>
      <c r="I1335" t="s">
        <v>5645</v>
      </c>
    </row>
    <row r="1336" spans="1:9" x14ac:dyDescent="0.25">
      <c r="A1336" t="s">
        <v>5435</v>
      </c>
      <c r="B1336" s="26" t="str">
        <f>MID(tbl_forecast[[#This Row],[PACE Job Number]],3,3)</f>
        <v>NTX</v>
      </c>
      <c r="C1336" t="s">
        <v>14</v>
      </c>
      <c r="D1336" s="1">
        <v>43409</v>
      </c>
      <c r="E1336" s="1">
        <v>43430</v>
      </c>
      <c r="F1336" s="1">
        <v>43428</v>
      </c>
      <c r="G1336" s="1">
        <v>43428</v>
      </c>
      <c r="H1336" t="s">
        <v>4664</v>
      </c>
      <c r="I1336" t="s">
        <v>10</v>
      </c>
    </row>
    <row r="1337" spans="1:9" x14ac:dyDescent="0.25">
      <c r="A1337" t="s">
        <v>5436</v>
      </c>
      <c r="B1337" s="26" t="str">
        <f>MID(tbl_forecast[[#This Row],[PACE Job Number]],3,3)</f>
        <v>NTX</v>
      </c>
      <c r="C1337" t="s">
        <v>14</v>
      </c>
      <c r="D1337" s="1">
        <v>43409</v>
      </c>
      <c r="E1337" s="1">
        <v>43430</v>
      </c>
      <c r="F1337" s="1">
        <v>43428</v>
      </c>
      <c r="G1337" s="1">
        <v>43428</v>
      </c>
      <c r="H1337" t="s">
        <v>4664</v>
      </c>
      <c r="I1337" t="s">
        <v>10</v>
      </c>
    </row>
    <row r="1338" spans="1:9" x14ac:dyDescent="0.25">
      <c r="A1338" t="s">
        <v>4311</v>
      </c>
      <c r="B1338" s="26" t="str">
        <f>MID(tbl_forecast[[#This Row],[PACE Job Number]],3,3)</f>
        <v>NTX</v>
      </c>
      <c r="C1338" t="s">
        <v>14</v>
      </c>
      <c r="D1338" s="1">
        <v>43406</v>
      </c>
      <c r="E1338" s="1">
        <v>43434</v>
      </c>
      <c r="F1338" s="1">
        <v>43433</v>
      </c>
      <c r="G1338" s="1">
        <v>43433</v>
      </c>
      <c r="H1338" t="s">
        <v>4664</v>
      </c>
      <c r="I1338" t="s">
        <v>10</v>
      </c>
    </row>
    <row r="1339" spans="1:9" x14ac:dyDescent="0.25">
      <c r="A1339" t="s">
        <v>5437</v>
      </c>
      <c r="B1339" s="26" t="str">
        <f>MID(tbl_forecast[[#This Row],[PACE Job Number]],3,3)</f>
        <v>WSH</v>
      </c>
      <c r="C1339" t="s">
        <v>14</v>
      </c>
      <c r="D1339" s="1">
        <v>43423</v>
      </c>
      <c r="E1339" s="1">
        <v>43420</v>
      </c>
      <c r="F1339" s="1">
        <v>43420</v>
      </c>
      <c r="G1339" s="1">
        <v>43420</v>
      </c>
      <c r="H1339" t="s">
        <v>9</v>
      </c>
      <c r="I1339" t="s">
        <v>10</v>
      </c>
    </row>
    <row r="1340" spans="1:9" x14ac:dyDescent="0.25">
      <c r="A1340" t="s">
        <v>5284</v>
      </c>
      <c r="B1340" s="26" t="str">
        <f>MID(tbl_forecast[[#This Row],[PACE Job Number]],3,3)</f>
        <v>WSH</v>
      </c>
      <c r="C1340" t="s">
        <v>14</v>
      </c>
      <c r="D1340" s="1">
        <v>43409</v>
      </c>
      <c r="E1340" s="1">
        <v>43444</v>
      </c>
      <c r="F1340" s="1">
        <v>43444</v>
      </c>
      <c r="G1340" s="1"/>
      <c r="H1340" t="s">
        <v>4664</v>
      </c>
      <c r="I1340" t="s">
        <v>5645</v>
      </c>
    </row>
    <row r="1341" spans="1:9" x14ac:dyDescent="0.25">
      <c r="A1341" t="s">
        <v>5438</v>
      </c>
      <c r="B1341" s="26" t="str">
        <f>MID(tbl_forecast[[#This Row],[PACE Job Number]],3,3)</f>
        <v>WSH</v>
      </c>
      <c r="C1341" t="s">
        <v>14</v>
      </c>
      <c r="D1341" s="1">
        <v>43430</v>
      </c>
      <c r="E1341" s="1">
        <v>43420</v>
      </c>
      <c r="F1341" s="1">
        <v>43420</v>
      </c>
      <c r="G1341" s="1">
        <v>43420</v>
      </c>
      <c r="H1341" t="s">
        <v>9</v>
      </c>
      <c r="I1341" t="s">
        <v>10</v>
      </c>
    </row>
    <row r="1342" spans="1:9" x14ac:dyDescent="0.25">
      <c r="A1342" t="s">
        <v>5285</v>
      </c>
      <c r="B1342" s="26" t="str">
        <f>MID(tbl_forecast[[#This Row],[PACE Job Number]],3,3)</f>
        <v>WSH</v>
      </c>
      <c r="C1342" t="s">
        <v>14</v>
      </c>
      <c r="D1342" s="1">
        <v>43416</v>
      </c>
      <c r="E1342" s="1">
        <v>43437</v>
      </c>
      <c r="F1342" s="1">
        <v>43437</v>
      </c>
      <c r="G1342" s="1"/>
      <c r="H1342" t="s">
        <v>4664</v>
      </c>
      <c r="I1342" t="s">
        <v>5645</v>
      </c>
    </row>
    <row r="1343" spans="1:9" x14ac:dyDescent="0.25">
      <c r="A1343" t="s">
        <v>4199</v>
      </c>
      <c r="B1343" s="26" t="str">
        <f>MID(tbl_forecast[[#This Row],[PACE Job Number]],3,3)</f>
        <v>WSH</v>
      </c>
      <c r="C1343" t="s">
        <v>14</v>
      </c>
      <c r="D1343" s="1">
        <v>43410</v>
      </c>
      <c r="E1343" s="1">
        <v>43430</v>
      </c>
      <c r="F1343" s="1">
        <v>43430</v>
      </c>
      <c r="G1343" s="1">
        <v>43430</v>
      </c>
      <c r="H1343" t="s">
        <v>4664</v>
      </c>
      <c r="I1343" t="s">
        <v>10</v>
      </c>
    </row>
    <row r="1344" spans="1:9" x14ac:dyDescent="0.25">
      <c r="A1344" t="s">
        <v>3800</v>
      </c>
      <c r="B1344" s="26" t="str">
        <f>MID(tbl_forecast[[#This Row],[PACE Job Number]],3,3)</f>
        <v>WSH</v>
      </c>
      <c r="C1344" t="s">
        <v>14</v>
      </c>
      <c r="D1344" s="1">
        <v>43411</v>
      </c>
      <c r="E1344" s="1">
        <v>43423</v>
      </c>
      <c r="F1344" s="1">
        <v>43423</v>
      </c>
      <c r="G1344" s="1">
        <v>43423</v>
      </c>
      <c r="H1344" t="s">
        <v>9</v>
      </c>
      <c r="I1344" t="s">
        <v>10</v>
      </c>
    </row>
    <row r="1345" spans="1:9" x14ac:dyDescent="0.25">
      <c r="A1345" t="s">
        <v>5286</v>
      </c>
      <c r="B1345" s="26" t="str">
        <f>MID(tbl_forecast[[#This Row],[PACE Job Number]],3,3)</f>
        <v>WSH</v>
      </c>
      <c r="C1345" t="s">
        <v>14</v>
      </c>
      <c r="D1345" s="1">
        <v>43413</v>
      </c>
      <c r="E1345" s="1">
        <v>43486</v>
      </c>
      <c r="F1345" s="1">
        <v>43413</v>
      </c>
      <c r="G1345" s="1"/>
      <c r="H1345" t="s">
        <v>9</v>
      </c>
      <c r="I1345" t="s">
        <v>44</v>
      </c>
    </row>
    <row r="1346" spans="1:9" x14ac:dyDescent="0.25">
      <c r="A1346" t="s">
        <v>5287</v>
      </c>
      <c r="B1346" s="26" t="str">
        <f>MID(tbl_forecast[[#This Row],[PACE Job Number]],3,3)</f>
        <v>WSH</v>
      </c>
      <c r="C1346" t="s">
        <v>14</v>
      </c>
      <c r="D1346" s="1">
        <v>43430</v>
      </c>
      <c r="E1346" s="1">
        <v>43437</v>
      </c>
      <c r="F1346" s="1">
        <v>43437</v>
      </c>
      <c r="G1346" s="1"/>
      <c r="H1346" t="s">
        <v>9</v>
      </c>
      <c r="I1346" t="s">
        <v>27</v>
      </c>
    </row>
    <row r="1347" spans="1:9" x14ac:dyDescent="0.25">
      <c r="A1347" t="s">
        <v>5288</v>
      </c>
      <c r="B1347" s="26" t="str">
        <f>MID(tbl_forecast[[#This Row],[PACE Job Number]],3,3)</f>
        <v>WSH</v>
      </c>
      <c r="C1347" t="s">
        <v>14</v>
      </c>
      <c r="D1347" s="1">
        <v>43416</v>
      </c>
      <c r="E1347" s="1">
        <v>43417</v>
      </c>
      <c r="F1347" s="1">
        <v>43417</v>
      </c>
      <c r="G1347" s="1">
        <v>43417</v>
      </c>
      <c r="H1347" t="s">
        <v>9</v>
      </c>
      <c r="I1347" t="s">
        <v>10</v>
      </c>
    </row>
    <row r="1348" spans="1:9" x14ac:dyDescent="0.25">
      <c r="A1348" t="s">
        <v>3801</v>
      </c>
      <c r="B1348" s="26" t="str">
        <f>MID(tbl_forecast[[#This Row],[PACE Job Number]],3,3)</f>
        <v>WSH</v>
      </c>
      <c r="C1348" t="s">
        <v>14</v>
      </c>
      <c r="D1348" s="1">
        <v>43409</v>
      </c>
      <c r="E1348" s="1">
        <v>43411</v>
      </c>
      <c r="F1348" s="1">
        <v>43411</v>
      </c>
      <c r="G1348" s="1">
        <v>43411</v>
      </c>
      <c r="H1348" t="s">
        <v>9</v>
      </c>
      <c r="I1348" t="s">
        <v>10</v>
      </c>
    </row>
    <row r="1349" spans="1:9" x14ac:dyDescent="0.25">
      <c r="A1349" t="s">
        <v>5289</v>
      </c>
      <c r="B1349" s="26" t="str">
        <f>MID(tbl_forecast[[#This Row],[PACE Job Number]],3,3)</f>
        <v>WSH</v>
      </c>
      <c r="C1349" t="s">
        <v>14</v>
      </c>
      <c r="D1349" s="1">
        <v>43416</v>
      </c>
      <c r="E1349" s="1">
        <v>43420</v>
      </c>
      <c r="F1349" s="1">
        <v>43420</v>
      </c>
      <c r="G1349" s="1">
        <v>43420</v>
      </c>
      <c r="H1349" t="s">
        <v>9</v>
      </c>
      <c r="I1349" t="s">
        <v>10</v>
      </c>
    </row>
    <row r="1350" spans="1:9" x14ac:dyDescent="0.25">
      <c r="A1350" t="s">
        <v>5290</v>
      </c>
      <c r="B1350" s="26" t="str">
        <f>MID(tbl_forecast[[#This Row],[PACE Job Number]],3,3)</f>
        <v>WSH</v>
      </c>
      <c r="C1350" t="s">
        <v>14</v>
      </c>
      <c r="D1350" s="1">
        <v>43430</v>
      </c>
      <c r="E1350" s="1">
        <v>43423</v>
      </c>
      <c r="F1350" s="1">
        <v>43423</v>
      </c>
      <c r="G1350" s="1">
        <v>43423</v>
      </c>
      <c r="H1350" t="s">
        <v>9</v>
      </c>
      <c r="I1350" t="s">
        <v>10</v>
      </c>
    </row>
    <row r="1351" spans="1:9" x14ac:dyDescent="0.25">
      <c r="A1351" t="s">
        <v>5291</v>
      </c>
      <c r="B1351" s="26" t="str">
        <f>MID(tbl_forecast[[#This Row],[PACE Job Number]],3,3)</f>
        <v>WSH</v>
      </c>
      <c r="C1351" t="s">
        <v>14</v>
      </c>
      <c r="D1351" s="1">
        <v>43409</v>
      </c>
      <c r="E1351" s="1">
        <v>43409</v>
      </c>
      <c r="F1351" s="1">
        <v>43409</v>
      </c>
      <c r="G1351" s="1">
        <v>43409</v>
      </c>
      <c r="H1351" t="s">
        <v>9</v>
      </c>
      <c r="I1351" t="s">
        <v>10</v>
      </c>
    </row>
    <row r="1352" spans="1:9" x14ac:dyDescent="0.25">
      <c r="A1352" t="s">
        <v>5292</v>
      </c>
      <c r="B1352" s="26" t="str">
        <f>MID(tbl_forecast[[#This Row],[PACE Job Number]],3,3)</f>
        <v>WSH</v>
      </c>
      <c r="C1352" t="s">
        <v>14</v>
      </c>
      <c r="D1352" s="1">
        <v>43416</v>
      </c>
      <c r="E1352" s="1">
        <v>43417</v>
      </c>
      <c r="F1352" s="1">
        <v>43417</v>
      </c>
      <c r="G1352" s="1">
        <v>43417</v>
      </c>
      <c r="H1352" t="s">
        <v>9</v>
      </c>
      <c r="I1352" t="s">
        <v>10</v>
      </c>
    </row>
    <row r="1353" spans="1:9" x14ac:dyDescent="0.25">
      <c r="A1353" t="s">
        <v>5293</v>
      </c>
      <c r="B1353" s="26" t="str">
        <f>MID(tbl_forecast[[#This Row],[PACE Job Number]],3,3)</f>
        <v>WSH</v>
      </c>
      <c r="C1353" t="s">
        <v>14</v>
      </c>
      <c r="D1353" s="1">
        <v>43413</v>
      </c>
      <c r="E1353" s="1">
        <v>43486</v>
      </c>
      <c r="F1353" s="1">
        <v>43413</v>
      </c>
      <c r="G1353" s="1"/>
      <c r="H1353" t="s">
        <v>9</v>
      </c>
      <c r="I1353" t="s">
        <v>44</v>
      </c>
    </row>
    <row r="1354" spans="1:9" x14ac:dyDescent="0.25">
      <c r="A1354" t="s">
        <v>3808</v>
      </c>
      <c r="B1354" s="26" t="str">
        <f>MID(tbl_forecast[[#This Row],[PACE Job Number]],3,3)</f>
        <v>WSH</v>
      </c>
      <c r="C1354" t="s">
        <v>14</v>
      </c>
      <c r="D1354" s="1">
        <v>43411</v>
      </c>
      <c r="E1354" s="1">
        <v>43423</v>
      </c>
      <c r="F1354" s="1">
        <v>43423</v>
      </c>
      <c r="G1354" s="1">
        <v>43423</v>
      </c>
      <c r="H1354" t="s">
        <v>9</v>
      </c>
      <c r="I1354" t="s">
        <v>10</v>
      </c>
    </row>
    <row r="1355" spans="1:9" x14ac:dyDescent="0.25">
      <c r="A1355" t="s">
        <v>5294</v>
      </c>
      <c r="B1355" s="26" t="str">
        <f>MID(tbl_forecast[[#This Row],[PACE Job Number]],3,3)</f>
        <v>WSH</v>
      </c>
      <c r="C1355" t="s">
        <v>14</v>
      </c>
      <c r="D1355" s="1">
        <v>43416</v>
      </c>
      <c r="E1355" s="1">
        <v>43420</v>
      </c>
      <c r="F1355" s="1">
        <v>43420</v>
      </c>
      <c r="G1355" s="1">
        <v>43420</v>
      </c>
      <c r="H1355" t="s">
        <v>9</v>
      </c>
      <c r="I1355" t="s">
        <v>10</v>
      </c>
    </row>
    <row r="1356" spans="1:9" x14ac:dyDescent="0.25">
      <c r="A1356" t="s">
        <v>3901</v>
      </c>
      <c r="B1356" s="26" t="str">
        <f>MID(tbl_forecast[[#This Row],[PACE Job Number]],3,3)</f>
        <v>WSH</v>
      </c>
      <c r="C1356" t="s">
        <v>14</v>
      </c>
      <c r="D1356" s="1">
        <v>43411</v>
      </c>
      <c r="E1356" s="1">
        <v>43416</v>
      </c>
      <c r="F1356" s="1">
        <v>43416</v>
      </c>
      <c r="G1356" s="1">
        <v>43416</v>
      </c>
      <c r="H1356" t="s">
        <v>9</v>
      </c>
      <c r="I1356" t="s">
        <v>10</v>
      </c>
    </row>
    <row r="1357" spans="1:9" x14ac:dyDescent="0.25">
      <c r="A1357" t="s">
        <v>5295</v>
      </c>
      <c r="B1357" s="26" t="str">
        <f>MID(tbl_forecast[[#This Row],[PACE Job Number]],3,3)</f>
        <v>WSH</v>
      </c>
      <c r="C1357" t="s">
        <v>14</v>
      </c>
      <c r="D1357" s="1">
        <v>43416</v>
      </c>
      <c r="E1357" s="1">
        <v>43417</v>
      </c>
      <c r="F1357" s="1">
        <v>43416</v>
      </c>
      <c r="G1357" s="1">
        <v>43416</v>
      </c>
      <c r="H1357" t="s">
        <v>9</v>
      </c>
      <c r="I1357" t="s">
        <v>10</v>
      </c>
    </row>
    <row r="1358" spans="1:9" x14ac:dyDescent="0.25">
      <c r="A1358" t="s">
        <v>5296</v>
      </c>
      <c r="B1358" s="26" t="str">
        <f>MID(tbl_forecast[[#This Row],[PACE Job Number]],3,3)</f>
        <v>WSH</v>
      </c>
      <c r="C1358" t="s">
        <v>14</v>
      </c>
      <c r="D1358" s="1">
        <v>43430</v>
      </c>
      <c r="E1358" s="1">
        <v>43437</v>
      </c>
      <c r="F1358" s="1">
        <v>43437</v>
      </c>
      <c r="G1358" s="1"/>
      <c r="H1358" t="s">
        <v>9</v>
      </c>
      <c r="I1358" t="s">
        <v>27</v>
      </c>
    </row>
    <row r="1359" spans="1:9" x14ac:dyDescent="0.25">
      <c r="A1359" t="s">
        <v>351</v>
      </c>
      <c r="B1359" s="26" t="str">
        <f>MID(tbl_forecast[[#This Row],[PACE Job Number]],3,3)</f>
        <v>WSH</v>
      </c>
      <c r="C1359" t="s">
        <v>14</v>
      </c>
      <c r="D1359" s="1">
        <v>43416</v>
      </c>
      <c r="E1359" s="1">
        <v>43417</v>
      </c>
      <c r="F1359" s="1">
        <v>43417</v>
      </c>
      <c r="G1359" s="1">
        <v>43417</v>
      </c>
      <c r="H1359" t="s">
        <v>9</v>
      </c>
      <c r="I1359" t="s">
        <v>10</v>
      </c>
    </row>
    <row r="1360" spans="1:9" x14ac:dyDescent="0.25">
      <c r="A1360" t="s">
        <v>5439</v>
      </c>
      <c r="B1360" s="26" t="str">
        <f>MID(tbl_forecast[[#This Row],[PACE Job Number]],3,3)</f>
        <v>WSH</v>
      </c>
      <c r="C1360" t="s">
        <v>14</v>
      </c>
      <c r="D1360" s="1">
        <v>43430</v>
      </c>
      <c r="E1360" s="1">
        <v>43420</v>
      </c>
      <c r="F1360" s="1">
        <v>43420</v>
      </c>
      <c r="G1360" s="1">
        <v>43420</v>
      </c>
      <c r="H1360" t="s">
        <v>9</v>
      </c>
      <c r="I1360" t="s">
        <v>10</v>
      </c>
    </row>
    <row r="1361" spans="1:9" x14ac:dyDescent="0.25">
      <c r="A1361" t="s">
        <v>5297</v>
      </c>
      <c r="B1361" s="26" t="str">
        <f>MID(tbl_forecast[[#This Row],[PACE Job Number]],3,3)</f>
        <v>WSH</v>
      </c>
      <c r="C1361" t="s">
        <v>14</v>
      </c>
      <c r="D1361" s="1">
        <v>43416</v>
      </c>
      <c r="E1361" s="1">
        <v>43420</v>
      </c>
      <c r="F1361" s="1">
        <v>43420</v>
      </c>
      <c r="G1361" s="1">
        <v>43420</v>
      </c>
      <c r="H1361" t="s">
        <v>9</v>
      </c>
      <c r="I1361" t="s">
        <v>10</v>
      </c>
    </row>
    <row r="1362" spans="1:9" x14ac:dyDescent="0.25">
      <c r="A1362" t="s">
        <v>5298</v>
      </c>
      <c r="B1362" s="26" t="str">
        <f>MID(tbl_forecast[[#This Row],[PACE Job Number]],3,3)</f>
        <v>WSH</v>
      </c>
      <c r="C1362" t="s">
        <v>14</v>
      </c>
      <c r="D1362" s="1">
        <v>43416</v>
      </c>
      <c r="E1362" s="1">
        <v>43420</v>
      </c>
      <c r="F1362" s="1">
        <v>43420</v>
      </c>
      <c r="G1362" s="1">
        <v>43420</v>
      </c>
      <c r="H1362" t="s">
        <v>9</v>
      </c>
      <c r="I1362" t="s">
        <v>10</v>
      </c>
    </row>
    <row r="1363" spans="1:9" x14ac:dyDescent="0.25">
      <c r="A1363" t="s">
        <v>4202</v>
      </c>
      <c r="B1363" s="26" t="str">
        <f>MID(tbl_forecast[[#This Row],[PACE Job Number]],3,3)</f>
        <v>WSH</v>
      </c>
      <c r="C1363" t="s">
        <v>14</v>
      </c>
      <c r="D1363" s="1">
        <v>43423</v>
      </c>
      <c r="E1363" s="1">
        <v>43472</v>
      </c>
      <c r="F1363" s="1">
        <v>43472</v>
      </c>
      <c r="G1363" s="1"/>
      <c r="H1363" t="s">
        <v>4664</v>
      </c>
      <c r="I1363" t="s">
        <v>4665</v>
      </c>
    </row>
    <row r="1364" spans="1:9" x14ac:dyDescent="0.25">
      <c r="A1364" t="s">
        <v>5299</v>
      </c>
      <c r="B1364" s="26" t="str">
        <f>MID(tbl_forecast[[#This Row],[PACE Job Number]],3,3)</f>
        <v>WSH</v>
      </c>
      <c r="C1364" t="s">
        <v>14</v>
      </c>
      <c r="D1364" s="1">
        <v>43430</v>
      </c>
      <c r="E1364" s="1">
        <v>43439</v>
      </c>
      <c r="F1364" s="1">
        <v>43439</v>
      </c>
      <c r="G1364" s="1"/>
      <c r="H1364" t="s">
        <v>9</v>
      </c>
      <c r="I1364" t="s">
        <v>27</v>
      </c>
    </row>
    <row r="1365" spans="1:9" x14ac:dyDescent="0.25">
      <c r="A1365" t="s">
        <v>176</v>
      </c>
      <c r="B1365" s="26" t="str">
        <f>MID(tbl_forecast[[#This Row],[PACE Job Number]],3,3)</f>
        <v>STX</v>
      </c>
      <c r="C1365" t="s">
        <v>14</v>
      </c>
      <c r="D1365" s="1">
        <v>43416</v>
      </c>
      <c r="E1365" s="1">
        <v>43416</v>
      </c>
      <c r="F1365" s="1">
        <v>43433</v>
      </c>
      <c r="G1365" s="1"/>
      <c r="H1365" t="s">
        <v>4664</v>
      </c>
      <c r="I1365" t="s">
        <v>4666</v>
      </c>
    </row>
    <row r="1366" spans="1:9" x14ac:dyDescent="0.25">
      <c r="A1366" t="s">
        <v>142</v>
      </c>
      <c r="B1366" s="26" t="str">
        <f>MID(tbl_forecast[[#This Row],[PACE Job Number]],3,3)</f>
        <v>STX</v>
      </c>
      <c r="C1366" t="s">
        <v>14</v>
      </c>
      <c r="D1366" s="1">
        <v>43416</v>
      </c>
      <c r="E1366" s="1">
        <v>43416</v>
      </c>
      <c r="F1366" s="1">
        <v>43433</v>
      </c>
      <c r="G1366" s="1"/>
      <c r="H1366" t="s">
        <v>4664</v>
      </c>
      <c r="I1366" t="s">
        <v>4666</v>
      </c>
    </row>
    <row r="1367" spans="1:9" x14ac:dyDescent="0.25">
      <c r="A1367" t="s">
        <v>5440</v>
      </c>
      <c r="B1367" s="26" t="str">
        <f>MID(tbl_forecast[[#This Row],[PACE Job Number]],3,3)</f>
        <v>STX</v>
      </c>
      <c r="C1367" t="s">
        <v>14</v>
      </c>
      <c r="D1367" s="1">
        <v>43416</v>
      </c>
      <c r="E1367" s="1">
        <v>43447</v>
      </c>
      <c r="F1367" s="1">
        <v>43447</v>
      </c>
      <c r="G1367" s="1"/>
      <c r="H1367" t="s">
        <v>4664</v>
      </c>
      <c r="I1367" t="s">
        <v>5645</v>
      </c>
    </row>
    <row r="1368" spans="1:9" x14ac:dyDescent="0.25">
      <c r="A1368" t="s">
        <v>4493</v>
      </c>
      <c r="B1368" s="26" t="str">
        <f>MID(tbl_forecast[[#This Row],[PACE Job Number]],3,3)</f>
        <v>STX</v>
      </c>
      <c r="C1368" t="s">
        <v>14</v>
      </c>
      <c r="D1368" s="1">
        <v>43416</v>
      </c>
      <c r="E1368" s="1">
        <v>43416</v>
      </c>
      <c r="F1368" s="1">
        <v>43413</v>
      </c>
      <c r="G1368" s="1">
        <v>43413</v>
      </c>
      <c r="H1368" t="s">
        <v>9</v>
      </c>
      <c r="I1368" t="s">
        <v>10</v>
      </c>
    </row>
    <row r="1369" spans="1:9" x14ac:dyDescent="0.25">
      <c r="A1369" t="s">
        <v>3490</v>
      </c>
      <c r="B1369" s="26" t="str">
        <f>MID(tbl_forecast[[#This Row],[PACE Job Number]],3,3)</f>
        <v>STX</v>
      </c>
      <c r="C1369" t="s">
        <v>14</v>
      </c>
      <c r="D1369" s="1">
        <v>43419</v>
      </c>
      <c r="E1369" s="1">
        <v>43447</v>
      </c>
      <c r="F1369" s="1">
        <v>43447</v>
      </c>
      <c r="G1369" s="1"/>
      <c r="H1369" t="s">
        <v>4664</v>
      </c>
      <c r="I1369" t="s">
        <v>5645</v>
      </c>
    </row>
    <row r="1370" spans="1:9" x14ac:dyDescent="0.25">
      <c r="A1370" t="s">
        <v>5441</v>
      </c>
      <c r="B1370" s="26" t="str">
        <f>MID(tbl_forecast[[#This Row],[PACE Job Number]],3,3)</f>
        <v>STX</v>
      </c>
      <c r="C1370" t="s">
        <v>14</v>
      </c>
      <c r="D1370" s="1">
        <v>43416</v>
      </c>
      <c r="E1370" s="1">
        <v>43416</v>
      </c>
      <c r="F1370" s="1">
        <v>43423</v>
      </c>
      <c r="G1370" s="1">
        <v>43423</v>
      </c>
      <c r="H1370" t="s">
        <v>9</v>
      </c>
      <c r="I1370" t="s">
        <v>10</v>
      </c>
    </row>
    <row r="1371" spans="1:9" x14ac:dyDescent="0.25">
      <c r="A1371" t="s">
        <v>5442</v>
      </c>
      <c r="B1371" s="26" t="str">
        <f>MID(tbl_forecast[[#This Row],[PACE Job Number]],3,3)</f>
        <v>STX</v>
      </c>
      <c r="C1371" t="s">
        <v>14</v>
      </c>
      <c r="D1371" s="1">
        <v>43419</v>
      </c>
      <c r="E1371" s="1">
        <v>43419</v>
      </c>
      <c r="F1371" s="1">
        <v>43417</v>
      </c>
      <c r="G1371" s="1">
        <v>43417</v>
      </c>
      <c r="H1371" t="s">
        <v>9</v>
      </c>
      <c r="I1371" t="s">
        <v>10</v>
      </c>
    </row>
    <row r="1372" spans="1:9" x14ac:dyDescent="0.25">
      <c r="A1372" t="s">
        <v>722</v>
      </c>
      <c r="B1372" s="26" t="str">
        <f>MID(tbl_forecast[[#This Row],[PACE Job Number]],3,3)</f>
        <v>STX</v>
      </c>
      <c r="C1372" t="s">
        <v>14</v>
      </c>
      <c r="D1372" s="1">
        <v>43419</v>
      </c>
      <c r="E1372" s="1">
        <v>43443</v>
      </c>
      <c r="F1372" s="1">
        <v>43443</v>
      </c>
      <c r="G1372" s="1"/>
      <c r="H1372" t="s">
        <v>4664</v>
      </c>
      <c r="I1372" t="s">
        <v>5645</v>
      </c>
    </row>
    <row r="1373" spans="1:9" x14ac:dyDescent="0.25">
      <c r="A1373" t="s">
        <v>5443</v>
      </c>
      <c r="B1373" s="26" t="str">
        <f>MID(tbl_forecast[[#This Row],[PACE Job Number]],3,3)</f>
        <v>STX</v>
      </c>
      <c r="C1373" t="s">
        <v>14</v>
      </c>
      <c r="D1373" s="1">
        <v>43416</v>
      </c>
      <c r="E1373" s="1">
        <v>43439</v>
      </c>
      <c r="F1373" s="1">
        <v>43439</v>
      </c>
      <c r="G1373" s="1"/>
      <c r="H1373" t="s">
        <v>4664</v>
      </c>
      <c r="I1373" t="s">
        <v>5645</v>
      </c>
    </row>
    <row r="1374" spans="1:9" x14ac:dyDescent="0.25">
      <c r="A1374" t="s">
        <v>4495</v>
      </c>
      <c r="B1374" s="26" t="str">
        <f>MID(tbl_forecast[[#This Row],[PACE Job Number]],3,3)</f>
        <v>STX</v>
      </c>
      <c r="C1374" t="s">
        <v>14</v>
      </c>
      <c r="D1374" s="1">
        <v>43416</v>
      </c>
      <c r="E1374" s="1">
        <v>43441</v>
      </c>
      <c r="F1374" s="1">
        <v>43441</v>
      </c>
      <c r="G1374" s="1"/>
      <c r="H1374" t="s">
        <v>4664</v>
      </c>
      <c r="I1374" t="s">
        <v>5645</v>
      </c>
    </row>
    <row r="1375" spans="1:9" x14ac:dyDescent="0.25">
      <c r="A1375" t="s">
        <v>4496</v>
      </c>
      <c r="B1375" s="26" t="str">
        <f>MID(tbl_forecast[[#This Row],[PACE Job Number]],3,3)</f>
        <v>STX</v>
      </c>
      <c r="C1375" t="s">
        <v>14</v>
      </c>
      <c r="D1375" s="1">
        <v>43416</v>
      </c>
      <c r="E1375" s="1">
        <v>43416</v>
      </c>
      <c r="F1375" s="1">
        <v>43418</v>
      </c>
      <c r="G1375" s="1">
        <v>43418</v>
      </c>
      <c r="H1375" t="s">
        <v>9</v>
      </c>
      <c r="I1375" t="s">
        <v>10</v>
      </c>
    </row>
    <row r="1376" spans="1:9" x14ac:dyDescent="0.25">
      <c r="A1376" t="s">
        <v>5444</v>
      </c>
      <c r="B1376" s="26" t="str">
        <f>MID(tbl_forecast[[#This Row],[PACE Job Number]],3,3)</f>
        <v>STX</v>
      </c>
      <c r="C1376" t="s">
        <v>14</v>
      </c>
      <c r="D1376" s="1">
        <v>43405</v>
      </c>
      <c r="E1376" s="1">
        <v>43439</v>
      </c>
      <c r="F1376" s="1">
        <v>43415</v>
      </c>
      <c r="G1376" s="1">
        <v>43415</v>
      </c>
      <c r="H1376" t="s">
        <v>9</v>
      </c>
      <c r="I1376" t="s">
        <v>10</v>
      </c>
    </row>
    <row r="1377" spans="1:9" x14ac:dyDescent="0.25">
      <c r="A1377" t="s">
        <v>4497</v>
      </c>
      <c r="B1377" s="26" t="str">
        <f>MID(tbl_forecast[[#This Row],[PACE Job Number]],3,3)</f>
        <v>STX</v>
      </c>
      <c r="C1377" t="s">
        <v>14</v>
      </c>
      <c r="D1377" s="1">
        <v>43419</v>
      </c>
      <c r="E1377" s="1">
        <v>43419</v>
      </c>
      <c r="F1377" s="1">
        <v>43416</v>
      </c>
      <c r="G1377" s="1">
        <v>43416</v>
      </c>
      <c r="H1377" t="s">
        <v>9</v>
      </c>
      <c r="I1377" t="s">
        <v>10</v>
      </c>
    </row>
    <row r="1378" spans="1:9" x14ac:dyDescent="0.25">
      <c r="A1378" t="s">
        <v>288</v>
      </c>
      <c r="B1378" s="26" t="str">
        <f>MID(tbl_forecast[[#This Row],[PACE Job Number]],3,3)</f>
        <v>STX</v>
      </c>
      <c r="C1378" t="s">
        <v>14</v>
      </c>
      <c r="D1378" s="1">
        <v>43416</v>
      </c>
      <c r="E1378" s="1">
        <v>43453</v>
      </c>
      <c r="F1378" s="1">
        <v>43451</v>
      </c>
      <c r="G1378" s="1"/>
      <c r="H1378" t="s">
        <v>4664</v>
      </c>
      <c r="I1378" t="s">
        <v>5645</v>
      </c>
    </row>
    <row r="1379" spans="1:9" x14ac:dyDescent="0.25">
      <c r="A1379" t="s">
        <v>5445</v>
      </c>
      <c r="B1379" s="26" t="str">
        <f>MID(tbl_forecast[[#This Row],[PACE Job Number]],3,3)</f>
        <v>STX</v>
      </c>
      <c r="C1379" t="s">
        <v>14</v>
      </c>
      <c r="D1379" s="1">
        <v>43419</v>
      </c>
      <c r="E1379" s="1">
        <v>43419</v>
      </c>
      <c r="F1379" s="1">
        <v>43417</v>
      </c>
      <c r="G1379" s="1">
        <v>43417</v>
      </c>
      <c r="H1379" t="s">
        <v>9</v>
      </c>
      <c r="I1379" t="s">
        <v>10</v>
      </c>
    </row>
    <row r="1380" spans="1:9" x14ac:dyDescent="0.25">
      <c r="A1380" t="s">
        <v>5446</v>
      </c>
      <c r="B1380" s="26" t="str">
        <f>MID(tbl_forecast[[#This Row],[PACE Job Number]],3,3)</f>
        <v>STX</v>
      </c>
      <c r="C1380" t="s">
        <v>14</v>
      </c>
      <c r="D1380" s="1">
        <v>43419</v>
      </c>
      <c r="E1380" s="1">
        <v>43419</v>
      </c>
      <c r="F1380" s="1">
        <v>43417</v>
      </c>
      <c r="G1380" s="1">
        <v>43417</v>
      </c>
      <c r="H1380" t="s">
        <v>9</v>
      </c>
      <c r="I1380" t="s">
        <v>10</v>
      </c>
    </row>
    <row r="1381" spans="1:9" x14ac:dyDescent="0.25">
      <c r="A1381" t="s">
        <v>5447</v>
      </c>
      <c r="B1381" s="26" t="str">
        <f>MID(tbl_forecast[[#This Row],[PACE Job Number]],3,3)</f>
        <v>STX</v>
      </c>
      <c r="C1381" t="s">
        <v>14</v>
      </c>
      <c r="D1381" s="1">
        <v>43419</v>
      </c>
      <c r="E1381" s="1">
        <v>43419</v>
      </c>
      <c r="F1381" s="1">
        <v>43417</v>
      </c>
      <c r="G1381" s="1">
        <v>43417</v>
      </c>
      <c r="H1381" t="s">
        <v>9</v>
      </c>
      <c r="I1381" t="s">
        <v>10</v>
      </c>
    </row>
    <row r="1382" spans="1:9" x14ac:dyDescent="0.25">
      <c r="A1382" t="s">
        <v>5448</v>
      </c>
      <c r="B1382" s="26" t="str">
        <f>MID(tbl_forecast[[#This Row],[PACE Job Number]],3,3)</f>
        <v>STX</v>
      </c>
      <c r="C1382" t="s">
        <v>14</v>
      </c>
      <c r="D1382" s="1">
        <v>43419</v>
      </c>
      <c r="E1382" s="1">
        <v>43419</v>
      </c>
      <c r="F1382" s="1">
        <v>43417</v>
      </c>
      <c r="G1382" s="1">
        <v>43417</v>
      </c>
      <c r="H1382" t="s">
        <v>9</v>
      </c>
      <c r="I1382" t="s">
        <v>10</v>
      </c>
    </row>
    <row r="1383" spans="1:9" x14ac:dyDescent="0.25">
      <c r="A1383" t="s">
        <v>5449</v>
      </c>
      <c r="B1383" s="26" t="str">
        <f>MID(tbl_forecast[[#This Row],[PACE Job Number]],3,3)</f>
        <v>NTX</v>
      </c>
      <c r="C1383" t="s">
        <v>14</v>
      </c>
      <c r="D1383" s="1">
        <v>43409</v>
      </c>
      <c r="E1383" s="1">
        <v>43430</v>
      </c>
      <c r="F1383" s="1">
        <v>43428</v>
      </c>
      <c r="G1383" s="1">
        <v>43428</v>
      </c>
      <c r="H1383" t="s">
        <v>4664</v>
      </c>
      <c r="I1383" t="s">
        <v>10</v>
      </c>
    </row>
    <row r="1384" spans="1:9" x14ac:dyDescent="0.25">
      <c r="A1384" t="s">
        <v>5450</v>
      </c>
      <c r="B1384" s="26" t="str">
        <f>MID(tbl_forecast[[#This Row],[PACE Job Number]],3,3)</f>
        <v>NTX</v>
      </c>
      <c r="C1384" t="s">
        <v>14</v>
      </c>
      <c r="D1384" s="1">
        <v>43406</v>
      </c>
      <c r="E1384" s="1">
        <v>43432</v>
      </c>
      <c r="F1384" s="1">
        <v>43425</v>
      </c>
      <c r="G1384" s="1">
        <v>43425</v>
      </c>
      <c r="H1384" t="s">
        <v>4664</v>
      </c>
      <c r="I1384" t="s">
        <v>10</v>
      </c>
    </row>
    <row r="1385" spans="1:9" x14ac:dyDescent="0.25">
      <c r="A1385" t="s">
        <v>5451</v>
      </c>
      <c r="B1385" s="26" t="str">
        <f>MID(tbl_forecast[[#This Row],[PACE Job Number]],3,3)</f>
        <v>NTX</v>
      </c>
      <c r="C1385" t="s">
        <v>14</v>
      </c>
      <c r="D1385" s="1">
        <v>43406</v>
      </c>
      <c r="E1385" s="1">
        <v>43432</v>
      </c>
      <c r="F1385" s="1">
        <v>43425</v>
      </c>
      <c r="G1385" s="1">
        <v>43425</v>
      </c>
      <c r="H1385" t="s">
        <v>4664</v>
      </c>
      <c r="I1385" t="s">
        <v>10</v>
      </c>
    </row>
    <row r="1386" spans="1:9" x14ac:dyDescent="0.25">
      <c r="A1386" t="s">
        <v>5452</v>
      </c>
      <c r="B1386" s="26" t="str">
        <f>MID(tbl_forecast[[#This Row],[PACE Job Number]],3,3)</f>
        <v>NTX</v>
      </c>
      <c r="C1386" t="s">
        <v>14</v>
      </c>
      <c r="D1386" s="1">
        <v>43416</v>
      </c>
      <c r="E1386" s="1">
        <v>43423</v>
      </c>
      <c r="F1386" s="1">
        <v>43421</v>
      </c>
      <c r="G1386" s="1">
        <v>43421</v>
      </c>
      <c r="H1386" t="s">
        <v>9</v>
      </c>
      <c r="I1386" t="s">
        <v>10</v>
      </c>
    </row>
    <row r="1387" spans="1:9" x14ac:dyDescent="0.25">
      <c r="A1387" t="s">
        <v>2489</v>
      </c>
      <c r="B1387" s="26" t="str">
        <f>MID(tbl_forecast[[#This Row],[PACE Job Number]],3,3)</f>
        <v>NTX</v>
      </c>
      <c r="C1387" t="s">
        <v>14</v>
      </c>
      <c r="D1387" s="1">
        <v>43416</v>
      </c>
      <c r="E1387" s="1">
        <v>43493</v>
      </c>
      <c r="F1387" s="1">
        <v>43493</v>
      </c>
      <c r="G1387" s="1"/>
      <c r="H1387" t="s">
        <v>4664</v>
      </c>
      <c r="I1387" t="s">
        <v>5645</v>
      </c>
    </row>
    <row r="1388" spans="1:9" x14ac:dyDescent="0.25">
      <c r="A1388" t="s">
        <v>3985</v>
      </c>
      <c r="B1388" s="26" t="str">
        <f>MID(tbl_forecast[[#This Row],[PACE Job Number]],3,3)</f>
        <v>NTX</v>
      </c>
      <c r="C1388" t="s">
        <v>14</v>
      </c>
      <c r="D1388" s="1">
        <v>43405</v>
      </c>
      <c r="E1388" s="1">
        <v>43406</v>
      </c>
      <c r="F1388" s="1">
        <v>43405</v>
      </c>
      <c r="G1388" s="1">
        <v>43405</v>
      </c>
      <c r="H1388" t="s">
        <v>9</v>
      </c>
      <c r="I1388" t="s">
        <v>10</v>
      </c>
    </row>
    <row r="1389" spans="1:9" x14ac:dyDescent="0.25">
      <c r="A1389" t="s">
        <v>2572</v>
      </c>
      <c r="B1389" s="26" t="str">
        <f>MID(tbl_forecast[[#This Row],[PACE Job Number]],3,3)</f>
        <v>STX</v>
      </c>
      <c r="C1389" t="s">
        <v>14</v>
      </c>
      <c r="D1389" s="1">
        <v>43420</v>
      </c>
      <c r="E1389" s="1">
        <v>43453</v>
      </c>
      <c r="F1389" s="1">
        <v>43420</v>
      </c>
      <c r="G1389" s="1"/>
      <c r="H1389" t="s">
        <v>9</v>
      </c>
      <c r="I1389" t="s">
        <v>44</v>
      </c>
    </row>
    <row r="1390" spans="1:9" x14ac:dyDescent="0.25">
      <c r="A1390" t="s">
        <v>5453</v>
      </c>
      <c r="B1390" s="26" t="str">
        <f>MID(tbl_forecast[[#This Row],[PACE Job Number]],3,3)</f>
        <v>STX</v>
      </c>
      <c r="C1390" t="s">
        <v>14</v>
      </c>
      <c r="D1390" s="1">
        <v>43406</v>
      </c>
      <c r="E1390" s="1">
        <v>43406</v>
      </c>
      <c r="F1390" s="1">
        <v>43406</v>
      </c>
      <c r="G1390" s="1">
        <v>43406</v>
      </c>
      <c r="H1390" t="s">
        <v>9</v>
      </c>
      <c r="I1390" t="s">
        <v>10</v>
      </c>
    </row>
    <row r="1391" spans="1:9" x14ac:dyDescent="0.25">
      <c r="A1391" t="s">
        <v>5454</v>
      </c>
      <c r="B1391" s="26" t="str">
        <f>MID(tbl_forecast[[#This Row],[PACE Job Number]],3,3)</f>
        <v>STX</v>
      </c>
      <c r="C1391" t="s">
        <v>14</v>
      </c>
      <c r="D1391" s="1">
        <v>43406</v>
      </c>
      <c r="E1391" s="1">
        <v>43406</v>
      </c>
      <c r="F1391" s="1">
        <v>43406</v>
      </c>
      <c r="G1391" s="1">
        <v>43406</v>
      </c>
      <c r="H1391" t="s">
        <v>9</v>
      </c>
      <c r="I1391" t="s">
        <v>10</v>
      </c>
    </row>
    <row r="1392" spans="1:9" x14ac:dyDescent="0.25">
      <c r="A1392" t="s">
        <v>5455</v>
      </c>
      <c r="B1392" s="26" t="str">
        <f>MID(tbl_forecast[[#This Row],[PACE Job Number]],3,3)</f>
        <v>STX</v>
      </c>
      <c r="C1392" t="s">
        <v>14</v>
      </c>
      <c r="D1392" s="1">
        <v>43419</v>
      </c>
      <c r="E1392" s="1">
        <v>43419</v>
      </c>
      <c r="F1392" s="1">
        <v>43420</v>
      </c>
      <c r="G1392" s="1">
        <v>43420</v>
      </c>
      <c r="H1392" t="s">
        <v>9</v>
      </c>
      <c r="I1392" t="s">
        <v>10</v>
      </c>
    </row>
    <row r="1393" spans="1:9" x14ac:dyDescent="0.25">
      <c r="A1393" t="s">
        <v>3206</v>
      </c>
      <c r="B1393" s="26" t="str">
        <f>MID(tbl_forecast[[#This Row],[PACE Job Number]],3,3)</f>
        <v>STX</v>
      </c>
      <c r="C1393" t="s">
        <v>14</v>
      </c>
      <c r="D1393" s="1">
        <v>43419</v>
      </c>
      <c r="E1393" s="1">
        <v>43453</v>
      </c>
      <c r="F1393" s="1">
        <v>43453</v>
      </c>
      <c r="G1393" s="1"/>
      <c r="H1393" t="s">
        <v>4664</v>
      </c>
      <c r="I1393" t="s">
        <v>5645</v>
      </c>
    </row>
    <row r="1394" spans="1:9" x14ac:dyDescent="0.25">
      <c r="A1394" t="s">
        <v>5456</v>
      </c>
      <c r="B1394" s="26" t="str">
        <f>MID(tbl_forecast[[#This Row],[PACE Job Number]],3,3)</f>
        <v>STX</v>
      </c>
      <c r="C1394" t="s">
        <v>14</v>
      </c>
      <c r="D1394" s="1">
        <v>43419</v>
      </c>
      <c r="E1394" s="1">
        <v>43419</v>
      </c>
      <c r="F1394" s="1">
        <v>43419</v>
      </c>
      <c r="G1394" s="1">
        <v>43419</v>
      </c>
      <c r="H1394" t="s">
        <v>9</v>
      </c>
      <c r="I1394" t="s">
        <v>10</v>
      </c>
    </row>
    <row r="1395" spans="1:9" x14ac:dyDescent="0.25">
      <c r="A1395" t="s">
        <v>297</v>
      </c>
      <c r="B1395" s="26" t="str">
        <f>MID(tbl_forecast[[#This Row],[PACE Job Number]],3,3)</f>
        <v>STX</v>
      </c>
      <c r="C1395" t="s">
        <v>14</v>
      </c>
      <c r="D1395" s="1">
        <v>43416</v>
      </c>
      <c r="E1395" s="1">
        <v>43416</v>
      </c>
      <c r="F1395" s="1">
        <v>43417</v>
      </c>
      <c r="G1395" s="1">
        <v>43417</v>
      </c>
      <c r="H1395" t="s">
        <v>9</v>
      </c>
      <c r="I1395" t="s">
        <v>10</v>
      </c>
    </row>
    <row r="1396" spans="1:9" x14ac:dyDescent="0.25">
      <c r="A1396" t="s">
        <v>3358</v>
      </c>
      <c r="B1396" s="26" t="str">
        <f>MID(tbl_forecast[[#This Row],[PACE Job Number]],3,3)</f>
        <v>STX</v>
      </c>
      <c r="C1396" t="s">
        <v>14</v>
      </c>
      <c r="D1396" s="1">
        <v>43419</v>
      </c>
      <c r="E1396" s="1">
        <v>43419</v>
      </c>
      <c r="F1396" s="1">
        <v>43419</v>
      </c>
      <c r="G1396" s="1">
        <v>43419</v>
      </c>
      <c r="H1396" t="s">
        <v>9</v>
      </c>
      <c r="I1396" t="s">
        <v>10</v>
      </c>
    </row>
    <row r="1397" spans="1:9" x14ac:dyDescent="0.25">
      <c r="A1397" t="s">
        <v>2560</v>
      </c>
      <c r="B1397" s="26" t="str">
        <f>MID(tbl_forecast[[#This Row],[PACE Job Number]],3,3)</f>
        <v>STX</v>
      </c>
      <c r="C1397" t="s">
        <v>14</v>
      </c>
      <c r="D1397" s="1">
        <v>43420</v>
      </c>
      <c r="E1397" s="1">
        <v>43453</v>
      </c>
      <c r="F1397" s="1">
        <v>43451</v>
      </c>
      <c r="G1397" s="1"/>
      <c r="H1397" t="s">
        <v>4664</v>
      </c>
      <c r="I1397" t="s">
        <v>5645</v>
      </c>
    </row>
    <row r="1398" spans="1:9" x14ac:dyDescent="0.25">
      <c r="A1398" t="s">
        <v>5457</v>
      </c>
      <c r="B1398" s="26" t="str">
        <f>MID(tbl_forecast[[#This Row],[PACE Job Number]],3,3)</f>
        <v>STX</v>
      </c>
      <c r="C1398" t="s">
        <v>14</v>
      </c>
      <c r="D1398" s="1">
        <v>43420</v>
      </c>
      <c r="E1398" s="1">
        <v>43439</v>
      </c>
      <c r="F1398" s="1">
        <v>43439</v>
      </c>
      <c r="G1398" s="1"/>
      <c r="H1398" t="s">
        <v>4664</v>
      </c>
      <c r="I1398" t="s">
        <v>5645</v>
      </c>
    </row>
    <row r="1399" spans="1:9" x14ac:dyDescent="0.25">
      <c r="A1399" t="s">
        <v>4400</v>
      </c>
      <c r="B1399" s="26" t="str">
        <f>MID(tbl_forecast[[#This Row],[PACE Job Number]],3,3)</f>
        <v>NTX</v>
      </c>
      <c r="C1399" t="s">
        <v>14</v>
      </c>
      <c r="D1399" s="1">
        <v>43432</v>
      </c>
      <c r="E1399" s="1">
        <v>43434</v>
      </c>
      <c r="F1399" s="1">
        <v>43434</v>
      </c>
      <c r="G1399" s="1"/>
      <c r="H1399" t="s">
        <v>9</v>
      </c>
      <c r="I1399" t="s">
        <v>27</v>
      </c>
    </row>
    <row r="1400" spans="1:9" x14ac:dyDescent="0.25">
      <c r="A1400" t="s">
        <v>2024</v>
      </c>
      <c r="B1400" s="26" t="str">
        <f>MID(tbl_forecast[[#This Row],[PACE Job Number]],3,3)</f>
        <v>NTX</v>
      </c>
      <c r="C1400" t="s">
        <v>14</v>
      </c>
      <c r="D1400" s="1">
        <v>43434</v>
      </c>
      <c r="E1400" s="1">
        <v>43437</v>
      </c>
      <c r="F1400" s="1">
        <v>43437</v>
      </c>
      <c r="G1400" s="1"/>
      <c r="H1400" t="s">
        <v>9</v>
      </c>
      <c r="I1400" t="s">
        <v>27</v>
      </c>
    </row>
    <row r="1401" spans="1:9" x14ac:dyDescent="0.25">
      <c r="A1401" t="s">
        <v>3788</v>
      </c>
      <c r="B1401" s="26" t="str">
        <f>MID(tbl_forecast[[#This Row],[PACE Job Number]],3,3)</f>
        <v>NTX</v>
      </c>
      <c r="C1401" t="s">
        <v>14</v>
      </c>
      <c r="D1401" s="1">
        <v>43416</v>
      </c>
      <c r="E1401" s="1">
        <v>43430</v>
      </c>
      <c r="F1401" s="1">
        <v>43480</v>
      </c>
      <c r="G1401" s="1"/>
      <c r="H1401" t="s">
        <v>4664</v>
      </c>
      <c r="I1401" t="s">
        <v>5645</v>
      </c>
    </row>
    <row r="1402" spans="1:9" x14ac:dyDescent="0.25">
      <c r="A1402" t="s">
        <v>3789</v>
      </c>
      <c r="B1402" s="26" t="str">
        <f>MID(tbl_forecast[[#This Row],[PACE Job Number]],3,3)</f>
        <v>NTX</v>
      </c>
      <c r="C1402" t="s">
        <v>14</v>
      </c>
      <c r="D1402" s="1">
        <v>43416</v>
      </c>
      <c r="E1402" s="1">
        <v>43434</v>
      </c>
      <c r="F1402" s="1">
        <v>43434</v>
      </c>
      <c r="G1402" s="1"/>
      <c r="H1402" t="s">
        <v>4664</v>
      </c>
      <c r="I1402" t="s">
        <v>5645</v>
      </c>
    </row>
    <row r="1403" spans="1:9" x14ac:dyDescent="0.25">
      <c r="A1403" t="s">
        <v>5458</v>
      </c>
      <c r="B1403" s="26" t="str">
        <f>MID(tbl_forecast[[#This Row],[PACE Job Number]],3,3)</f>
        <v>NTX</v>
      </c>
      <c r="C1403" t="s">
        <v>14</v>
      </c>
      <c r="D1403" s="1">
        <v>43430</v>
      </c>
      <c r="E1403" s="1">
        <v>43493</v>
      </c>
      <c r="F1403" s="1">
        <v>43493</v>
      </c>
      <c r="G1403" s="1"/>
      <c r="H1403" t="s">
        <v>4664</v>
      </c>
      <c r="I1403" t="s">
        <v>4665</v>
      </c>
    </row>
    <row r="1404" spans="1:9" x14ac:dyDescent="0.25">
      <c r="A1404" t="s">
        <v>2391</v>
      </c>
      <c r="B1404" s="26" t="str">
        <f>MID(tbl_forecast[[#This Row],[PACE Job Number]],3,3)</f>
        <v>NTX</v>
      </c>
      <c r="C1404" t="s">
        <v>14</v>
      </c>
      <c r="D1404" s="1">
        <v>43409</v>
      </c>
      <c r="E1404" s="1">
        <v>43444</v>
      </c>
      <c r="F1404" s="1">
        <v>43444</v>
      </c>
      <c r="G1404" s="1"/>
      <c r="H1404" t="s">
        <v>4664</v>
      </c>
      <c r="I1404" t="s">
        <v>5645</v>
      </c>
    </row>
    <row r="1405" spans="1:9" x14ac:dyDescent="0.25">
      <c r="A1405" t="s">
        <v>3790</v>
      </c>
      <c r="B1405" s="26" t="str">
        <f>MID(tbl_forecast[[#This Row],[PACE Job Number]],3,3)</f>
        <v>NTX</v>
      </c>
      <c r="C1405" t="s">
        <v>14</v>
      </c>
      <c r="D1405" s="1">
        <v>43416</v>
      </c>
      <c r="E1405" s="1">
        <v>43430</v>
      </c>
      <c r="F1405" s="1">
        <v>43434</v>
      </c>
      <c r="G1405" s="1"/>
      <c r="H1405" t="s">
        <v>4664</v>
      </c>
      <c r="I1405" t="s">
        <v>5645</v>
      </c>
    </row>
    <row r="1406" spans="1:9" x14ac:dyDescent="0.25">
      <c r="A1406" t="s">
        <v>5306</v>
      </c>
      <c r="B1406" s="26" t="str">
        <f>MID(tbl_forecast[[#This Row],[PACE Job Number]],3,3)</f>
        <v>WSH</v>
      </c>
      <c r="C1406" t="s">
        <v>14</v>
      </c>
      <c r="D1406" s="1">
        <v>43430</v>
      </c>
      <c r="E1406" s="1">
        <v>43438</v>
      </c>
      <c r="F1406" s="1">
        <v>43437</v>
      </c>
      <c r="G1406" s="1"/>
      <c r="H1406" t="s">
        <v>9</v>
      </c>
      <c r="I1406" t="s">
        <v>27</v>
      </c>
    </row>
    <row r="1407" spans="1:9" x14ac:dyDescent="0.25">
      <c r="A1407" t="s">
        <v>5307</v>
      </c>
      <c r="B1407" s="26" t="str">
        <f>MID(tbl_forecast[[#This Row],[PACE Job Number]],3,3)</f>
        <v>WSH</v>
      </c>
      <c r="C1407" t="s">
        <v>14</v>
      </c>
      <c r="D1407" s="1">
        <v>43430</v>
      </c>
      <c r="E1407" s="1">
        <v>43439</v>
      </c>
      <c r="F1407" s="1">
        <v>43437</v>
      </c>
      <c r="G1407" s="1"/>
      <c r="H1407" t="s">
        <v>9</v>
      </c>
      <c r="I1407" t="s">
        <v>27</v>
      </c>
    </row>
    <row r="1408" spans="1:9" x14ac:dyDescent="0.25">
      <c r="A1408" t="s">
        <v>4280</v>
      </c>
      <c r="B1408" s="26" t="str">
        <f>MID(tbl_forecast[[#This Row],[PACE Job Number]],3,3)</f>
        <v>WSH</v>
      </c>
      <c r="C1408" t="s">
        <v>14</v>
      </c>
      <c r="D1408" s="1">
        <v>43409</v>
      </c>
      <c r="E1408" s="1">
        <v>43409</v>
      </c>
      <c r="F1408" s="1">
        <v>43409</v>
      </c>
      <c r="G1408" s="1">
        <v>43409</v>
      </c>
      <c r="H1408" t="s">
        <v>9</v>
      </c>
      <c r="I1408" t="s">
        <v>10</v>
      </c>
    </row>
    <row r="1409" spans="1:9" x14ac:dyDescent="0.25">
      <c r="A1409" t="s">
        <v>5308</v>
      </c>
      <c r="B1409" s="26" t="str">
        <f>MID(tbl_forecast[[#This Row],[PACE Job Number]],3,3)</f>
        <v>WSH</v>
      </c>
      <c r="C1409" t="s">
        <v>14</v>
      </c>
      <c r="D1409" s="1">
        <v>43430</v>
      </c>
      <c r="E1409" s="1">
        <v>43416</v>
      </c>
      <c r="F1409" s="1">
        <v>43416</v>
      </c>
      <c r="G1409" s="1">
        <v>43416</v>
      </c>
      <c r="H1409" t="s">
        <v>9</v>
      </c>
      <c r="I1409" t="s">
        <v>10</v>
      </c>
    </row>
    <row r="1410" spans="1:9" x14ac:dyDescent="0.25">
      <c r="A1410" t="s">
        <v>4281</v>
      </c>
      <c r="B1410" s="26" t="str">
        <f>MID(tbl_forecast[[#This Row],[PACE Job Number]],3,3)</f>
        <v>WSH</v>
      </c>
      <c r="C1410" t="s">
        <v>14</v>
      </c>
      <c r="D1410" s="1">
        <v>43409</v>
      </c>
      <c r="E1410" s="1">
        <v>43409</v>
      </c>
      <c r="F1410" s="1">
        <v>43409</v>
      </c>
      <c r="G1410" s="1">
        <v>43409</v>
      </c>
      <c r="H1410" t="s">
        <v>9</v>
      </c>
      <c r="I1410" t="s">
        <v>10</v>
      </c>
    </row>
    <row r="1411" spans="1:9" x14ac:dyDescent="0.25">
      <c r="A1411" t="s">
        <v>5310</v>
      </c>
      <c r="B1411" s="26" t="str">
        <f>MID(tbl_forecast[[#This Row],[PACE Job Number]],3,3)</f>
        <v>WSH</v>
      </c>
      <c r="C1411" t="s">
        <v>14</v>
      </c>
      <c r="D1411" s="1">
        <v>43413</v>
      </c>
      <c r="E1411" s="1">
        <v>43418</v>
      </c>
      <c r="F1411" s="1">
        <v>43418</v>
      </c>
      <c r="G1411" s="1">
        <v>43418</v>
      </c>
      <c r="H1411" t="s">
        <v>9</v>
      </c>
      <c r="I1411" t="s">
        <v>10</v>
      </c>
    </row>
    <row r="1412" spans="1:9" x14ac:dyDescent="0.25">
      <c r="A1412" t="s">
        <v>5311</v>
      </c>
      <c r="B1412" s="26" t="str">
        <f>MID(tbl_forecast[[#This Row],[PACE Job Number]],3,3)</f>
        <v>WSH</v>
      </c>
      <c r="C1412" t="s">
        <v>14</v>
      </c>
      <c r="D1412" s="1">
        <v>43430</v>
      </c>
      <c r="E1412" s="1">
        <v>43438</v>
      </c>
      <c r="F1412" s="1">
        <v>43437</v>
      </c>
      <c r="G1412" s="1"/>
      <c r="H1412" t="s">
        <v>9</v>
      </c>
      <c r="I1412" t="s">
        <v>27</v>
      </c>
    </row>
    <row r="1413" spans="1:9" x14ac:dyDescent="0.25">
      <c r="A1413" t="s">
        <v>5312</v>
      </c>
      <c r="B1413" s="26" t="str">
        <f>MID(tbl_forecast[[#This Row],[PACE Job Number]],3,3)</f>
        <v>WSH</v>
      </c>
      <c r="C1413" t="s">
        <v>14</v>
      </c>
      <c r="D1413" s="1">
        <v>43409</v>
      </c>
      <c r="E1413" s="1">
        <v>43410</v>
      </c>
      <c r="F1413" s="1">
        <v>43410</v>
      </c>
      <c r="G1413" s="1">
        <v>43410</v>
      </c>
      <c r="H1413" t="s">
        <v>9</v>
      </c>
      <c r="I1413" t="s">
        <v>10</v>
      </c>
    </row>
    <row r="1414" spans="1:9" x14ac:dyDescent="0.25">
      <c r="A1414" t="s">
        <v>4283</v>
      </c>
      <c r="B1414" s="26" t="str">
        <f>MID(tbl_forecast[[#This Row],[PACE Job Number]],3,3)</f>
        <v>WSH</v>
      </c>
      <c r="C1414" t="s">
        <v>14</v>
      </c>
      <c r="D1414" s="1">
        <v>43410</v>
      </c>
      <c r="E1414" s="1">
        <v>43412</v>
      </c>
      <c r="F1414" s="1">
        <v>43412</v>
      </c>
      <c r="G1414" s="1">
        <v>43412</v>
      </c>
      <c r="H1414" t="s">
        <v>9</v>
      </c>
      <c r="I1414" t="s">
        <v>10</v>
      </c>
    </row>
    <row r="1415" spans="1:9" x14ac:dyDescent="0.25">
      <c r="A1415" t="s">
        <v>5459</v>
      </c>
      <c r="B1415" s="26" t="str">
        <f>MID(tbl_forecast[[#This Row],[PACE Job Number]],3,3)</f>
        <v>WSH</v>
      </c>
      <c r="C1415" t="s">
        <v>14</v>
      </c>
      <c r="D1415" s="1">
        <v>43416</v>
      </c>
      <c r="E1415" s="1">
        <v>43420</v>
      </c>
      <c r="F1415" s="1">
        <v>43420</v>
      </c>
      <c r="G1415" s="1">
        <v>43420</v>
      </c>
      <c r="H1415" t="s">
        <v>9</v>
      </c>
      <c r="I1415" t="s">
        <v>10</v>
      </c>
    </row>
    <row r="1416" spans="1:9" x14ac:dyDescent="0.25">
      <c r="A1416" t="s">
        <v>5314</v>
      </c>
      <c r="B1416" s="26" t="str">
        <f>MID(tbl_forecast[[#This Row],[PACE Job Number]],3,3)</f>
        <v>WSH</v>
      </c>
      <c r="C1416" t="s">
        <v>14</v>
      </c>
      <c r="D1416" s="1">
        <v>43430</v>
      </c>
      <c r="E1416" s="1">
        <v>43430</v>
      </c>
      <c r="F1416" s="1">
        <v>43430</v>
      </c>
      <c r="G1416" s="1">
        <v>43430</v>
      </c>
      <c r="H1416" t="s">
        <v>9</v>
      </c>
      <c r="I1416" t="s">
        <v>10</v>
      </c>
    </row>
    <row r="1417" spans="1:9" x14ac:dyDescent="0.25">
      <c r="A1417" t="s">
        <v>5315</v>
      </c>
      <c r="B1417" s="26" t="str">
        <f>MID(tbl_forecast[[#This Row],[PACE Job Number]],3,3)</f>
        <v>WSH</v>
      </c>
      <c r="C1417" t="s">
        <v>14</v>
      </c>
      <c r="D1417" s="1">
        <v>43409</v>
      </c>
      <c r="E1417" s="1">
        <v>43409</v>
      </c>
      <c r="F1417" s="1">
        <v>43409</v>
      </c>
      <c r="G1417" s="1">
        <v>43409</v>
      </c>
      <c r="H1417" t="s">
        <v>9</v>
      </c>
      <c r="I1417" t="s">
        <v>10</v>
      </c>
    </row>
    <row r="1418" spans="1:9" x14ac:dyDescent="0.25">
      <c r="A1418" t="s">
        <v>5316</v>
      </c>
      <c r="B1418" s="26" t="str">
        <f>MID(tbl_forecast[[#This Row],[PACE Job Number]],3,3)</f>
        <v>WSH</v>
      </c>
      <c r="C1418" t="s">
        <v>14</v>
      </c>
      <c r="D1418" s="1">
        <v>43416</v>
      </c>
      <c r="E1418" s="1">
        <v>43412</v>
      </c>
      <c r="F1418" s="1">
        <v>43412</v>
      </c>
      <c r="G1418" s="1">
        <v>43412</v>
      </c>
      <c r="H1418" t="s">
        <v>9</v>
      </c>
      <c r="I1418" t="s">
        <v>10</v>
      </c>
    </row>
    <row r="1419" spans="1:9" x14ac:dyDescent="0.25">
      <c r="A1419" t="s">
        <v>4289</v>
      </c>
      <c r="B1419" s="26" t="str">
        <f>MID(tbl_forecast[[#This Row],[PACE Job Number]],3,3)</f>
        <v>WSH</v>
      </c>
      <c r="C1419" t="s">
        <v>14</v>
      </c>
      <c r="D1419" s="1">
        <v>43410</v>
      </c>
      <c r="E1419" s="1">
        <v>43411</v>
      </c>
      <c r="F1419" s="1">
        <v>43411</v>
      </c>
      <c r="G1419" s="1">
        <v>43411</v>
      </c>
      <c r="H1419" t="s">
        <v>9</v>
      </c>
      <c r="I1419" t="s">
        <v>10</v>
      </c>
    </row>
    <row r="1420" spans="1:9" x14ac:dyDescent="0.25">
      <c r="A1420" t="s">
        <v>5460</v>
      </c>
      <c r="B1420" s="26" t="str">
        <f>MID(tbl_forecast[[#This Row],[PACE Job Number]],3,3)</f>
        <v>STX</v>
      </c>
      <c r="C1420" t="s">
        <v>14</v>
      </c>
      <c r="D1420" s="1">
        <v>43406</v>
      </c>
      <c r="E1420" s="1">
        <v>43406</v>
      </c>
      <c r="F1420" s="1">
        <v>43406</v>
      </c>
      <c r="G1420" s="1">
        <v>43406</v>
      </c>
      <c r="H1420" t="s">
        <v>9</v>
      </c>
      <c r="I1420" t="s">
        <v>10</v>
      </c>
    </row>
    <row r="1421" spans="1:9" x14ac:dyDescent="0.25">
      <c r="A1421" t="s">
        <v>5461</v>
      </c>
      <c r="B1421" s="26" t="str">
        <f>MID(tbl_forecast[[#This Row],[PACE Job Number]],3,3)</f>
        <v>STX</v>
      </c>
      <c r="C1421" t="s">
        <v>14</v>
      </c>
      <c r="D1421" s="1">
        <v>43406</v>
      </c>
      <c r="E1421" s="1">
        <v>43406</v>
      </c>
      <c r="F1421" s="1">
        <v>43406</v>
      </c>
      <c r="G1421" s="1">
        <v>43406</v>
      </c>
      <c r="H1421" t="s">
        <v>9</v>
      </c>
      <c r="I1421" t="s">
        <v>10</v>
      </c>
    </row>
    <row r="1422" spans="1:9" x14ac:dyDescent="0.25">
      <c r="A1422" t="s">
        <v>2400</v>
      </c>
      <c r="B1422" s="26" t="str">
        <f>MID(tbl_forecast[[#This Row],[PACE Job Number]],3,3)</f>
        <v>NTX</v>
      </c>
      <c r="C1422" t="s">
        <v>14</v>
      </c>
      <c r="D1422" s="1">
        <v>43409</v>
      </c>
      <c r="E1422" s="1">
        <v>43444</v>
      </c>
      <c r="F1422" s="1">
        <v>43444</v>
      </c>
      <c r="G1422" s="1"/>
      <c r="H1422" t="s">
        <v>4664</v>
      </c>
      <c r="I1422" t="s">
        <v>5645</v>
      </c>
    </row>
    <row r="1423" spans="1:9" x14ac:dyDescent="0.25">
      <c r="A1423" t="s">
        <v>83</v>
      </c>
      <c r="B1423" s="26" t="str">
        <f>MID(tbl_forecast[[#This Row],[PACE Job Number]],3,3)</f>
        <v>NTX</v>
      </c>
      <c r="C1423" t="s">
        <v>14</v>
      </c>
      <c r="D1423" s="1">
        <v>43409</v>
      </c>
      <c r="E1423" s="1">
        <v>43434</v>
      </c>
      <c r="F1423" s="1">
        <v>43434</v>
      </c>
      <c r="G1423" s="1"/>
      <c r="H1423" t="s">
        <v>4664</v>
      </c>
      <c r="I1423" t="s">
        <v>5645</v>
      </c>
    </row>
    <row r="1424" spans="1:9" x14ac:dyDescent="0.25">
      <c r="A1424" t="s">
        <v>2647</v>
      </c>
      <c r="B1424" s="26" t="str">
        <f>MID(tbl_forecast[[#This Row],[PACE Job Number]],3,3)</f>
        <v>STX</v>
      </c>
      <c r="C1424" t="s">
        <v>14</v>
      </c>
      <c r="D1424" s="1">
        <v>43420</v>
      </c>
      <c r="E1424" s="1">
        <v>43453</v>
      </c>
      <c r="F1424" s="1">
        <v>43420</v>
      </c>
      <c r="G1424" s="1"/>
      <c r="H1424" t="s">
        <v>9</v>
      </c>
      <c r="I1424" t="s">
        <v>44</v>
      </c>
    </row>
    <row r="1425" spans="1:9" x14ac:dyDescent="0.25">
      <c r="A1425" t="s">
        <v>2644</v>
      </c>
      <c r="B1425" s="26" t="str">
        <f>MID(tbl_forecast[[#This Row],[PACE Job Number]],3,3)</f>
        <v>STX</v>
      </c>
      <c r="C1425" t="s">
        <v>14</v>
      </c>
      <c r="D1425" s="1">
        <v>43419</v>
      </c>
      <c r="E1425" s="1">
        <v>43419</v>
      </c>
      <c r="F1425" s="1">
        <v>43417</v>
      </c>
      <c r="G1425" s="1">
        <v>43417</v>
      </c>
      <c r="H1425" t="s">
        <v>9</v>
      </c>
      <c r="I1425" t="s">
        <v>10</v>
      </c>
    </row>
    <row r="1426" spans="1:9" x14ac:dyDescent="0.25">
      <c r="A1426" t="s">
        <v>3946</v>
      </c>
      <c r="B1426" s="26" t="str">
        <f>MID(tbl_forecast[[#This Row],[PACE Job Number]],3,3)</f>
        <v>STX</v>
      </c>
      <c r="C1426" t="s">
        <v>14</v>
      </c>
      <c r="D1426" s="1">
        <v>43419</v>
      </c>
      <c r="E1426" s="1">
        <v>43419</v>
      </c>
      <c r="F1426" s="1">
        <v>43419</v>
      </c>
      <c r="G1426" s="1">
        <v>43419</v>
      </c>
      <c r="H1426" t="s">
        <v>9</v>
      </c>
      <c r="I1426" t="s">
        <v>10</v>
      </c>
    </row>
    <row r="1427" spans="1:9" x14ac:dyDescent="0.25">
      <c r="A1427" t="s">
        <v>2649</v>
      </c>
      <c r="B1427" s="26" t="str">
        <f>MID(tbl_forecast[[#This Row],[PACE Job Number]],3,3)</f>
        <v>STX</v>
      </c>
      <c r="C1427" t="s">
        <v>14</v>
      </c>
      <c r="D1427" s="1">
        <v>43419</v>
      </c>
      <c r="E1427" s="1">
        <v>43419</v>
      </c>
      <c r="F1427" s="1">
        <v>43417</v>
      </c>
      <c r="G1427" s="1">
        <v>43417</v>
      </c>
      <c r="H1427" t="s">
        <v>9</v>
      </c>
      <c r="I1427" t="s">
        <v>10</v>
      </c>
    </row>
    <row r="1428" spans="1:9" x14ac:dyDescent="0.25">
      <c r="A1428" t="s">
        <v>2630</v>
      </c>
      <c r="B1428" s="26" t="str">
        <f>MID(tbl_forecast[[#This Row],[PACE Job Number]],3,3)</f>
        <v>STX</v>
      </c>
      <c r="C1428" t="s">
        <v>14</v>
      </c>
      <c r="D1428" s="1">
        <v>43419</v>
      </c>
      <c r="E1428" s="1">
        <v>43419</v>
      </c>
      <c r="F1428" s="1">
        <v>43417</v>
      </c>
      <c r="G1428" s="1">
        <v>43417</v>
      </c>
      <c r="H1428" t="s">
        <v>9</v>
      </c>
      <c r="I1428" t="s">
        <v>10</v>
      </c>
    </row>
    <row r="1429" spans="1:9" x14ac:dyDescent="0.25">
      <c r="A1429" t="s">
        <v>2641</v>
      </c>
      <c r="B1429" s="26" t="str">
        <f>MID(tbl_forecast[[#This Row],[PACE Job Number]],3,3)</f>
        <v>STX</v>
      </c>
      <c r="C1429" t="s">
        <v>14</v>
      </c>
      <c r="D1429" s="1">
        <v>43419</v>
      </c>
      <c r="E1429" s="1">
        <v>43419</v>
      </c>
      <c r="F1429" s="1">
        <v>43417</v>
      </c>
      <c r="G1429" s="1">
        <v>43417</v>
      </c>
      <c r="H1429" t="s">
        <v>9</v>
      </c>
      <c r="I1429" t="s">
        <v>10</v>
      </c>
    </row>
    <row r="1430" spans="1:9" x14ac:dyDescent="0.25">
      <c r="A1430" t="s">
        <v>5318</v>
      </c>
      <c r="B1430" s="26" t="str">
        <f>MID(tbl_forecast[[#This Row],[PACE Job Number]],3,3)</f>
        <v>WSH</v>
      </c>
      <c r="C1430" t="s">
        <v>14</v>
      </c>
      <c r="D1430" s="1">
        <v>43416</v>
      </c>
      <c r="E1430" s="1">
        <v>43425</v>
      </c>
      <c r="F1430" s="1">
        <v>43425</v>
      </c>
      <c r="G1430" s="1">
        <v>43425</v>
      </c>
      <c r="H1430" t="s">
        <v>9</v>
      </c>
      <c r="I1430" t="s">
        <v>10</v>
      </c>
    </row>
    <row r="1431" spans="1:9" x14ac:dyDescent="0.25">
      <c r="A1431" t="s">
        <v>5319</v>
      </c>
      <c r="B1431" s="26" t="str">
        <f>MID(tbl_forecast[[#This Row],[PACE Job Number]],3,3)</f>
        <v>WSH</v>
      </c>
      <c r="C1431" t="s">
        <v>14</v>
      </c>
      <c r="D1431" s="1">
        <v>43430</v>
      </c>
      <c r="E1431" s="1">
        <v>43444</v>
      </c>
      <c r="F1431" s="1">
        <v>43444</v>
      </c>
      <c r="G1431" s="1"/>
      <c r="H1431" t="s">
        <v>9</v>
      </c>
      <c r="I1431" t="s">
        <v>27</v>
      </c>
    </row>
    <row r="1432" spans="1:9" x14ac:dyDescent="0.25">
      <c r="A1432" t="s">
        <v>4175</v>
      </c>
      <c r="B1432" s="26" t="str">
        <f>MID(tbl_forecast[[#This Row],[PACE Job Number]],3,3)</f>
        <v>NTX</v>
      </c>
      <c r="C1432" t="s">
        <v>14</v>
      </c>
      <c r="D1432" s="1">
        <v>43430</v>
      </c>
      <c r="E1432" s="1">
        <v>43434</v>
      </c>
      <c r="F1432" s="1">
        <v>43434</v>
      </c>
      <c r="G1432" s="1"/>
      <c r="H1432" t="s">
        <v>9</v>
      </c>
      <c r="I1432" t="s">
        <v>27</v>
      </c>
    </row>
    <row r="1433" spans="1:9" x14ac:dyDescent="0.25">
      <c r="A1433" t="s">
        <v>125</v>
      </c>
      <c r="B1433" s="26" t="str">
        <f>MID(tbl_forecast[[#This Row],[PACE Job Number]],3,3)</f>
        <v>NTX</v>
      </c>
      <c r="C1433" t="s">
        <v>14</v>
      </c>
      <c r="D1433" s="1">
        <v>43423</v>
      </c>
      <c r="E1433" s="1">
        <v>43430</v>
      </c>
      <c r="F1433" s="1">
        <v>43430</v>
      </c>
      <c r="G1433" s="1">
        <v>43430</v>
      </c>
      <c r="H1433" t="s">
        <v>9</v>
      </c>
      <c r="I1433" t="s">
        <v>10</v>
      </c>
    </row>
    <row r="1434" spans="1:9" x14ac:dyDescent="0.25">
      <c r="A1434" t="s">
        <v>324</v>
      </c>
      <c r="B1434" s="26" t="str">
        <f>MID(tbl_forecast[[#This Row],[PACE Job Number]],3,3)</f>
        <v>NTX</v>
      </c>
      <c r="C1434" t="s">
        <v>14</v>
      </c>
      <c r="D1434" s="1">
        <v>43423</v>
      </c>
      <c r="E1434" s="1">
        <v>43430</v>
      </c>
      <c r="F1434" s="1">
        <v>43430</v>
      </c>
      <c r="G1434" s="1">
        <v>43430</v>
      </c>
      <c r="H1434" t="s">
        <v>9</v>
      </c>
      <c r="I1434" t="s">
        <v>10</v>
      </c>
    </row>
    <row r="1435" spans="1:9" x14ac:dyDescent="0.25">
      <c r="A1435" t="s">
        <v>5462</v>
      </c>
      <c r="B1435" s="26" t="str">
        <f>MID(tbl_forecast[[#This Row],[PACE Job Number]],3,3)</f>
        <v>NTX</v>
      </c>
      <c r="C1435" t="s">
        <v>14</v>
      </c>
      <c r="D1435" s="1">
        <v>43406</v>
      </c>
      <c r="E1435" s="1">
        <v>43417</v>
      </c>
      <c r="F1435" s="1">
        <v>43413</v>
      </c>
      <c r="G1435" s="1">
        <v>43413</v>
      </c>
      <c r="H1435" t="s">
        <v>9</v>
      </c>
      <c r="I1435" t="s">
        <v>10</v>
      </c>
    </row>
    <row r="1436" spans="1:9" x14ac:dyDescent="0.25">
      <c r="A1436" t="s">
        <v>450</v>
      </c>
      <c r="B1436" s="26" t="str">
        <f>MID(tbl_forecast[[#This Row],[PACE Job Number]],3,3)</f>
        <v>NTX</v>
      </c>
      <c r="C1436" t="s">
        <v>14</v>
      </c>
      <c r="D1436" s="1">
        <v>43430</v>
      </c>
      <c r="E1436" s="1">
        <v>43437</v>
      </c>
      <c r="F1436" s="1">
        <v>43437</v>
      </c>
      <c r="G1436" s="1"/>
      <c r="H1436" t="s">
        <v>9</v>
      </c>
      <c r="I1436" t="s">
        <v>27</v>
      </c>
    </row>
    <row r="1437" spans="1:9" x14ac:dyDescent="0.25">
      <c r="A1437" t="s">
        <v>4121</v>
      </c>
      <c r="B1437" s="26" t="str">
        <f>MID(tbl_forecast[[#This Row],[PACE Job Number]],3,3)</f>
        <v>NTX</v>
      </c>
      <c r="C1437" t="s">
        <v>14</v>
      </c>
      <c r="D1437" s="1">
        <v>43430</v>
      </c>
      <c r="E1437" s="1">
        <v>43434</v>
      </c>
      <c r="F1437" s="1">
        <v>43434</v>
      </c>
      <c r="G1437" s="1"/>
      <c r="H1437" t="s">
        <v>9</v>
      </c>
      <c r="I1437" t="s">
        <v>27</v>
      </c>
    </row>
    <row r="1438" spans="1:9" x14ac:dyDescent="0.25">
      <c r="A1438" t="s">
        <v>2308</v>
      </c>
      <c r="B1438" s="26" t="str">
        <f>MID(tbl_forecast[[#This Row],[PACE Job Number]],3,3)</f>
        <v>NTX</v>
      </c>
      <c r="C1438" t="s">
        <v>14</v>
      </c>
      <c r="D1438" s="1">
        <v>43416</v>
      </c>
      <c r="E1438" s="1">
        <v>43423</v>
      </c>
      <c r="F1438" s="1">
        <v>43420</v>
      </c>
      <c r="G1438" s="1">
        <v>43420</v>
      </c>
      <c r="H1438" t="s">
        <v>9</v>
      </c>
      <c r="I1438" t="s">
        <v>10</v>
      </c>
    </row>
    <row r="1439" spans="1:9" x14ac:dyDescent="0.25">
      <c r="A1439" t="s">
        <v>327</v>
      </c>
      <c r="B1439" s="26" t="str">
        <f>MID(tbl_forecast[[#This Row],[PACE Job Number]],3,3)</f>
        <v>NTX</v>
      </c>
      <c r="C1439" t="s">
        <v>14</v>
      </c>
      <c r="D1439" s="1">
        <v>43423</v>
      </c>
      <c r="E1439" s="1">
        <v>43430</v>
      </c>
      <c r="F1439" s="1">
        <v>43430</v>
      </c>
      <c r="G1439" s="1">
        <v>43430</v>
      </c>
      <c r="H1439" t="s">
        <v>9</v>
      </c>
      <c r="I1439" t="s">
        <v>10</v>
      </c>
    </row>
    <row r="1440" spans="1:9" x14ac:dyDescent="0.25">
      <c r="A1440" t="s">
        <v>4122</v>
      </c>
      <c r="B1440" s="26" t="str">
        <f>MID(tbl_forecast[[#This Row],[PACE Job Number]],3,3)</f>
        <v>NTX</v>
      </c>
      <c r="C1440" t="s">
        <v>14</v>
      </c>
      <c r="D1440" s="1">
        <v>43430</v>
      </c>
      <c r="E1440" s="1">
        <v>43434</v>
      </c>
      <c r="F1440" s="1">
        <v>43434</v>
      </c>
      <c r="G1440" s="1"/>
      <c r="H1440" t="s">
        <v>9</v>
      </c>
      <c r="I1440" t="s">
        <v>27</v>
      </c>
    </row>
    <row r="1441" spans="1:9" x14ac:dyDescent="0.25">
      <c r="A1441" t="s">
        <v>395</v>
      </c>
      <c r="B1441" s="26" t="str">
        <f>MID(tbl_forecast[[#This Row],[PACE Job Number]],3,3)</f>
        <v>NTX</v>
      </c>
      <c r="C1441" t="s">
        <v>14</v>
      </c>
      <c r="D1441" s="1">
        <v>43430</v>
      </c>
      <c r="E1441" s="1">
        <v>43437</v>
      </c>
      <c r="F1441" s="1">
        <v>43437</v>
      </c>
      <c r="G1441" s="1"/>
      <c r="H1441" t="s">
        <v>9</v>
      </c>
      <c r="I1441" t="s">
        <v>27</v>
      </c>
    </row>
    <row r="1442" spans="1:9" x14ac:dyDescent="0.25">
      <c r="A1442" t="s">
        <v>2311</v>
      </c>
      <c r="B1442" s="26" t="str">
        <f>MID(tbl_forecast[[#This Row],[PACE Job Number]],3,3)</f>
        <v>NTX</v>
      </c>
      <c r="C1442" t="s">
        <v>14</v>
      </c>
      <c r="D1442" s="1">
        <v>43419</v>
      </c>
      <c r="E1442" s="1">
        <v>43424</v>
      </c>
      <c r="F1442" s="1">
        <v>43420</v>
      </c>
      <c r="G1442" s="1">
        <v>43420</v>
      </c>
      <c r="H1442" t="s">
        <v>9</v>
      </c>
      <c r="I1442" t="s">
        <v>10</v>
      </c>
    </row>
    <row r="1443" spans="1:9" x14ac:dyDescent="0.25">
      <c r="A1443" t="s">
        <v>4191</v>
      </c>
      <c r="B1443" s="26" t="str">
        <f>MID(tbl_forecast[[#This Row],[PACE Job Number]],3,3)</f>
        <v>WSH</v>
      </c>
      <c r="C1443" t="s">
        <v>11</v>
      </c>
      <c r="D1443" s="1">
        <v>43420</v>
      </c>
      <c r="E1443" s="1">
        <v>43416</v>
      </c>
      <c r="F1443" s="1">
        <v>43416</v>
      </c>
      <c r="G1443" s="1">
        <v>43416</v>
      </c>
      <c r="H1443" t="s">
        <v>9</v>
      </c>
      <c r="I1443" t="s">
        <v>10</v>
      </c>
    </row>
    <row r="1444" spans="1:9" x14ac:dyDescent="0.25">
      <c r="A1444" t="s">
        <v>3424</v>
      </c>
      <c r="B1444" s="26" t="str">
        <f>MID(tbl_forecast[[#This Row],[PACE Job Number]],3,3)</f>
        <v>ANM</v>
      </c>
      <c r="C1444" t="s">
        <v>11</v>
      </c>
      <c r="D1444" s="1">
        <v>43420</v>
      </c>
      <c r="E1444" s="1">
        <v>43460</v>
      </c>
      <c r="F1444" s="1">
        <v>43445</v>
      </c>
      <c r="G1444" s="1"/>
      <c r="H1444" t="s">
        <v>4664</v>
      </c>
      <c r="I1444" t="s">
        <v>5645</v>
      </c>
    </row>
    <row r="1445" spans="1:9" x14ac:dyDescent="0.25">
      <c r="A1445" t="s">
        <v>4377</v>
      </c>
      <c r="B1445" s="26" t="str">
        <f>MID(tbl_forecast[[#This Row],[PACE Job Number]],3,3)</f>
        <v>STX</v>
      </c>
      <c r="C1445" t="s">
        <v>11</v>
      </c>
      <c r="D1445" s="1">
        <v>43428</v>
      </c>
      <c r="E1445" s="1">
        <v>43460</v>
      </c>
      <c r="F1445" s="1">
        <v>43460</v>
      </c>
      <c r="G1445" s="1"/>
      <c r="H1445" t="s">
        <v>4664</v>
      </c>
      <c r="I1445" t="s">
        <v>4665</v>
      </c>
    </row>
    <row r="1446" spans="1:9" x14ac:dyDescent="0.25">
      <c r="A1446" t="s">
        <v>3352</v>
      </c>
      <c r="B1446" s="26" t="str">
        <f>MID(tbl_forecast[[#This Row],[PACE Job Number]],3,3)</f>
        <v>STX</v>
      </c>
      <c r="C1446" t="s">
        <v>11</v>
      </c>
      <c r="D1446" s="1">
        <v>43425</v>
      </c>
      <c r="E1446" s="1">
        <v>43459</v>
      </c>
      <c r="F1446" s="1">
        <v>43425</v>
      </c>
      <c r="G1446" s="1"/>
      <c r="H1446" t="s">
        <v>9</v>
      </c>
      <c r="I1446" t="s">
        <v>44</v>
      </c>
    </row>
    <row r="1447" spans="1:9" x14ac:dyDescent="0.25">
      <c r="A1447" t="s">
        <v>2669</v>
      </c>
      <c r="B1447" s="26" t="str">
        <f>MID(tbl_forecast[[#This Row],[PACE Job Number]],3,3)</f>
        <v>STX</v>
      </c>
      <c r="C1447" t="s">
        <v>11</v>
      </c>
      <c r="D1447" s="1">
        <v>43428</v>
      </c>
      <c r="E1447" s="1">
        <v>43459</v>
      </c>
      <c r="F1447" s="1">
        <v>43459</v>
      </c>
      <c r="G1447" s="1"/>
      <c r="H1447" t="s">
        <v>4664</v>
      </c>
      <c r="I1447" t="s">
        <v>4665</v>
      </c>
    </row>
    <row r="1448" spans="1:9" x14ac:dyDescent="0.25">
      <c r="A1448" t="s">
        <v>3810</v>
      </c>
      <c r="B1448" s="26" t="str">
        <f>MID(tbl_forecast[[#This Row],[PACE Job Number]],3,3)</f>
        <v>WSH</v>
      </c>
      <c r="C1448" t="s">
        <v>11</v>
      </c>
      <c r="D1448" s="1">
        <v>43424</v>
      </c>
      <c r="E1448" s="1">
        <v>43441</v>
      </c>
      <c r="F1448" s="1">
        <v>43431</v>
      </c>
      <c r="G1448" s="1"/>
      <c r="H1448" t="s">
        <v>9</v>
      </c>
      <c r="I1448" t="s">
        <v>44</v>
      </c>
    </row>
    <row r="1449" spans="1:9" x14ac:dyDescent="0.25">
      <c r="A1449" t="s">
        <v>3811</v>
      </c>
      <c r="B1449" s="26" t="str">
        <f>MID(tbl_forecast[[#This Row],[PACE Job Number]],3,3)</f>
        <v>WSH</v>
      </c>
      <c r="C1449" t="s">
        <v>11</v>
      </c>
      <c r="D1449" s="1">
        <v>43410</v>
      </c>
      <c r="E1449" s="1">
        <v>43410</v>
      </c>
      <c r="F1449" s="1">
        <v>43410</v>
      </c>
      <c r="G1449" s="1">
        <v>43410</v>
      </c>
      <c r="H1449" t="s">
        <v>9</v>
      </c>
      <c r="I1449" t="s">
        <v>10</v>
      </c>
    </row>
    <row r="1450" spans="1:9" x14ac:dyDescent="0.25">
      <c r="A1450" t="s">
        <v>3812</v>
      </c>
      <c r="B1450" s="26" t="str">
        <f>MID(tbl_forecast[[#This Row],[PACE Job Number]],3,3)</f>
        <v>WSH</v>
      </c>
      <c r="C1450" t="s">
        <v>11</v>
      </c>
      <c r="D1450" s="1">
        <v>43420</v>
      </c>
      <c r="E1450" s="1">
        <v>43434</v>
      </c>
      <c r="F1450" s="1">
        <v>43433</v>
      </c>
      <c r="G1450" s="1"/>
      <c r="H1450" t="s">
        <v>9</v>
      </c>
      <c r="I1450" t="s">
        <v>27</v>
      </c>
    </row>
    <row r="1451" spans="1:9" x14ac:dyDescent="0.25">
      <c r="A1451" t="s">
        <v>5195</v>
      </c>
      <c r="B1451" s="26" t="str">
        <f>MID(tbl_forecast[[#This Row],[PACE Job Number]],3,3)</f>
        <v>WSH</v>
      </c>
      <c r="C1451" t="s">
        <v>11</v>
      </c>
      <c r="D1451" s="1">
        <v>43424</v>
      </c>
      <c r="E1451" s="1">
        <v>43448</v>
      </c>
      <c r="F1451" s="1">
        <v>43441</v>
      </c>
      <c r="G1451" s="1"/>
      <c r="H1451" t="s">
        <v>4664</v>
      </c>
      <c r="I1451" t="s">
        <v>4665</v>
      </c>
    </row>
    <row r="1452" spans="1:9" x14ac:dyDescent="0.25">
      <c r="A1452" t="s">
        <v>5463</v>
      </c>
      <c r="B1452" s="26" t="str">
        <f>MID(tbl_forecast[[#This Row],[PACE Job Number]],3,3)</f>
        <v>NTX</v>
      </c>
      <c r="C1452" t="s">
        <v>11</v>
      </c>
      <c r="D1452" s="1">
        <v>43433</v>
      </c>
      <c r="E1452" s="1">
        <v>43433</v>
      </c>
      <c r="F1452" s="1">
        <v>43410</v>
      </c>
      <c r="G1452" s="1">
        <v>43410</v>
      </c>
      <c r="H1452" t="s">
        <v>9</v>
      </c>
      <c r="I1452" t="s">
        <v>10</v>
      </c>
    </row>
    <row r="1453" spans="1:9" x14ac:dyDescent="0.25">
      <c r="A1453" t="s">
        <v>5322</v>
      </c>
      <c r="B1453" s="26" t="str">
        <f>MID(tbl_forecast[[#This Row],[PACE Job Number]],3,3)</f>
        <v>NTX</v>
      </c>
      <c r="C1453" t="s">
        <v>11</v>
      </c>
      <c r="D1453" s="1">
        <v>43420</v>
      </c>
      <c r="E1453" s="1">
        <v>43437</v>
      </c>
      <c r="F1453" s="1">
        <v>43437</v>
      </c>
      <c r="G1453" s="1"/>
      <c r="H1453" t="s">
        <v>4664</v>
      </c>
      <c r="I1453" t="s">
        <v>5645</v>
      </c>
    </row>
    <row r="1454" spans="1:9" x14ac:dyDescent="0.25">
      <c r="A1454" t="s">
        <v>341</v>
      </c>
      <c r="B1454" s="26" t="str">
        <f>MID(tbl_forecast[[#This Row],[PACE Job Number]],3,3)</f>
        <v>NTX</v>
      </c>
      <c r="C1454" t="s">
        <v>11</v>
      </c>
      <c r="D1454" s="1">
        <v>43433</v>
      </c>
      <c r="E1454" s="1">
        <v>43434</v>
      </c>
      <c r="F1454" s="1">
        <v>43434</v>
      </c>
      <c r="G1454" s="1"/>
      <c r="H1454" t="s">
        <v>9</v>
      </c>
      <c r="I1454" t="s">
        <v>27</v>
      </c>
    </row>
    <row r="1455" spans="1:9" x14ac:dyDescent="0.25">
      <c r="A1455" t="s">
        <v>61</v>
      </c>
      <c r="B1455" s="26" t="str">
        <f>MID(tbl_forecast[[#This Row],[PACE Job Number]],3,3)</f>
        <v>NTX</v>
      </c>
      <c r="C1455" t="s">
        <v>11</v>
      </c>
      <c r="D1455" s="1">
        <v>43409</v>
      </c>
      <c r="E1455" s="1">
        <v>43409</v>
      </c>
      <c r="F1455" s="1">
        <v>43409</v>
      </c>
      <c r="G1455" s="1">
        <v>43409</v>
      </c>
      <c r="H1455" t="s">
        <v>9</v>
      </c>
      <c r="I1455" t="s">
        <v>10</v>
      </c>
    </row>
    <row r="1456" spans="1:9" x14ac:dyDescent="0.25">
      <c r="A1456" t="s">
        <v>3380</v>
      </c>
      <c r="B1456" s="26" t="str">
        <f>MID(tbl_forecast[[#This Row],[PACE Job Number]],3,3)</f>
        <v>NTX</v>
      </c>
      <c r="C1456" t="s">
        <v>11</v>
      </c>
      <c r="D1456" s="1">
        <v>43427</v>
      </c>
      <c r="E1456" s="1">
        <v>43455</v>
      </c>
      <c r="F1456" s="1">
        <v>43455</v>
      </c>
      <c r="G1456" s="1"/>
      <c r="H1456" t="s">
        <v>4664</v>
      </c>
      <c r="I1456" t="s">
        <v>4665</v>
      </c>
    </row>
    <row r="1457" spans="1:9" x14ac:dyDescent="0.25">
      <c r="A1457" t="s">
        <v>2478</v>
      </c>
      <c r="B1457" s="26" t="str">
        <f>MID(tbl_forecast[[#This Row],[PACE Job Number]],3,3)</f>
        <v>NTX</v>
      </c>
      <c r="C1457" t="s">
        <v>11</v>
      </c>
      <c r="D1457" s="1">
        <v>43427</v>
      </c>
      <c r="E1457" s="1">
        <v>43444</v>
      </c>
      <c r="F1457" s="1">
        <v>43444</v>
      </c>
      <c r="G1457" s="1"/>
      <c r="H1457" t="s">
        <v>4664</v>
      </c>
      <c r="I1457" t="s">
        <v>4665</v>
      </c>
    </row>
    <row r="1458" spans="1:9" x14ac:dyDescent="0.25">
      <c r="A1458" t="s">
        <v>139</v>
      </c>
      <c r="B1458" s="26" t="str">
        <f>MID(tbl_forecast[[#This Row],[PACE Job Number]],3,3)</f>
        <v>NTX</v>
      </c>
      <c r="C1458" t="s">
        <v>11</v>
      </c>
      <c r="D1458" s="1">
        <v>43409</v>
      </c>
      <c r="E1458" s="1">
        <v>43409</v>
      </c>
      <c r="F1458" s="1">
        <v>43409</v>
      </c>
      <c r="G1458" s="1">
        <v>43409</v>
      </c>
      <c r="H1458" t="s">
        <v>9</v>
      </c>
      <c r="I1458" t="s">
        <v>10</v>
      </c>
    </row>
    <row r="1459" spans="1:9" x14ac:dyDescent="0.25">
      <c r="A1459" t="s">
        <v>2479</v>
      </c>
      <c r="B1459" s="26" t="str">
        <f>MID(tbl_forecast[[#This Row],[PACE Job Number]],3,3)</f>
        <v>NTX</v>
      </c>
      <c r="C1459" t="s">
        <v>11</v>
      </c>
      <c r="D1459" s="1">
        <v>43427</v>
      </c>
      <c r="E1459" s="1">
        <v>43444</v>
      </c>
      <c r="F1459" s="1">
        <v>43444</v>
      </c>
      <c r="G1459" s="1"/>
      <c r="H1459" t="s">
        <v>4664</v>
      </c>
      <c r="I1459" t="s">
        <v>4665</v>
      </c>
    </row>
    <row r="1460" spans="1:9" x14ac:dyDescent="0.25">
      <c r="A1460" t="s">
        <v>3382</v>
      </c>
      <c r="B1460" s="26" t="str">
        <f>MID(tbl_forecast[[#This Row],[PACE Job Number]],3,3)</f>
        <v>NTX</v>
      </c>
      <c r="C1460" t="s">
        <v>11</v>
      </c>
      <c r="D1460" s="1">
        <v>43427</v>
      </c>
      <c r="E1460" s="1">
        <v>43455</v>
      </c>
      <c r="F1460" s="1">
        <v>43455</v>
      </c>
      <c r="G1460" s="1"/>
      <c r="H1460" t="s">
        <v>4664</v>
      </c>
      <c r="I1460" t="s">
        <v>4665</v>
      </c>
    </row>
    <row r="1461" spans="1:9" x14ac:dyDescent="0.25">
      <c r="A1461" t="s">
        <v>2480</v>
      </c>
      <c r="B1461" s="26" t="str">
        <f>MID(tbl_forecast[[#This Row],[PACE Job Number]],3,3)</f>
        <v>NTX</v>
      </c>
      <c r="C1461" t="s">
        <v>11</v>
      </c>
      <c r="D1461" s="1">
        <v>43427</v>
      </c>
      <c r="E1461" s="1">
        <v>43444</v>
      </c>
      <c r="F1461" s="1">
        <v>43444</v>
      </c>
      <c r="G1461" s="1"/>
      <c r="H1461" t="s">
        <v>4664</v>
      </c>
      <c r="I1461" t="s">
        <v>4665</v>
      </c>
    </row>
    <row r="1462" spans="1:9" x14ac:dyDescent="0.25">
      <c r="A1462" t="s">
        <v>607</v>
      </c>
      <c r="B1462" s="26" t="str">
        <f>MID(tbl_forecast[[#This Row],[PACE Job Number]],3,3)</f>
        <v>NTX</v>
      </c>
      <c r="C1462" t="s">
        <v>11</v>
      </c>
      <c r="D1462" s="1">
        <v>43430</v>
      </c>
      <c r="E1462" s="1">
        <v>43444</v>
      </c>
      <c r="F1462" s="1">
        <v>43444</v>
      </c>
      <c r="G1462" s="1"/>
      <c r="H1462" t="s">
        <v>9</v>
      </c>
      <c r="I1462" t="s">
        <v>27</v>
      </c>
    </row>
    <row r="1463" spans="1:9" x14ac:dyDescent="0.25">
      <c r="A1463" t="s">
        <v>4190</v>
      </c>
      <c r="B1463" s="26" t="str">
        <f>MID(tbl_forecast[[#This Row],[PACE Job Number]],3,3)</f>
        <v>NTX</v>
      </c>
      <c r="C1463" t="s">
        <v>11</v>
      </c>
      <c r="D1463" s="1">
        <v>43430</v>
      </c>
      <c r="E1463" s="1">
        <v>43437</v>
      </c>
      <c r="F1463" s="1">
        <v>43437</v>
      </c>
      <c r="G1463" s="1">
        <v>43434</v>
      </c>
      <c r="H1463" t="s">
        <v>9</v>
      </c>
      <c r="I1463" t="s">
        <v>10</v>
      </c>
    </row>
    <row r="1464" spans="1:9" x14ac:dyDescent="0.25">
      <c r="A1464" t="s">
        <v>2163</v>
      </c>
      <c r="B1464" s="26" t="str">
        <f>MID(tbl_forecast[[#This Row],[PACE Job Number]],3,3)</f>
        <v>NTX</v>
      </c>
      <c r="C1464" t="s">
        <v>11</v>
      </c>
      <c r="D1464" s="1">
        <v>43408</v>
      </c>
      <c r="E1464" s="1">
        <v>43408</v>
      </c>
      <c r="F1464" s="1">
        <v>43409</v>
      </c>
      <c r="G1464" s="1">
        <v>43409</v>
      </c>
      <c r="H1464" t="s">
        <v>9</v>
      </c>
      <c r="I1464" t="s">
        <v>10</v>
      </c>
    </row>
    <row r="1465" spans="1:9" x14ac:dyDescent="0.25">
      <c r="A1465" t="s">
        <v>5323</v>
      </c>
      <c r="B1465" s="26" t="str">
        <f>MID(tbl_forecast[[#This Row],[PACE Job Number]],3,3)</f>
        <v>NTX</v>
      </c>
      <c r="C1465" t="s">
        <v>11</v>
      </c>
      <c r="D1465" s="1">
        <v>43430</v>
      </c>
      <c r="E1465" s="1">
        <v>43448</v>
      </c>
      <c r="F1465" s="1">
        <v>43448</v>
      </c>
      <c r="G1465" s="1"/>
      <c r="H1465" t="s">
        <v>4664</v>
      </c>
      <c r="I1465" t="s">
        <v>4665</v>
      </c>
    </row>
    <row r="1466" spans="1:9" x14ac:dyDescent="0.25">
      <c r="A1466" t="s">
        <v>4307</v>
      </c>
      <c r="B1466" s="26" t="str">
        <f>MID(tbl_forecast[[#This Row],[PACE Job Number]],3,3)</f>
        <v>NTX</v>
      </c>
      <c r="C1466" t="s">
        <v>11</v>
      </c>
      <c r="D1466" s="1">
        <v>43427</v>
      </c>
      <c r="E1466" s="1">
        <v>43431</v>
      </c>
      <c r="F1466" s="1">
        <v>43423</v>
      </c>
      <c r="G1466" s="1">
        <v>43423</v>
      </c>
      <c r="H1466" t="s">
        <v>9</v>
      </c>
      <c r="I1466" t="s">
        <v>10</v>
      </c>
    </row>
    <row r="1467" spans="1:9" x14ac:dyDescent="0.25">
      <c r="A1467" t="s">
        <v>4308</v>
      </c>
      <c r="B1467" s="26" t="str">
        <f>MID(tbl_forecast[[#This Row],[PACE Job Number]],3,3)</f>
        <v>NTX</v>
      </c>
      <c r="C1467" t="s">
        <v>11</v>
      </c>
      <c r="D1467" s="1">
        <v>43427</v>
      </c>
      <c r="E1467" s="1">
        <v>43427</v>
      </c>
      <c r="F1467" s="1">
        <v>43413</v>
      </c>
      <c r="G1467" s="1">
        <v>43413</v>
      </c>
      <c r="H1467" t="s">
        <v>9</v>
      </c>
      <c r="I1467" t="s">
        <v>10</v>
      </c>
    </row>
    <row r="1468" spans="1:9" x14ac:dyDescent="0.25">
      <c r="A1468" t="s">
        <v>4309</v>
      </c>
      <c r="B1468" s="26" t="str">
        <f>MID(tbl_forecast[[#This Row],[PACE Job Number]],3,3)</f>
        <v>NTX</v>
      </c>
      <c r="C1468" t="s">
        <v>11</v>
      </c>
      <c r="D1468" s="1">
        <v>43420</v>
      </c>
      <c r="E1468" s="1">
        <v>43448</v>
      </c>
      <c r="F1468" s="1">
        <v>43448</v>
      </c>
      <c r="G1468" s="1"/>
      <c r="H1468" t="s">
        <v>4664</v>
      </c>
      <c r="I1468" t="s">
        <v>5645</v>
      </c>
    </row>
    <row r="1469" spans="1:9" x14ac:dyDescent="0.25">
      <c r="A1469" t="s">
        <v>5325</v>
      </c>
      <c r="B1469" s="26" t="str">
        <f>MID(tbl_forecast[[#This Row],[PACE Job Number]],3,3)</f>
        <v>NTX</v>
      </c>
      <c r="C1469" t="s">
        <v>11</v>
      </c>
      <c r="D1469" s="1">
        <v>43430</v>
      </c>
      <c r="E1469" s="1">
        <v>43437</v>
      </c>
      <c r="F1469" s="1">
        <v>43437</v>
      </c>
      <c r="G1469" s="1"/>
      <c r="H1469" t="s">
        <v>9</v>
      </c>
      <c r="I1469" t="s">
        <v>27</v>
      </c>
    </row>
    <row r="1470" spans="1:9" x14ac:dyDescent="0.25">
      <c r="A1470" t="s">
        <v>2542</v>
      </c>
      <c r="B1470" s="26" t="str">
        <f>MID(tbl_forecast[[#This Row],[PACE Job Number]],3,3)</f>
        <v>STX</v>
      </c>
      <c r="C1470" t="s">
        <v>11</v>
      </c>
      <c r="D1470" s="1">
        <v>43428</v>
      </c>
      <c r="E1470" s="1">
        <v>43459</v>
      </c>
      <c r="F1470" s="1">
        <v>43459</v>
      </c>
      <c r="G1470" s="1"/>
      <c r="H1470" t="s">
        <v>4664</v>
      </c>
      <c r="I1470" t="s">
        <v>4665</v>
      </c>
    </row>
    <row r="1471" spans="1:9" x14ac:dyDescent="0.25">
      <c r="A1471" t="s">
        <v>1605</v>
      </c>
      <c r="B1471" s="26" t="str">
        <f>MID(tbl_forecast[[#This Row],[PACE Job Number]],3,3)</f>
        <v>STX</v>
      </c>
      <c r="C1471" t="s">
        <v>11</v>
      </c>
      <c r="D1471" s="1">
        <v>43426</v>
      </c>
      <c r="E1471" s="1">
        <v>43426</v>
      </c>
      <c r="F1471" s="1">
        <v>43420</v>
      </c>
      <c r="G1471" s="1">
        <v>43420</v>
      </c>
      <c r="H1471" t="s">
        <v>9</v>
      </c>
      <c r="I1471" t="s">
        <v>10</v>
      </c>
    </row>
    <row r="1472" spans="1:9" x14ac:dyDescent="0.25">
      <c r="A1472" t="s">
        <v>172</v>
      </c>
      <c r="B1472" s="26" t="str">
        <f>MID(tbl_forecast[[#This Row],[PACE Job Number]],3,3)</f>
        <v>STX</v>
      </c>
      <c r="C1472" t="s">
        <v>11</v>
      </c>
      <c r="D1472" s="1">
        <v>43425</v>
      </c>
      <c r="E1472" s="1">
        <v>43425</v>
      </c>
      <c r="F1472" s="1">
        <v>43424</v>
      </c>
      <c r="G1472" s="1">
        <v>43424</v>
      </c>
      <c r="H1472" t="s">
        <v>9</v>
      </c>
      <c r="I1472" t="s">
        <v>10</v>
      </c>
    </row>
    <row r="1473" spans="1:9" x14ac:dyDescent="0.25">
      <c r="A1473" t="s">
        <v>1646</v>
      </c>
      <c r="B1473" s="26" t="str">
        <f>MID(tbl_forecast[[#This Row],[PACE Job Number]],3,3)</f>
        <v>STX</v>
      </c>
      <c r="C1473" t="s">
        <v>11</v>
      </c>
      <c r="D1473" s="1">
        <v>43426</v>
      </c>
      <c r="E1473" s="1">
        <v>43426</v>
      </c>
      <c r="F1473" s="1">
        <v>43420</v>
      </c>
      <c r="G1473" s="1">
        <v>43420</v>
      </c>
      <c r="H1473" t="s">
        <v>9</v>
      </c>
      <c r="I1473" t="s">
        <v>10</v>
      </c>
    </row>
    <row r="1474" spans="1:9" x14ac:dyDescent="0.25">
      <c r="A1474" t="s">
        <v>3426</v>
      </c>
      <c r="B1474" s="26" t="str">
        <f>MID(tbl_forecast[[#This Row],[PACE Job Number]],3,3)</f>
        <v>STX</v>
      </c>
      <c r="C1474" t="s">
        <v>11</v>
      </c>
      <c r="D1474" s="1">
        <v>43426</v>
      </c>
      <c r="E1474" s="1">
        <v>43426</v>
      </c>
      <c r="F1474" s="1">
        <v>43416</v>
      </c>
      <c r="G1474" s="1">
        <v>43416</v>
      </c>
      <c r="H1474" t="s">
        <v>9</v>
      </c>
      <c r="I1474" t="s">
        <v>10</v>
      </c>
    </row>
    <row r="1475" spans="1:9" x14ac:dyDescent="0.25">
      <c r="A1475" t="s">
        <v>4316</v>
      </c>
      <c r="B1475" s="26" t="str">
        <f>MID(tbl_forecast[[#This Row],[PACE Job Number]],3,3)</f>
        <v>STX</v>
      </c>
      <c r="C1475" t="s">
        <v>11</v>
      </c>
      <c r="D1475" s="1">
        <v>43425</v>
      </c>
      <c r="E1475" s="1">
        <v>43459</v>
      </c>
      <c r="F1475" s="1">
        <v>43425</v>
      </c>
      <c r="G1475" s="1"/>
      <c r="H1475" t="s">
        <v>9</v>
      </c>
      <c r="I1475" t="s">
        <v>44</v>
      </c>
    </row>
    <row r="1476" spans="1:9" x14ac:dyDescent="0.25">
      <c r="A1476" t="s">
        <v>5326</v>
      </c>
      <c r="B1476" s="26" t="str">
        <f>MID(tbl_forecast[[#This Row],[PACE Job Number]],3,3)</f>
        <v>STX</v>
      </c>
      <c r="C1476" t="s">
        <v>11</v>
      </c>
      <c r="D1476" s="1">
        <v>43425</v>
      </c>
      <c r="E1476" s="1">
        <v>43425</v>
      </c>
      <c r="F1476" s="1">
        <v>43424</v>
      </c>
      <c r="G1476" s="1">
        <v>43424</v>
      </c>
      <c r="H1476" t="s">
        <v>9</v>
      </c>
      <c r="I1476" t="s">
        <v>10</v>
      </c>
    </row>
    <row r="1477" spans="1:9" x14ac:dyDescent="0.25">
      <c r="A1477" t="s">
        <v>1650</v>
      </c>
      <c r="B1477" s="26" t="str">
        <f>MID(tbl_forecast[[#This Row],[PACE Job Number]],3,3)</f>
        <v>STX</v>
      </c>
      <c r="C1477" t="s">
        <v>11</v>
      </c>
      <c r="D1477" s="1">
        <v>43426</v>
      </c>
      <c r="E1477" s="1">
        <v>43426</v>
      </c>
      <c r="F1477" s="1">
        <v>43420</v>
      </c>
      <c r="G1477" s="1">
        <v>43420</v>
      </c>
      <c r="H1477" t="s">
        <v>9</v>
      </c>
      <c r="I1477" t="s">
        <v>10</v>
      </c>
    </row>
    <row r="1478" spans="1:9" x14ac:dyDescent="0.25">
      <c r="A1478" t="s">
        <v>1579</v>
      </c>
      <c r="B1478" s="26" t="str">
        <f>MID(tbl_forecast[[#This Row],[PACE Job Number]],3,3)</f>
        <v>STX</v>
      </c>
      <c r="C1478" t="s">
        <v>11</v>
      </c>
      <c r="D1478" s="1">
        <v>43426</v>
      </c>
      <c r="E1478" s="1">
        <v>43426</v>
      </c>
      <c r="F1478" s="1">
        <v>43420</v>
      </c>
      <c r="G1478" s="1">
        <v>43420</v>
      </c>
      <c r="H1478" t="s">
        <v>9</v>
      </c>
      <c r="I1478" t="s">
        <v>10</v>
      </c>
    </row>
    <row r="1479" spans="1:9" x14ac:dyDescent="0.25">
      <c r="A1479" t="s">
        <v>4319</v>
      </c>
      <c r="B1479" s="26" t="str">
        <f>MID(tbl_forecast[[#This Row],[PACE Job Number]],3,3)</f>
        <v>STX</v>
      </c>
      <c r="C1479" t="s">
        <v>11</v>
      </c>
      <c r="D1479" s="1">
        <v>43428</v>
      </c>
      <c r="E1479" s="1">
        <v>43420</v>
      </c>
      <c r="F1479" s="1">
        <v>43424</v>
      </c>
      <c r="G1479" s="1">
        <v>43424</v>
      </c>
      <c r="H1479" t="s">
        <v>9</v>
      </c>
      <c r="I1479" t="s">
        <v>10</v>
      </c>
    </row>
    <row r="1480" spans="1:9" x14ac:dyDescent="0.25">
      <c r="A1480" t="s">
        <v>3463</v>
      </c>
      <c r="B1480" s="26" t="str">
        <f>MID(tbl_forecast[[#This Row],[PACE Job Number]],3,3)</f>
        <v>STX</v>
      </c>
      <c r="C1480" t="s">
        <v>11</v>
      </c>
      <c r="D1480" s="1">
        <v>43428</v>
      </c>
      <c r="E1480" s="1">
        <v>43445</v>
      </c>
      <c r="F1480" s="1">
        <v>43445</v>
      </c>
      <c r="G1480" s="1"/>
      <c r="H1480" t="s">
        <v>4664</v>
      </c>
      <c r="I1480" t="s">
        <v>4665</v>
      </c>
    </row>
    <row r="1481" spans="1:9" x14ac:dyDescent="0.25">
      <c r="A1481" t="s">
        <v>3237</v>
      </c>
      <c r="B1481" s="26" t="str">
        <f>MID(tbl_forecast[[#This Row],[PACE Job Number]],3,3)</f>
        <v>STX</v>
      </c>
      <c r="C1481" t="s">
        <v>11</v>
      </c>
      <c r="D1481" s="1">
        <v>43405</v>
      </c>
      <c r="E1481" s="1">
        <v>43405</v>
      </c>
      <c r="F1481" s="1">
        <v>43405</v>
      </c>
      <c r="G1481" s="1">
        <v>43405</v>
      </c>
      <c r="H1481" t="s">
        <v>9</v>
      </c>
      <c r="I1481" t="s">
        <v>10</v>
      </c>
    </row>
    <row r="1482" spans="1:9" x14ac:dyDescent="0.25">
      <c r="A1482" t="s">
        <v>5464</v>
      </c>
      <c r="B1482" s="26" t="str">
        <f>MID(tbl_forecast[[#This Row],[PACE Job Number]],3,3)</f>
        <v>STX</v>
      </c>
      <c r="C1482" t="s">
        <v>11</v>
      </c>
      <c r="D1482" s="1">
        <v>43409</v>
      </c>
      <c r="E1482" s="1">
        <v>43428</v>
      </c>
      <c r="F1482" s="1">
        <v>43424</v>
      </c>
      <c r="G1482" s="1">
        <v>43424</v>
      </c>
      <c r="H1482" t="s">
        <v>4664</v>
      </c>
      <c r="I1482" t="s">
        <v>10</v>
      </c>
    </row>
    <row r="1483" spans="1:9" x14ac:dyDescent="0.25">
      <c r="A1483" t="s">
        <v>5197</v>
      </c>
      <c r="B1483" s="26" t="str">
        <f>MID(tbl_forecast[[#This Row],[PACE Job Number]],3,3)</f>
        <v>WSH</v>
      </c>
      <c r="C1483" t="s">
        <v>11</v>
      </c>
      <c r="D1483" s="1">
        <v>43420</v>
      </c>
      <c r="E1483" s="1">
        <v>43440</v>
      </c>
      <c r="F1483" s="1">
        <v>43434</v>
      </c>
      <c r="G1483" s="1"/>
      <c r="H1483" t="s">
        <v>9</v>
      </c>
      <c r="I1483" t="s">
        <v>44</v>
      </c>
    </row>
    <row r="1484" spans="1:9" x14ac:dyDescent="0.25">
      <c r="A1484" t="s">
        <v>3902</v>
      </c>
      <c r="B1484" s="26" t="str">
        <f>MID(tbl_forecast[[#This Row],[PACE Job Number]],3,3)</f>
        <v>WSH</v>
      </c>
      <c r="C1484" t="s">
        <v>11</v>
      </c>
      <c r="D1484" s="1">
        <v>43413</v>
      </c>
      <c r="E1484" s="1">
        <v>43420</v>
      </c>
      <c r="F1484" s="1">
        <v>43420</v>
      </c>
      <c r="G1484" s="1">
        <v>43420</v>
      </c>
      <c r="H1484" t="s">
        <v>9</v>
      </c>
      <c r="I1484" t="s">
        <v>10</v>
      </c>
    </row>
    <row r="1485" spans="1:9" x14ac:dyDescent="0.25">
      <c r="A1485" t="s">
        <v>3903</v>
      </c>
      <c r="B1485" s="26" t="str">
        <f>MID(tbl_forecast[[#This Row],[PACE Job Number]],3,3)</f>
        <v>WSH</v>
      </c>
      <c r="C1485" t="s">
        <v>11</v>
      </c>
      <c r="D1485" s="1">
        <v>43406</v>
      </c>
      <c r="E1485" s="1">
        <v>43409</v>
      </c>
      <c r="F1485" s="1">
        <v>43409</v>
      </c>
      <c r="G1485" s="1">
        <v>43409</v>
      </c>
      <c r="H1485" t="s">
        <v>9</v>
      </c>
      <c r="I1485" t="s">
        <v>10</v>
      </c>
    </row>
    <row r="1486" spans="1:9" x14ac:dyDescent="0.25">
      <c r="A1486" t="s">
        <v>148</v>
      </c>
      <c r="B1486" s="26" t="str">
        <f>MID(tbl_forecast[[#This Row],[PACE Job Number]],3,3)</f>
        <v>WSH</v>
      </c>
      <c r="C1486" t="s">
        <v>11</v>
      </c>
      <c r="D1486" s="1">
        <v>43420</v>
      </c>
      <c r="E1486" s="1">
        <v>43420</v>
      </c>
      <c r="F1486" s="1">
        <v>43420</v>
      </c>
      <c r="G1486" s="1">
        <v>43420</v>
      </c>
      <c r="H1486" t="s">
        <v>9</v>
      </c>
      <c r="I1486" t="s">
        <v>10</v>
      </c>
    </row>
    <row r="1487" spans="1:9" x14ac:dyDescent="0.25">
      <c r="A1487" t="s">
        <v>4206</v>
      </c>
      <c r="B1487" s="26" t="str">
        <f>MID(tbl_forecast[[#This Row],[PACE Job Number]],3,3)</f>
        <v>WSH</v>
      </c>
      <c r="C1487" t="s">
        <v>11</v>
      </c>
      <c r="D1487" s="1">
        <v>43424</v>
      </c>
      <c r="E1487" s="1">
        <v>43425</v>
      </c>
      <c r="F1487" s="1">
        <v>43425</v>
      </c>
      <c r="G1487" s="1">
        <v>43425</v>
      </c>
      <c r="H1487" t="s">
        <v>9</v>
      </c>
      <c r="I1487" t="s">
        <v>10</v>
      </c>
    </row>
    <row r="1488" spans="1:9" x14ac:dyDescent="0.25">
      <c r="A1488" t="s">
        <v>254</v>
      </c>
      <c r="B1488" s="26" t="str">
        <f>MID(tbl_forecast[[#This Row],[PACE Job Number]],3,3)</f>
        <v>WSH</v>
      </c>
      <c r="C1488" t="s">
        <v>11</v>
      </c>
      <c r="D1488" s="1">
        <v>43424</v>
      </c>
      <c r="E1488" s="1">
        <v>43440</v>
      </c>
      <c r="F1488" s="1">
        <v>43434</v>
      </c>
      <c r="G1488" s="1"/>
      <c r="H1488" t="s">
        <v>9</v>
      </c>
      <c r="I1488" t="s">
        <v>44</v>
      </c>
    </row>
    <row r="1489" spans="1:9" x14ac:dyDescent="0.25">
      <c r="A1489" t="s">
        <v>5199</v>
      </c>
      <c r="B1489" s="26" t="str">
        <f>MID(tbl_forecast[[#This Row],[PACE Job Number]],3,3)</f>
        <v>WSH</v>
      </c>
      <c r="C1489" t="s">
        <v>11</v>
      </c>
      <c r="D1489" s="1">
        <v>43424</v>
      </c>
      <c r="E1489" s="1">
        <v>43420</v>
      </c>
      <c r="F1489" s="1">
        <v>43420</v>
      </c>
      <c r="G1489" s="1">
        <v>43420</v>
      </c>
      <c r="H1489" t="s">
        <v>9</v>
      </c>
      <c r="I1489" t="s">
        <v>10</v>
      </c>
    </row>
    <row r="1490" spans="1:9" x14ac:dyDescent="0.25">
      <c r="A1490" t="s">
        <v>5200</v>
      </c>
      <c r="B1490" s="26" t="str">
        <f>MID(tbl_forecast[[#This Row],[PACE Job Number]],3,3)</f>
        <v>WSH</v>
      </c>
      <c r="C1490" t="s">
        <v>11</v>
      </c>
      <c r="D1490" s="1">
        <v>43424</v>
      </c>
      <c r="E1490" s="1">
        <v>43437</v>
      </c>
      <c r="F1490" s="1">
        <v>43428</v>
      </c>
      <c r="G1490" s="1"/>
      <c r="H1490" t="s">
        <v>9</v>
      </c>
      <c r="I1490" t="s">
        <v>27</v>
      </c>
    </row>
    <row r="1491" spans="1:9" x14ac:dyDescent="0.25">
      <c r="A1491" t="s">
        <v>3813</v>
      </c>
      <c r="B1491" s="26" t="str">
        <f>MID(tbl_forecast[[#This Row],[PACE Job Number]],3,3)</f>
        <v>WSH</v>
      </c>
      <c r="C1491" t="s">
        <v>11</v>
      </c>
      <c r="D1491" s="1">
        <v>43424</v>
      </c>
      <c r="E1491" s="1">
        <v>43434</v>
      </c>
      <c r="F1491" s="1">
        <v>43431</v>
      </c>
      <c r="G1491" s="1"/>
      <c r="H1491" t="s">
        <v>9</v>
      </c>
      <c r="I1491" t="s">
        <v>27</v>
      </c>
    </row>
    <row r="1492" spans="1:9" x14ac:dyDescent="0.25">
      <c r="A1492" t="s">
        <v>3396</v>
      </c>
      <c r="B1492" s="26" t="str">
        <f>MID(tbl_forecast[[#This Row],[PACE Job Number]],3,3)</f>
        <v>WSH</v>
      </c>
      <c r="C1492" t="s">
        <v>11</v>
      </c>
      <c r="D1492" s="1">
        <v>43433</v>
      </c>
      <c r="E1492" s="1">
        <v>43444</v>
      </c>
      <c r="F1492" s="1">
        <v>43447</v>
      </c>
      <c r="G1492" s="1"/>
      <c r="H1492" t="s">
        <v>9</v>
      </c>
      <c r="I1492" t="s">
        <v>27</v>
      </c>
    </row>
    <row r="1493" spans="1:9" x14ac:dyDescent="0.25">
      <c r="A1493" t="s">
        <v>55</v>
      </c>
      <c r="B1493" s="26" t="str">
        <f>MID(tbl_forecast[[#This Row],[PACE Job Number]],3,3)</f>
        <v>WSH</v>
      </c>
      <c r="C1493" t="s">
        <v>11</v>
      </c>
      <c r="D1493" s="1">
        <v>43408</v>
      </c>
      <c r="E1493" s="1">
        <v>43408</v>
      </c>
      <c r="F1493" s="1">
        <v>43408</v>
      </c>
      <c r="G1493" s="1">
        <v>43408</v>
      </c>
      <c r="H1493" t="s">
        <v>9</v>
      </c>
      <c r="I1493" t="s">
        <v>10</v>
      </c>
    </row>
    <row r="1494" spans="1:9" x14ac:dyDescent="0.25">
      <c r="A1494" t="s">
        <v>3907</v>
      </c>
      <c r="B1494" s="26" t="str">
        <f>MID(tbl_forecast[[#This Row],[PACE Job Number]],3,3)</f>
        <v>WSH</v>
      </c>
      <c r="C1494" t="s">
        <v>11</v>
      </c>
      <c r="D1494" s="1">
        <v>43406</v>
      </c>
      <c r="E1494" s="1">
        <v>43409</v>
      </c>
      <c r="F1494" s="1">
        <v>43408</v>
      </c>
      <c r="G1494" s="1">
        <v>43408</v>
      </c>
      <c r="H1494" t="s">
        <v>9</v>
      </c>
      <c r="I1494" t="s">
        <v>10</v>
      </c>
    </row>
    <row r="1495" spans="1:9" x14ac:dyDescent="0.25">
      <c r="A1495" t="s">
        <v>4208</v>
      </c>
      <c r="B1495" s="26" t="str">
        <f>MID(tbl_forecast[[#This Row],[PACE Job Number]],3,3)</f>
        <v>WSH</v>
      </c>
      <c r="C1495" t="s">
        <v>11</v>
      </c>
      <c r="D1495" s="1">
        <v>43419</v>
      </c>
      <c r="E1495" s="1" t="s">
        <v>5646</v>
      </c>
      <c r="F1495" s="1" t="s">
        <v>5646</v>
      </c>
      <c r="G1495" s="1" t="s">
        <v>5646</v>
      </c>
      <c r="H1495" t="s">
        <v>5647</v>
      </c>
      <c r="I1495" t="s">
        <v>27</v>
      </c>
    </row>
    <row r="1496" spans="1:9" x14ac:dyDescent="0.25">
      <c r="A1496" t="s">
        <v>5201</v>
      </c>
      <c r="B1496" s="26" t="str">
        <f>MID(tbl_forecast[[#This Row],[PACE Job Number]],3,3)</f>
        <v>WSH</v>
      </c>
      <c r="C1496" t="s">
        <v>11</v>
      </c>
      <c r="D1496" s="1">
        <v>43420</v>
      </c>
      <c r="E1496" s="1">
        <v>43424</v>
      </c>
      <c r="F1496" s="1">
        <v>43424</v>
      </c>
      <c r="G1496" s="1">
        <v>43424</v>
      </c>
      <c r="H1496" t="s">
        <v>9</v>
      </c>
      <c r="I1496" t="s">
        <v>10</v>
      </c>
    </row>
    <row r="1497" spans="1:9" x14ac:dyDescent="0.25">
      <c r="A1497" t="s">
        <v>5202</v>
      </c>
      <c r="B1497" s="26" t="str">
        <f>MID(tbl_forecast[[#This Row],[PACE Job Number]],3,3)</f>
        <v>WSH</v>
      </c>
      <c r="C1497" t="s">
        <v>11</v>
      </c>
      <c r="D1497" s="1">
        <v>43424</v>
      </c>
      <c r="E1497" s="1">
        <v>43433</v>
      </c>
      <c r="F1497" s="1">
        <v>43434</v>
      </c>
      <c r="G1497" s="1"/>
      <c r="H1497" t="s">
        <v>9</v>
      </c>
      <c r="I1497" t="s">
        <v>27</v>
      </c>
    </row>
    <row r="1498" spans="1:9" x14ac:dyDescent="0.25">
      <c r="A1498" t="s">
        <v>3411</v>
      </c>
      <c r="B1498" s="26" t="str">
        <f>MID(tbl_forecast[[#This Row],[PACE Job Number]],3,3)</f>
        <v>WSH</v>
      </c>
      <c r="C1498" t="s">
        <v>11</v>
      </c>
      <c r="D1498" s="1">
        <v>43405</v>
      </c>
      <c r="E1498" s="1">
        <v>43405</v>
      </c>
      <c r="F1498" s="1">
        <v>43405</v>
      </c>
      <c r="G1498" s="1">
        <v>43405</v>
      </c>
      <c r="H1498" t="s">
        <v>9</v>
      </c>
      <c r="I1498" t="s">
        <v>10</v>
      </c>
    </row>
    <row r="1499" spans="1:9" x14ac:dyDescent="0.25">
      <c r="A1499" t="s">
        <v>63</v>
      </c>
      <c r="B1499" s="26" t="str">
        <f>MID(tbl_forecast[[#This Row],[PACE Job Number]],3,3)</f>
        <v>WSH</v>
      </c>
      <c r="C1499" t="s">
        <v>11</v>
      </c>
      <c r="D1499" s="1">
        <v>43424</v>
      </c>
      <c r="E1499" s="1">
        <v>43425</v>
      </c>
      <c r="F1499" s="1">
        <v>43425</v>
      </c>
      <c r="G1499" s="1">
        <v>43425</v>
      </c>
      <c r="H1499" t="s">
        <v>9</v>
      </c>
      <c r="I1499" t="s">
        <v>10</v>
      </c>
    </row>
    <row r="1500" spans="1:9" x14ac:dyDescent="0.25">
      <c r="A1500" t="s">
        <v>4209</v>
      </c>
      <c r="B1500" s="26" t="str">
        <f>MID(tbl_forecast[[#This Row],[PACE Job Number]],3,3)</f>
        <v>WSH</v>
      </c>
      <c r="C1500" t="s">
        <v>11</v>
      </c>
      <c r="D1500" s="1">
        <v>43409</v>
      </c>
      <c r="E1500" s="1">
        <v>43417</v>
      </c>
      <c r="F1500" s="1">
        <v>43416</v>
      </c>
      <c r="G1500" s="1">
        <v>43416</v>
      </c>
      <c r="H1500" t="s">
        <v>9</v>
      </c>
      <c r="I1500" t="s">
        <v>10</v>
      </c>
    </row>
    <row r="1501" spans="1:9" x14ac:dyDescent="0.25">
      <c r="A1501" t="s">
        <v>3819</v>
      </c>
      <c r="B1501" s="26" t="str">
        <f>MID(tbl_forecast[[#This Row],[PACE Job Number]],3,3)</f>
        <v>WSH</v>
      </c>
      <c r="C1501" t="s">
        <v>11</v>
      </c>
      <c r="D1501" s="1">
        <v>43413</v>
      </c>
      <c r="E1501" s="1">
        <v>43425</v>
      </c>
      <c r="F1501" s="1">
        <v>43425</v>
      </c>
      <c r="G1501" s="1">
        <v>43425</v>
      </c>
      <c r="H1501" t="s">
        <v>9</v>
      </c>
      <c r="I1501" t="s">
        <v>10</v>
      </c>
    </row>
    <row r="1502" spans="1:9" x14ac:dyDescent="0.25">
      <c r="A1502" t="s">
        <v>3820</v>
      </c>
      <c r="B1502" s="26" t="str">
        <f>MID(tbl_forecast[[#This Row],[PACE Job Number]],3,3)</f>
        <v>WSH</v>
      </c>
      <c r="C1502" t="s">
        <v>11</v>
      </c>
      <c r="D1502" s="1">
        <v>43424</v>
      </c>
      <c r="E1502" s="1">
        <v>43446</v>
      </c>
      <c r="F1502" s="1">
        <v>43441</v>
      </c>
      <c r="G1502" s="1"/>
      <c r="H1502" t="s">
        <v>4664</v>
      </c>
      <c r="I1502" t="s">
        <v>4665</v>
      </c>
    </row>
    <row r="1503" spans="1:9" x14ac:dyDescent="0.25">
      <c r="A1503" t="s">
        <v>296</v>
      </c>
      <c r="B1503" s="26" t="str">
        <f>MID(tbl_forecast[[#This Row],[PACE Job Number]],3,3)</f>
        <v>WSH</v>
      </c>
      <c r="C1503" t="s">
        <v>11</v>
      </c>
      <c r="D1503" s="1">
        <v>43409</v>
      </c>
      <c r="E1503" s="1">
        <v>43410</v>
      </c>
      <c r="F1503" s="1">
        <v>43409</v>
      </c>
      <c r="G1503" s="1">
        <v>43409</v>
      </c>
      <c r="H1503" t="s">
        <v>9</v>
      </c>
      <c r="I1503" t="s">
        <v>10</v>
      </c>
    </row>
    <row r="1504" spans="1:9" x14ac:dyDescent="0.25">
      <c r="A1504" t="s">
        <v>3262</v>
      </c>
      <c r="B1504" s="26" t="str">
        <f>MID(tbl_forecast[[#This Row],[PACE Job Number]],3,3)</f>
        <v>STX</v>
      </c>
      <c r="C1504" t="s">
        <v>11</v>
      </c>
      <c r="D1504" s="1">
        <v>43405</v>
      </c>
      <c r="E1504" s="1">
        <v>43405</v>
      </c>
      <c r="F1504" s="1">
        <v>43405</v>
      </c>
      <c r="G1504" s="1">
        <v>43405</v>
      </c>
      <c r="H1504" t="s">
        <v>9</v>
      </c>
      <c r="I1504" t="s">
        <v>10</v>
      </c>
    </row>
    <row r="1505" spans="1:9" x14ac:dyDescent="0.25">
      <c r="A1505" t="s">
        <v>5465</v>
      </c>
      <c r="B1505" s="26" t="str">
        <f>MID(tbl_forecast[[#This Row],[PACE Job Number]],3,3)</f>
        <v>STX</v>
      </c>
      <c r="C1505" t="s">
        <v>11</v>
      </c>
      <c r="D1505" s="1">
        <v>43409</v>
      </c>
      <c r="E1505" s="1">
        <v>43428</v>
      </c>
      <c r="F1505" s="1">
        <v>43424</v>
      </c>
      <c r="G1505" s="1">
        <v>43424</v>
      </c>
      <c r="H1505" t="s">
        <v>4664</v>
      </c>
      <c r="I1505" t="s">
        <v>10</v>
      </c>
    </row>
    <row r="1506" spans="1:9" x14ac:dyDescent="0.25">
      <c r="A1506" t="s">
        <v>4327</v>
      </c>
      <c r="B1506" s="26" t="str">
        <f>MID(tbl_forecast[[#This Row],[PACE Job Number]],3,3)</f>
        <v>STX</v>
      </c>
      <c r="C1506" t="s">
        <v>11</v>
      </c>
      <c r="D1506" s="1">
        <v>43425</v>
      </c>
      <c r="E1506" s="1">
        <v>43425</v>
      </c>
      <c r="F1506" s="1">
        <v>43424</v>
      </c>
      <c r="G1506" s="1">
        <v>43424</v>
      </c>
      <c r="H1506" t="s">
        <v>9</v>
      </c>
      <c r="I1506" t="s">
        <v>10</v>
      </c>
    </row>
    <row r="1507" spans="1:9" x14ac:dyDescent="0.25">
      <c r="A1507" t="s">
        <v>5331</v>
      </c>
      <c r="B1507" s="26" t="str">
        <f>MID(tbl_forecast[[#This Row],[PACE Job Number]],3,3)</f>
        <v>STX</v>
      </c>
      <c r="C1507" t="s">
        <v>11</v>
      </c>
      <c r="D1507" s="1">
        <v>43429</v>
      </c>
      <c r="E1507" s="1">
        <v>43424</v>
      </c>
      <c r="F1507" s="1">
        <v>43416</v>
      </c>
      <c r="G1507" s="1">
        <v>43416</v>
      </c>
      <c r="H1507" t="s">
        <v>9</v>
      </c>
      <c r="I1507" t="s">
        <v>10</v>
      </c>
    </row>
    <row r="1508" spans="1:9" x14ac:dyDescent="0.25">
      <c r="A1508" t="s">
        <v>2568</v>
      </c>
      <c r="B1508" s="26" t="str">
        <f>MID(tbl_forecast[[#This Row],[PACE Job Number]],3,3)</f>
        <v>STX</v>
      </c>
      <c r="C1508" t="s">
        <v>11</v>
      </c>
      <c r="D1508" s="1">
        <v>43410</v>
      </c>
      <c r="E1508" s="1">
        <v>43447</v>
      </c>
      <c r="F1508" s="1">
        <v>43447</v>
      </c>
      <c r="G1508" s="1"/>
      <c r="H1508" t="s">
        <v>4664</v>
      </c>
      <c r="I1508" t="s">
        <v>5645</v>
      </c>
    </row>
    <row r="1509" spans="1:9" x14ac:dyDescent="0.25">
      <c r="A1509" t="s">
        <v>4329</v>
      </c>
      <c r="B1509" s="26" t="str">
        <f>MID(tbl_forecast[[#This Row],[PACE Job Number]],3,3)</f>
        <v>STX</v>
      </c>
      <c r="C1509" t="s">
        <v>11</v>
      </c>
      <c r="D1509" s="1">
        <v>43425</v>
      </c>
      <c r="E1509" s="1">
        <v>43425</v>
      </c>
      <c r="F1509" s="1">
        <v>43423</v>
      </c>
      <c r="G1509" s="1">
        <v>43423</v>
      </c>
      <c r="H1509" t="s">
        <v>9</v>
      </c>
      <c r="I1509" t="s">
        <v>10</v>
      </c>
    </row>
    <row r="1510" spans="1:9" x14ac:dyDescent="0.25">
      <c r="A1510" t="s">
        <v>187</v>
      </c>
      <c r="B1510" s="26" t="str">
        <f>MID(tbl_forecast[[#This Row],[PACE Job Number]],3,3)</f>
        <v>STX</v>
      </c>
      <c r="C1510" t="s">
        <v>11</v>
      </c>
      <c r="D1510" s="1">
        <v>43425</v>
      </c>
      <c r="E1510" s="1">
        <v>43425</v>
      </c>
      <c r="F1510" s="1">
        <v>43418</v>
      </c>
      <c r="G1510" s="1">
        <v>43418</v>
      </c>
      <c r="H1510" t="s">
        <v>9</v>
      </c>
      <c r="I1510" t="s">
        <v>10</v>
      </c>
    </row>
    <row r="1511" spans="1:9" x14ac:dyDescent="0.25">
      <c r="A1511" t="s">
        <v>5332</v>
      </c>
      <c r="B1511" s="26" t="str">
        <f>MID(tbl_forecast[[#This Row],[PACE Job Number]],3,3)</f>
        <v>STX</v>
      </c>
      <c r="C1511" t="s">
        <v>11</v>
      </c>
      <c r="D1511" s="1">
        <v>43425</v>
      </c>
      <c r="E1511" s="1">
        <v>43459</v>
      </c>
      <c r="F1511" s="1">
        <v>43425</v>
      </c>
      <c r="G1511" s="1"/>
      <c r="H1511" t="s">
        <v>9</v>
      </c>
      <c r="I1511" t="s">
        <v>44</v>
      </c>
    </row>
    <row r="1512" spans="1:9" x14ac:dyDescent="0.25">
      <c r="A1512" t="s">
        <v>2576</v>
      </c>
      <c r="B1512" s="26" t="str">
        <f>MID(tbl_forecast[[#This Row],[PACE Job Number]],3,3)</f>
        <v>STX</v>
      </c>
      <c r="C1512" t="s">
        <v>11</v>
      </c>
      <c r="D1512" s="1">
        <v>43428</v>
      </c>
      <c r="E1512" s="1">
        <v>43447</v>
      </c>
      <c r="F1512" s="1">
        <v>43447</v>
      </c>
      <c r="G1512" s="1"/>
      <c r="H1512" t="s">
        <v>4664</v>
      </c>
      <c r="I1512" t="s">
        <v>4665</v>
      </c>
    </row>
    <row r="1513" spans="1:9" x14ac:dyDescent="0.25">
      <c r="A1513" t="s">
        <v>4330</v>
      </c>
      <c r="B1513" s="26" t="str">
        <f>MID(tbl_forecast[[#This Row],[PACE Job Number]],3,3)</f>
        <v>STX</v>
      </c>
      <c r="C1513" t="s">
        <v>11</v>
      </c>
      <c r="D1513" s="1">
        <v>43425</v>
      </c>
      <c r="E1513" s="1">
        <v>43425</v>
      </c>
      <c r="F1513" s="1">
        <v>43423</v>
      </c>
      <c r="G1513" s="1">
        <v>43423</v>
      </c>
      <c r="H1513" t="s">
        <v>9</v>
      </c>
      <c r="I1513" t="s">
        <v>10</v>
      </c>
    </row>
    <row r="1514" spans="1:9" x14ac:dyDescent="0.25">
      <c r="A1514" t="s">
        <v>4331</v>
      </c>
      <c r="B1514" s="26" t="str">
        <f>MID(tbl_forecast[[#This Row],[PACE Job Number]],3,3)</f>
        <v>STX</v>
      </c>
      <c r="C1514" t="s">
        <v>11</v>
      </c>
      <c r="D1514" s="1">
        <v>43425</v>
      </c>
      <c r="E1514" s="1">
        <v>43425</v>
      </c>
      <c r="F1514" s="1">
        <v>43424</v>
      </c>
      <c r="G1514" s="1">
        <v>43424</v>
      </c>
      <c r="H1514" t="s">
        <v>9</v>
      </c>
      <c r="I1514" t="s">
        <v>10</v>
      </c>
    </row>
    <row r="1515" spans="1:9" x14ac:dyDescent="0.25">
      <c r="A1515" t="s">
        <v>3365</v>
      </c>
      <c r="B1515" s="26" t="str">
        <f>MID(tbl_forecast[[#This Row],[PACE Job Number]],3,3)</f>
        <v>STX</v>
      </c>
      <c r="C1515" t="s">
        <v>11</v>
      </c>
      <c r="D1515" s="1">
        <v>43425</v>
      </c>
      <c r="E1515" s="1">
        <v>43425</v>
      </c>
      <c r="F1515" s="1">
        <v>43424</v>
      </c>
      <c r="G1515" s="1">
        <v>43424</v>
      </c>
      <c r="H1515" t="s">
        <v>9</v>
      </c>
      <c r="I1515" t="s">
        <v>10</v>
      </c>
    </row>
    <row r="1516" spans="1:9" x14ac:dyDescent="0.25">
      <c r="A1516" t="s">
        <v>2571</v>
      </c>
      <c r="B1516" s="26" t="str">
        <f>MID(tbl_forecast[[#This Row],[PACE Job Number]],3,3)</f>
        <v>STX</v>
      </c>
      <c r="C1516" t="s">
        <v>11</v>
      </c>
      <c r="D1516" s="1">
        <v>43425</v>
      </c>
      <c r="E1516" s="1">
        <v>43459</v>
      </c>
      <c r="F1516" s="1">
        <v>43425</v>
      </c>
      <c r="G1516" s="1"/>
      <c r="H1516" t="s">
        <v>9</v>
      </c>
      <c r="I1516" t="s">
        <v>44</v>
      </c>
    </row>
    <row r="1517" spans="1:9" x14ac:dyDescent="0.25">
      <c r="A1517" t="s">
        <v>3285</v>
      </c>
      <c r="B1517" s="26" t="str">
        <f>MID(tbl_forecast[[#This Row],[PACE Job Number]],3,3)</f>
        <v>STX</v>
      </c>
      <c r="C1517" t="s">
        <v>11</v>
      </c>
      <c r="D1517" s="1">
        <v>43416</v>
      </c>
      <c r="E1517" s="1">
        <v>43416</v>
      </c>
      <c r="F1517" s="1">
        <v>43424</v>
      </c>
      <c r="G1517" s="1">
        <v>43424</v>
      </c>
      <c r="H1517" t="s">
        <v>9</v>
      </c>
      <c r="I1517" t="s">
        <v>10</v>
      </c>
    </row>
    <row r="1518" spans="1:9" x14ac:dyDescent="0.25">
      <c r="A1518" t="s">
        <v>3279</v>
      </c>
      <c r="B1518" s="26" t="str">
        <f>MID(tbl_forecast[[#This Row],[PACE Job Number]],3,3)</f>
        <v>STX</v>
      </c>
      <c r="C1518" t="s">
        <v>11</v>
      </c>
      <c r="D1518" s="1">
        <v>43408</v>
      </c>
      <c r="E1518" s="1">
        <v>43400</v>
      </c>
      <c r="F1518" s="1">
        <v>43424</v>
      </c>
      <c r="G1518" s="1">
        <v>43424</v>
      </c>
      <c r="H1518" t="s">
        <v>4664</v>
      </c>
      <c r="I1518" t="s">
        <v>10</v>
      </c>
    </row>
    <row r="1519" spans="1:9" x14ac:dyDescent="0.25">
      <c r="A1519" t="s">
        <v>2578</v>
      </c>
      <c r="B1519" s="26" t="str">
        <f>MID(tbl_forecast[[#This Row],[PACE Job Number]],3,3)</f>
        <v>STX</v>
      </c>
      <c r="C1519" t="s">
        <v>11</v>
      </c>
      <c r="D1519" s="1">
        <v>43428</v>
      </c>
      <c r="E1519" s="1">
        <v>43424</v>
      </c>
      <c r="F1519" s="1">
        <v>43415</v>
      </c>
      <c r="G1519" s="1">
        <v>43415</v>
      </c>
      <c r="H1519" t="s">
        <v>9</v>
      </c>
      <c r="I1519" t="s">
        <v>10</v>
      </c>
    </row>
    <row r="1520" spans="1:9" x14ac:dyDescent="0.25">
      <c r="A1520" t="s">
        <v>2581</v>
      </c>
      <c r="B1520" s="26" t="str">
        <f>MID(tbl_forecast[[#This Row],[PACE Job Number]],3,3)</f>
        <v>STX</v>
      </c>
      <c r="C1520" t="s">
        <v>11</v>
      </c>
      <c r="D1520" s="1">
        <v>43410</v>
      </c>
      <c r="E1520" s="1">
        <v>43447</v>
      </c>
      <c r="F1520" s="1">
        <v>43447</v>
      </c>
      <c r="G1520" s="1"/>
      <c r="H1520" t="s">
        <v>4664</v>
      </c>
      <c r="I1520" t="s">
        <v>5645</v>
      </c>
    </row>
    <row r="1521" spans="1:9" x14ac:dyDescent="0.25">
      <c r="A1521" t="s">
        <v>3362</v>
      </c>
      <c r="B1521" s="26" t="str">
        <f>MID(tbl_forecast[[#This Row],[PACE Job Number]],3,3)</f>
        <v>STX</v>
      </c>
      <c r="C1521" t="s">
        <v>11</v>
      </c>
      <c r="D1521" s="1">
        <v>43429</v>
      </c>
      <c r="E1521" s="1">
        <v>43443</v>
      </c>
      <c r="F1521" s="1">
        <v>43443</v>
      </c>
      <c r="G1521" s="1"/>
      <c r="H1521" t="s">
        <v>9</v>
      </c>
      <c r="I1521" t="s">
        <v>27</v>
      </c>
    </row>
    <row r="1522" spans="1:9" x14ac:dyDescent="0.25">
      <c r="A1522" t="s">
        <v>5333</v>
      </c>
      <c r="B1522" s="26" t="str">
        <f>MID(tbl_forecast[[#This Row],[PACE Job Number]],3,3)</f>
        <v>STX</v>
      </c>
      <c r="C1522" t="s">
        <v>11</v>
      </c>
      <c r="D1522" s="1">
        <v>43428</v>
      </c>
      <c r="E1522" s="1">
        <v>43428</v>
      </c>
      <c r="F1522" s="1">
        <v>43424</v>
      </c>
      <c r="G1522" s="1">
        <v>43424</v>
      </c>
      <c r="H1522" t="s">
        <v>9</v>
      </c>
      <c r="I1522" t="s">
        <v>10</v>
      </c>
    </row>
    <row r="1523" spans="1:9" x14ac:dyDescent="0.25">
      <c r="A1523" t="s">
        <v>5334</v>
      </c>
      <c r="B1523" s="26" t="str">
        <f>MID(tbl_forecast[[#This Row],[PACE Job Number]],3,3)</f>
        <v>STX</v>
      </c>
      <c r="C1523" t="s">
        <v>11</v>
      </c>
      <c r="D1523" s="1">
        <v>43428</v>
      </c>
      <c r="E1523" s="1">
        <v>43428</v>
      </c>
      <c r="F1523" s="1">
        <v>43424</v>
      </c>
      <c r="G1523" s="1">
        <v>43424</v>
      </c>
      <c r="H1523" t="s">
        <v>9</v>
      </c>
      <c r="I1523" t="s">
        <v>10</v>
      </c>
    </row>
    <row r="1524" spans="1:9" x14ac:dyDescent="0.25">
      <c r="A1524" t="s">
        <v>1628</v>
      </c>
      <c r="B1524" s="26" t="str">
        <f>MID(tbl_forecast[[#This Row],[PACE Job Number]],3,3)</f>
        <v>NTX</v>
      </c>
      <c r="C1524" t="s">
        <v>11</v>
      </c>
      <c r="D1524" s="1">
        <v>43419</v>
      </c>
      <c r="E1524" s="1">
        <v>43445</v>
      </c>
      <c r="F1524" s="1">
        <v>43445</v>
      </c>
      <c r="G1524" s="1"/>
      <c r="H1524" t="s">
        <v>4664</v>
      </c>
      <c r="I1524" t="s">
        <v>5645</v>
      </c>
    </row>
    <row r="1525" spans="1:9" x14ac:dyDescent="0.25">
      <c r="A1525" t="s">
        <v>1629</v>
      </c>
      <c r="B1525" s="26" t="str">
        <f>MID(tbl_forecast[[#This Row],[PACE Job Number]],3,3)</f>
        <v>NTX</v>
      </c>
      <c r="C1525" t="s">
        <v>11</v>
      </c>
      <c r="D1525" s="1">
        <v>43419</v>
      </c>
      <c r="E1525" s="1">
        <v>43445</v>
      </c>
      <c r="F1525" s="1">
        <v>43445</v>
      </c>
      <c r="G1525" s="1"/>
      <c r="H1525" t="s">
        <v>4664</v>
      </c>
      <c r="I1525" t="s">
        <v>5645</v>
      </c>
    </row>
    <row r="1526" spans="1:9" x14ac:dyDescent="0.25">
      <c r="A1526" t="s">
        <v>5335</v>
      </c>
      <c r="B1526" s="26" t="str">
        <f>MID(tbl_forecast[[#This Row],[PACE Job Number]],3,3)</f>
        <v>NTX</v>
      </c>
      <c r="C1526" t="s">
        <v>11</v>
      </c>
      <c r="D1526" s="1">
        <v>43433</v>
      </c>
      <c r="E1526" s="1">
        <v>43452</v>
      </c>
      <c r="F1526" s="1">
        <v>43452</v>
      </c>
      <c r="G1526" s="1"/>
      <c r="H1526" t="s">
        <v>4664</v>
      </c>
      <c r="I1526" t="s">
        <v>4665</v>
      </c>
    </row>
    <row r="1527" spans="1:9" x14ac:dyDescent="0.25">
      <c r="A1527" t="s">
        <v>2322</v>
      </c>
      <c r="B1527" s="26" t="str">
        <f>MID(tbl_forecast[[#This Row],[PACE Job Number]],3,3)</f>
        <v>NTX</v>
      </c>
      <c r="C1527" t="s">
        <v>11</v>
      </c>
      <c r="D1527" s="1">
        <v>43430</v>
      </c>
      <c r="E1527" s="1">
        <v>43444</v>
      </c>
      <c r="F1527" s="1">
        <v>43444</v>
      </c>
      <c r="G1527" s="1"/>
      <c r="H1527" t="s">
        <v>9</v>
      </c>
      <c r="I1527" t="s">
        <v>27</v>
      </c>
    </row>
    <row r="1528" spans="1:9" x14ac:dyDescent="0.25">
      <c r="A1528" t="s">
        <v>920</v>
      </c>
      <c r="B1528" s="26" t="str">
        <f>MID(tbl_forecast[[#This Row],[PACE Job Number]],3,3)</f>
        <v>NTX</v>
      </c>
      <c r="C1528" t="s">
        <v>11</v>
      </c>
      <c r="D1528" s="1">
        <v>43423</v>
      </c>
      <c r="E1528" s="1">
        <v>43444</v>
      </c>
      <c r="F1528" s="1">
        <v>43444</v>
      </c>
      <c r="G1528" s="1"/>
      <c r="H1528" t="s">
        <v>4664</v>
      </c>
      <c r="I1528" t="s">
        <v>4665</v>
      </c>
    </row>
    <row r="1529" spans="1:9" x14ac:dyDescent="0.25">
      <c r="A1529" t="s">
        <v>4416</v>
      </c>
      <c r="B1529" s="26" t="str">
        <f>MID(tbl_forecast[[#This Row],[PACE Job Number]],3,3)</f>
        <v>NTX</v>
      </c>
      <c r="C1529" t="s">
        <v>11</v>
      </c>
      <c r="D1529" s="1">
        <v>43430</v>
      </c>
      <c r="E1529" s="1">
        <v>43448</v>
      </c>
      <c r="F1529" s="1">
        <v>43448</v>
      </c>
      <c r="G1529" s="1"/>
      <c r="H1529" t="s">
        <v>4664</v>
      </c>
      <c r="I1529" t="s">
        <v>4665</v>
      </c>
    </row>
    <row r="1530" spans="1:9" x14ac:dyDescent="0.25">
      <c r="A1530" t="s">
        <v>921</v>
      </c>
      <c r="B1530" s="26" t="str">
        <f>MID(tbl_forecast[[#This Row],[PACE Job Number]],3,3)</f>
        <v>NTX</v>
      </c>
      <c r="C1530" t="s">
        <v>11</v>
      </c>
      <c r="D1530" s="1">
        <v>43423</v>
      </c>
      <c r="E1530" s="1">
        <v>43444</v>
      </c>
      <c r="F1530" s="1">
        <v>43444</v>
      </c>
      <c r="G1530" s="1"/>
      <c r="H1530" t="s">
        <v>4664</v>
      </c>
      <c r="I1530" t="s">
        <v>4665</v>
      </c>
    </row>
    <row r="1531" spans="1:9" x14ac:dyDescent="0.25">
      <c r="A1531" t="s">
        <v>3421</v>
      </c>
      <c r="B1531" s="26" t="str">
        <f>MID(tbl_forecast[[#This Row],[PACE Job Number]],3,3)</f>
        <v>NTX</v>
      </c>
      <c r="C1531" t="s">
        <v>11</v>
      </c>
      <c r="D1531" s="1">
        <v>43407</v>
      </c>
      <c r="E1531" s="1">
        <v>43407</v>
      </c>
      <c r="F1531" s="1">
        <v>43409</v>
      </c>
      <c r="G1531" s="1">
        <v>43409</v>
      </c>
      <c r="H1531" t="s">
        <v>9</v>
      </c>
      <c r="I1531" t="s">
        <v>10</v>
      </c>
    </row>
    <row r="1532" spans="1:9" x14ac:dyDescent="0.25">
      <c r="A1532" t="s">
        <v>3398</v>
      </c>
      <c r="B1532" s="26" t="str">
        <f>MID(tbl_forecast[[#This Row],[PACE Job Number]],3,3)</f>
        <v>NTX</v>
      </c>
      <c r="C1532" t="s">
        <v>11</v>
      </c>
      <c r="D1532" s="1">
        <v>43409</v>
      </c>
      <c r="E1532" s="1">
        <v>43418</v>
      </c>
      <c r="F1532" s="1">
        <v>43420</v>
      </c>
      <c r="G1532" s="1">
        <v>43420</v>
      </c>
      <c r="H1532" t="s">
        <v>9</v>
      </c>
      <c r="I1532" t="s">
        <v>10</v>
      </c>
    </row>
    <row r="1533" spans="1:9" x14ac:dyDescent="0.25">
      <c r="A1533" t="s">
        <v>1723</v>
      </c>
      <c r="B1533" s="26" t="str">
        <f>MID(tbl_forecast[[#This Row],[PACE Job Number]],3,3)</f>
        <v>NTX</v>
      </c>
      <c r="C1533" t="s">
        <v>11</v>
      </c>
      <c r="D1533" s="1">
        <v>43427</v>
      </c>
      <c r="E1533" s="1">
        <v>43444</v>
      </c>
      <c r="F1533" s="1">
        <v>43444</v>
      </c>
      <c r="G1533" s="1"/>
      <c r="H1533" t="s">
        <v>4664</v>
      </c>
      <c r="I1533" t="s">
        <v>4665</v>
      </c>
    </row>
    <row r="1534" spans="1:9" x14ac:dyDescent="0.25">
      <c r="A1534" t="s">
        <v>246</v>
      </c>
      <c r="B1534" s="26" t="str">
        <f>MID(tbl_forecast[[#This Row],[PACE Job Number]],3,3)</f>
        <v>NTX</v>
      </c>
      <c r="C1534" t="s">
        <v>11</v>
      </c>
      <c r="D1534" s="1">
        <v>43423</v>
      </c>
      <c r="E1534" s="1">
        <v>43438</v>
      </c>
      <c r="F1534" s="1">
        <v>43429</v>
      </c>
      <c r="G1534" s="1">
        <v>43429</v>
      </c>
      <c r="H1534" t="s">
        <v>9</v>
      </c>
      <c r="I1534" t="s">
        <v>10</v>
      </c>
    </row>
    <row r="1535" spans="1:9" x14ac:dyDescent="0.25">
      <c r="A1535" t="s">
        <v>588</v>
      </c>
      <c r="B1535" s="26" t="str">
        <f>MID(tbl_forecast[[#This Row],[PACE Job Number]],3,3)</f>
        <v>NTX</v>
      </c>
      <c r="C1535" t="s">
        <v>11</v>
      </c>
      <c r="D1535" s="1">
        <v>43430</v>
      </c>
      <c r="E1535" s="1">
        <v>43448</v>
      </c>
      <c r="F1535" s="1">
        <v>43448</v>
      </c>
      <c r="G1535" s="1"/>
      <c r="H1535" t="s">
        <v>4664</v>
      </c>
      <c r="I1535" t="s">
        <v>4665</v>
      </c>
    </row>
    <row r="1536" spans="1:9" x14ac:dyDescent="0.25">
      <c r="A1536" t="s">
        <v>5336</v>
      </c>
      <c r="B1536" s="26" t="str">
        <f>MID(tbl_forecast[[#This Row],[PACE Job Number]],3,3)</f>
        <v>NTX</v>
      </c>
      <c r="C1536" t="s">
        <v>11</v>
      </c>
      <c r="D1536" s="1">
        <v>43430</v>
      </c>
      <c r="E1536" s="1">
        <v>43444</v>
      </c>
      <c r="F1536" s="1">
        <v>43444</v>
      </c>
      <c r="G1536" s="1"/>
      <c r="H1536" t="s">
        <v>9</v>
      </c>
      <c r="I1536" t="s">
        <v>27</v>
      </c>
    </row>
    <row r="1537" spans="1:9" x14ac:dyDescent="0.25">
      <c r="A1537" t="s">
        <v>5337</v>
      </c>
      <c r="B1537" s="26" t="str">
        <f>MID(tbl_forecast[[#This Row],[PACE Job Number]],3,3)</f>
        <v>NTX</v>
      </c>
      <c r="C1537" t="s">
        <v>11</v>
      </c>
      <c r="D1537" s="1">
        <v>43430</v>
      </c>
      <c r="E1537" s="1">
        <v>43448</v>
      </c>
      <c r="F1537" s="1">
        <v>43448</v>
      </c>
      <c r="G1537" s="1"/>
      <c r="H1537" t="s">
        <v>4664</v>
      </c>
      <c r="I1537" t="s">
        <v>4665</v>
      </c>
    </row>
    <row r="1538" spans="1:9" x14ac:dyDescent="0.25">
      <c r="A1538" t="s">
        <v>3399</v>
      </c>
      <c r="B1538" s="26" t="str">
        <f>MID(tbl_forecast[[#This Row],[PACE Job Number]],3,3)</f>
        <v>NTX</v>
      </c>
      <c r="C1538" t="s">
        <v>11</v>
      </c>
      <c r="D1538" s="1">
        <v>43409</v>
      </c>
      <c r="E1538" s="1">
        <v>43418</v>
      </c>
      <c r="F1538" s="1">
        <v>43420</v>
      </c>
      <c r="G1538" s="1">
        <v>43420</v>
      </c>
      <c r="H1538" t="s">
        <v>9</v>
      </c>
      <c r="I1538" t="s">
        <v>10</v>
      </c>
    </row>
    <row r="1539" spans="1:9" x14ac:dyDescent="0.25">
      <c r="A1539" t="s">
        <v>4417</v>
      </c>
      <c r="B1539" s="26" t="str">
        <f>MID(tbl_forecast[[#This Row],[PACE Job Number]],3,3)</f>
        <v>NTX</v>
      </c>
      <c r="C1539" t="s">
        <v>11</v>
      </c>
      <c r="D1539" s="1">
        <v>43409</v>
      </c>
      <c r="E1539" s="1">
        <v>43418</v>
      </c>
      <c r="F1539" s="1">
        <v>43420</v>
      </c>
      <c r="G1539" s="1">
        <v>43420</v>
      </c>
      <c r="H1539" t="s">
        <v>9</v>
      </c>
      <c r="I1539" t="s">
        <v>10</v>
      </c>
    </row>
    <row r="1540" spans="1:9" x14ac:dyDescent="0.25">
      <c r="A1540" t="s">
        <v>4383</v>
      </c>
      <c r="B1540" s="26" t="str">
        <f>MID(tbl_forecast[[#This Row],[PACE Job Number]],3,3)</f>
        <v>NTX</v>
      </c>
      <c r="C1540" t="s">
        <v>11</v>
      </c>
      <c r="D1540" s="1">
        <v>43420</v>
      </c>
      <c r="E1540" s="1">
        <v>43420</v>
      </c>
      <c r="F1540" s="1">
        <v>43424</v>
      </c>
      <c r="G1540" s="1">
        <v>43424</v>
      </c>
      <c r="H1540" t="s">
        <v>9</v>
      </c>
      <c r="I1540" t="s">
        <v>10</v>
      </c>
    </row>
    <row r="1541" spans="1:9" x14ac:dyDescent="0.25">
      <c r="A1541" t="s">
        <v>2279</v>
      </c>
      <c r="B1541" s="26" t="str">
        <f>MID(tbl_forecast[[#This Row],[PACE Job Number]],3,3)</f>
        <v>NTX</v>
      </c>
      <c r="C1541" t="s">
        <v>11</v>
      </c>
      <c r="D1541" s="1">
        <v>43431</v>
      </c>
      <c r="E1541" s="1">
        <v>43431</v>
      </c>
      <c r="F1541" s="1">
        <v>43416</v>
      </c>
      <c r="G1541" s="1">
        <v>43416</v>
      </c>
      <c r="H1541" t="s">
        <v>9</v>
      </c>
      <c r="I1541" t="s">
        <v>10</v>
      </c>
    </row>
    <row r="1542" spans="1:9" x14ac:dyDescent="0.25">
      <c r="A1542" t="s">
        <v>35</v>
      </c>
      <c r="B1542" s="26" t="str">
        <f>MID(tbl_forecast[[#This Row],[PACE Job Number]],3,3)</f>
        <v>NTX</v>
      </c>
      <c r="C1542" t="s">
        <v>11</v>
      </c>
      <c r="D1542" s="1">
        <v>43416</v>
      </c>
      <c r="E1542" s="1">
        <v>43423</v>
      </c>
      <c r="F1542" s="1">
        <v>43418</v>
      </c>
      <c r="G1542" s="1">
        <v>43418</v>
      </c>
      <c r="H1542" t="s">
        <v>9</v>
      </c>
      <c r="I1542" t="s">
        <v>10</v>
      </c>
    </row>
    <row r="1543" spans="1:9" x14ac:dyDescent="0.25">
      <c r="A1543" t="s">
        <v>2405</v>
      </c>
      <c r="B1543" s="26" t="str">
        <f>MID(tbl_forecast[[#This Row],[PACE Job Number]],3,3)</f>
        <v>NTX</v>
      </c>
      <c r="C1543" t="s">
        <v>11</v>
      </c>
      <c r="D1543" s="1">
        <v>43409</v>
      </c>
      <c r="E1543" s="1">
        <v>43437</v>
      </c>
      <c r="F1543" s="1">
        <v>43437</v>
      </c>
      <c r="G1543" s="1">
        <v>43434</v>
      </c>
      <c r="H1543" t="s">
        <v>4664</v>
      </c>
      <c r="I1543" t="s">
        <v>10</v>
      </c>
    </row>
    <row r="1544" spans="1:9" x14ac:dyDescent="0.25">
      <c r="A1544" t="s">
        <v>4250</v>
      </c>
      <c r="B1544" s="26" t="str">
        <f>MID(tbl_forecast[[#This Row],[PACE Job Number]],3,3)</f>
        <v>NTX</v>
      </c>
      <c r="C1544" t="s">
        <v>11</v>
      </c>
      <c r="D1544" s="1">
        <v>43434</v>
      </c>
      <c r="E1544" s="1">
        <v>43507</v>
      </c>
      <c r="F1544" s="1">
        <v>43507</v>
      </c>
      <c r="G1544" s="1"/>
      <c r="H1544" t="s">
        <v>4664</v>
      </c>
      <c r="I1544" t="s">
        <v>4665</v>
      </c>
    </row>
    <row r="1545" spans="1:9" x14ac:dyDescent="0.25">
      <c r="A1545" t="s">
        <v>4384</v>
      </c>
      <c r="B1545" s="26" t="str">
        <f>MID(tbl_forecast[[#This Row],[PACE Job Number]],3,3)</f>
        <v>NTX</v>
      </c>
      <c r="C1545" t="s">
        <v>11</v>
      </c>
      <c r="D1545" s="1">
        <v>43423</v>
      </c>
      <c r="E1545" s="1">
        <v>43507</v>
      </c>
      <c r="F1545" s="1">
        <v>43507</v>
      </c>
      <c r="G1545" s="1"/>
      <c r="H1545" t="s">
        <v>4664</v>
      </c>
      <c r="I1545" t="s">
        <v>4665</v>
      </c>
    </row>
    <row r="1546" spans="1:9" x14ac:dyDescent="0.25">
      <c r="A1546" t="s">
        <v>4385</v>
      </c>
      <c r="B1546" s="26" t="str">
        <f>MID(tbl_forecast[[#This Row],[PACE Job Number]],3,3)</f>
        <v>NTX</v>
      </c>
      <c r="C1546" t="s">
        <v>11</v>
      </c>
      <c r="D1546" s="1">
        <v>43407</v>
      </c>
      <c r="E1546" s="1">
        <v>43434</v>
      </c>
      <c r="F1546" s="1">
        <v>43434</v>
      </c>
      <c r="G1546" s="1"/>
      <c r="H1546" t="s">
        <v>4664</v>
      </c>
      <c r="I1546" t="s">
        <v>5645</v>
      </c>
    </row>
    <row r="1547" spans="1:9" x14ac:dyDescent="0.25">
      <c r="A1547" t="s">
        <v>590</v>
      </c>
      <c r="B1547" s="26" t="str">
        <f>MID(tbl_forecast[[#This Row],[PACE Job Number]],3,3)</f>
        <v>NTX</v>
      </c>
      <c r="C1547" t="s">
        <v>11</v>
      </c>
      <c r="D1547" s="1">
        <v>43423</v>
      </c>
      <c r="E1547" s="1">
        <v>43434</v>
      </c>
      <c r="F1547" s="1">
        <v>43434</v>
      </c>
      <c r="G1547" s="1"/>
      <c r="H1547" t="s">
        <v>9</v>
      </c>
      <c r="I1547" t="s">
        <v>27</v>
      </c>
    </row>
    <row r="1548" spans="1:9" x14ac:dyDescent="0.25">
      <c r="A1548" t="s">
        <v>363</v>
      </c>
      <c r="B1548" s="26" t="str">
        <f>MID(tbl_forecast[[#This Row],[PACE Job Number]],3,3)</f>
        <v>NTX</v>
      </c>
      <c r="C1548" t="s">
        <v>11</v>
      </c>
      <c r="D1548" s="1">
        <v>43423</v>
      </c>
      <c r="E1548" s="1">
        <v>43448</v>
      </c>
      <c r="F1548" s="1">
        <v>43448</v>
      </c>
      <c r="G1548" s="1"/>
      <c r="H1548" t="s">
        <v>4664</v>
      </c>
      <c r="I1548" t="s">
        <v>4665</v>
      </c>
    </row>
    <row r="1549" spans="1:9" x14ac:dyDescent="0.25">
      <c r="A1549" t="s">
        <v>788</v>
      </c>
      <c r="B1549" s="26" t="str">
        <f>MID(tbl_forecast[[#This Row],[PACE Job Number]],3,3)</f>
        <v>NTX</v>
      </c>
      <c r="C1549" t="s">
        <v>11</v>
      </c>
      <c r="D1549" s="1">
        <v>43423</v>
      </c>
      <c r="E1549" s="1">
        <v>43434</v>
      </c>
      <c r="F1549" s="1">
        <v>43434</v>
      </c>
      <c r="G1549" s="1"/>
      <c r="H1549" t="s">
        <v>9</v>
      </c>
      <c r="I1549" t="s">
        <v>27</v>
      </c>
    </row>
    <row r="1550" spans="1:9" x14ac:dyDescent="0.25">
      <c r="A1550" t="s">
        <v>3879</v>
      </c>
      <c r="B1550" s="26" t="str">
        <f>MID(tbl_forecast[[#This Row],[PACE Job Number]],3,3)</f>
        <v>ANM</v>
      </c>
      <c r="C1550" t="s">
        <v>11</v>
      </c>
      <c r="D1550" s="1">
        <v>43423</v>
      </c>
      <c r="E1550" s="1">
        <v>43453</v>
      </c>
      <c r="F1550" s="1">
        <v>43453</v>
      </c>
      <c r="G1550" s="1"/>
      <c r="H1550" t="s">
        <v>4664</v>
      </c>
      <c r="I1550" t="s">
        <v>4665</v>
      </c>
    </row>
    <row r="1551" spans="1:9" x14ac:dyDescent="0.25">
      <c r="A1551" t="s">
        <v>4251</v>
      </c>
      <c r="B1551" s="26" t="str">
        <f>MID(tbl_forecast[[#This Row],[PACE Job Number]],3,3)</f>
        <v>NTX</v>
      </c>
      <c r="C1551" t="s">
        <v>11</v>
      </c>
      <c r="D1551" s="1">
        <v>43434</v>
      </c>
      <c r="E1551" s="1">
        <v>43507</v>
      </c>
      <c r="F1551" s="1">
        <v>43507</v>
      </c>
      <c r="G1551" s="1"/>
      <c r="H1551" t="s">
        <v>4664</v>
      </c>
      <c r="I1551" t="s">
        <v>4665</v>
      </c>
    </row>
    <row r="1552" spans="1:9" x14ac:dyDescent="0.25">
      <c r="A1552" t="s">
        <v>4388</v>
      </c>
      <c r="B1552" s="26" t="str">
        <f>MID(tbl_forecast[[#This Row],[PACE Job Number]],3,3)</f>
        <v>NTX</v>
      </c>
      <c r="C1552" t="s">
        <v>11</v>
      </c>
      <c r="D1552" s="1">
        <v>43423</v>
      </c>
      <c r="E1552" s="1">
        <v>43507</v>
      </c>
      <c r="F1552" s="1">
        <v>43507</v>
      </c>
      <c r="G1552" s="1"/>
      <c r="H1552" t="s">
        <v>4664</v>
      </c>
      <c r="I1552" t="s">
        <v>4665</v>
      </c>
    </row>
    <row r="1553" spans="1:9" x14ac:dyDescent="0.25">
      <c r="A1553" t="s">
        <v>2409</v>
      </c>
      <c r="B1553" s="26" t="str">
        <f>MID(tbl_forecast[[#This Row],[PACE Job Number]],3,3)</f>
        <v>NTX</v>
      </c>
      <c r="C1553" t="s">
        <v>11</v>
      </c>
      <c r="D1553" s="1">
        <v>43409</v>
      </c>
      <c r="E1553" s="1">
        <v>43437</v>
      </c>
      <c r="F1553" s="1">
        <v>43437</v>
      </c>
      <c r="G1553" s="1">
        <v>43434</v>
      </c>
      <c r="H1553" t="s">
        <v>4664</v>
      </c>
      <c r="I1553" t="s">
        <v>10</v>
      </c>
    </row>
    <row r="1554" spans="1:9" x14ac:dyDescent="0.25">
      <c r="A1554" t="s">
        <v>3792</v>
      </c>
      <c r="B1554" s="26" t="str">
        <f>MID(tbl_forecast[[#This Row],[PACE Job Number]],3,3)</f>
        <v>NTX</v>
      </c>
      <c r="C1554" t="s">
        <v>11</v>
      </c>
      <c r="D1554" s="1">
        <v>43406</v>
      </c>
      <c r="E1554" s="1">
        <v>43351</v>
      </c>
      <c r="F1554" s="1">
        <v>43406</v>
      </c>
      <c r="G1554" s="1">
        <v>43406</v>
      </c>
      <c r="H1554" t="s">
        <v>9</v>
      </c>
      <c r="I1554" t="s">
        <v>10</v>
      </c>
    </row>
    <row r="1555" spans="1:9" x14ac:dyDescent="0.25">
      <c r="A1555" t="s">
        <v>4389</v>
      </c>
      <c r="B1555" s="26" t="str">
        <f>MID(tbl_forecast[[#This Row],[PACE Job Number]],3,3)</f>
        <v>NTX</v>
      </c>
      <c r="C1555" t="s">
        <v>11</v>
      </c>
      <c r="D1555" s="1">
        <v>43408</v>
      </c>
      <c r="E1555" s="1">
        <v>43434</v>
      </c>
      <c r="F1555" s="1">
        <v>43434</v>
      </c>
      <c r="G1555" s="1"/>
      <c r="H1555" t="s">
        <v>4664</v>
      </c>
      <c r="I1555" t="s">
        <v>5645</v>
      </c>
    </row>
    <row r="1556" spans="1:9" x14ac:dyDescent="0.25">
      <c r="A1556" t="s">
        <v>3443</v>
      </c>
      <c r="B1556" s="26" t="str">
        <f>MID(tbl_forecast[[#This Row],[PACE Job Number]],3,3)</f>
        <v>STX</v>
      </c>
      <c r="C1556" t="s">
        <v>11</v>
      </c>
      <c r="D1556" s="1">
        <v>43426</v>
      </c>
      <c r="E1556" s="1">
        <v>43426</v>
      </c>
      <c r="F1556" s="1">
        <v>43416</v>
      </c>
      <c r="G1556" s="1">
        <v>43416</v>
      </c>
      <c r="H1556" t="s">
        <v>9</v>
      </c>
      <c r="I1556" t="s">
        <v>10</v>
      </c>
    </row>
    <row r="1557" spans="1:9" x14ac:dyDescent="0.25">
      <c r="A1557" t="s">
        <v>2514</v>
      </c>
      <c r="B1557" s="26" t="str">
        <f>MID(tbl_forecast[[#This Row],[PACE Job Number]],3,3)</f>
        <v>STX</v>
      </c>
      <c r="C1557" t="s">
        <v>11</v>
      </c>
      <c r="D1557" s="1">
        <v>43412</v>
      </c>
      <c r="E1557" s="1">
        <v>43412</v>
      </c>
      <c r="F1557" s="1">
        <v>43412</v>
      </c>
      <c r="G1557" s="1"/>
      <c r="H1557" t="s">
        <v>9</v>
      </c>
      <c r="I1557" t="s">
        <v>27</v>
      </c>
    </row>
    <row r="1558" spans="1:9" x14ac:dyDescent="0.25">
      <c r="A1558" t="s">
        <v>2518</v>
      </c>
      <c r="B1558" s="26" t="str">
        <f>MID(tbl_forecast[[#This Row],[PACE Job Number]],3,3)</f>
        <v>STX</v>
      </c>
      <c r="C1558" t="s">
        <v>11</v>
      </c>
      <c r="D1558" s="1">
        <v>43412</v>
      </c>
      <c r="E1558" s="1">
        <v>43412</v>
      </c>
      <c r="F1558" s="1">
        <v>43412</v>
      </c>
      <c r="G1558" s="1"/>
      <c r="H1558" t="s">
        <v>9</v>
      </c>
      <c r="I1558" t="s">
        <v>27</v>
      </c>
    </row>
    <row r="1559" spans="1:9" x14ac:dyDescent="0.25">
      <c r="A1559" t="s">
        <v>4390</v>
      </c>
      <c r="B1559" s="26" t="str">
        <f>MID(tbl_forecast[[#This Row],[PACE Job Number]],3,3)</f>
        <v>STX</v>
      </c>
      <c r="C1559" t="s">
        <v>11</v>
      </c>
      <c r="D1559" s="1">
        <v>43428</v>
      </c>
      <c r="E1559" s="1">
        <v>43424</v>
      </c>
      <c r="F1559" s="1">
        <v>43415</v>
      </c>
      <c r="G1559" s="1">
        <v>43415</v>
      </c>
      <c r="H1559" t="s">
        <v>9</v>
      </c>
      <c r="I1559" t="s">
        <v>10</v>
      </c>
    </row>
    <row r="1560" spans="1:9" x14ac:dyDescent="0.25">
      <c r="A1560" t="s">
        <v>3240</v>
      </c>
      <c r="B1560" s="26" t="str">
        <f>MID(tbl_forecast[[#This Row],[PACE Job Number]],3,3)</f>
        <v>STX</v>
      </c>
      <c r="C1560" t="s">
        <v>11</v>
      </c>
      <c r="D1560" s="1">
        <v>43406</v>
      </c>
      <c r="E1560" s="1">
        <v>43406</v>
      </c>
      <c r="F1560" s="1">
        <v>43406</v>
      </c>
      <c r="G1560" s="1">
        <v>43406</v>
      </c>
      <c r="H1560" t="s">
        <v>9</v>
      </c>
      <c r="I1560" t="s">
        <v>10</v>
      </c>
    </row>
    <row r="1561" spans="1:9" x14ac:dyDescent="0.25">
      <c r="A1561" t="s">
        <v>578</v>
      </c>
      <c r="B1561" s="26" t="str">
        <f>MID(tbl_forecast[[#This Row],[PACE Job Number]],3,3)</f>
        <v>STX</v>
      </c>
      <c r="C1561" t="s">
        <v>11</v>
      </c>
      <c r="D1561" s="1">
        <v>43428</v>
      </c>
      <c r="E1561" s="1">
        <v>43459</v>
      </c>
      <c r="F1561" s="1">
        <v>43459</v>
      </c>
      <c r="G1561" s="1"/>
      <c r="H1561" t="s">
        <v>4664</v>
      </c>
      <c r="I1561" t="s">
        <v>4665</v>
      </c>
    </row>
    <row r="1562" spans="1:9" x14ac:dyDescent="0.25">
      <c r="A1562" t="s">
        <v>5466</v>
      </c>
      <c r="B1562" s="26" t="str">
        <f>MID(tbl_forecast[[#This Row],[PACE Job Number]],3,3)</f>
        <v>ANM</v>
      </c>
      <c r="C1562" t="s">
        <v>11</v>
      </c>
      <c r="D1562" s="1">
        <v>43428</v>
      </c>
      <c r="E1562" s="1">
        <v>43428</v>
      </c>
      <c r="F1562" s="1">
        <v>43409</v>
      </c>
      <c r="G1562" s="1">
        <v>43409</v>
      </c>
      <c r="H1562" t="s">
        <v>9</v>
      </c>
      <c r="I1562" t="s">
        <v>10</v>
      </c>
    </row>
    <row r="1563" spans="1:9" x14ac:dyDescent="0.25">
      <c r="A1563" t="s">
        <v>3446</v>
      </c>
      <c r="B1563" s="26" t="str">
        <f>MID(tbl_forecast[[#This Row],[PACE Job Number]],3,3)</f>
        <v>ANM</v>
      </c>
      <c r="C1563" t="s">
        <v>11</v>
      </c>
      <c r="D1563" s="1">
        <v>43423</v>
      </c>
      <c r="E1563" s="1">
        <v>43423</v>
      </c>
      <c r="F1563" s="1">
        <v>43417</v>
      </c>
      <c r="G1563" s="1">
        <v>43417</v>
      </c>
      <c r="H1563" t="s">
        <v>9</v>
      </c>
      <c r="I1563" t="s">
        <v>10</v>
      </c>
    </row>
    <row r="1564" spans="1:9" x14ac:dyDescent="0.25">
      <c r="A1564" t="s">
        <v>4204</v>
      </c>
      <c r="B1564" s="26" t="str">
        <f>MID(tbl_forecast[[#This Row],[PACE Job Number]],3,3)</f>
        <v>ANM</v>
      </c>
      <c r="C1564" t="s">
        <v>11</v>
      </c>
      <c r="D1564" s="1">
        <v>43426</v>
      </c>
      <c r="E1564" s="1">
        <v>43458</v>
      </c>
      <c r="F1564" s="1">
        <v>43458</v>
      </c>
      <c r="G1564" s="1"/>
      <c r="H1564" t="s">
        <v>4664</v>
      </c>
      <c r="I1564" t="s">
        <v>4665</v>
      </c>
    </row>
    <row r="1565" spans="1:9" x14ac:dyDescent="0.25">
      <c r="A1565" t="s">
        <v>5206</v>
      </c>
      <c r="B1565" s="26" t="str">
        <f>MID(tbl_forecast[[#This Row],[PACE Job Number]],3,3)</f>
        <v>ANM</v>
      </c>
      <c r="C1565" t="s">
        <v>11</v>
      </c>
      <c r="D1565" s="1">
        <v>43429</v>
      </c>
      <c r="E1565" s="1">
        <v>43460</v>
      </c>
      <c r="F1565" s="1">
        <v>43460</v>
      </c>
      <c r="G1565" s="1"/>
      <c r="H1565" t="s">
        <v>4664</v>
      </c>
      <c r="I1565" t="s">
        <v>4665</v>
      </c>
    </row>
    <row r="1566" spans="1:9" x14ac:dyDescent="0.25">
      <c r="A1566" t="s">
        <v>5207</v>
      </c>
      <c r="B1566" s="26" t="str">
        <f>MID(tbl_forecast[[#This Row],[PACE Job Number]],3,3)</f>
        <v>ANM</v>
      </c>
      <c r="C1566" t="s">
        <v>11</v>
      </c>
      <c r="D1566" s="1">
        <v>43421</v>
      </c>
      <c r="E1566" s="1">
        <v>43434</v>
      </c>
      <c r="F1566" s="1">
        <v>43434</v>
      </c>
      <c r="G1566" s="1"/>
      <c r="H1566" t="s">
        <v>9</v>
      </c>
      <c r="I1566" t="s">
        <v>27</v>
      </c>
    </row>
    <row r="1567" spans="1:9" x14ac:dyDescent="0.25">
      <c r="A1567" t="s">
        <v>5208</v>
      </c>
      <c r="B1567" s="26" t="str">
        <f>MID(tbl_forecast[[#This Row],[PACE Job Number]],3,3)</f>
        <v>ANM</v>
      </c>
      <c r="C1567" t="s">
        <v>11</v>
      </c>
      <c r="D1567" s="1">
        <v>43421</v>
      </c>
      <c r="E1567" s="1">
        <v>43434</v>
      </c>
      <c r="F1567" s="1">
        <v>43434</v>
      </c>
      <c r="G1567" s="1"/>
      <c r="H1567" t="s">
        <v>9</v>
      </c>
      <c r="I1567" t="s">
        <v>27</v>
      </c>
    </row>
    <row r="1568" spans="1:9" x14ac:dyDescent="0.25">
      <c r="A1568" t="s">
        <v>5209</v>
      </c>
      <c r="B1568" s="26" t="str">
        <f>MID(tbl_forecast[[#This Row],[PACE Job Number]],3,3)</f>
        <v>ANM</v>
      </c>
      <c r="C1568" t="s">
        <v>11</v>
      </c>
      <c r="D1568" s="1">
        <v>43421</v>
      </c>
      <c r="E1568" s="1">
        <v>43434</v>
      </c>
      <c r="F1568" s="1">
        <v>43434</v>
      </c>
      <c r="G1568" s="1"/>
      <c r="H1568" t="s">
        <v>9</v>
      </c>
      <c r="I1568" t="s">
        <v>27</v>
      </c>
    </row>
    <row r="1569" spans="1:9" x14ac:dyDescent="0.25">
      <c r="A1569" t="s">
        <v>4527</v>
      </c>
      <c r="B1569" s="26" t="str">
        <f>MID(tbl_forecast[[#This Row],[PACE Job Number]],3,3)</f>
        <v>ANM</v>
      </c>
      <c r="C1569" t="s">
        <v>11</v>
      </c>
      <c r="D1569" s="1">
        <v>43405</v>
      </c>
      <c r="E1569" s="1">
        <v>43388</v>
      </c>
      <c r="F1569" s="1">
        <v>43405</v>
      </c>
      <c r="G1569" s="1">
        <v>43405</v>
      </c>
      <c r="H1569" t="s">
        <v>9</v>
      </c>
      <c r="I1569" t="s">
        <v>10</v>
      </c>
    </row>
    <row r="1570" spans="1:9" x14ac:dyDescent="0.25">
      <c r="A1570" t="s">
        <v>1599</v>
      </c>
      <c r="B1570" s="26" t="str">
        <f>MID(tbl_forecast[[#This Row],[PACE Job Number]],3,3)</f>
        <v>NTX</v>
      </c>
      <c r="C1570" t="s">
        <v>11</v>
      </c>
      <c r="D1570" s="1">
        <v>43419</v>
      </c>
      <c r="E1570" s="1">
        <v>43445</v>
      </c>
      <c r="F1570" s="1">
        <v>43445</v>
      </c>
      <c r="G1570" s="1"/>
      <c r="H1570" t="s">
        <v>4664</v>
      </c>
      <c r="I1570" t="s">
        <v>5645</v>
      </c>
    </row>
    <row r="1571" spans="1:9" x14ac:dyDescent="0.25">
      <c r="A1571" t="s">
        <v>3845</v>
      </c>
      <c r="B1571" s="26" t="str">
        <f>MID(tbl_forecast[[#This Row],[PACE Job Number]],3,3)</f>
        <v>NTX</v>
      </c>
      <c r="C1571" t="s">
        <v>11</v>
      </c>
      <c r="D1571" s="1">
        <v>43427</v>
      </c>
      <c r="E1571" s="1">
        <v>43434</v>
      </c>
      <c r="F1571" s="1">
        <v>43434</v>
      </c>
      <c r="G1571" s="1"/>
      <c r="H1571" t="s">
        <v>9</v>
      </c>
      <c r="I1571" t="s">
        <v>27</v>
      </c>
    </row>
    <row r="1572" spans="1:9" x14ac:dyDescent="0.25">
      <c r="A1572" t="s">
        <v>1799</v>
      </c>
      <c r="B1572" s="26" t="str">
        <f>MID(tbl_forecast[[#This Row],[PACE Job Number]],3,3)</f>
        <v>NTX</v>
      </c>
      <c r="C1572" t="s">
        <v>11</v>
      </c>
      <c r="D1572" s="1">
        <v>43409</v>
      </c>
      <c r="E1572" s="1">
        <v>43418</v>
      </c>
      <c r="F1572" s="1">
        <v>43413</v>
      </c>
      <c r="G1572" s="1">
        <v>43413</v>
      </c>
      <c r="H1572" t="s">
        <v>9</v>
      </c>
      <c r="I1572" t="s">
        <v>10</v>
      </c>
    </row>
    <row r="1573" spans="1:9" x14ac:dyDescent="0.25">
      <c r="A1573" t="s">
        <v>272</v>
      </c>
      <c r="B1573" s="26" t="str">
        <f>MID(tbl_forecast[[#This Row],[PACE Job Number]],3,3)</f>
        <v>NTX</v>
      </c>
      <c r="C1573" t="s">
        <v>11</v>
      </c>
      <c r="D1573" s="1">
        <v>43412</v>
      </c>
      <c r="E1573" s="1">
        <v>43437</v>
      </c>
      <c r="F1573" s="1">
        <v>43437</v>
      </c>
      <c r="G1573" s="1"/>
      <c r="H1573" t="s">
        <v>4664</v>
      </c>
      <c r="I1573" t="s">
        <v>5645</v>
      </c>
    </row>
    <row r="1574" spans="1:9" x14ac:dyDescent="0.25">
      <c r="A1574" t="s">
        <v>3400</v>
      </c>
      <c r="B1574" s="26" t="str">
        <f>MID(tbl_forecast[[#This Row],[PACE Job Number]],3,3)</f>
        <v>NTX</v>
      </c>
      <c r="C1574" t="s">
        <v>11</v>
      </c>
      <c r="D1574" s="1">
        <v>43420</v>
      </c>
      <c r="E1574" s="1">
        <v>43420</v>
      </c>
      <c r="F1574" s="1">
        <v>43424</v>
      </c>
      <c r="G1574" s="1">
        <v>43424</v>
      </c>
      <c r="H1574" t="s">
        <v>9</v>
      </c>
      <c r="I1574" t="s">
        <v>10</v>
      </c>
    </row>
    <row r="1575" spans="1:9" x14ac:dyDescent="0.25">
      <c r="A1575" t="s">
        <v>4519</v>
      </c>
      <c r="B1575" s="26" t="str">
        <f>MID(tbl_forecast[[#This Row],[PACE Job Number]],3,3)</f>
        <v>NTX</v>
      </c>
      <c r="C1575" t="s">
        <v>11</v>
      </c>
      <c r="D1575" s="1">
        <v>43407</v>
      </c>
      <c r="E1575" s="1">
        <v>43507</v>
      </c>
      <c r="F1575" s="1">
        <v>43507</v>
      </c>
      <c r="G1575" s="1"/>
      <c r="H1575" t="s">
        <v>4664</v>
      </c>
      <c r="I1575" t="s">
        <v>5645</v>
      </c>
    </row>
    <row r="1576" spans="1:9" x14ac:dyDescent="0.25">
      <c r="A1576" t="s">
        <v>2700</v>
      </c>
      <c r="B1576" s="26" t="str">
        <f>MID(tbl_forecast[[#This Row],[PACE Job Number]],3,3)</f>
        <v>STX</v>
      </c>
      <c r="C1576" t="s">
        <v>11</v>
      </c>
      <c r="D1576" s="1">
        <v>43428</v>
      </c>
      <c r="E1576" s="1">
        <v>43459</v>
      </c>
      <c r="F1576" s="1">
        <v>43459</v>
      </c>
      <c r="G1576" s="1"/>
      <c r="H1576" t="s">
        <v>4664</v>
      </c>
      <c r="I1576" t="s">
        <v>4665</v>
      </c>
    </row>
    <row r="1577" spans="1:9" x14ac:dyDescent="0.25">
      <c r="A1577" t="s">
        <v>728</v>
      </c>
      <c r="B1577" s="26" t="str">
        <f>MID(tbl_forecast[[#This Row],[PACE Job Number]],3,3)</f>
        <v>STX</v>
      </c>
      <c r="C1577" t="s">
        <v>11</v>
      </c>
      <c r="D1577" s="1">
        <v>43428</v>
      </c>
      <c r="E1577" s="1">
        <v>43459</v>
      </c>
      <c r="F1577" s="1">
        <v>43459</v>
      </c>
      <c r="G1577" s="1"/>
      <c r="H1577" t="s">
        <v>4664</v>
      </c>
      <c r="I1577" t="s">
        <v>4665</v>
      </c>
    </row>
    <row r="1578" spans="1:9" x14ac:dyDescent="0.25">
      <c r="A1578" t="s">
        <v>3214</v>
      </c>
      <c r="B1578" s="26" t="str">
        <f>MID(tbl_forecast[[#This Row],[PACE Job Number]],3,3)</f>
        <v>STX</v>
      </c>
      <c r="C1578" t="s">
        <v>11</v>
      </c>
      <c r="D1578" s="1">
        <v>43406</v>
      </c>
      <c r="E1578" s="1">
        <v>43406</v>
      </c>
      <c r="F1578" s="1">
        <v>43406</v>
      </c>
      <c r="G1578" s="1">
        <v>43406</v>
      </c>
      <c r="H1578" t="s">
        <v>9</v>
      </c>
      <c r="I1578" t="s">
        <v>10</v>
      </c>
    </row>
    <row r="1579" spans="1:9" x14ac:dyDescent="0.25">
      <c r="A1579" t="s">
        <v>3361</v>
      </c>
      <c r="B1579" s="26" t="str">
        <f>MID(tbl_forecast[[#This Row],[PACE Job Number]],3,3)</f>
        <v>STX</v>
      </c>
      <c r="C1579" t="s">
        <v>11</v>
      </c>
      <c r="D1579" s="1">
        <v>43425</v>
      </c>
      <c r="E1579" s="1">
        <v>43459</v>
      </c>
      <c r="F1579" s="1">
        <v>43425</v>
      </c>
      <c r="G1579" s="1"/>
      <c r="H1579" t="s">
        <v>9</v>
      </c>
      <c r="I1579" t="s">
        <v>44</v>
      </c>
    </row>
    <row r="1580" spans="1:9" x14ac:dyDescent="0.25">
      <c r="A1580" t="s">
        <v>4397</v>
      </c>
      <c r="B1580" s="26" t="str">
        <f>MID(tbl_forecast[[#This Row],[PACE Job Number]],3,3)</f>
        <v>STX</v>
      </c>
      <c r="C1580" t="s">
        <v>11</v>
      </c>
      <c r="D1580" s="1">
        <v>43428</v>
      </c>
      <c r="E1580" s="1">
        <v>43424</v>
      </c>
      <c r="F1580" s="1">
        <v>43415</v>
      </c>
      <c r="G1580" s="1">
        <v>43415</v>
      </c>
      <c r="H1580" t="s">
        <v>9</v>
      </c>
      <c r="I1580" t="s">
        <v>10</v>
      </c>
    </row>
    <row r="1581" spans="1:9" x14ac:dyDescent="0.25">
      <c r="A1581" t="s">
        <v>5467</v>
      </c>
      <c r="B1581" s="26" t="str">
        <f>MID(tbl_forecast[[#This Row],[PACE Job Number]],3,3)</f>
        <v>WSH</v>
      </c>
      <c r="C1581" t="s">
        <v>11</v>
      </c>
      <c r="D1581" s="1">
        <v>43405</v>
      </c>
      <c r="E1581" s="1">
        <v>43405</v>
      </c>
      <c r="F1581" s="1">
        <v>43405</v>
      </c>
      <c r="G1581" s="1">
        <v>43405</v>
      </c>
      <c r="H1581" t="s">
        <v>9</v>
      </c>
      <c r="I1581" t="s">
        <v>10</v>
      </c>
    </row>
    <row r="1582" spans="1:9" x14ac:dyDescent="0.25">
      <c r="A1582" t="s">
        <v>3911</v>
      </c>
      <c r="B1582" s="26" t="str">
        <f>MID(tbl_forecast[[#This Row],[PACE Job Number]],3,3)</f>
        <v>WSH</v>
      </c>
      <c r="C1582" t="s">
        <v>11</v>
      </c>
      <c r="D1582" s="1">
        <v>43424</v>
      </c>
      <c r="E1582" s="1">
        <v>43438</v>
      </c>
      <c r="F1582" s="1">
        <v>43441</v>
      </c>
      <c r="G1582" s="1"/>
      <c r="H1582" t="s">
        <v>4664</v>
      </c>
      <c r="I1582" t="s">
        <v>4665</v>
      </c>
    </row>
    <row r="1583" spans="1:9" x14ac:dyDescent="0.25">
      <c r="A1583" t="s">
        <v>5468</v>
      </c>
      <c r="B1583" s="26" t="str">
        <f>MID(tbl_forecast[[#This Row],[PACE Job Number]],3,3)</f>
        <v>WSH</v>
      </c>
      <c r="C1583" t="s">
        <v>11</v>
      </c>
      <c r="D1583" s="1">
        <v>43405</v>
      </c>
      <c r="E1583" s="1">
        <v>43405</v>
      </c>
      <c r="F1583" s="1">
        <v>43405</v>
      </c>
      <c r="G1583" s="1">
        <v>43405</v>
      </c>
      <c r="H1583" t="s">
        <v>9</v>
      </c>
      <c r="I1583" t="s">
        <v>10</v>
      </c>
    </row>
    <row r="1584" spans="1:9" x14ac:dyDescent="0.25">
      <c r="A1584" t="s">
        <v>5210</v>
      </c>
      <c r="B1584" s="26" t="str">
        <f>MID(tbl_forecast[[#This Row],[PACE Job Number]],3,3)</f>
        <v>WSH</v>
      </c>
      <c r="C1584" t="s">
        <v>11</v>
      </c>
      <c r="D1584" s="1">
        <v>43424</v>
      </c>
      <c r="E1584" s="1">
        <v>43437</v>
      </c>
      <c r="F1584" s="1">
        <v>43428</v>
      </c>
      <c r="G1584" s="1"/>
      <c r="H1584" t="s">
        <v>9</v>
      </c>
      <c r="I1584" t="s">
        <v>27</v>
      </c>
    </row>
    <row r="1585" spans="1:9" x14ac:dyDescent="0.25">
      <c r="A1585" t="s">
        <v>5211</v>
      </c>
      <c r="B1585" s="26" t="str">
        <f>MID(tbl_forecast[[#This Row],[PACE Job Number]],3,3)</f>
        <v>WSH</v>
      </c>
      <c r="C1585" t="s">
        <v>11</v>
      </c>
      <c r="D1585" s="1">
        <v>43434</v>
      </c>
      <c r="E1585" s="1">
        <v>43417</v>
      </c>
      <c r="F1585" s="1">
        <v>43417</v>
      </c>
      <c r="G1585" s="1">
        <v>43417</v>
      </c>
      <c r="H1585" t="s">
        <v>9</v>
      </c>
      <c r="I1585" t="s">
        <v>10</v>
      </c>
    </row>
    <row r="1586" spans="1:9" x14ac:dyDescent="0.25">
      <c r="A1586" t="s">
        <v>3393</v>
      </c>
      <c r="B1586" s="26" t="str">
        <f>MID(tbl_forecast[[#This Row],[PACE Job Number]],3,3)</f>
        <v>WSH</v>
      </c>
      <c r="C1586" t="s">
        <v>11</v>
      </c>
      <c r="D1586" s="1">
        <v>43433</v>
      </c>
      <c r="E1586" s="1">
        <v>43444</v>
      </c>
      <c r="F1586" s="1">
        <v>43447</v>
      </c>
      <c r="G1586" s="1"/>
      <c r="H1586" t="s">
        <v>9</v>
      </c>
      <c r="I1586" t="s">
        <v>27</v>
      </c>
    </row>
    <row r="1587" spans="1:9" x14ac:dyDescent="0.25">
      <c r="A1587" t="s">
        <v>5212</v>
      </c>
      <c r="B1587" s="26" t="str">
        <f>MID(tbl_forecast[[#This Row],[PACE Job Number]],3,3)</f>
        <v>WSH</v>
      </c>
      <c r="C1587" t="s">
        <v>11</v>
      </c>
      <c r="D1587" s="1">
        <v>43424</v>
      </c>
      <c r="E1587" s="1">
        <v>43437</v>
      </c>
      <c r="F1587" s="1">
        <v>43434</v>
      </c>
      <c r="G1587" s="1"/>
      <c r="H1587" t="s">
        <v>9</v>
      </c>
      <c r="I1587" t="s">
        <v>27</v>
      </c>
    </row>
    <row r="1588" spans="1:9" x14ac:dyDescent="0.25">
      <c r="A1588" t="s">
        <v>3821</v>
      </c>
      <c r="B1588" s="26" t="str">
        <f>MID(tbl_forecast[[#This Row],[PACE Job Number]],3,3)</f>
        <v>WSH</v>
      </c>
      <c r="C1588" t="s">
        <v>11</v>
      </c>
      <c r="D1588" s="1">
        <v>43424</v>
      </c>
      <c r="E1588" s="1">
        <v>43446</v>
      </c>
      <c r="F1588" s="1">
        <v>43441</v>
      </c>
      <c r="G1588" s="1"/>
      <c r="H1588" t="s">
        <v>4664</v>
      </c>
      <c r="I1588" t="s">
        <v>4665</v>
      </c>
    </row>
    <row r="1589" spans="1:9" x14ac:dyDescent="0.25">
      <c r="A1589" t="s">
        <v>3383</v>
      </c>
      <c r="B1589" s="26" t="str">
        <f>MID(tbl_forecast[[#This Row],[PACE Job Number]],3,3)</f>
        <v>WSH</v>
      </c>
      <c r="C1589" t="s">
        <v>11</v>
      </c>
      <c r="D1589" s="1">
        <v>43405</v>
      </c>
      <c r="E1589" s="1">
        <v>43405</v>
      </c>
      <c r="F1589" s="1">
        <v>43405</v>
      </c>
      <c r="G1589" s="1">
        <v>43405</v>
      </c>
      <c r="H1589" t="s">
        <v>9</v>
      </c>
      <c r="I1589" t="s">
        <v>10</v>
      </c>
    </row>
    <row r="1590" spans="1:9" x14ac:dyDescent="0.25">
      <c r="A1590" t="s">
        <v>649</v>
      </c>
      <c r="B1590" s="26" t="str">
        <f>MID(tbl_forecast[[#This Row],[PACE Job Number]],3,3)</f>
        <v>NTX</v>
      </c>
      <c r="C1590" t="s">
        <v>11</v>
      </c>
      <c r="D1590" s="1">
        <v>43427</v>
      </c>
      <c r="E1590" s="1">
        <v>43448</v>
      </c>
      <c r="F1590" s="1">
        <v>43448</v>
      </c>
      <c r="G1590" s="1"/>
      <c r="H1590" t="s">
        <v>4664</v>
      </c>
      <c r="I1590" t="s">
        <v>4665</v>
      </c>
    </row>
    <row r="1591" spans="1:9" x14ac:dyDescent="0.25">
      <c r="A1591" t="s">
        <v>5342</v>
      </c>
      <c r="B1591" s="26" t="str">
        <f>MID(tbl_forecast[[#This Row],[PACE Job Number]],3,3)</f>
        <v>NTX</v>
      </c>
      <c r="C1591" t="s">
        <v>11</v>
      </c>
      <c r="D1591" s="1">
        <v>43423</v>
      </c>
      <c r="E1591" s="1">
        <v>43434</v>
      </c>
      <c r="F1591" s="1">
        <v>43434</v>
      </c>
      <c r="G1591" s="1">
        <v>43434</v>
      </c>
      <c r="H1591" t="s">
        <v>9</v>
      </c>
      <c r="I1591" t="s">
        <v>10</v>
      </c>
    </row>
    <row r="1592" spans="1:9" x14ac:dyDescent="0.25">
      <c r="A1592" t="s">
        <v>4337</v>
      </c>
      <c r="B1592" s="26" t="str">
        <f>MID(tbl_forecast[[#This Row],[PACE Job Number]],3,3)</f>
        <v>NTX</v>
      </c>
      <c r="C1592" t="s">
        <v>11</v>
      </c>
      <c r="D1592" s="1">
        <v>43427</v>
      </c>
      <c r="E1592" s="1">
        <v>43507</v>
      </c>
      <c r="F1592" s="1">
        <v>43507</v>
      </c>
      <c r="G1592" s="1"/>
      <c r="H1592" t="s">
        <v>4664</v>
      </c>
      <c r="I1592" t="s">
        <v>4665</v>
      </c>
    </row>
    <row r="1593" spans="1:9" x14ac:dyDescent="0.25">
      <c r="A1593" t="s">
        <v>5469</v>
      </c>
      <c r="B1593" s="26" t="str">
        <f>MID(tbl_forecast[[#This Row],[PACE Job Number]],3,3)</f>
        <v>NTX</v>
      </c>
      <c r="C1593" t="s">
        <v>11</v>
      </c>
      <c r="D1593" s="1">
        <v>43423</v>
      </c>
      <c r="E1593" s="1">
        <v>43361</v>
      </c>
      <c r="F1593" s="1">
        <v>43410</v>
      </c>
      <c r="G1593" s="1">
        <v>43410</v>
      </c>
      <c r="H1593" t="s">
        <v>9</v>
      </c>
      <c r="I1593" t="s">
        <v>10</v>
      </c>
    </row>
    <row r="1594" spans="1:9" x14ac:dyDescent="0.25">
      <c r="A1594" t="s">
        <v>190</v>
      </c>
      <c r="B1594" s="26" t="str">
        <f>MID(tbl_forecast[[#This Row],[PACE Job Number]],3,3)</f>
        <v>NTX</v>
      </c>
      <c r="C1594" t="s">
        <v>11</v>
      </c>
      <c r="D1594" s="1">
        <v>43406</v>
      </c>
      <c r="E1594" s="1">
        <v>43359</v>
      </c>
      <c r="F1594" s="1">
        <v>43406</v>
      </c>
      <c r="G1594" s="1">
        <v>43406</v>
      </c>
      <c r="H1594" t="s">
        <v>9</v>
      </c>
      <c r="I1594" t="s">
        <v>10</v>
      </c>
    </row>
    <row r="1595" spans="1:9" x14ac:dyDescent="0.25">
      <c r="A1595" t="s">
        <v>5470</v>
      </c>
      <c r="B1595" s="26" t="str">
        <f>MID(tbl_forecast[[#This Row],[PACE Job Number]],3,3)</f>
        <v>NTX</v>
      </c>
      <c r="C1595" t="s">
        <v>11</v>
      </c>
      <c r="D1595" s="1">
        <v>43431</v>
      </c>
      <c r="E1595" s="1">
        <v>43363</v>
      </c>
      <c r="F1595" s="1">
        <v>43427</v>
      </c>
      <c r="G1595" s="1">
        <v>43427</v>
      </c>
      <c r="H1595" t="s">
        <v>9</v>
      </c>
      <c r="I1595" t="s">
        <v>10</v>
      </c>
    </row>
    <row r="1596" spans="1:9" x14ac:dyDescent="0.25">
      <c r="A1596" t="s">
        <v>5343</v>
      </c>
      <c r="B1596" s="26" t="str">
        <f>MID(tbl_forecast[[#This Row],[PACE Job Number]],3,3)</f>
        <v>NTX</v>
      </c>
      <c r="C1596" t="s">
        <v>11</v>
      </c>
      <c r="D1596" s="1">
        <v>43430</v>
      </c>
      <c r="E1596" s="1">
        <v>43448</v>
      </c>
      <c r="F1596" s="1">
        <v>43448</v>
      </c>
      <c r="G1596" s="1"/>
      <c r="H1596" t="s">
        <v>4664</v>
      </c>
      <c r="I1596" t="s">
        <v>4665</v>
      </c>
    </row>
    <row r="1597" spans="1:9" x14ac:dyDescent="0.25">
      <c r="A1597" t="s">
        <v>1808</v>
      </c>
      <c r="B1597" s="26" t="str">
        <f>MID(tbl_forecast[[#This Row],[PACE Job Number]],3,3)</f>
        <v>NTX</v>
      </c>
      <c r="C1597" t="s">
        <v>11</v>
      </c>
      <c r="D1597" s="1">
        <v>43409</v>
      </c>
      <c r="E1597" s="1">
        <v>43418</v>
      </c>
      <c r="F1597" s="1">
        <v>43413</v>
      </c>
      <c r="G1597" s="1">
        <v>43413</v>
      </c>
      <c r="H1597" t="s">
        <v>9</v>
      </c>
      <c r="I1597" t="s">
        <v>10</v>
      </c>
    </row>
    <row r="1598" spans="1:9" x14ac:dyDescent="0.25">
      <c r="A1598" t="s">
        <v>5344</v>
      </c>
      <c r="B1598" s="26" t="str">
        <f>MID(tbl_forecast[[#This Row],[PACE Job Number]],3,3)</f>
        <v>NTX</v>
      </c>
      <c r="C1598" t="s">
        <v>11</v>
      </c>
      <c r="D1598" s="1">
        <v>43420</v>
      </c>
      <c r="E1598" s="1">
        <v>43437</v>
      </c>
      <c r="F1598" s="1">
        <v>43432</v>
      </c>
      <c r="G1598" s="1">
        <v>43432</v>
      </c>
      <c r="H1598" t="s">
        <v>9</v>
      </c>
      <c r="I1598" t="s">
        <v>10</v>
      </c>
    </row>
    <row r="1599" spans="1:9" x14ac:dyDescent="0.25">
      <c r="A1599" t="s">
        <v>1661</v>
      </c>
      <c r="B1599" s="26" t="str">
        <f>MID(tbl_forecast[[#This Row],[PACE Job Number]],3,3)</f>
        <v>NTX</v>
      </c>
      <c r="C1599" t="s">
        <v>11</v>
      </c>
      <c r="D1599" s="1">
        <v>43426</v>
      </c>
      <c r="E1599" s="1">
        <v>43367</v>
      </c>
      <c r="F1599" s="1">
        <v>43420</v>
      </c>
      <c r="G1599" s="1">
        <v>43420</v>
      </c>
      <c r="H1599" t="s">
        <v>9</v>
      </c>
      <c r="I1599" t="s">
        <v>10</v>
      </c>
    </row>
    <row r="1600" spans="1:9" x14ac:dyDescent="0.25">
      <c r="A1600" t="s">
        <v>5345</v>
      </c>
      <c r="B1600" s="26" t="str">
        <f>MID(tbl_forecast[[#This Row],[PACE Job Number]],3,3)</f>
        <v>STX</v>
      </c>
      <c r="C1600" t="s">
        <v>11</v>
      </c>
      <c r="D1600" s="1">
        <v>43428</v>
      </c>
      <c r="E1600" s="1">
        <v>43428</v>
      </c>
      <c r="F1600" s="1">
        <v>43424</v>
      </c>
      <c r="G1600" s="1">
        <v>43424</v>
      </c>
      <c r="H1600" t="s">
        <v>9</v>
      </c>
      <c r="I1600" t="s">
        <v>10</v>
      </c>
    </row>
    <row r="1601" spans="1:9" x14ac:dyDescent="0.25">
      <c r="A1601" t="s">
        <v>3822</v>
      </c>
      <c r="B1601" s="26" t="str">
        <f>MID(tbl_forecast[[#This Row],[PACE Job Number]],3,3)</f>
        <v>WSH</v>
      </c>
      <c r="C1601" t="s">
        <v>11</v>
      </c>
      <c r="D1601" s="1">
        <v>43424</v>
      </c>
      <c r="E1601" s="1">
        <v>43434</v>
      </c>
      <c r="F1601" s="1">
        <v>43431</v>
      </c>
      <c r="G1601" s="1">
        <v>43434</v>
      </c>
      <c r="H1601" t="s">
        <v>9</v>
      </c>
      <c r="I1601" t="s">
        <v>10</v>
      </c>
    </row>
    <row r="1602" spans="1:9" x14ac:dyDescent="0.25">
      <c r="A1602" t="s">
        <v>5213</v>
      </c>
      <c r="B1602" s="26" t="str">
        <f>MID(tbl_forecast[[#This Row],[PACE Job Number]],3,3)</f>
        <v>WSH</v>
      </c>
      <c r="C1602" t="s">
        <v>11</v>
      </c>
      <c r="D1602" s="1">
        <v>43424</v>
      </c>
      <c r="E1602" s="1">
        <v>43455</v>
      </c>
      <c r="F1602" s="1">
        <v>43448</v>
      </c>
      <c r="G1602" s="1"/>
      <c r="H1602" t="s">
        <v>4664</v>
      </c>
      <c r="I1602" t="s">
        <v>4665</v>
      </c>
    </row>
    <row r="1603" spans="1:9" x14ac:dyDescent="0.25">
      <c r="A1603" t="s">
        <v>3823</v>
      </c>
      <c r="B1603" s="26" t="str">
        <f>MID(tbl_forecast[[#This Row],[PACE Job Number]],3,3)</f>
        <v>WSH</v>
      </c>
      <c r="C1603" t="s">
        <v>11</v>
      </c>
      <c r="D1603" s="1">
        <v>43413</v>
      </c>
      <c r="E1603" s="1">
        <v>43425</v>
      </c>
      <c r="F1603" s="1">
        <v>43425</v>
      </c>
      <c r="G1603" s="1">
        <v>43425</v>
      </c>
      <c r="H1603" t="s">
        <v>9</v>
      </c>
      <c r="I1603" t="s">
        <v>10</v>
      </c>
    </row>
    <row r="1604" spans="1:9" x14ac:dyDescent="0.25">
      <c r="A1604" t="s">
        <v>5214</v>
      </c>
      <c r="B1604" s="26" t="str">
        <f>MID(tbl_forecast[[#This Row],[PACE Job Number]],3,3)</f>
        <v>WSH</v>
      </c>
      <c r="C1604" t="s">
        <v>11</v>
      </c>
      <c r="D1604" s="1">
        <v>43424</v>
      </c>
      <c r="E1604" s="1">
        <v>43430</v>
      </c>
      <c r="F1604" s="1">
        <v>43427</v>
      </c>
      <c r="G1604" s="1">
        <v>43427</v>
      </c>
      <c r="H1604" t="s">
        <v>9</v>
      </c>
      <c r="I1604" t="s">
        <v>10</v>
      </c>
    </row>
    <row r="1605" spans="1:9" x14ac:dyDescent="0.25">
      <c r="A1605" t="s">
        <v>37</v>
      </c>
      <c r="B1605" s="26" t="str">
        <f>MID(tbl_forecast[[#This Row],[PACE Job Number]],3,3)</f>
        <v>WSH</v>
      </c>
      <c r="C1605" t="s">
        <v>11</v>
      </c>
      <c r="D1605" s="1">
        <v>43413</v>
      </c>
      <c r="E1605" s="1">
        <v>43420</v>
      </c>
      <c r="F1605" s="1">
        <v>43420</v>
      </c>
      <c r="G1605" s="1">
        <v>43420</v>
      </c>
      <c r="H1605" t="s">
        <v>9</v>
      </c>
      <c r="I1605" t="s">
        <v>10</v>
      </c>
    </row>
    <row r="1606" spans="1:9" x14ac:dyDescent="0.25">
      <c r="A1606" t="s">
        <v>5215</v>
      </c>
      <c r="B1606" s="26" t="str">
        <f>MID(tbl_forecast[[#This Row],[PACE Job Number]],3,3)</f>
        <v>WSH</v>
      </c>
      <c r="C1606" t="s">
        <v>11</v>
      </c>
      <c r="D1606" s="1">
        <v>43420</v>
      </c>
      <c r="E1606" s="1">
        <v>43422</v>
      </c>
      <c r="F1606" s="1">
        <v>43422</v>
      </c>
      <c r="G1606" s="1">
        <v>43422</v>
      </c>
      <c r="H1606" t="s">
        <v>9</v>
      </c>
      <c r="I1606" t="s">
        <v>10</v>
      </c>
    </row>
    <row r="1607" spans="1:9" x14ac:dyDescent="0.25">
      <c r="A1607" t="s">
        <v>3824</v>
      </c>
      <c r="B1607" s="26" t="str">
        <f>MID(tbl_forecast[[#This Row],[PACE Job Number]],3,3)</f>
        <v>WSH</v>
      </c>
      <c r="C1607" t="s">
        <v>11</v>
      </c>
      <c r="D1607" s="1">
        <v>43413</v>
      </c>
      <c r="E1607" s="1">
        <v>43425</v>
      </c>
      <c r="F1607" s="1">
        <v>43425</v>
      </c>
      <c r="G1607" s="1">
        <v>43425</v>
      </c>
      <c r="H1607" t="s">
        <v>9</v>
      </c>
      <c r="I1607" t="s">
        <v>10</v>
      </c>
    </row>
    <row r="1608" spans="1:9" x14ac:dyDescent="0.25">
      <c r="A1608" t="s">
        <v>5216</v>
      </c>
      <c r="B1608" s="26" t="str">
        <f>MID(tbl_forecast[[#This Row],[PACE Job Number]],3,3)</f>
        <v>WSH</v>
      </c>
      <c r="C1608" t="s">
        <v>11</v>
      </c>
      <c r="D1608" s="1">
        <v>43424</v>
      </c>
      <c r="E1608" s="1">
        <v>43437</v>
      </c>
      <c r="F1608" s="1">
        <v>43428</v>
      </c>
      <c r="G1608" s="1"/>
      <c r="H1608" t="s">
        <v>9</v>
      </c>
      <c r="I1608" t="s">
        <v>27</v>
      </c>
    </row>
    <row r="1609" spans="1:9" x14ac:dyDescent="0.25">
      <c r="A1609" t="s">
        <v>4242</v>
      </c>
      <c r="B1609" s="26" t="str">
        <f>MID(tbl_forecast[[#This Row],[PACE Job Number]],3,3)</f>
        <v>WSH</v>
      </c>
      <c r="C1609" t="s">
        <v>11</v>
      </c>
      <c r="D1609" s="1">
        <v>43424</v>
      </c>
      <c r="E1609" s="1">
        <v>43425</v>
      </c>
      <c r="F1609" s="1">
        <v>43425</v>
      </c>
      <c r="G1609" s="1">
        <v>43425</v>
      </c>
      <c r="H1609" t="s">
        <v>9</v>
      </c>
      <c r="I1609" t="s">
        <v>10</v>
      </c>
    </row>
    <row r="1610" spans="1:9" x14ac:dyDescent="0.25">
      <c r="A1610" t="s">
        <v>3828</v>
      </c>
      <c r="B1610" s="26" t="str">
        <f>MID(tbl_forecast[[#This Row],[PACE Job Number]],3,3)</f>
        <v>WSH</v>
      </c>
      <c r="C1610" t="s">
        <v>11</v>
      </c>
      <c r="D1610" s="1">
        <v>43413</v>
      </c>
      <c r="E1610" s="1">
        <v>43425</v>
      </c>
      <c r="F1610" s="1">
        <v>43425</v>
      </c>
      <c r="G1610" s="1">
        <v>43425</v>
      </c>
      <c r="H1610" t="s">
        <v>9</v>
      </c>
      <c r="I1610" t="s">
        <v>10</v>
      </c>
    </row>
    <row r="1611" spans="1:9" x14ac:dyDescent="0.25">
      <c r="A1611" t="s">
        <v>5217</v>
      </c>
      <c r="B1611" s="26" t="str">
        <f>MID(tbl_forecast[[#This Row],[PACE Job Number]],3,3)</f>
        <v>WSH</v>
      </c>
      <c r="C1611" t="s">
        <v>11</v>
      </c>
      <c r="D1611" s="1">
        <v>43420</v>
      </c>
      <c r="E1611" s="1">
        <v>43422</v>
      </c>
      <c r="F1611" s="1">
        <v>43422</v>
      </c>
      <c r="G1611" s="1">
        <v>43422</v>
      </c>
      <c r="H1611" t="s">
        <v>9</v>
      </c>
      <c r="I1611" t="s">
        <v>10</v>
      </c>
    </row>
    <row r="1612" spans="1:9" x14ac:dyDescent="0.25">
      <c r="A1612" t="s">
        <v>4243</v>
      </c>
      <c r="B1612" s="26" t="str">
        <f>MID(tbl_forecast[[#This Row],[PACE Job Number]],3,3)</f>
        <v>WSH</v>
      </c>
      <c r="C1612" t="s">
        <v>11</v>
      </c>
      <c r="D1612" s="1">
        <v>43409</v>
      </c>
      <c r="E1612" s="1">
        <v>43417</v>
      </c>
      <c r="F1612" s="1">
        <v>43416</v>
      </c>
      <c r="G1612" s="1">
        <v>43416</v>
      </c>
      <c r="H1612" t="s">
        <v>9</v>
      </c>
      <c r="I1612" t="s">
        <v>10</v>
      </c>
    </row>
    <row r="1613" spans="1:9" x14ac:dyDescent="0.25">
      <c r="A1613" t="s">
        <v>5471</v>
      </c>
      <c r="B1613" s="26" t="str">
        <f>MID(tbl_forecast[[#This Row],[PACE Job Number]],3,3)</f>
        <v>WSH</v>
      </c>
      <c r="C1613" t="s">
        <v>11</v>
      </c>
      <c r="D1613" s="1">
        <v>43413</v>
      </c>
      <c r="E1613" s="1">
        <v>43415</v>
      </c>
      <c r="F1613" s="1">
        <v>43415</v>
      </c>
      <c r="G1613" s="1">
        <v>43415</v>
      </c>
      <c r="H1613" t="s">
        <v>9</v>
      </c>
      <c r="I1613" t="s">
        <v>10</v>
      </c>
    </row>
    <row r="1614" spans="1:9" x14ac:dyDescent="0.25">
      <c r="A1614" t="s">
        <v>4245</v>
      </c>
      <c r="B1614" s="26" t="str">
        <f>MID(tbl_forecast[[#This Row],[PACE Job Number]],3,3)</f>
        <v>WSH</v>
      </c>
      <c r="C1614" t="s">
        <v>11</v>
      </c>
      <c r="D1614" s="1">
        <v>43424</v>
      </c>
      <c r="E1614" s="1">
        <v>43425</v>
      </c>
      <c r="F1614" s="1">
        <v>43425</v>
      </c>
      <c r="G1614" s="1">
        <v>43425</v>
      </c>
      <c r="H1614" t="s">
        <v>9</v>
      </c>
      <c r="I1614" t="s">
        <v>10</v>
      </c>
    </row>
    <row r="1615" spans="1:9" x14ac:dyDescent="0.25">
      <c r="A1615" t="s">
        <v>3830</v>
      </c>
      <c r="B1615" s="26" t="str">
        <f>MID(tbl_forecast[[#This Row],[PACE Job Number]],3,3)</f>
        <v>WSH</v>
      </c>
      <c r="C1615" t="s">
        <v>11</v>
      </c>
      <c r="D1615" s="1">
        <v>43424</v>
      </c>
      <c r="E1615" s="1">
        <v>43446</v>
      </c>
      <c r="F1615" s="1">
        <v>43441</v>
      </c>
      <c r="G1615" s="1"/>
      <c r="H1615" t="s">
        <v>4664</v>
      </c>
      <c r="I1615" t="s">
        <v>4665</v>
      </c>
    </row>
    <row r="1616" spans="1:9" x14ac:dyDescent="0.25">
      <c r="A1616" t="s">
        <v>5219</v>
      </c>
      <c r="B1616" s="26" t="str">
        <f>MID(tbl_forecast[[#This Row],[PACE Job Number]],3,3)</f>
        <v>WSH</v>
      </c>
      <c r="C1616" t="s">
        <v>11</v>
      </c>
      <c r="D1616" s="1">
        <v>43424</v>
      </c>
      <c r="E1616" s="1">
        <v>43437</v>
      </c>
      <c r="F1616" s="1">
        <v>43428</v>
      </c>
      <c r="G1616" s="1"/>
      <c r="H1616" t="s">
        <v>9</v>
      </c>
      <c r="I1616" t="s">
        <v>27</v>
      </c>
    </row>
    <row r="1617" spans="1:9" x14ac:dyDescent="0.25">
      <c r="A1617" t="s">
        <v>5220</v>
      </c>
      <c r="B1617" s="26" t="str">
        <f>MID(tbl_forecast[[#This Row],[PACE Job Number]],3,3)</f>
        <v>WSH</v>
      </c>
      <c r="C1617" t="s">
        <v>11</v>
      </c>
      <c r="D1617" s="1">
        <v>43420</v>
      </c>
      <c r="E1617" s="1">
        <v>43424</v>
      </c>
      <c r="F1617" s="1">
        <v>43424</v>
      </c>
      <c r="G1617" s="1">
        <v>43424</v>
      </c>
      <c r="H1617" t="s">
        <v>9</v>
      </c>
      <c r="I1617" t="s">
        <v>10</v>
      </c>
    </row>
    <row r="1618" spans="1:9" x14ac:dyDescent="0.25">
      <c r="A1618" t="s">
        <v>3921</v>
      </c>
      <c r="B1618" s="26" t="str">
        <f>MID(tbl_forecast[[#This Row],[PACE Job Number]],3,3)</f>
        <v>WSH</v>
      </c>
      <c r="C1618" t="s">
        <v>11</v>
      </c>
      <c r="D1618" s="1">
        <v>43418</v>
      </c>
      <c r="E1618" s="1">
        <v>43413</v>
      </c>
      <c r="F1618" s="1">
        <v>43413</v>
      </c>
      <c r="G1618" s="1">
        <v>43413</v>
      </c>
      <c r="H1618" t="s">
        <v>9</v>
      </c>
      <c r="I1618" t="s">
        <v>10</v>
      </c>
    </row>
    <row r="1619" spans="1:9" x14ac:dyDescent="0.25">
      <c r="A1619" t="s">
        <v>5348</v>
      </c>
      <c r="B1619" s="26" t="str">
        <f>MID(tbl_forecast[[#This Row],[PACE Job Number]],3,3)</f>
        <v>NTX</v>
      </c>
      <c r="C1619" t="s">
        <v>11</v>
      </c>
      <c r="D1619" s="1">
        <v>43420</v>
      </c>
      <c r="E1619" s="1">
        <v>43438</v>
      </c>
      <c r="F1619" s="1">
        <v>43429</v>
      </c>
      <c r="G1619" s="1">
        <v>43429</v>
      </c>
      <c r="H1619" t="s">
        <v>9</v>
      </c>
      <c r="I1619" t="s">
        <v>10</v>
      </c>
    </row>
    <row r="1620" spans="1:9" x14ac:dyDescent="0.25">
      <c r="A1620" t="s">
        <v>5349</v>
      </c>
      <c r="B1620" s="26" t="str">
        <f>MID(tbl_forecast[[#This Row],[PACE Job Number]],3,3)</f>
        <v>NTX</v>
      </c>
      <c r="C1620" t="s">
        <v>11</v>
      </c>
      <c r="D1620" s="1">
        <v>43420</v>
      </c>
      <c r="E1620" s="1">
        <v>43438</v>
      </c>
      <c r="F1620" s="1">
        <v>43429</v>
      </c>
      <c r="G1620" s="1">
        <v>43429</v>
      </c>
      <c r="H1620" t="s">
        <v>9</v>
      </c>
      <c r="I1620" t="s">
        <v>10</v>
      </c>
    </row>
    <row r="1621" spans="1:9" x14ac:dyDescent="0.25">
      <c r="A1621" t="s">
        <v>5350</v>
      </c>
      <c r="B1621" s="26" t="str">
        <f>MID(tbl_forecast[[#This Row],[PACE Job Number]],3,3)</f>
        <v>STX</v>
      </c>
      <c r="C1621" t="s">
        <v>11</v>
      </c>
      <c r="D1621" s="1">
        <v>43425</v>
      </c>
      <c r="E1621" s="1">
        <v>43425</v>
      </c>
      <c r="F1621" s="1">
        <v>43424</v>
      </c>
      <c r="G1621" s="1">
        <v>43424</v>
      </c>
      <c r="H1621" t="s">
        <v>9</v>
      </c>
      <c r="I1621" t="s">
        <v>10</v>
      </c>
    </row>
    <row r="1622" spans="1:9" x14ac:dyDescent="0.25">
      <c r="A1622" t="s">
        <v>3293</v>
      </c>
      <c r="B1622" s="26" t="str">
        <f>MID(tbl_forecast[[#This Row],[PACE Job Number]],3,3)</f>
        <v>STX</v>
      </c>
      <c r="C1622" t="s">
        <v>11</v>
      </c>
      <c r="D1622" s="1">
        <v>43425</v>
      </c>
      <c r="E1622" s="1">
        <v>43425</v>
      </c>
      <c r="F1622" s="1">
        <v>43424</v>
      </c>
      <c r="G1622" s="1">
        <v>43424</v>
      </c>
      <c r="H1622" t="s">
        <v>9</v>
      </c>
      <c r="I1622" t="s">
        <v>10</v>
      </c>
    </row>
    <row r="1623" spans="1:9" x14ac:dyDescent="0.25">
      <c r="A1623" t="s">
        <v>1702</v>
      </c>
      <c r="B1623" s="26" t="str">
        <f>MID(tbl_forecast[[#This Row],[PACE Job Number]],3,3)</f>
        <v>STX</v>
      </c>
      <c r="C1623" t="s">
        <v>11</v>
      </c>
      <c r="D1623" s="1">
        <v>43425</v>
      </c>
      <c r="E1623" s="1">
        <v>43459</v>
      </c>
      <c r="F1623" s="1">
        <v>43425</v>
      </c>
      <c r="G1623" s="1"/>
      <c r="H1623" t="s">
        <v>9</v>
      </c>
      <c r="I1623" t="s">
        <v>44</v>
      </c>
    </row>
    <row r="1624" spans="1:9" x14ac:dyDescent="0.25">
      <c r="A1624" t="s">
        <v>4341</v>
      </c>
      <c r="B1624" s="26" t="str">
        <f>MID(tbl_forecast[[#This Row],[PACE Job Number]],3,3)</f>
        <v>STX</v>
      </c>
      <c r="C1624" t="s">
        <v>11</v>
      </c>
      <c r="D1624" s="1">
        <v>43425</v>
      </c>
      <c r="E1624" s="1">
        <v>43425</v>
      </c>
      <c r="F1624" s="1">
        <v>43424</v>
      </c>
      <c r="G1624" s="1">
        <v>43424</v>
      </c>
      <c r="H1624" t="s">
        <v>9</v>
      </c>
      <c r="I1624" t="s">
        <v>10</v>
      </c>
    </row>
    <row r="1625" spans="1:9" x14ac:dyDescent="0.25">
      <c r="A1625" t="s">
        <v>4342</v>
      </c>
      <c r="B1625" s="26" t="str">
        <f>MID(tbl_forecast[[#This Row],[PACE Job Number]],3,3)</f>
        <v>STX</v>
      </c>
      <c r="C1625" t="s">
        <v>11</v>
      </c>
      <c r="D1625" s="1">
        <v>43425</v>
      </c>
      <c r="E1625" s="1">
        <v>43425</v>
      </c>
      <c r="F1625" s="1">
        <v>43424</v>
      </c>
      <c r="G1625" s="1">
        <v>43424</v>
      </c>
      <c r="H1625" t="s">
        <v>9</v>
      </c>
      <c r="I1625" t="s">
        <v>10</v>
      </c>
    </row>
    <row r="1626" spans="1:9" x14ac:dyDescent="0.25">
      <c r="A1626" t="s">
        <v>611</v>
      </c>
      <c r="B1626" s="26" t="str">
        <f>MID(tbl_forecast[[#This Row],[PACE Job Number]],3,3)</f>
        <v>STX</v>
      </c>
      <c r="C1626" t="s">
        <v>11</v>
      </c>
      <c r="D1626" s="1">
        <v>43428</v>
      </c>
      <c r="E1626" s="1">
        <v>43447</v>
      </c>
      <c r="F1626" s="1">
        <v>43447</v>
      </c>
      <c r="G1626" s="1"/>
      <c r="H1626" t="s">
        <v>4664</v>
      </c>
      <c r="I1626" t="s">
        <v>4665</v>
      </c>
    </row>
    <row r="1627" spans="1:9" x14ac:dyDescent="0.25">
      <c r="A1627" t="s">
        <v>4343</v>
      </c>
      <c r="B1627" s="26" t="str">
        <f>MID(tbl_forecast[[#This Row],[PACE Job Number]],3,3)</f>
        <v>STX</v>
      </c>
      <c r="C1627" t="s">
        <v>11</v>
      </c>
      <c r="D1627" s="1">
        <v>43425</v>
      </c>
      <c r="E1627" s="1">
        <v>43425</v>
      </c>
      <c r="F1627" s="1">
        <v>43424</v>
      </c>
      <c r="G1627" s="1">
        <v>43424</v>
      </c>
      <c r="H1627" t="s">
        <v>9</v>
      </c>
      <c r="I1627" t="s">
        <v>10</v>
      </c>
    </row>
    <row r="1628" spans="1:9" x14ac:dyDescent="0.25">
      <c r="A1628" t="s">
        <v>3236</v>
      </c>
      <c r="B1628" s="26" t="str">
        <f>MID(tbl_forecast[[#This Row],[PACE Job Number]],3,3)</f>
        <v>STX</v>
      </c>
      <c r="C1628" t="s">
        <v>11</v>
      </c>
      <c r="D1628" s="1">
        <v>43428</v>
      </c>
      <c r="E1628" s="1">
        <v>43428</v>
      </c>
      <c r="F1628" s="1">
        <v>43424</v>
      </c>
      <c r="G1628" s="1">
        <v>43424</v>
      </c>
      <c r="H1628" t="s">
        <v>9</v>
      </c>
      <c r="I1628" t="s">
        <v>10</v>
      </c>
    </row>
    <row r="1629" spans="1:9" x14ac:dyDescent="0.25">
      <c r="A1629" t="s">
        <v>3235</v>
      </c>
      <c r="B1629" s="26" t="str">
        <f>MID(tbl_forecast[[#This Row],[PACE Job Number]],3,3)</f>
        <v>STX</v>
      </c>
      <c r="C1629" t="s">
        <v>11</v>
      </c>
      <c r="D1629" s="1">
        <v>43428</v>
      </c>
      <c r="E1629" s="1">
        <v>43447</v>
      </c>
      <c r="F1629" s="1">
        <v>43447</v>
      </c>
      <c r="G1629" s="1"/>
      <c r="H1629" t="s">
        <v>4664</v>
      </c>
      <c r="I1629" t="s">
        <v>4665</v>
      </c>
    </row>
    <row r="1630" spans="1:9" x14ac:dyDescent="0.25">
      <c r="A1630" t="s">
        <v>65</v>
      </c>
      <c r="B1630" s="26" t="str">
        <f>MID(tbl_forecast[[#This Row],[PACE Job Number]],3,3)</f>
        <v>STX</v>
      </c>
      <c r="C1630" t="s">
        <v>11</v>
      </c>
      <c r="D1630" s="1">
        <v>43423</v>
      </c>
      <c r="E1630" s="1">
        <v>43423</v>
      </c>
      <c r="F1630" s="1">
        <v>43410</v>
      </c>
      <c r="G1630" s="1">
        <v>43410</v>
      </c>
      <c r="H1630" t="s">
        <v>9</v>
      </c>
      <c r="I1630" t="s">
        <v>10</v>
      </c>
    </row>
    <row r="1631" spans="1:9" x14ac:dyDescent="0.25">
      <c r="A1631" t="s">
        <v>4345</v>
      </c>
      <c r="B1631" s="26" t="str">
        <f>MID(tbl_forecast[[#This Row],[PACE Job Number]],3,3)</f>
        <v>STX</v>
      </c>
      <c r="C1631" t="s">
        <v>11</v>
      </c>
      <c r="D1631" s="1">
        <v>43428</v>
      </c>
      <c r="E1631" s="1">
        <v>43447</v>
      </c>
      <c r="F1631" s="1">
        <v>43447</v>
      </c>
      <c r="G1631" s="1"/>
      <c r="H1631" t="s">
        <v>4664</v>
      </c>
      <c r="I1631" t="s">
        <v>4665</v>
      </c>
    </row>
    <row r="1632" spans="1:9" x14ac:dyDescent="0.25">
      <c r="A1632" t="s">
        <v>4134</v>
      </c>
      <c r="B1632" s="26" t="str">
        <f>MID(tbl_forecast[[#This Row],[PACE Job Number]],3,3)</f>
        <v>STX</v>
      </c>
      <c r="C1632" t="s">
        <v>11</v>
      </c>
      <c r="D1632" s="1">
        <v>43426</v>
      </c>
      <c r="E1632" s="1">
        <v>43426</v>
      </c>
      <c r="F1632" s="1">
        <v>43415</v>
      </c>
      <c r="G1632" s="1">
        <v>43415</v>
      </c>
      <c r="H1632" t="s">
        <v>9</v>
      </c>
      <c r="I1632" t="s">
        <v>10</v>
      </c>
    </row>
    <row r="1633" spans="1:9" x14ac:dyDescent="0.25">
      <c r="A1633" t="s">
        <v>3339</v>
      </c>
      <c r="B1633" s="26" t="str">
        <f>MID(tbl_forecast[[#This Row],[PACE Job Number]],3,3)</f>
        <v>STX</v>
      </c>
      <c r="C1633" t="s">
        <v>11</v>
      </c>
      <c r="D1633" s="1">
        <v>43425</v>
      </c>
      <c r="E1633" s="1">
        <v>43425</v>
      </c>
      <c r="F1633" s="1">
        <v>43424</v>
      </c>
      <c r="G1633" s="1">
        <v>43424</v>
      </c>
      <c r="H1633" t="s">
        <v>9</v>
      </c>
      <c r="I1633" t="s">
        <v>10</v>
      </c>
    </row>
    <row r="1634" spans="1:9" x14ac:dyDescent="0.25">
      <c r="A1634" t="s">
        <v>468</v>
      </c>
      <c r="B1634" s="26" t="str">
        <f>MID(tbl_forecast[[#This Row],[PACE Job Number]],3,3)</f>
        <v>STX</v>
      </c>
      <c r="C1634" t="s">
        <v>11</v>
      </c>
      <c r="D1634" s="1">
        <v>43428</v>
      </c>
      <c r="E1634" s="1">
        <v>43424</v>
      </c>
      <c r="F1634" s="1">
        <v>43424</v>
      </c>
      <c r="G1634" s="1">
        <v>43424</v>
      </c>
      <c r="H1634" t="s">
        <v>9</v>
      </c>
      <c r="I1634" t="s">
        <v>10</v>
      </c>
    </row>
    <row r="1635" spans="1:9" x14ac:dyDescent="0.25">
      <c r="A1635" t="s">
        <v>4346</v>
      </c>
      <c r="B1635" s="26" t="str">
        <f>MID(tbl_forecast[[#This Row],[PACE Job Number]],3,3)</f>
        <v>STX</v>
      </c>
      <c r="C1635" t="s">
        <v>11</v>
      </c>
      <c r="D1635" s="1">
        <v>43425</v>
      </c>
      <c r="E1635" s="1">
        <v>43425</v>
      </c>
      <c r="F1635" s="1">
        <v>43424</v>
      </c>
      <c r="G1635" s="1">
        <v>43424</v>
      </c>
      <c r="H1635" t="s">
        <v>9</v>
      </c>
      <c r="I1635" t="s">
        <v>10</v>
      </c>
    </row>
    <row r="1636" spans="1:9" x14ac:dyDescent="0.25">
      <c r="A1636" t="s">
        <v>286</v>
      </c>
      <c r="B1636" s="26" t="str">
        <f>MID(tbl_forecast[[#This Row],[PACE Job Number]],3,3)</f>
        <v>STX</v>
      </c>
      <c r="C1636" t="s">
        <v>11</v>
      </c>
      <c r="D1636" s="1">
        <v>43425</v>
      </c>
      <c r="E1636" s="1">
        <v>43425</v>
      </c>
      <c r="F1636" s="1">
        <v>43424</v>
      </c>
      <c r="G1636" s="1">
        <v>43424</v>
      </c>
      <c r="H1636" t="s">
        <v>9</v>
      </c>
      <c r="I1636" t="s">
        <v>10</v>
      </c>
    </row>
    <row r="1637" spans="1:9" x14ac:dyDescent="0.25">
      <c r="A1637" t="s">
        <v>2623</v>
      </c>
      <c r="B1637" s="26" t="str">
        <f>MID(tbl_forecast[[#This Row],[PACE Job Number]],3,3)</f>
        <v>STX</v>
      </c>
      <c r="C1637" t="s">
        <v>11</v>
      </c>
      <c r="D1637" s="1">
        <v>43428</v>
      </c>
      <c r="E1637" s="1">
        <v>43424</v>
      </c>
      <c r="F1637" s="1">
        <v>43415</v>
      </c>
      <c r="G1637" s="1">
        <v>43415</v>
      </c>
      <c r="H1637" t="s">
        <v>9</v>
      </c>
      <c r="I1637" t="s">
        <v>10</v>
      </c>
    </row>
    <row r="1638" spans="1:9" x14ac:dyDescent="0.25">
      <c r="A1638" t="s">
        <v>466</v>
      </c>
      <c r="B1638" s="26" t="str">
        <f>MID(tbl_forecast[[#This Row],[PACE Job Number]],3,3)</f>
        <v>STX</v>
      </c>
      <c r="C1638" t="s">
        <v>11</v>
      </c>
      <c r="D1638" s="1">
        <v>43428</v>
      </c>
      <c r="E1638" s="1">
        <v>43424</v>
      </c>
      <c r="F1638" s="1">
        <v>43424</v>
      </c>
      <c r="G1638" s="1">
        <v>43424</v>
      </c>
      <c r="H1638" t="s">
        <v>9</v>
      </c>
      <c r="I1638" t="s">
        <v>10</v>
      </c>
    </row>
    <row r="1639" spans="1:9" x14ac:dyDescent="0.25">
      <c r="A1639" t="s">
        <v>3118</v>
      </c>
      <c r="B1639" s="26" t="str">
        <f>MID(tbl_forecast[[#This Row],[PACE Job Number]],3,3)</f>
        <v>STX</v>
      </c>
      <c r="C1639" t="s">
        <v>11</v>
      </c>
      <c r="D1639" s="1">
        <v>43416</v>
      </c>
      <c r="E1639" s="1">
        <v>43416</v>
      </c>
      <c r="F1639" s="1">
        <v>43424</v>
      </c>
      <c r="G1639" s="1">
        <v>43424</v>
      </c>
      <c r="H1639" t="s">
        <v>9</v>
      </c>
      <c r="I1639" t="s">
        <v>10</v>
      </c>
    </row>
    <row r="1640" spans="1:9" x14ac:dyDescent="0.25">
      <c r="A1640" t="s">
        <v>5351</v>
      </c>
      <c r="B1640" s="26" t="str">
        <f>MID(tbl_forecast[[#This Row],[PACE Job Number]],3,3)</f>
        <v>NTX</v>
      </c>
      <c r="C1640" t="s">
        <v>11</v>
      </c>
      <c r="D1640" s="1">
        <v>43420</v>
      </c>
      <c r="E1640" s="1">
        <v>43437</v>
      </c>
      <c r="F1640" s="1">
        <v>43432</v>
      </c>
      <c r="G1640" s="1">
        <v>43432</v>
      </c>
      <c r="H1640" t="s">
        <v>9</v>
      </c>
      <c r="I1640" t="s">
        <v>10</v>
      </c>
    </row>
    <row r="1641" spans="1:9" x14ac:dyDescent="0.25">
      <c r="A1641" t="s">
        <v>1732</v>
      </c>
      <c r="B1641" s="26" t="str">
        <f>MID(tbl_forecast[[#This Row],[PACE Job Number]],3,3)</f>
        <v>NTX</v>
      </c>
      <c r="C1641" t="s">
        <v>11</v>
      </c>
      <c r="D1641" s="1">
        <v>43430</v>
      </c>
      <c r="E1641" s="1">
        <v>43507</v>
      </c>
      <c r="F1641" s="1">
        <v>43507</v>
      </c>
      <c r="G1641" s="1"/>
      <c r="H1641" t="s">
        <v>4664</v>
      </c>
      <c r="I1641" t="s">
        <v>4665</v>
      </c>
    </row>
    <row r="1642" spans="1:9" x14ac:dyDescent="0.25">
      <c r="A1642" t="s">
        <v>41</v>
      </c>
      <c r="B1642" s="26" t="str">
        <f>MID(tbl_forecast[[#This Row],[PACE Job Number]],3,3)</f>
        <v>NTX</v>
      </c>
      <c r="C1642" t="s">
        <v>11</v>
      </c>
      <c r="D1642" s="1">
        <v>43430</v>
      </c>
      <c r="E1642" s="1">
        <v>43430</v>
      </c>
      <c r="F1642" s="1">
        <v>43420</v>
      </c>
      <c r="G1642" s="1">
        <v>43420</v>
      </c>
      <c r="H1642" t="s">
        <v>9</v>
      </c>
      <c r="I1642" t="s">
        <v>10</v>
      </c>
    </row>
    <row r="1643" spans="1:9" x14ac:dyDescent="0.25">
      <c r="A1643" t="s">
        <v>354</v>
      </c>
      <c r="B1643" s="26" t="str">
        <f>MID(tbl_forecast[[#This Row],[PACE Job Number]],3,3)</f>
        <v>NTX</v>
      </c>
      <c r="C1643" t="s">
        <v>11</v>
      </c>
      <c r="D1643" s="1">
        <v>43412</v>
      </c>
      <c r="E1643" s="1">
        <v>43437</v>
      </c>
      <c r="F1643" s="1">
        <v>43437</v>
      </c>
      <c r="G1643" s="1"/>
      <c r="H1643" t="s">
        <v>4664</v>
      </c>
      <c r="I1643" t="s">
        <v>5645</v>
      </c>
    </row>
    <row r="1644" spans="1:9" x14ac:dyDescent="0.25">
      <c r="A1644" t="s">
        <v>3428</v>
      </c>
      <c r="B1644" s="26" t="str">
        <f>MID(tbl_forecast[[#This Row],[PACE Job Number]],3,3)</f>
        <v>NTX</v>
      </c>
      <c r="C1644" t="s">
        <v>11</v>
      </c>
      <c r="D1644" s="1">
        <v>43427</v>
      </c>
      <c r="E1644" s="1">
        <v>43434</v>
      </c>
      <c r="F1644" s="1">
        <v>43434</v>
      </c>
      <c r="G1644" s="1"/>
      <c r="H1644" t="s">
        <v>9</v>
      </c>
      <c r="I1644" t="s">
        <v>27</v>
      </c>
    </row>
    <row r="1645" spans="1:9" x14ac:dyDescent="0.25">
      <c r="A1645" t="s">
        <v>5472</v>
      </c>
      <c r="B1645" s="26" t="str">
        <f>MID(tbl_forecast[[#This Row],[PACE Job Number]],3,3)</f>
        <v>NTX</v>
      </c>
      <c r="C1645" t="s">
        <v>11</v>
      </c>
      <c r="D1645" s="1">
        <v>43423</v>
      </c>
      <c r="E1645" s="1">
        <v>43423</v>
      </c>
      <c r="F1645" s="1">
        <v>43423</v>
      </c>
      <c r="G1645" s="1">
        <v>43423</v>
      </c>
      <c r="H1645" t="s">
        <v>9</v>
      </c>
      <c r="I1645" t="s">
        <v>10</v>
      </c>
    </row>
    <row r="1646" spans="1:9" x14ac:dyDescent="0.25">
      <c r="A1646" t="s">
        <v>1737</v>
      </c>
      <c r="B1646" s="26" t="str">
        <f>MID(tbl_forecast[[#This Row],[PACE Job Number]],3,3)</f>
        <v>NTX</v>
      </c>
      <c r="C1646" t="s">
        <v>11</v>
      </c>
      <c r="D1646" s="1">
        <v>43409</v>
      </c>
      <c r="E1646" s="1">
        <v>43458</v>
      </c>
      <c r="F1646" s="1">
        <v>43458</v>
      </c>
      <c r="G1646" s="1"/>
      <c r="H1646" t="s">
        <v>4664</v>
      </c>
      <c r="I1646" t="s">
        <v>5645</v>
      </c>
    </row>
    <row r="1647" spans="1:9" x14ac:dyDescent="0.25">
      <c r="A1647" t="s">
        <v>5473</v>
      </c>
      <c r="B1647" s="26" t="str">
        <f>MID(tbl_forecast[[#This Row],[PACE Job Number]],3,3)</f>
        <v>NTX</v>
      </c>
      <c r="C1647" t="s">
        <v>11</v>
      </c>
      <c r="D1647" s="1">
        <v>43432</v>
      </c>
      <c r="E1647" s="1">
        <v>43256</v>
      </c>
      <c r="F1647" s="1">
        <v>43409</v>
      </c>
      <c r="G1647" s="1">
        <v>43409</v>
      </c>
      <c r="H1647" t="s">
        <v>9</v>
      </c>
      <c r="I1647" t="s">
        <v>10</v>
      </c>
    </row>
    <row r="1648" spans="1:9" x14ac:dyDescent="0.25">
      <c r="A1648" t="s">
        <v>4556</v>
      </c>
      <c r="B1648" s="26" t="str">
        <f>MID(tbl_forecast[[#This Row],[PACE Job Number]],3,3)</f>
        <v>NTX</v>
      </c>
      <c r="C1648" t="s">
        <v>11</v>
      </c>
      <c r="D1648" s="1">
        <v>43407</v>
      </c>
      <c r="E1648" s="1">
        <v>43507</v>
      </c>
      <c r="F1648" s="1">
        <v>43507</v>
      </c>
      <c r="G1648" s="1"/>
      <c r="H1648" t="s">
        <v>4664</v>
      </c>
      <c r="I1648" t="s">
        <v>5645</v>
      </c>
    </row>
    <row r="1649" spans="1:9" x14ac:dyDescent="0.25">
      <c r="A1649" t="s">
        <v>5474</v>
      </c>
      <c r="B1649" s="26" t="str">
        <f>MID(tbl_forecast[[#This Row],[PACE Job Number]],3,3)</f>
        <v>NTX</v>
      </c>
      <c r="C1649" t="s">
        <v>11</v>
      </c>
      <c r="D1649" s="1">
        <v>43423</v>
      </c>
      <c r="E1649" s="1">
        <v>43361</v>
      </c>
      <c r="F1649" s="1">
        <v>43410</v>
      </c>
      <c r="G1649" s="1">
        <v>43410</v>
      </c>
      <c r="H1649" t="s">
        <v>9</v>
      </c>
      <c r="I1649" t="s">
        <v>10</v>
      </c>
    </row>
    <row r="1650" spans="1:9" x14ac:dyDescent="0.25">
      <c r="A1650" t="s">
        <v>5352</v>
      </c>
      <c r="B1650" s="26" t="str">
        <f>MID(tbl_forecast[[#This Row],[PACE Job Number]],3,3)</f>
        <v>NTX</v>
      </c>
      <c r="C1650" t="s">
        <v>11</v>
      </c>
      <c r="D1650" s="1">
        <v>43423</v>
      </c>
      <c r="E1650" s="1">
        <v>43427</v>
      </c>
      <c r="F1650" s="1">
        <v>43425</v>
      </c>
      <c r="G1650" s="1">
        <v>43425</v>
      </c>
      <c r="H1650" t="s">
        <v>9</v>
      </c>
      <c r="I1650" t="s">
        <v>10</v>
      </c>
    </row>
    <row r="1651" spans="1:9" x14ac:dyDescent="0.25">
      <c r="A1651" t="s">
        <v>5353</v>
      </c>
      <c r="B1651" s="26" t="str">
        <f>MID(tbl_forecast[[#This Row],[PACE Job Number]],3,3)</f>
        <v>NTX</v>
      </c>
      <c r="C1651" t="s">
        <v>11</v>
      </c>
      <c r="D1651" s="1">
        <v>43430</v>
      </c>
      <c r="E1651" s="1">
        <v>43448</v>
      </c>
      <c r="F1651" s="1">
        <v>43448</v>
      </c>
      <c r="G1651" s="1"/>
      <c r="H1651" t="s">
        <v>4664</v>
      </c>
      <c r="I1651" t="s">
        <v>4665</v>
      </c>
    </row>
    <row r="1652" spans="1:9" x14ac:dyDescent="0.25">
      <c r="A1652" t="s">
        <v>557</v>
      </c>
      <c r="B1652" s="26" t="str">
        <f>MID(tbl_forecast[[#This Row],[PACE Job Number]],3,3)</f>
        <v>NTX</v>
      </c>
      <c r="C1652" t="s">
        <v>11</v>
      </c>
      <c r="D1652" s="1">
        <v>43427</v>
      </c>
      <c r="E1652" s="1">
        <v>43448</v>
      </c>
      <c r="F1652" s="1">
        <v>43448</v>
      </c>
      <c r="G1652" s="1"/>
      <c r="H1652" t="s">
        <v>4664</v>
      </c>
      <c r="I1652" t="s">
        <v>4665</v>
      </c>
    </row>
    <row r="1653" spans="1:9" x14ac:dyDescent="0.25">
      <c r="A1653" t="s">
        <v>5354</v>
      </c>
      <c r="B1653" s="26" t="str">
        <f>MID(tbl_forecast[[#This Row],[PACE Job Number]],3,3)</f>
        <v>NTX</v>
      </c>
      <c r="C1653" t="s">
        <v>11</v>
      </c>
      <c r="D1653" s="1">
        <v>43423</v>
      </c>
      <c r="E1653" s="1">
        <v>43434</v>
      </c>
      <c r="F1653" s="1">
        <v>43434</v>
      </c>
      <c r="G1653" s="1">
        <v>43434</v>
      </c>
      <c r="H1653" t="s">
        <v>9</v>
      </c>
      <c r="I1653" t="s">
        <v>10</v>
      </c>
    </row>
    <row r="1654" spans="1:9" x14ac:dyDescent="0.25">
      <c r="A1654" t="s">
        <v>4475</v>
      </c>
      <c r="B1654" s="26" t="str">
        <f>MID(tbl_forecast[[#This Row],[PACE Job Number]],3,3)</f>
        <v>NTX</v>
      </c>
      <c r="C1654" t="s">
        <v>11</v>
      </c>
      <c r="D1654" s="1">
        <v>43427</v>
      </c>
      <c r="E1654" s="1">
        <v>43507</v>
      </c>
      <c r="F1654" s="1">
        <v>43507</v>
      </c>
      <c r="G1654" s="1"/>
      <c r="H1654" t="s">
        <v>4664</v>
      </c>
      <c r="I1654" t="s">
        <v>4665</v>
      </c>
    </row>
    <row r="1655" spans="1:9" x14ac:dyDescent="0.25">
      <c r="A1655" t="s">
        <v>3374</v>
      </c>
      <c r="B1655" s="26" t="str">
        <f>MID(tbl_forecast[[#This Row],[PACE Job Number]],3,3)</f>
        <v>NTX</v>
      </c>
      <c r="C1655" t="s">
        <v>11</v>
      </c>
      <c r="D1655" s="1">
        <v>43420</v>
      </c>
      <c r="E1655" s="1">
        <v>43420</v>
      </c>
      <c r="F1655" s="1">
        <v>43424</v>
      </c>
      <c r="G1655" s="1">
        <v>43424</v>
      </c>
      <c r="H1655" t="s">
        <v>9</v>
      </c>
      <c r="I1655" t="s">
        <v>10</v>
      </c>
    </row>
    <row r="1656" spans="1:9" x14ac:dyDescent="0.25">
      <c r="A1656" t="s">
        <v>1744</v>
      </c>
      <c r="B1656" s="26" t="str">
        <f>MID(tbl_forecast[[#This Row],[PACE Job Number]],3,3)</f>
        <v>NTX</v>
      </c>
      <c r="C1656" t="s">
        <v>11</v>
      </c>
      <c r="D1656" s="1">
        <v>43409</v>
      </c>
      <c r="E1656" s="1">
        <v>43418</v>
      </c>
      <c r="F1656" s="1">
        <v>43413</v>
      </c>
      <c r="G1656" s="1">
        <v>43413</v>
      </c>
      <c r="H1656" t="s">
        <v>9</v>
      </c>
      <c r="I1656" t="s">
        <v>10</v>
      </c>
    </row>
    <row r="1657" spans="1:9" x14ac:dyDescent="0.25">
      <c r="A1657" t="s">
        <v>5475</v>
      </c>
      <c r="B1657" s="26" t="str">
        <f>MID(tbl_forecast[[#This Row],[PACE Job Number]],3,3)</f>
        <v>NTX</v>
      </c>
      <c r="C1657" t="s">
        <v>11</v>
      </c>
      <c r="D1657" s="1">
        <v>43431</v>
      </c>
      <c r="E1657" s="1">
        <v>43363</v>
      </c>
      <c r="F1657" s="1">
        <v>43427</v>
      </c>
      <c r="G1657" s="1">
        <v>43427</v>
      </c>
      <c r="H1657" t="s">
        <v>9</v>
      </c>
      <c r="I1657" t="s">
        <v>10</v>
      </c>
    </row>
    <row r="1658" spans="1:9" x14ac:dyDescent="0.25">
      <c r="A1658" t="s">
        <v>1089</v>
      </c>
      <c r="B1658" s="26" t="str">
        <f>MID(tbl_forecast[[#This Row],[PACE Job Number]],3,3)</f>
        <v>NTX</v>
      </c>
      <c r="C1658" t="s">
        <v>11</v>
      </c>
      <c r="D1658" s="1">
        <v>43420</v>
      </c>
      <c r="E1658" s="1">
        <v>43430</v>
      </c>
      <c r="F1658" s="1">
        <v>43429</v>
      </c>
      <c r="G1658" s="1">
        <v>43429</v>
      </c>
      <c r="H1658" t="s">
        <v>9</v>
      </c>
      <c r="I1658" t="s">
        <v>10</v>
      </c>
    </row>
    <row r="1659" spans="1:9" x14ac:dyDescent="0.25">
      <c r="A1659" t="s">
        <v>4421</v>
      </c>
      <c r="B1659" s="26" t="str">
        <f>MID(tbl_forecast[[#This Row],[PACE Job Number]],3,3)</f>
        <v>NTX</v>
      </c>
      <c r="C1659" t="s">
        <v>11</v>
      </c>
      <c r="D1659" s="1">
        <v>43423</v>
      </c>
      <c r="E1659" s="1">
        <v>43507</v>
      </c>
      <c r="F1659" s="1">
        <v>43507</v>
      </c>
      <c r="G1659" s="1"/>
      <c r="H1659" t="s">
        <v>4664</v>
      </c>
      <c r="I1659" t="s">
        <v>4665</v>
      </c>
    </row>
    <row r="1660" spans="1:9" x14ac:dyDescent="0.25">
      <c r="A1660" t="s">
        <v>2427</v>
      </c>
      <c r="B1660" s="26" t="str">
        <f>MID(tbl_forecast[[#This Row],[PACE Job Number]],3,3)</f>
        <v>NTX</v>
      </c>
      <c r="C1660" t="s">
        <v>11</v>
      </c>
      <c r="D1660" s="1">
        <v>43409</v>
      </c>
      <c r="E1660" s="1">
        <v>43437</v>
      </c>
      <c r="F1660" s="1">
        <v>43437</v>
      </c>
      <c r="G1660" s="1">
        <v>43434</v>
      </c>
      <c r="H1660" t="s">
        <v>4664</v>
      </c>
      <c r="I1660" t="s">
        <v>10</v>
      </c>
    </row>
    <row r="1661" spans="1:9" x14ac:dyDescent="0.25">
      <c r="A1661" t="s">
        <v>2428</v>
      </c>
      <c r="B1661" s="26" t="str">
        <f>MID(tbl_forecast[[#This Row],[PACE Job Number]],3,3)</f>
        <v>NTX</v>
      </c>
      <c r="C1661" t="s">
        <v>11</v>
      </c>
      <c r="D1661" s="1">
        <v>43423</v>
      </c>
      <c r="E1661" s="1">
        <v>43458</v>
      </c>
      <c r="F1661" s="1">
        <v>43458</v>
      </c>
      <c r="G1661" s="1"/>
      <c r="H1661" t="s">
        <v>4664</v>
      </c>
      <c r="I1661" t="s">
        <v>4665</v>
      </c>
    </row>
    <row r="1662" spans="1:9" x14ac:dyDescent="0.25">
      <c r="A1662" t="s">
        <v>3795</v>
      </c>
      <c r="B1662" s="26" t="str">
        <f>MID(tbl_forecast[[#This Row],[PACE Job Number]],3,3)</f>
        <v>NTX</v>
      </c>
      <c r="C1662" t="s">
        <v>11</v>
      </c>
      <c r="D1662" s="1">
        <v>43406</v>
      </c>
      <c r="E1662" s="1">
        <v>43351</v>
      </c>
      <c r="F1662" s="1">
        <v>43406</v>
      </c>
      <c r="G1662" s="1">
        <v>43406</v>
      </c>
      <c r="H1662" t="s">
        <v>9</v>
      </c>
      <c r="I1662" t="s">
        <v>10</v>
      </c>
    </row>
    <row r="1663" spans="1:9" x14ac:dyDescent="0.25">
      <c r="A1663" t="s">
        <v>2284</v>
      </c>
      <c r="B1663" s="26" t="str">
        <f>MID(tbl_forecast[[#This Row],[PACE Job Number]],3,3)</f>
        <v>NTX</v>
      </c>
      <c r="C1663" t="s">
        <v>11</v>
      </c>
      <c r="D1663" s="1">
        <v>43431</v>
      </c>
      <c r="E1663" s="1">
        <v>43431</v>
      </c>
      <c r="F1663" s="1">
        <v>43416</v>
      </c>
      <c r="G1663" s="1">
        <v>43416</v>
      </c>
      <c r="H1663" t="s">
        <v>9</v>
      </c>
      <c r="I1663" t="s">
        <v>10</v>
      </c>
    </row>
    <row r="1664" spans="1:9" x14ac:dyDescent="0.25">
      <c r="A1664" t="s">
        <v>647</v>
      </c>
      <c r="B1664" s="26" t="str">
        <f>MID(tbl_forecast[[#This Row],[PACE Job Number]],3,3)</f>
        <v>NTX</v>
      </c>
      <c r="C1664" t="s">
        <v>11</v>
      </c>
      <c r="D1664" s="1">
        <v>43423</v>
      </c>
      <c r="E1664" s="1">
        <v>43434</v>
      </c>
      <c r="F1664" s="1">
        <v>43434</v>
      </c>
      <c r="G1664" s="1"/>
      <c r="H1664" t="s">
        <v>9</v>
      </c>
      <c r="I1664" t="s">
        <v>27</v>
      </c>
    </row>
    <row r="1665" spans="1:9" x14ac:dyDescent="0.25">
      <c r="A1665" t="s">
        <v>4422</v>
      </c>
      <c r="B1665" s="26" t="str">
        <f>MID(tbl_forecast[[#This Row],[PACE Job Number]],3,3)</f>
        <v>NTX</v>
      </c>
      <c r="C1665" t="s">
        <v>11</v>
      </c>
      <c r="D1665" s="1">
        <v>43407</v>
      </c>
      <c r="E1665" s="1">
        <v>43434</v>
      </c>
      <c r="F1665" s="1">
        <v>43434</v>
      </c>
      <c r="G1665" s="1"/>
      <c r="H1665" t="s">
        <v>4664</v>
      </c>
      <c r="I1665" t="s">
        <v>5645</v>
      </c>
    </row>
    <row r="1666" spans="1:9" x14ac:dyDescent="0.25">
      <c r="A1666" t="s">
        <v>352</v>
      </c>
      <c r="B1666" s="26" t="str">
        <f>MID(tbl_forecast[[#This Row],[PACE Job Number]],3,3)</f>
        <v>NTX</v>
      </c>
      <c r="C1666" t="s">
        <v>11</v>
      </c>
      <c r="D1666" s="1">
        <v>43423</v>
      </c>
      <c r="E1666" s="1">
        <v>43448</v>
      </c>
      <c r="F1666" s="1">
        <v>43448</v>
      </c>
      <c r="G1666" s="1"/>
      <c r="H1666" t="s">
        <v>4664</v>
      </c>
      <c r="I1666" t="s">
        <v>4665</v>
      </c>
    </row>
    <row r="1667" spans="1:9" x14ac:dyDescent="0.25">
      <c r="A1667" t="s">
        <v>4271</v>
      </c>
      <c r="B1667" s="26" t="str">
        <f>MID(tbl_forecast[[#This Row],[PACE Job Number]],3,3)</f>
        <v>NTX</v>
      </c>
      <c r="C1667" t="s">
        <v>11</v>
      </c>
      <c r="D1667" s="1">
        <v>43434</v>
      </c>
      <c r="E1667" s="1">
        <v>43507</v>
      </c>
      <c r="F1667" s="1">
        <v>43507</v>
      </c>
      <c r="G1667" s="1"/>
      <c r="H1667" t="s">
        <v>4664</v>
      </c>
      <c r="I1667" t="s">
        <v>4665</v>
      </c>
    </row>
    <row r="1668" spans="1:9" x14ac:dyDescent="0.25">
      <c r="A1668" t="s">
        <v>5476</v>
      </c>
      <c r="B1668" s="26" t="str">
        <f>MID(tbl_forecast[[#This Row],[PACE Job Number]],3,3)</f>
        <v>NTX</v>
      </c>
      <c r="C1668" t="s">
        <v>11</v>
      </c>
      <c r="D1668" s="1">
        <v>43423</v>
      </c>
      <c r="E1668" s="1">
        <v>43434</v>
      </c>
      <c r="F1668" s="1">
        <v>43434</v>
      </c>
      <c r="G1668" s="1"/>
      <c r="H1668" t="s">
        <v>9</v>
      </c>
      <c r="I1668" t="s">
        <v>27</v>
      </c>
    </row>
    <row r="1669" spans="1:9" x14ac:dyDescent="0.25">
      <c r="A1669" t="s">
        <v>3971</v>
      </c>
      <c r="B1669" s="26" t="str">
        <f>MID(tbl_forecast[[#This Row],[PACE Job Number]],3,3)</f>
        <v>NTX</v>
      </c>
      <c r="C1669" t="s">
        <v>11</v>
      </c>
      <c r="D1669" s="1">
        <v>43407</v>
      </c>
      <c r="E1669" s="1">
        <v>43434</v>
      </c>
      <c r="F1669" s="1">
        <v>43434</v>
      </c>
      <c r="G1669" s="1"/>
      <c r="H1669" t="s">
        <v>4664</v>
      </c>
      <c r="I1669" t="s">
        <v>5645</v>
      </c>
    </row>
    <row r="1670" spans="1:9" x14ac:dyDescent="0.25">
      <c r="A1670" t="s">
        <v>3972</v>
      </c>
      <c r="B1670" s="26" t="str">
        <f>MID(tbl_forecast[[#This Row],[PACE Job Number]],3,3)</f>
        <v>NTX</v>
      </c>
      <c r="C1670" t="s">
        <v>11</v>
      </c>
      <c r="D1670" s="1">
        <v>43407</v>
      </c>
      <c r="E1670" s="1">
        <v>43434</v>
      </c>
      <c r="F1670" s="1">
        <v>43434</v>
      </c>
      <c r="G1670" s="1"/>
      <c r="H1670" t="s">
        <v>4664</v>
      </c>
      <c r="I1670" t="s">
        <v>5645</v>
      </c>
    </row>
    <row r="1671" spans="1:9" x14ac:dyDescent="0.25">
      <c r="A1671" t="s">
        <v>5355</v>
      </c>
      <c r="B1671" s="26" t="str">
        <f>MID(tbl_forecast[[#This Row],[PACE Job Number]],3,3)</f>
        <v>NTX</v>
      </c>
      <c r="C1671" t="s">
        <v>11</v>
      </c>
      <c r="D1671" s="1">
        <v>43423</v>
      </c>
      <c r="E1671" s="1">
        <v>43454</v>
      </c>
      <c r="F1671" s="1">
        <v>43454</v>
      </c>
      <c r="G1671" s="1"/>
      <c r="H1671" t="s">
        <v>4664</v>
      </c>
      <c r="I1671" t="s">
        <v>4665</v>
      </c>
    </row>
    <row r="1672" spans="1:9" x14ac:dyDescent="0.25">
      <c r="A1672" t="s">
        <v>3973</v>
      </c>
      <c r="B1672" s="26" t="str">
        <f>MID(tbl_forecast[[#This Row],[PACE Job Number]],3,3)</f>
        <v>NTX</v>
      </c>
      <c r="C1672" t="s">
        <v>11</v>
      </c>
      <c r="D1672" s="1">
        <v>43407</v>
      </c>
      <c r="E1672" s="1">
        <v>43434</v>
      </c>
      <c r="F1672" s="1">
        <v>43434</v>
      </c>
      <c r="G1672" s="1"/>
      <c r="H1672" t="s">
        <v>4664</v>
      </c>
      <c r="I1672" t="s">
        <v>5645</v>
      </c>
    </row>
    <row r="1673" spans="1:9" x14ac:dyDescent="0.25">
      <c r="A1673" t="s">
        <v>5356</v>
      </c>
      <c r="B1673" s="26" t="str">
        <f>MID(tbl_forecast[[#This Row],[PACE Job Number]],3,3)</f>
        <v>NTX</v>
      </c>
      <c r="C1673" t="s">
        <v>11</v>
      </c>
      <c r="D1673" s="1">
        <v>43430</v>
      </c>
      <c r="E1673" s="1">
        <v>43444</v>
      </c>
      <c r="F1673" s="1">
        <v>43444</v>
      </c>
      <c r="G1673" s="1"/>
      <c r="H1673" t="s">
        <v>9</v>
      </c>
      <c r="I1673" t="s">
        <v>27</v>
      </c>
    </row>
    <row r="1674" spans="1:9" x14ac:dyDescent="0.25">
      <c r="A1674" t="s">
        <v>5477</v>
      </c>
      <c r="B1674" s="26" t="str">
        <f>MID(tbl_forecast[[#This Row],[PACE Job Number]],3,3)</f>
        <v>NTX</v>
      </c>
      <c r="C1674" t="s">
        <v>11</v>
      </c>
      <c r="D1674" s="1">
        <v>43423</v>
      </c>
      <c r="E1674" s="1">
        <v>43434</v>
      </c>
      <c r="F1674" s="1">
        <v>43434</v>
      </c>
      <c r="G1674" s="1"/>
      <c r="H1674" t="s">
        <v>9</v>
      </c>
      <c r="I1674" t="s">
        <v>27</v>
      </c>
    </row>
    <row r="1675" spans="1:9" x14ac:dyDescent="0.25">
      <c r="A1675" t="s">
        <v>4194</v>
      </c>
      <c r="B1675" s="26" t="str">
        <f>MID(tbl_forecast[[#This Row],[PACE Job Number]],3,3)</f>
        <v>WSH</v>
      </c>
      <c r="C1675" t="s">
        <v>11</v>
      </c>
      <c r="D1675" s="1">
        <v>43420</v>
      </c>
      <c r="E1675" s="1">
        <v>43416</v>
      </c>
      <c r="F1675" s="1">
        <v>43416</v>
      </c>
      <c r="G1675" s="1">
        <v>43416</v>
      </c>
      <c r="H1675" t="s">
        <v>9</v>
      </c>
      <c r="I1675" t="s">
        <v>10</v>
      </c>
    </row>
    <row r="1676" spans="1:9" x14ac:dyDescent="0.25">
      <c r="A1676" t="s">
        <v>5223</v>
      </c>
      <c r="B1676" s="26" t="str">
        <f>MID(tbl_forecast[[#This Row],[PACE Job Number]],3,3)</f>
        <v>ANM</v>
      </c>
      <c r="C1676" t="s">
        <v>11</v>
      </c>
      <c r="D1676" s="1">
        <v>43423</v>
      </c>
      <c r="E1676" s="1">
        <v>43444</v>
      </c>
      <c r="F1676" s="1">
        <v>43444</v>
      </c>
      <c r="G1676" s="1"/>
      <c r="H1676" t="s">
        <v>4664</v>
      </c>
      <c r="I1676" t="s">
        <v>4665</v>
      </c>
    </row>
    <row r="1677" spans="1:9" x14ac:dyDescent="0.25">
      <c r="A1677" t="s">
        <v>4530</v>
      </c>
      <c r="B1677" s="26" t="str">
        <f>MID(tbl_forecast[[#This Row],[PACE Job Number]],3,3)</f>
        <v>ANM</v>
      </c>
      <c r="C1677" t="s">
        <v>11</v>
      </c>
      <c r="D1677" s="1">
        <v>43405</v>
      </c>
      <c r="E1677" s="1">
        <v>43388</v>
      </c>
      <c r="F1677" s="1">
        <v>43405</v>
      </c>
      <c r="G1677" s="1">
        <v>43405</v>
      </c>
      <c r="H1677" t="s">
        <v>9</v>
      </c>
      <c r="I1677" t="s">
        <v>10</v>
      </c>
    </row>
    <row r="1678" spans="1:9" x14ac:dyDescent="0.25">
      <c r="A1678" t="s">
        <v>5224</v>
      </c>
      <c r="B1678" s="26" t="str">
        <f>MID(tbl_forecast[[#This Row],[PACE Job Number]],3,3)</f>
        <v>ANM</v>
      </c>
      <c r="C1678" t="s">
        <v>11</v>
      </c>
      <c r="D1678" s="1">
        <v>43423</v>
      </c>
      <c r="E1678" s="1">
        <v>43444</v>
      </c>
      <c r="F1678" s="1">
        <v>43444</v>
      </c>
      <c r="G1678" s="1"/>
      <c r="H1678" t="s">
        <v>4664</v>
      </c>
      <c r="I1678" t="s">
        <v>4665</v>
      </c>
    </row>
    <row r="1679" spans="1:9" x14ac:dyDescent="0.25">
      <c r="A1679" t="s">
        <v>5478</v>
      </c>
      <c r="B1679" s="26" t="str">
        <f>MID(tbl_forecast[[#This Row],[PACE Job Number]],3,3)</f>
        <v>ANM</v>
      </c>
      <c r="C1679" t="s">
        <v>11</v>
      </c>
      <c r="D1679" s="1">
        <v>43422</v>
      </c>
      <c r="E1679" s="1">
        <v>44196</v>
      </c>
      <c r="F1679" s="1">
        <v>44196</v>
      </c>
      <c r="G1679" s="1"/>
      <c r="H1679" t="s">
        <v>4664</v>
      </c>
      <c r="I1679" t="s">
        <v>4665</v>
      </c>
    </row>
    <row r="1680" spans="1:9" x14ac:dyDescent="0.25">
      <c r="A1680" t="s">
        <v>4531</v>
      </c>
      <c r="B1680" s="26" t="str">
        <f>MID(tbl_forecast[[#This Row],[PACE Job Number]],3,3)</f>
        <v>ANM</v>
      </c>
      <c r="C1680" t="s">
        <v>11</v>
      </c>
      <c r="D1680" s="1">
        <v>43405</v>
      </c>
      <c r="E1680" s="1">
        <v>43388</v>
      </c>
      <c r="F1680" s="1">
        <v>43405</v>
      </c>
      <c r="G1680" s="1">
        <v>43405</v>
      </c>
      <c r="H1680" t="s">
        <v>9</v>
      </c>
      <c r="I1680" t="s">
        <v>10</v>
      </c>
    </row>
    <row r="1681" spans="1:9" x14ac:dyDescent="0.25">
      <c r="A1681" t="s">
        <v>5225</v>
      </c>
      <c r="B1681" s="26" t="str">
        <f>MID(tbl_forecast[[#This Row],[PACE Job Number]],3,3)</f>
        <v>ANM</v>
      </c>
      <c r="C1681" t="s">
        <v>11</v>
      </c>
      <c r="D1681" s="1">
        <v>43423</v>
      </c>
      <c r="E1681" s="1">
        <v>43444</v>
      </c>
      <c r="F1681" s="1">
        <v>43444</v>
      </c>
      <c r="G1681" s="1"/>
      <c r="H1681" t="s">
        <v>4664</v>
      </c>
      <c r="I1681" t="s">
        <v>4665</v>
      </c>
    </row>
    <row r="1682" spans="1:9" x14ac:dyDescent="0.25">
      <c r="A1682" t="s">
        <v>3430</v>
      </c>
      <c r="B1682" s="26" t="str">
        <f>MID(tbl_forecast[[#This Row],[PACE Job Number]],3,3)</f>
        <v>ANM</v>
      </c>
      <c r="C1682" t="s">
        <v>11</v>
      </c>
      <c r="D1682" s="1">
        <v>43423</v>
      </c>
      <c r="E1682" s="1">
        <v>43434</v>
      </c>
      <c r="F1682" s="1">
        <v>43434</v>
      </c>
      <c r="G1682" s="1"/>
      <c r="H1682" t="s">
        <v>9</v>
      </c>
      <c r="I1682" t="s">
        <v>27</v>
      </c>
    </row>
    <row r="1683" spans="1:9" x14ac:dyDescent="0.25">
      <c r="A1683" t="s">
        <v>3431</v>
      </c>
      <c r="B1683" s="26" t="str">
        <f>MID(tbl_forecast[[#This Row],[PACE Job Number]],3,3)</f>
        <v>ANM</v>
      </c>
      <c r="C1683" t="s">
        <v>11</v>
      </c>
      <c r="D1683" s="1">
        <v>43423</v>
      </c>
      <c r="E1683" s="1">
        <v>43434</v>
      </c>
      <c r="F1683" s="1">
        <v>43434</v>
      </c>
      <c r="G1683" s="1"/>
      <c r="H1683" t="s">
        <v>9</v>
      </c>
      <c r="I1683" t="s">
        <v>27</v>
      </c>
    </row>
    <row r="1684" spans="1:9" x14ac:dyDescent="0.25">
      <c r="A1684" t="s">
        <v>3440</v>
      </c>
      <c r="B1684" s="26" t="str">
        <f>MID(tbl_forecast[[#This Row],[PACE Job Number]],3,3)</f>
        <v>ANM</v>
      </c>
      <c r="C1684" t="s">
        <v>11</v>
      </c>
      <c r="D1684" s="1">
        <v>43423</v>
      </c>
      <c r="E1684" s="1">
        <v>43434</v>
      </c>
      <c r="F1684" s="1">
        <v>43434</v>
      </c>
      <c r="G1684" s="1"/>
      <c r="H1684" t="s">
        <v>9</v>
      </c>
      <c r="I1684" t="s">
        <v>27</v>
      </c>
    </row>
    <row r="1685" spans="1:9" x14ac:dyDescent="0.25">
      <c r="A1685" t="s">
        <v>5479</v>
      </c>
      <c r="B1685" s="26" t="str">
        <f>MID(tbl_forecast[[#This Row],[PACE Job Number]],3,3)</f>
        <v>ANM</v>
      </c>
      <c r="C1685" t="s">
        <v>11</v>
      </c>
      <c r="D1685" s="1">
        <v>43406</v>
      </c>
      <c r="E1685" s="1">
        <v>43416</v>
      </c>
      <c r="F1685" s="1">
        <v>43406</v>
      </c>
      <c r="G1685" s="1">
        <v>43406</v>
      </c>
      <c r="H1685" t="s">
        <v>9</v>
      </c>
      <c r="I1685" t="s">
        <v>10</v>
      </c>
    </row>
    <row r="1686" spans="1:9" x14ac:dyDescent="0.25">
      <c r="A1686" t="s">
        <v>4145</v>
      </c>
      <c r="B1686" s="26" t="str">
        <f>MID(tbl_forecast[[#This Row],[PACE Job Number]],3,3)</f>
        <v>ANM</v>
      </c>
      <c r="C1686" t="s">
        <v>11</v>
      </c>
      <c r="D1686" s="1">
        <v>43427</v>
      </c>
      <c r="E1686" s="1">
        <v>43434</v>
      </c>
      <c r="F1686" s="1">
        <v>43434</v>
      </c>
      <c r="G1686" s="1"/>
      <c r="H1686" t="s">
        <v>9</v>
      </c>
      <c r="I1686" t="s">
        <v>27</v>
      </c>
    </row>
    <row r="1687" spans="1:9" x14ac:dyDescent="0.25">
      <c r="A1687" t="s">
        <v>5226</v>
      </c>
      <c r="B1687" s="26" t="str">
        <f>MID(tbl_forecast[[#This Row],[PACE Job Number]],3,3)</f>
        <v>ANM</v>
      </c>
      <c r="C1687" t="s">
        <v>11</v>
      </c>
      <c r="D1687" s="1">
        <v>43423</v>
      </c>
      <c r="E1687" s="1">
        <v>43423</v>
      </c>
      <c r="F1687" s="1">
        <v>43409</v>
      </c>
      <c r="G1687" s="1">
        <v>43409</v>
      </c>
      <c r="H1687" t="s">
        <v>9</v>
      </c>
      <c r="I1687" t="s">
        <v>10</v>
      </c>
    </row>
    <row r="1688" spans="1:9" x14ac:dyDescent="0.25">
      <c r="A1688" t="s">
        <v>5227</v>
      </c>
      <c r="B1688" s="26" t="str">
        <f>MID(tbl_forecast[[#This Row],[PACE Job Number]],3,3)</f>
        <v>ANM</v>
      </c>
      <c r="C1688" t="s">
        <v>11</v>
      </c>
      <c r="D1688" s="1">
        <v>43423</v>
      </c>
      <c r="E1688" s="1">
        <v>43444</v>
      </c>
      <c r="F1688" s="1">
        <v>43444</v>
      </c>
      <c r="G1688" s="1"/>
      <c r="H1688" t="s">
        <v>4664</v>
      </c>
      <c r="I1688" t="s">
        <v>4665</v>
      </c>
    </row>
    <row r="1689" spans="1:9" x14ac:dyDescent="0.25">
      <c r="A1689" t="s">
        <v>5480</v>
      </c>
      <c r="B1689" s="26" t="str">
        <f>MID(tbl_forecast[[#This Row],[PACE Job Number]],3,3)</f>
        <v>ANM</v>
      </c>
      <c r="C1689" t="s">
        <v>11</v>
      </c>
      <c r="D1689" s="1">
        <v>43406</v>
      </c>
      <c r="E1689" s="1">
        <v>43416</v>
      </c>
      <c r="F1689" s="1">
        <v>43406</v>
      </c>
      <c r="G1689" s="1">
        <v>43406</v>
      </c>
      <c r="H1689" t="s">
        <v>9</v>
      </c>
      <c r="I1689" t="s">
        <v>10</v>
      </c>
    </row>
    <row r="1690" spans="1:9" x14ac:dyDescent="0.25">
      <c r="A1690" t="s">
        <v>5481</v>
      </c>
      <c r="B1690" s="26" t="str">
        <f>MID(tbl_forecast[[#This Row],[PACE Job Number]],3,3)</f>
        <v>NTX</v>
      </c>
      <c r="C1690" t="s">
        <v>11</v>
      </c>
      <c r="D1690" s="1">
        <v>43423</v>
      </c>
      <c r="E1690" s="1">
        <v>43434</v>
      </c>
      <c r="F1690" s="1">
        <v>43434</v>
      </c>
      <c r="G1690" s="1"/>
      <c r="H1690" t="s">
        <v>9</v>
      </c>
      <c r="I1690" t="s">
        <v>27</v>
      </c>
    </row>
    <row r="1691" spans="1:9" x14ac:dyDescent="0.25">
      <c r="A1691" t="s">
        <v>167</v>
      </c>
      <c r="B1691" s="26" t="str">
        <f>MID(tbl_forecast[[#This Row],[PACE Job Number]],3,3)</f>
        <v>NTX</v>
      </c>
      <c r="C1691" t="s">
        <v>11</v>
      </c>
      <c r="D1691" s="1">
        <v>43423</v>
      </c>
      <c r="E1691" s="1">
        <v>43437</v>
      </c>
      <c r="F1691" s="1">
        <v>43437</v>
      </c>
      <c r="G1691" s="1">
        <v>43434</v>
      </c>
      <c r="H1691" t="s">
        <v>9</v>
      </c>
      <c r="I1691" t="s">
        <v>10</v>
      </c>
    </row>
    <row r="1692" spans="1:9" x14ac:dyDescent="0.25">
      <c r="A1692" t="s">
        <v>3974</v>
      </c>
      <c r="B1692" s="26" t="str">
        <f>MID(tbl_forecast[[#This Row],[PACE Job Number]],3,3)</f>
        <v>NTX</v>
      </c>
      <c r="C1692" t="s">
        <v>11</v>
      </c>
      <c r="D1692" s="1">
        <v>43420</v>
      </c>
      <c r="E1692" s="1">
        <v>43444</v>
      </c>
      <c r="F1692" s="1">
        <v>43444</v>
      </c>
      <c r="G1692" s="1"/>
      <c r="H1692" t="s">
        <v>4664</v>
      </c>
      <c r="I1692" t="s">
        <v>5645</v>
      </c>
    </row>
    <row r="1693" spans="1:9" x14ac:dyDescent="0.25">
      <c r="A1693" t="s">
        <v>3975</v>
      </c>
      <c r="B1693" s="26" t="str">
        <f>MID(tbl_forecast[[#This Row],[PACE Job Number]],3,3)</f>
        <v>NTX</v>
      </c>
      <c r="C1693" t="s">
        <v>11</v>
      </c>
      <c r="D1693" s="1">
        <v>43407</v>
      </c>
      <c r="E1693" s="1">
        <v>43434</v>
      </c>
      <c r="F1693" s="1">
        <v>43434</v>
      </c>
      <c r="G1693" s="1"/>
      <c r="H1693" t="s">
        <v>4664</v>
      </c>
      <c r="I1693" t="s">
        <v>5645</v>
      </c>
    </row>
    <row r="1694" spans="1:9" x14ac:dyDescent="0.25">
      <c r="A1694" t="s">
        <v>4415</v>
      </c>
      <c r="B1694" s="26" t="str">
        <f>MID(tbl_forecast[[#This Row],[PACE Job Number]],3,3)</f>
        <v>STX</v>
      </c>
      <c r="C1694" t="s">
        <v>11</v>
      </c>
      <c r="D1694" s="1">
        <v>43425</v>
      </c>
      <c r="E1694" s="1">
        <v>43460</v>
      </c>
      <c r="F1694" s="1">
        <v>43460</v>
      </c>
      <c r="G1694" s="1"/>
      <c r="H1694" t="s">
        <v>4664</v>
      </c>
      <c r="I1694" t="s">
        <v>4665</v>
      </c>
    </row>
    <row r="1695" spans="1:9" x14ac:dyDescent="0.25">
      <c r="A1695" t="s">
        <v>5357</v>
      </c>
      <c r="B1695" s="26" t="str">
        <f>MID(tbl_forecast[[#This Row],[PACE Job Number]],3,3)</f>
        <v>STX</v>
      </c>
      <c r="C1695" t="s">
        <v>11</v>
      </c>
      <c r="D1695" s="1">
        <v>43425</v>
      </c>
      <c r="E1695" s="1">
        <v>43425</v>
      </c>
      <c r="F1695" s="1">
        <v>43424</v>
      </c>
      <c r="G1695" s="1">
        <v>43424</v>
      </c>
      <c r="H1695" t="s">
        <v>9</v>
      </c>
      <c r="I1695" t="s">
        <v>10</v>
      </c>
    </row>
    <row r="1696" spans="1:9" x14ac:dyDescent="0.25">
      <c r="A1696" t="s">
        <v>5358</v>
      </c>
      <c r="B1696" s="26" t="str">
        <f>MID(tbl_forecast[[#This Row],[PACE Job Number]],3,3)</f>
        <v>STX</v>
      </c>
      <c r="C1696" t="s">
        <v>11</v>
      </c>
      <c r="D1696" s="1">
        <v>43425</v>
      </c>
      <c r="E1696" s="1">
        <v>43447</v>
      </c>
      <c r="F1696" s="1">
        <v>43447</v>
      </c>
      <c r="G1696" s="1"/>
      <c r="H1696" t="s">
        <v>4664</v>
      </c>
      <c r="I1696" t="s">
        <v>4665</v>
      </c>
    </row>
    <row r="1697" spans="1:9" x14ac:dyDescent="0.25">
      <c r="A1697" t="s">
        <v>5359</v>
      </c>
      <c r="B1697" s="26" t="str">
        <f>MID(tbl_forecast[[#This Row],[PACE Job Number]],3,3)</f>
        <v>STX</v>
      </c>
      <c r="C1697" t="s">
        <v>11</v>
      </c>
      <c r="D1697" s="1">
        <v>43428</v>
      </c>
      <c r="E1697" s="1">
        <v>43428</v>
      </c>
      <c r="F1697" s="1">
        <v>43424</v>
      </c>
      <c r="G1697" s="1">
        <v>43424</v>
      </c>
      <c r="H1697" t="s">
        <v>9</v>
      </c>
      <c r="I1697" t="s">
        <v>10</v>
      </c>
    </row>
    <row r="1698" spans="1:9" x14ac:dyDescent="0.25">
      <c r="A1698" t="s">
        <v>40</v>
      </c>
      <c r="B1698" s="26" t="str">
        <f>MID(tbl_forecast[[#This Row],[PACE Job Number]],3,3)</f>
        <v>STX</v>
      </c>
      <c r="C1698" t="s">
        <v>11</v>
      </c>
      <c r="D1698" s="1">
        <v>43428</v>
      </c>
      <c r="E1698" s="1">
        <v>43428</v>
      </c>
      <c r="F1698" s="1">
        <v>43424</v>
      </c>
      <c r="G1698" s="1">
        <v>43424</v>
      </c>
      <c r="H1698" t="s">
        <v>9</v>
      </c>
      <c r="I1698" t="s">
        <v>10</v>
      </c>
    </row>
    <row r="1699" spans="1:9" x14ac:dyDescent="0.25">
      <c r="A1699" t="s">
        <v>5010</v>
      </c>
      <c r="B1699" s="26" t="str">
        <f>MID(tbl_forecast[[#This Row],[PACE Job Number]],3,3)</f>
        <v>ANM</v>
      </c>
      <c r="C1699" t="s">
        <v>11</v>
      </c>
      <c r="D1699" s="1">
        <v>43430</v>
      </c>
      <c r="E1699" s="1">
        <v>43479</v>
      </c>
      <c r="F1699" s="1">
        <v>43479</v>
      </c>
      <c r="G1699" s="1"/>
      <c r="H1699" t="s">
        <v>4664</v>
      </c>
      <c r="I1699" t="s">
        <v>4665</v>
      </c>
    </row>
    <row r="1700" spans="1:9" x14ac:dyDescent="0.25">
      <c r="A1700" t="s">
        <v>4218</v>
      </c>
      <c r="B1700" s="26" t="str">
        <f>MID(tbl_forecast[[#This Row],[PACE Job Number]],3,3)</f>
        <v>ANM</v>
      </c>
      <c r="C1700" t="s">
        <v>11</v>
      </c>
      <c r="D1700" s="1">
        <v>43409</v>
      </c>
      <c r="E1700" s="1">
        <v>43525</v>
      </c>
      <c r="F1700" s="1">
        <v>43466</v>
      </c>
      <c r="G1700" s="1"/>
      <c r="H1700" t="s">
        <v>4664</v>
      </c>
      <c r="I1700" t="s">
        <v>5645</v>
      </c>
    </row>
    <row r="1701" spans="1:9" x14ac:dyDescent="0.25">
      <c r="A1701" t="s">
        <v>4219</v>
      </c>
      <c r="B1701" s="26" t="str">
        <f>MID(tbl_forecast[[#This Row],[PACE Job Number]],3,3)</f>
        <v>ANM</v>
      </c>
      <c r="C1701" t="s">
        <v>11</v>
      </c>
      <c r="D1701" s="1">
        <v>43423</v>
      </c>
      <c r="E1701" s="1">
        <v>43446</v>
      </c>
      <c r="F1701" s="1">
        <v>43446</v>
      </c>
      <c r="G1701" s="1"/>
      <c r="H1701" t="s">
        <v>4664</v>
      </c>
      <c r="I1701" t="s">
        <v>4665</v>
      </c>
    </row>
    <row r="1702" spans="1:9" x14ac:dyDescent="0.25">
      <c r="A1702" t="s">
        <v>4146</v>
      </c>
      <c r="B1702" s="26" t="str">
        <f>MID(tbl_forecast[[#This Row],[PACE Job Number]],3,3)</f>
        <v>ANM</v>
      </c>
      <c r="C1702" t="s">
        <v>11</v>
      </c>
      <c r="D1702" s="1">
        <v>43427</v>
      </c>
      <c r="E1702" s="1">
        <v>43434</v>
      </c>
      <c r="F1702" s="1">
        <v>43434</v>
      </c>
      <c r="G1702" s="1"/>
      <c r="H1702" t="s">
        <v>9</v>
      </c>
      <c r="I1702" t="s">
        <v>27</v>
      </c>
    </row>
    <row r="1703" spans="1:9" x14ac:dyDescent="0.25">
      <c r="A1703" t="s">
        <v>4220</v>
      </c>
      <c r="B1703" s="26" t="str">
        <f>MID(tbl_forecast[[#This Row],[PACE Job Number]],3,3)</f>
        <v>ANM</v>
      </c>
      <c r="C1703" t="s">
        <v>11</v>
      </c>
      <c r="D1703" s="1">
        <v>43427</v>
      </c>
      <c r="E1703" s="1">
        <v>43444</v>
      </c>
      <c r="F1703" s="1">
        <v>43444</v>
      </c>
      <c r="G1703" s="1"/>
      <c r="H1703" t="s">
        <v>4664</v>
      </c>
      <c r="I1703" t="s">
        <v>4665</v>
      </c>
    </row>
    <row r="1704" spans="1:9" x14ac:dyDescent="0.25">
      <c r="A1704" t="s">
        <v>4221</v>
      </c>
      <c r="B1704" s="26" t="str">
        <f>MID(tbl_forecast[[#This Row],[PACE Job Number]],3,3)</f>
        <v>ANM</v>
      </c>
      <c r="C1704" t="s">
        <v>11</v>
      </c>
      <c r="D1704" s="1">
        <v>43430</v>
      </c>
      <c r="E1704" s="1">
        <v>43479</v>
      </c>
      <c r="F1704" s="1">
        <v>43479</v>
      </c>
      <c r="G1704" s="1"/>
      <c r="H1704" t="s">
        <v>4664</v>
      </c>
      <c r="I1704" t="s">
        <v>4665</v>
      </c>
    </row>
    <row r="1705" spans="1:9" x14ac:dyDescent="0.25">
      <c r="A1705" t="s">
        <v>5482</v>
      </c>
      <c r="B1705" s="26" t="str">
        <f>MID(tbl_forecast[[#This Row],[PACE Job Number]],3,3)</f>
        <v>ANM</v>
      </c>
      <c r="C1705" t="s">
        <v>11</v>
      </c>
      <c r="D1705" s="1">
        <v>43416</v>
      </c>
      <c r="E1705" s="1">
        <v>43416</v>
      </c>
      <c r="F1705" s="1">
        <v>43412</v>
      </c>
      <c r="G1705" s="1">
        <v>43412</v>
      </c>
      <c r="H1705" t="s">
        <v>9</v>
      </c>
      <c r="I1705" t="s">
        <v>10</v>
      </c>
    </row>
    <row r="1706" spans="1:9" x14ac:dyDescent="0.25">
      <c r="A1706" t="s">
        <v>5483</v>
      </c>
      <c r="B1706" s="26" t="str">
        <f>MID(tbl_forecast[[#This Row],[PACE Job Number]],3,3)</f>
        <v>ANM</v>
      </c>
      <c r="C1706" t="s">
        <v>11</v>
      </c>
      <c r="D1706" s="1">
        <v>43416</v>
      </c>
      <c r="E1706" s="1">
        <v>43416</v>
      </c>
      <c r="F1706" s="1">
        <v>43412</v>
      </c>
      <c r="G1706" s="1">
        <v>43412</v>
      </c>
      <c r="H1706" t="s">
        <v>9</v>
      </c>
      <c r="I1706" t="s">
        <v>10</v>
      </c>
    </row>
    <row r="1707" spans="1:9" x14ac:dyDescent="0.25">
      <c r="A1707" t="s">
        <v>4224</v>
      </c>
      <c r="B1707" s="26" t="str">
        <f>MID(tbl_forecast[[#This Row],[PACE Job Number]],3,3)</f>
        <v>ANM</v>
      </c>
      <c r="C1707" t="s">
        <v>11</v>
      </c>
      <c r="D1707" s="1">
        <v>43417</v>
      </c>
      <c r="E1707" s="1">
        <v>36524</v>
      </c>
      <c r="F1707" s="1">
        <v>43417</v>
      </c>
      <c r="G1707" s="1"/>
      <c r="H1707" t="s">
        <v>9</v>
      </c>
      <c r="I1707" t="s">
        <v>27</v>
      </c>
    </row>
    <row r="1708" spans="1:9" x14ac:dyDescent="0.25">
      <c r="A1708" t="s">
        <v>4225</v>
      </c>
      <c r="B1708" s="26" t="str">
        <f>MID(tbl_forecast[[#This Row],[PACE Job Number]],3,3)</f>
        <v>ANM</v>
      </c>
      <c r="C1708" t="s">
        <v>11</v>
      </c>
      <c r="D1708" s="1">
        <v>43417</v>
      </c>
      <c r="E1708" s="1">
        <v>36524</v>
      </c>
      <c r="F1708" s="1">
        <v>43417</v>
      </c>
      <c r="G1708" s="1"/>
      <c r="H1708" t="s">
        <v>9</v>
      </c>
      <c r="I1708" t="s">
        <v>27</v>
      </c>
    </row>
    <row r="1709" spans="1:9" x14ac:dyDescent="0.25">
      <c r="A1709" t="s">
        <v>4226</v>
      </c>
      <c r="B1709" s="26" t="str">
        <f>MID(tbl_forecast[[#This Row],[PACE Job Number]],3,3)</f>
        <v>ANM</v>
      </c>
      <c r="C1709" t="s">
        <v>11</v>
      </c>
      <c r="D1709" s="1">
        <v>43417</v>
      </c>
      <c r="E1709" s="1">
        <v>36524</v>
      </c>
      <c r="F1709" s="1">
        <v>43417</v>
      </c>
      <c r="G1709" s="1"/>
      <c r="H1709" t="s">
        <v>9</v>
      </c>
      <c r="I1709" t="s">
        <v>27</v>
      </c>
    </row>
    <row r="1710" spans="1:9" x14ac:dyDescent="0.25">
      <c r="A1710" t="s">
        <v>4227</v>
      </c>
      <c r="B1710" s="26" t="str">
        <f>MID(tbl_forecast[[#This Row],[PACE Job Number]],3,3)</f>
        <v>ANM</v>
      </c>
      <c r="C1710" t="s">
        <v>11</v>
      </c>
      <c r="D1710" s="1">
        <v>43417</v>
      </c>
      <c r="E1710" s="1">
        <v>36524</v>
      </c>
      <c r="F1710" s="1">
        <v>43417</v>
      </c>
      <c r="G1710" s="1"/>
      <c r="H1710" t="s">
        <v>9</v>
      </c>
      <c r="I1710" t="s">
        <v>27</v>
      </c>
    </row>
    <row r="1711" spans="1:9" x14ac:dyDescent="0.25">
      <c r="A1711" t="s">
        <v>4338</v>
      </c>
      <c r="B1711" s="26" t="str">
        <f>MID(tbl_forecast[[#This Row],[PACE Job Number]],3,3)</f>
        <v>NTX</v>
      </c>
      <c r="C1711" t="s">
        <v>11</v>
      </c>
      <c r="D1711" s="1">
        <v>43420</v>
      </c>
      <c r="E1711" s="1">
        <v>43420</v>
      </c>
      <c r="F1711" s="1">
        <v>43429</v>
      </c>
      <c r="G1711" s="1">
        <v>43429</v>
      </c>
      <c r="H1711" t="s">
        <v>9</v>
      </c>
      <c r="I1711" t="s">
        <v>10</v>
      </c>
    </row>
    <row r="1712" spans="1:9" x14ac:dyDescent="0.25">
      <c r="A1712" t="s">
        <v>1809</v>
      </c>
      <c r="B1712" s="26" t="str">
        <f>MID(tbl_forecast[[#This Row],[PACE Job Number]],3,3)</f>
        <v>NTX</v>
      </c>
      <c r="C1712" t="s">
        <v>11</v>
      </c>
      <c r="D1712" s="1">
        <v>43430</v>
      </c>
      <c r="E1712" s="1">
        <v>43507</v>
      </c>
      <c r="F1712" s="1">
        <v>43507</v>
      </c>
      <c r="G1712" s="1"/>
      <c r="H1712" t="s">
        <v>4664</v>
      </c>
      <c r="I1712" t="s">
        <v>4665</v>
      </c>
    </row>
    <row r="1713" spans="1:9" x14ac:dyDescent="0.25">
      <c r="A1713" t="s">
        <v>119</v>
      </c>
      <c r="B1713" s="26" t="str">
        <f>MID(tbl_forecast[[#This Row],[PACE Job Number]],3,3)</f>
        <v>NTX</v>
      </c>
      <c r="C1713" t="s">
        <v>11</v>
      </c>
      <c r="D1713" s="1">
        <v>43423</v>
      </c>
      <c r="E1713" s="1">
        <v>43451</v>
      </c>
      <c r="F1713" s="1">
        <v>43451</v>
      </c>
      <c r="G1713" s="1"/>
      <c r="H1713" t="s">
        <v>4664</v>
      </c>
      <c r="I1713" t="s">
        <v>4665</v>
      </c>
    </row>
    <row r="1714" spans="1:9" x14ac:dyDescent="0.25">
      <c r="A1714" t="s">
        <v>4339</v>
      </c>
      <c r="B1714" s="26" t="str">
        <f>MID(tbl_forecast[[#This Row],[PACE Job Number]],3,3)</f>
        <v>NTX</v>
      </c>
      <c r="C1714" t="s">
        <v>11</v>
      </c>
      <c r="D1714" s="1">
        <v>43409</v>
      </c>
      <c r="E1714" s="1">
        <v>43437</v>
      </c>
      <c r="F1714" s="1">
        <v>43437</v>
      </c>
      <c r="G1714" s="1"/>
      <c r="H1714" t="s">
        <v>4664</v>
      </c>
      <c r="I1714" t="s">
        <v>5645</v>
      </c>
    </row>
    <row r="1715" spans="1:9" x14ac:dyDescent="0.25">
      <c r="A1715" t="s">
        <v>621</v>
      </c>
      <c r="B1715" s="26" t="str">
        <f>MID(tbl_forecast[[#This Row],[PACE Job Number]],3,3)</f>
        <v>NTX</v>
      </c>
      <c r="C1715" t="s">
        <v>11</v>
      </c>
      <c r="D1715" s="1">
        <v>43411</v>
      </c>
      <c r="E1715" s="1">
        <v>43418</v>
      </c>
      <c r="F1715" s="1">
        <v>43412</v>
      </c>
      <c r="G1715" s="1">
        <v>43412</v>
      </c>
      <c r="H1715" t="s">
        <v>9</v>
      </c>
      <c r="I1715" t="s">
        <v>10</v>
      </c>
    </row>
    <row r="1716" spans="1:9" x14ac:dyDescent="0.25">
      <c r="A1716" t="s">
        <v>5484</v>
      </c>
      <c r="B1716" s="26" t="str">
        <f>MID(tbl_forecast[[#This Row],[PACE Job Number]],3,3)</f>
        <v>NTX</v>
      </c>
      <c r="C1716" t="s">
        <v>11</v>
      </c>
      <c r="D1716" s="1">
        <v>43423</v>
      </c>
      <c r="E1716" s="1">
        <v>43361</v>
      </c>
      <c r="F1716" s="1">
        <v>43410</v>
      </c>
      <c r="G1716" s="1">
        <v>43410</v>
      </c>
      <c r="H1716" t="s">
        <v>9</v>
      </c>
      <c r="I1716" t="s">
        <v>10</v>
      </c>
    </row>
    <row r="1717" spans="1:9" x14ac:dyDescent="0.25">
      <c r="A1717" t="s">
        <v>274</v>
      </c>
      <c r="B1717" s="26" t="str">
        <f>MID(tbl_forecast[[#This Row],[PACE Job Number]],3,3)</f>
        <v>NTX</v>
      </c>
      <c r="C1717" t="s">
        <v>11</v>
      </c>
      <c r="D1717" s="1">
        <v>43406</v>
      </c>
      <c r="E1717" s="1">
        <v>43359</v>
      </c>
      <c r="F1717" s="1">
        <v>43406</v>
      </c>
      <c r="G1717" s="1">
        <v>43406</v>
      </c>
      <c r="H1717" t="s">
        <v>9</v>
      </c>
      <c r="I1717" t="s">
        <v>10</v>
      </c>
    </row>
    <row r="1718" spans="1:9" x14ac:dyDescent="0.25">
      <c r="A1718" t="s">
        <v>127</v>
      </c>
      <c r="B1718" s="26" t="str">
        <f>MID(tbl_forecast[[#This Row],[PACE Job Number]],3,3)</f>
        <v>NTX</v>
      </c>
      <c r="C1718" t="s">
        <v>11</v>
      </c>
      <c r="D1718" s="1">
        <v>43418</v>
      </c>
      <c r="E1718" s="1">
        <v>43423</v>
      </c>
      <c r="F1718" s="1">
        <v>43424</v>
      </c>
      <c r="G1718" s="1">
        <v>43424</v>
      </c>
      <c r="H1718" t="s">
        <v>9</v>
      </c>
      <c r="I1718" t="s">
        <v>10</v>
      </c>
    </row>
    <row r="1719" spans="1:9" x14ac:dyDescent="0.25">
      <c r="A1719" t="s">
        <v>5361</v>
      </c>
      <c r="B1719" s="26" t="str">
        <f>MID(tbl_forecast[[#This Row],[PACE Job Number]],3,3)</f>
        <v>NTX</v>
      </c>
      <c r="C1719" t="s">
        <v>11</v>
      </c>
      <c r="D1719" s="1">
        <v>43430</v>
      </c>
      <c r="E1719" s="1">
        <v>43448</v>
      </c>
      <c r="F1719" s="1">
        <v>43448</v>
      </c>
      <c r="G1719" s="1"/>
      <c r="H1719" t="s">
        <v>4664</v>
      </c>
      <c r="I1719" t="s">
        <v>4665</v>
      </c>
    </row>
    <row r="1720" spans="1:9" x14ac:dyDescent="0.25">
      <c r="A1720" t="s">
        <v>5362</v>
      </c>
      <c r="B1720" s="26" t="str">
        <f>MID(tbl_forecast[[#This Row],[PACE Job Number]],3,3)</f>
        <v>NTX</v>
      </c>
      <c r="C1720" t="s">
        <v>11</v>
      </c>
      <c r="D1720" s="1">
        <v>43430</v>
      </c>
      <c r="E1720" s="1">
        <v>43448</v>
      </c>
      <c r="F1720" s="1">
        <v>43448</v>
      </c>
      <c r="G1720" s="1"/>
      <c r="H1720" t="s">
        <v>4664</v>
      </c>
      <c r="I1720" t="s">
        <v>4665</v>
      </c>
    </row>
    <row r="1721" spans="1:9" x14ac:dyDescent="0.25">
      <c r="A1721" t="s">
        <v>1814</v>
      </c>
      <c r="B1721" s="26" t="str">
        <f>MID(tbl_forecast[[#This Row],[PACE Job Number]],3,3)</f>
        <v>NTX</v>
      </c>
      <c r="C1721" t="s">
        <v>11</v>
      </c>
      <c r="D1721" s="1">
        <v>43409</v>
      </c>
      <c r="E1721" s="1">
        <v>43418</v>
      </c>
      <c r="F1721" s="1">
        <v>43413</v>
      </c>
      <c r="G1721" s="1">
        <v>43413</v>
      </c>
      <c r="H1721" t="s">
        <v>9</v>
      </c>
      <c r="I1721" t="s">
        <v>10</v>
      </c>
    </row>
    <row r="1722" spans="1:9" x14ac:dyDescent="0.25">
      <c r="A1722" t="s">
        <v>2717</v>
      </c>
      <c r="B1722" s="26" t="str">
        <f>MID(tbl_forecast[[#This Row],[PACE Job Number]],3,3)</f>
        <v>STX</v>
      </c>
      <c r="C1722" t="s">
        <v>11</v>
      </c>
      <c r="D1722" s="1">
        <v>43429</v>
      </c>
      <c r="E1722" s="1">
        <v>43460</v>
      </c>
      <c r="F1722" s="1">
        <v>43460</v>
      </c>
      <c r="G1722" s="1"/>
      <c r="H1722" t="s">
        <v>4664</v>
      </c>
      <c r="I1722" t="s">
        <v>4665</v>
      </c>
    </row>
    <row r="1723" spans="1:9" x14ac:dyDescent="0.25">
      <c r="A1723" t="s">
        <v>5363</v>
      </c>
      <c r="B1723" s="26" t="str">
        <f>MID(tbl_forecast[[#This Row],[PACE Job Number]],3,3)</f>
        <v>STX</v>
      </c>
      <c r="C1723" t="s">
        <v>11</v>
      </c>
      <c r="D1723" s="1">
        <v>43425</v>
      </c>
      <c r="E1723" s="1">
        <v>43459</v>
      </c>
      <c r="F1723" s="1">
        <v>43459</v>
      </c>
      <c r="G1723" s="1"/>
      <c r="H1723" t="s">
        <v>4664</v>
      </c>
      <c r="I1723" t="s">
        <v>4665</v>
      </c>
    </row>
    <row r="1724" spans="1:9" x14ac:dyDescent="0.25">
      <c r="A1724" t="s">
        <v>5364</v>
      </c>
      <c r="B1724" s="26" t="str">
        <f>MID(tbl_forecast[[#This Row],[PACE Job Number]],3,3)</f>
        <v>STX</v>
      </c>
      <c r="C1724" t="s">
        <v>11</v>
      </c>
      <c r="D1724" s="1">
        <v>43425</v>
      </c>
      <c r="E1724" s="1">
        <v>43459</v>
      </c>
      <c r="F1724" s="1">
        <v>43459</v>
      </c>
      <c r="G1724" s="1"/>
      <c r="H1724" t="s">
        <v>4664</v>
      </c>
      <c r="I1724" t="s">
        <v>4665</v>
      </c>
    </row>
    <row r="1725" spans="1:9" x14ac:dyDescent="0.25">
      <c r="A1725" t="s">
        <v>3269</v>
      </c>
      <c r="B1725" s="26" t="str">
        <f>MID(tbl_forecast[[#This Row],[PACE Job Number]],3,3)</f>
        <v>STX</v>
      </c>
      <c r="C1725" t="s">
        <v>11</v>
      </c>
      <c r="D1725" s="1">
        <v>43428</v>
      </c>
      <c r="E1725" s="1">
        <v>43459</v>
      </c>
      <c r="F1725" s="1">
        <v>43459</v>
      </c>
      <c r="G1725" s="1"/>
      <c r="H1725" t="s">
        <v>4664</v>
      </c>
      <c r="I1725" t="s">
        <v>4665</v>
      </c>
    </row>
    <row r="1726" spans="1:9" x14ac:dyDescent="0.25">
      <c r="A1726" t="s">
        <v>5228</v>
      </c>
      <c r="B1726" s="26" t="str">
        <f>MID(tbl_forecast[[#This Row],[PACE Job Number]],3,3)</f>
        <v>WSH</v>
      </c>
      <c r="C1726" t="s">
        <v>11</v>
      </c>
      <c r="D1726" s="1">
        <v>43424</v>
      </c>
      <c r="E1726" s="1">
        <v>43419</v>
      </c>
      <c r="F1726" s="1">
        <v>43419</v>
      </c>
      <c r="G1726" s="1">
        <v>43419</v>
      </c>
      <c r="H1726" t="s">
        <v>9</v>
      </c>
      <c r="I1726" t="s">
        <v>10</v>
      </c>
    </row>
    <row r="1727" spans="1:9" x14ac:dyDescent="0.25">
      <c r="A1727" t="s">
        <v>5229</v>
      </c>
      <c r="B1727" s="26" t="str">
        <f>MID(tbl_forecast[[#This Row],[PACE Job Number]],3,3)</f>
        <v>WSH</v>
      </c>
      <c r="C1727" t="s">
        <v>11</v>
      </c>
      <c r="D1727" s="1">
        <v>43434</v>
      </c>
      <c r="E1727" s="1">
        <v>43446</v>
      </c>
      <c r="F1727" s="1">
        <v>43441</v>
      </c>
      <c r="G1727" s="1"/>
      <c r="H1727" t="s">
        <v>9</v>
      </c>
      <c r="I1727" t="s">
        <v>27</v>
      </c>
    </row>
    <row r="1728" spans="1:9" x14ac:dyDescent="0.25">
      <c r="A1728" t="s">
        <v>5231</v>
      </c>
      <c r="B1728" s="26" t="str">
        <f>MID(tbl_forecast[[#This Row],[PACE Job Number]],3,3)</f>
        <v>WSH</v>
      </c>
      <c r="C1728" t="s">
        <v>11</v>
      </c>
      <c r="D1728" s="1">
        <v>43420</v>
      </c>
      <c r="E1728" s="1">
        <v>43418</v>
      </c>
      <c r="F1728" s="1">
        <v>43418</v>
      </c>
      <c r="G1728" s="1">
        <v>43418</v>
      </c>
      <c r="H1728" t="s">
        <v>9</v>
      </c>
      <c r="I1728" t="s">
        <v>10</v>
      </c>
    </row>
    <row r="1729" spans="1:9" x14ac:dyDescent="0.25">
      <c r="A1729" t="s">
        <v>4259</v>
      </c>
      <c r="B1729" s="26" t="str">
        <f>MID(tbl_forecast[[#This Row],[PACE Job Number]],3,3)</f>
        <v>WSH</v>
      </c>
      <c r="C1729" t="s">
        <v>11</v>
      </c>
      <c r="D1729" s="1">
        <v>43406</v>
      </c>
      <c r="E1729" s="1">
        <v>43412</v>
      </c>
      <c r="F1729" s="1">
        <v>43412</v>
      </c>
      <c r="G1729" s="1">
        <v>43412</v>
      </c>
      <c r="H1729" t="s">
        <v>9</v>
      </c>
      <c r="I1729" t="s">
        <v>10</v>
      </c>
    </row>
    <row r="1730" spans="1:9" x14ac:dyDescent="0.25">
      <c r="A1730" t="s">
        <v>4260</v>
      </c>
      <c r="B1730" s="26" t="str">
        <f>MID(tbl_forecast[[#This Row],[PACE Job Number]],3,3)</f>
        <v>WSH</v>
      </c>
      <c r="C1730" t="s">
        <v>11</v>
      </c>
      <c r="D1730" s="1">
        <v>43412</v>
      </c>
      <c r="E1730" s="1">
        <v>43437</v>
      </c>
      <c r="F1730" s="1">
        <v>43433</v>
      </c>
      <c r="G1730" s="1"/>
      <c r="H1730" t="s">
        <v>4664</v>
      </c>
      <c r="I1730" t="s">
        <v>5645</v>
      </c>
    </row>
    <row r="1731" spans="1:9" x14ac:dyDescent="0.25">
      <c r="A1731" t="s">
        <v>4261</v>
      </c>
      <c r="B1731" s="26" t="str">
        <f>MID(tbl_forecast[[#This Row],[PACE Job Number]],3,3)</f>
        <v>WSH</v>
      </c>
      <c r="C1731" t="s">
        <v>11</v>
      </c>
      <c r="D1731" s="1">
        <v>43419</v>
      </c>
      <c r="E1731" s="1">
        <v>43451</v>
      </c>
      <c r="F1731" s="1">
        <v>43440</v>
      </c>
      <c r="G1731" s="1"/>
      <c r="H1731" t="s">
        <v>4664</v>
      </c>
      <c r="I1731" t="s">
        <v>5645</v>
      </c>
    </row>
    <row r="1732" spans="1:9" x14ac:dyDescent="0.25">
      <c r="A1732" t="s">
        <v>157</v>
      </c>
      <c r="B1732" s="26" t="str">
        <f>MID(tbl_forecast[[#This Row],[PACE Job Number]],3,3)</f>
        <v>WSH</v>
      </c>
      <c r="C1732" t="s">
        <v>11</v>
      </c>
      <c r="D1732" s="1">
        <v>43409</v>
      </c>
      <c r="E1732" s="1">
        <v>43410</v>
      </c>
      <c r="F1732" s="1">
        <v>43409</v>
      </c>
      <c r="G1732" s="1">
        <v>43409</v>
      </c>
      <c r="H1732" t="s">
        <v>9</v>
      </c>
      <c r="I1732" t="s">
        <v>10</v>
      </c>
    </row>
    <row r="1733" spans="1:9" x14ac:dyDescent="0.25">
      <c r="A1733" t="s">
        <v>5232</v>
      </c>
      <c r="B1733" s="26" t="str">
        <f>MID(tbl_forecast[[#This Row],[PACE Job Number]],3,3)</f>
        <v>WSH</v>
      </c>
      <c r="C1733" t="s">
        <v>11</v>
      </c>
      <c r="D1733" s="1">
        <v>43424</v>
      </c>
      <c r="E1733" s="1">
        <v>43420</v>
      </c>
      <c r="F1733" s="1">
        <v>43420</v>
      </c>
      <c r="G1733" s="1">
        <v>43420</v>
      </c>
      <c r="H1733" t="s">
        <v>9</v>
      </c>
      <c r="I1733" t="s">
        <v>10</v>
      </c>
    </row>
    <row r="1734" spans="1:9" x14ac:dyDescent="0.25">
      <c r="A1734" t="s">
        <v>323</v>
      </c>
      <c r="B1734" s="26" t="str">
        <f>MID(tbl_forecast[[#This Row],[PACE Job Number]],3,3)</f>
        <v>WSH</v>
      </c>
      <c r="C1734" t="s">
        <v>11</v>
      </c>
      <c r="D1734" s="1">
        <v>43424</v>
      </c>
      <c r="E1734" s="1">
        <v>43425</v>
      </c>
      <c r="F1734" s="1">
        <v>43425</v>
      </c>
      <c r="G1734" s="1">
        <v>43425</v>
      </c>
      <c r="H1734" t="s">
        <v>9</v>
      </c>
      <c r="I1734" t="s">
        <v>10</v>
      </c>
    </row>
    <row r="1735" spans="1:9" x14ac:dyDescent="0.25">
      <c r="A1735" t="s">
        <v>5233</v>
      </c>
      <c r="B1735" s="26" t="str">
        <f>MID(tbl_forecast[[#This Row],[PACE Job Number]],3,3)</f>
        <v>WSH</v>
      </c>
      <c r="C1735" t="s">
        <v>11</v>
      </c>
      <c r="D1735" s="1">
        <v>43424</v>
      </c>
      <c r="E1735" s="1">
        <v>43420</v>
      </c>
      <c r="F1735" s="1">
        <v>43420</v>
      </c>
      <c r="G1735" s="1">
        <v>43420</v>
      </c>
      <c r="H1735" t="s">
        <v>9</v>
      </c>
      <c r="I1735" t="s">
        <v>10</v>
      </c>
    </row>
    <row r="1736" spans="1:9" x14ac:dyDescent="0.25">
      <c r="A1736" t="s">
        <v>3928</v>
      </c>
      <c r="B1736" s="26" t="str">
        <f>MID(tbl_forecast[[#This Row],[PACE Job Number]],3,3)</f>
        <v>WSH</v>
      </c>
      <c r="C1736" t="s">
        <v>11</v>
      </c>
      <c r="D1736" s="1">
        <v>43411</v>
      </c>
      <c r="E1736" s="1">
        <v>43412</v>
      </c>
      <c r="F1736" s="1">
        <v>43412</v>
      </c>
      <c r="G1736" s="1">
        <v>43412</v>
      </c>
      <c r="H1736" t="s">
        <v>9</v>
      </c>
      <c r="I1736" t="s">
        <v>10</v>
      </c>
    </row>
    <row r="1737" spans="1:9" x14ac:dyDescent="0.25">
      <c r="A1737" t="s">
        <v>2372</v>
      </c>
      <c r="B1737" s="26" t="str">
        <f>MID(tbl_forecast[[#This Row],[PACE Job Number]],3,3)</f>
        <v>NTX</v>
      </c>
      <c r="C1737" t="s">
        <v>11</v>
      </c>
      <c r="D1737" s="1">
        <v>43432</v>
      </c>
      <c r="E1737" s="1">
        <v>43256</v>
      </c>
      <c r="F1737" s="1">
        <v>43409</v>
      </c>
      <c r="G1737" s="1">
        <v>43409</v>
      </c>
      <c r="H1737" t="s">
        <v>9</v>
      </c>
      <c r="I1737" t="s">
        <v>10</v>
      </c>
    </row>
    <row r="1738" spans="1:9" x14ac:dyDescent="0.25">
      <c r="A1738" t="s">
        <v>4348</v>
      </c>
      <c r="B1738" s="26" t="str">
        <f>MID(tbl_forecast[[#This Row],[PACE Job Number]],3,3)</f>
        <v>NTX</v>
      </c>
      <c r="C1738" t="s">
        <v>11</v>
      </c>
      <c r="D1738" s="1">
        <v>43420</v>
      </c>
      <c r="E1738" s="1">
        <v>43420</v>
      </c>
      <c r="F1738" s="1">
        <v>43429</v>
      </c>
      <c r="G1738" s="1">
        <v>43429</v>
      </c>
      <c r="H1738" t="s">
        <v>9</v>
      </c>
      <c r="I1738" t="s">
        <v>10</v>
      </c>
    </row>
    <row r="1739" spans="1:9" x14ac:dyDescent="0.25">
      <c r="A1739" t="s">
        <v>199</v>
      </c>
      <c r="B1739" s="26" t="str">
        <f>MID(tbl_forecast[[#This Row],[PACE Job Number]],3,3)</f>
        <v>NTX</v>
      </c>
      <c r="C1739" t="s">
        <v>11</v>
      </c>
      <c r="D1739" s="1">
        <v>43406</v>
      </c>
      <c r="E1739" s="1">
        <v>43359</v>
      </c>
      <c r="F1739" s="1">
        <v>43406</v>
      </c>
      <c r="G1739" s="1">
        <v>43406</v>
      </c>
      <c r="H1739" t="s">
        <v>9</v>
      </c>
      <c r="I1739" t="s">
        <v>10</v>
      </c>
    </row>
    <row r="1740" spans="1:9" x14ac:dyDescent="0.25">
      <c r="A1740" t="s">
        <v>1815</v>
      </c>
      <c r="B1740" s="26" t="str">
        <f>MID(tbl_forecast[[#This Row],[PACE Job Number]],3,3)</f>
        <v>NTX</v>
      </c>
      <c r="C1740" t="s">
        <v>11</v>
      </c>
      <c r="D1740" s="1">
        <v>43430</v>
      </c>
      <c r="E1740" s="1">
        <v>43437</v>
      </c>
      <c r="F1740" s="1">
        <v>43424</v>
      </c>
      <c r="G1740" s="1">
        <v>43424</v>
      </c>
      <c r="H1740" t="s">
        <v>9</v>
      </c>
      <c r="I1740" t="s">
        <v>10</v>
      </c>
    </row>
    <row r="1741" spans="1:9" x14ac:dyDescent="0.25">
      <c r="A1741" t="s">
        <v>1816</v>
      </c>
      <c r="B1741" s="26" t="str">
        <f>MID(tbl_forecast[[#This Row],[PACE Job Number]],3,3)</f>
        <v>NTX</v>
      </c>
      <c r="C1741" t="s">
        <v>11</v>
      </c>
      <c r="D1741" s="1">
        <v>43430</v>
      </c>
      <c r="E1741" s="1">
        <v>43437</v>
      </c>
      <c r="F1741" s="1">
        <v>43424</v>
      </c>
      <c r="G1741" s="1">
        <v>43424</v>
      </c>
      <c r="H1741" t="s">
        <v>9</v>
      </c>
      <c r="I1741" t="s">
        <v>10</v>
      </c>
    </row>
    <row r="1742" spans="1:9" x14ac:dyDescent="0.25">
      <c r="A1742" t="s">
        <v>2374</v>
      </c>
      <c r="B1742" s="26" t="str">
        <f>MID(tbl_forecast[[#This Row],[PACE Job Number]],3,3)</f>
        <v>NTX</v>
      </c>
      <c r="C1742" t="s">
        <v>11</v>
      </c>
      <c r="D1742" s="1">
        <v>43423</v>
      </c>
      <c r="E1742" s="1">
        <v>43431</v>
      </c>
      <c r="F1742" s="1">
        <v>43424</v>
      </c>
      <c r="G1742" s="1">
        <v>43424</v>
      </c>
      <c r="H1742" t="s">
        <v>9</v>
      </c>
      <c r="I1742" t="s">
        <v>10</v>
      </c>
    </row>
    <row r="1743" spans="1:9" x14ac:dyDescent="0.25">
      <c r="A1743" t="s">
        <v>4349</v>
      </c>
      <c r="B1743" s="26" t="str">
        <f>MID(tbl_forecast[[#This Row],[PACE Job Number]],3,3)</f>
        <v>NTX</v>
      </c>
      <c r="C1743" t="s">
        <v>11</v>
      </c>
      <c r="D1743" s="1">
        <v>43427</v>
      </c>
      <c r="E1743" s="1">
        <v>43437</v>
      </c>
      <c r="F1743" s="1">
        <v>43437</v>
      </c>
      <c r="G1743" s="1"/>
      <c r="H1743" t="s">
        <v>9</v>
      </c>
      <c r="I1743" t="s">
        <v>27</v>
      </c>
    </row>
    <row r="1744" spans="1:9" x14ac:dyDescent="0.25">
      <c r="A1744" t="s">
        <v>2375</v>
      </c>
      <c r="B1744" s="26" t="str">
        <f>MID(tbl_forecast[[#This Row],[PACE Job Number]],3,3)</f>
        <v>NTX</v>
      </c>
      <c r="C1744" t="s">
        <v>11</v>
      </c>
      <c r="D1744" s="1">
        <v>43423</v>
      </c>
      <c r="E1744" s="1">
        <v>43431</v>
      </c>
      <c r="F1744" s="1">
        <v>43424</v>
      </c>
      <c r="G1744" s="1">
        <v>43424</v>
      </c>
      <c r="H1744" t="s">
        <v>9</v>
      </c>
      <c r="I1744" t="s">
        <v>10</v>
      </c>
    </row>
    <row r="1745" spans="1:9" x14ac:dyDescent="0.25">
      <c r="A1745" t="s">
        <v>2376</v>
      </c>
      <c r="B1745" s="26" t="str">
        <f>MID(tbl_forecast[[#This Row],[PACE Job Number]],3,3)</f>
        <v>NTX</v>
      </c>
      <c r="C1745" t="s">
        <v>11</v>
      </c>
      <c r="D1745" s="1">
        <v>43430</v>
      </c>
      <c r="E1745" s="1">
        <v>43430</v>
      </c>
      <c r="F1745" s="1">
        <v>43429</v>
      </c>
      <c r="G1745" s="1">
        <v>43429</v>
      </c>
      <c r="H1745" t="s">
        <v>9</v>
      </c>
      <c r="I1745" t="s">
        <v>10</v>
      </c>
    </row>
    <row r="1746" spans="1:9" x14ac:dyDescent="0.25">
      <c r="A1746" t="s">
        <v>4350</v>
      </c>
      <c r="B1746" s="26" t="str">
        <f>MID(tbl_forecast[[#This Row],[PACE Job Number]],3,3)</f>
        <v>NTX</v>
      </c>
      <c r="C1746" t="s">
        <v>11</v>
      </c>
      <c r="D1746" s="1">
        <v>43427</v>
      </c>
      <c r="E1746" s="1">
        <v>43437</v>
      </c>
      <c r="F1746" s="1">
        <v>43437</v>
      </c>
      <c r="G1746" s="1"/>
      <c r="H1746" t="s">
        <v>9</v>
      </c>
      <c r="I1746" t="s">
        <v>27</v>
      </c>
    </row>
    <row r="1747" spans="1:9" x14ac:dyDescent="0.25">
      <c r="A1747" t="s">
        <v>5365</v>
      </c>
      <c r="B1747" s="26" t="str">
        <f>MID(tbl_forecast[[#This Row],[PACE Job Number]],3,3)</f>
        <v>NTX</v>
      </c>
      <c r="C1747" t="s">
        <v>11</v>
      </c>
      <c r="D1747" s="1">
        <v>43433</v>
      </c>
      <c r="E1747" s="1">
        <v>43451</v>
      </c>
      <c r="F1747" s="1">
        <v>43451</v>
      </c>
      <c r="G1747" s="1"/>
      <c r="H1747" t="s">
        <v>4664</v>
      </c>
      <c r="I1747" t="s">
        <v>4665</v>
      </c>
    </row>
    <row r="1748" spans="1:9" x14ac:dyDescent="0.25">
      <c r="A1748" t="s">
        <v>144</v>
      </c>
      <c r="B1748" s="26" t="str">
        <f>MID(tbl_forecast[[#This Row],[PACE Job Number]],3,3)</f>
        <v>NTX</v>
      </c>
      <c r="C1748" t="s">
        <v>11</v>
      </c>
      <c r="D1748" s="1">
        <v>43430</v>
      </c>
      <c r="E1748" s="1">
        <v>43434</v>
      </c>
      <c r="F1748" s="1">
        <v>43434</v>
      </c>
      <c r="G1748" s="1"/>
      <c r="H1748" t="s">
        <v>9</v>
      </c>
      <c r="I1748" t="s">
        <v>27</v>
      </c>
    </row>
    <row r="1749" spans="1:9" x14ac:dyDescent="0.25">
      <c r="A1749" t="s">
        <v>278</v>
      </c>
      <c r="B1749" s="26" t="str">
        <f>MID(tbl_forecast[[#This Row],[PACE Job Number]],3,3)</f>
        <v>NTX</v>
      </c>
      <c r="C1749" t="s">
        <v>11</v>
      </c>
      <c r="D1749" s="1">
        <v>43423</v>
      </c>
      <c r="E1749" s="1">
        <v>43434</v>
      </c>
      <c r="F1749" s="1">
        <v>43434</v>
      </c>
      <c r="G1749" s="1">
        <v>43434</v>
      </c>
      <c r="H1749" t="s">
        <v>9</v>
      </c>
      <c r="I1749" t="s">
        <v>10</v>
      </c>
    </row>
    <row r="1750" spans="1:9" x14ac:dyDescent="0.25">
      <c r="A1750" t="s">
        <v>4351</v>
      </c>
      <c r="B1750" s="26" t="str">
        <f>MID(tbl_forecast[[#This Row],[PACE Job Number]],3,3)</f>
        <v>NTX</v>
      </c>
      <c r="C1750" t="s">
        <v>11</v>
      </c>
      <c r="D1750" s="1">
        <v>43427</v>
      </c>
      <c r="E1750" s="1">
        <v>43437</v>
      </c>
      <c r="F1750" s="1">
        <v>43432</v>
      </c>
      <c r="G1750" s="1">
        <v>43432</v>
      </c>
      <c r="H1750" t="s">
        <v>9</v>
      </c>
      <c r="I1750" t="s">
        <v>10</v>
      </c>
    </row>
    <row r="1751" spans="1:9" x14ac:dyDescent="0.25">
      <c r="A1751" t="s">
        <v>3931</v>
      </c>
      <c r="B1751" s="26" t="str">
        <f>MID(tbl_forecast[[#This Row],[PACE Job Number]],3,3)</f>
        <v>NTX</v>
      </c>
      <c r="C1751" t="s">
        <v>11</v>
      </c>
      <c r="D1751" s="1">
        <v>43420</v>
      </c>
      <c r="E1751" s="1">
        <v>43444</v>
      </c>
      <c r="F1751" s="1">
        <v>43444</v>
      </c>
      <c r="G1751" s="1"/>
      <c r="H1751" t="s">
        <v>4664</v>
      </c>
      <c r="I1751" t="s">
        <v>5645</v>
      </c>
    </row>
    <row r="1752" spans="1:9" x14ac:dyDescent="0.25">
      <c r="A1752" t="s">
        <v>2379</v>
      </c>
      <c r="B1752" s="26" t="str">
        <f>MID(tbl_forecast[[#This Row],[PACE Job Number]],3,3)</f>
        <v>NTX</v>
      </c>
      <c r="C1752" t="s">
        <v>11</v>
      </c>
      <c r="D1752" s="1">
        <v>43430</v>
      </c>
      <c r="E1752" s="1">
        <v>43430</v>
      </c>
      <c r="F1752" s="1">
        <v>43429</v>
      </c>
      <c r="G1752" s="1">
        <v>43429</v>
      </c>
      <c r="H1752" t="s">
        <v>9</v>
      </c>
      <c r="I1752" t="s">
        <v>10</v>
      </c>
    </row>
    <row r="1753" spans="1:9" x14ac:dyDescent="0.25">
      <c r="A1753" t="s">
        <v>4352</v>
      </c>
      <c r="B1753" s="26" t="str">
        <f>MID(tbl_forecast[[#This Row],[PACE Job Number]],3,3)</f>
        <v>NTX</v>
      </c>
      <c r="C1753" t="s">
        <v>11</v>
      </c>
      <c r="D1753" s="1">
        <v>43427</v>
      </c>
      <c r="E1753" s="1">
        <v>43437</v>
      </c>
      <c r="F1753" s="1">
        <v>43432</v>
      </c>
      <c r="G1753" s="1">
        <v>43432</v>
      </c>
      <c r="H1753" t="s">
        <v>9</v>
      </c>
      <c r="I1753" t="s">
        <v>10</v>
      </c>
    </row>
    <row r="1754" spans="1:9" x14ac:dyDescent="0.25">
      <c r="A1754" t="s">
        <v>98</v>
      </c>
      <c r="B1754" s="26" t="str">
        <f>MID(tbl_forecast[[#This Row],[PACE Job Number]],3,3)</f>
        <v>NTX</v>
      </c>
      <c r="C1754" t="s">
        <v>11</v>
      </c>
      <c r="D1754" s="1">
        <v>43420</v>
      </c>
      <c r="E1754" s="1">
        <v>43431</v>
      </c>
      <c r="F1754" s="1">
        <v>43418</v>
      </c>
      <c r="G1754" s="1">
        <v>43418</v>
      </c>
      <c r="H1754" t="s">
        <v>9</v>
      </c>
      <c r="I1754" t="s">
        <v>10</v>
      </c>
    </row>
    <row r="1755" spans="1:9" x14ac:dyDescent="0.25">
      <c r="A1755" t="s">
        <v>69</v>
      </c>
      <c r="B1755" s="26" t="str">
        <f>MID(tbl_forecast[[#This Row],[PACE Job Number]],3,3)</f>
        <v>NTX</v>
      </c>
      <c r="C1755" t="s">
        <v>11</v>
      </c>
      <c r="D1755" s="1">
        <v>43430</v>
      </c>
      <c r="E1755" s="1">
        <v>43434</v>
      </c>
      <c r="F1755" s="1">
        <v>43434</v>
      </c>
      <c r="G1755" s="1"/>
      <c r="H1755" t="s">
        <v>9</v>
      </c>
      <c r="I1755" t="s">
        <v>27</v>
      </c>
    </row>
    <row r="1756" spans="1:9" x14ac:dyDescent="0.25">
      <c r="A1756" t="s">
        <v>4347</v>
      </c>
      <c r="B1756" s="26" t="str">
        <f>MID(tbl_forecast[[#This Row],[PACE Job Number]],3,3)</f>
        <v>STX</v>
      </c>
      <c r="C1756" t="s">
        <v>11</v>
      </c>
      <c r="D1756" s="1">
        <v>43425</v>
      </c>
      <c r="E1756" s="1">
        <v>43425</v>
      </c>
      <c r="F1756" s="1">
        <v>43424</v>
      </c>
      <c r="G1756" s="1">
        <v>43424</v>
      </c>
      <c r="H1756" t="s">
        <v>9</v>
      </c>
      <c r="I1756" t="s">
        <v>10</v>
      </c>
    </row>
    <row r="1757" spans="1:9" x14ac:dyDescent="0.25">
      <c r="A1757" t="s">
        <v>4135</v>
      </c>
      <c r="B1757" s="26" t="str">
        <f>MID(tbl_forecast[[#This Row],[PACE Job Number]],3,3)</f>
        <v>STX</v>
      </c>
      <c r="C1757" t="s">
        <v>11</v>
      </c>
      <c r="D1757" s="1">
        <v>43426</v>
      </c>
      <c r="E1757" s="1">
        <v>43426</v>
      </c>
      <c r="F1757" s="1">
        <v>43415</v>
      </c>
      <c r="G1757" s="1">
        <v>43415</v>
      </c>
      <c r="H1757" t="s">
        <v>9</v>
      </c>
      <c r="I1757" t="s">
        <v>10</v>
      </c>
    </row>
    <row r="1758" spans="1:9" x14ac:dyDescent="0.25">
      <c r="A1758" t="s">
        <v>4136</v>
      </c>
      <c r="B1758" s="26" t="str">
        <f>MID(tbl_forecast[[#This Row],[PACE Job Number]],3,3)</f>
        <v>STX</v>
      </c>
      <c r="C1758" t="s">
        <v>11</v>
      </c>
      <c r="D1758" s="1">
        <v>43426</v>
      </c>
      <c r="E1758" s="1">
        <v>43426</v>
      </c>
      <c r="F1758" s="1">
        <v>43415</v>
      </c>
      <c r="G1758" s="1">
        <v>43415</v>
      </c>
      <c r="H1758" t="s">
        <v>9</v>
      </c>
      <c r="I1758" t="s">
        <v>10</v>
      </c>
    </row>
    <row r="1759" spans="1:9" x14ac:dyDescent="0.25">
      <c r="A1759" t="s">
        <v>566</v>
      </c>
      <c r="B1759" s="26" t="str">
        <f>MID(tbl_forecast[[#This Row],[PACE Job Number]],3,3)</f>
        <v>STX</v>
      </c>
      <c r="C1759" t="s">
        <v>11</v>
      </c>
      <c r="D1759" s="1">
        <v>43428</v>
      </c>
      <c r="E1759" s="1">
        <v>43447</v>
      </c>
      <c r="F1759" s="1">
        <v>43447</v>
      </c>
      <c r="G1759" s="1"/>
      <c r="H1759" t="s">
        <v>4664</v>
      </c>
      <c r="I1759" t="s">
        <v>4665</v>
      </c>
    </row>
    <row r="1760" spans="1:9" x14ac:dyDescent="0.25">
      <c r="A1760" t="s">
        <v>5234</v>
      </c>
      <c r="B1760" s="26" t="str">
        <f>MID(tbl_forecast[[#This Row],[PACE Job Number]],3,3)</f>
        <v>WSH</v>
      </c>
      <c r="C1760" t="s">
        <v>11</v>
      </c>
      <c r="D1760" s="1">
        <v>43424</v>
      </c>
      <c r="E1760" s="1">
        <v>43420</v>
      </c>
      <c r="F1760" s="1">
        <v>43420</v>
      </c>
      <c r="G1760" s="1">
        <v>43420</v>
      </c>
      <c r="H1760" t="s">
        <v>9</v>
      </c>
      <c r="I1760" t="s">
        <v>10</v>
      </c>
    </row>
    <row r="1761" spans="1:9" x14ac:dyDescent="0.25">
      <c r="A1761" t="s">
        <v>5235</v>
      </c>
      <c r="B1761" s="26" t="str">
        <f>MID(tbl_forecast[[#This Row],[PACE Job Number]],3,3)</f>
        <v>WSH</v>
      </c>
      <c r="C1761" t="s">
        <v>11</v>
      </c>
      <c r="D1761" s="1">
        <v>43424</v>
      </c>
      <c r="E1761" s="1">
        <v>43420</v>
      </c>
      <c r="F1761" s="1">
        <v>43420</v>
      </c>
      <c r="G1761" s="1">
        <v>43420</v>
      </c>
      <c r="H1761" t="s">
        <v>9</v>
      </c>
      <c r="I1761" t="s">
        <v>10</v>
      </c>
    </row>
    <row r="1762" spans="1:9" x14ac:dyDescent="0.25">
      <c r="A1762" t="s">
        <v>3929</v>
      </c>
      <c r="B1762" s="26" t="str">
        <f>MID(tbl_forecast[[#This Row],[PACE Job Number]],3,3)</f>
        <v>WSH</v>
      </c>
      <c r="C1762" t="s">
        <v>11</v>
      </c>
      <c r="D1762" s="1">
        <v>43411</v>
      </c>
      <c r="E1762" s="1">
        <v>43412</v>
      </c>
      <c r="F1762" s="1">
        <v>43412</v>
      </c>
      <c r="G1762" s="1">
        <v>43412</v>
      </c>
      <c r="H1762" t="s">
        <v>9</v>
      </c>
      <c r="I1762" t="s">
        <v>10</v>
      </c>
    </row>
    <row r="1763" spans="1:9" x14ac:dyDescent="0.25">
      <c r="A1763" t="s">
        <v>5237</v>
      </c>
      <c r="B1763" s="26" t="str">
        <f>MID(tbl_forecast[[#This Row],[PACE Job Number]],3,3)</f>
        <v>WSH</v>
      </c>
      <c r="C1763" t="s">
        <v>11</v>
      </c>
      <c r="D1763" s="1">
        <v>43424</v>
      </c>
      <c r="E1763" s="1">
        <v>43464</v>
      </c>
      <c r="F1763" s="1">
        <v>43464</v>
      </c>
      <c r="G1763" s="1"/>
      <c r="H1763" t="s">
        <v>4664</v>
      </c>
      <c r="I1763" t="s">
        <v>4665</v>
      </c>
    </row>
    <row r="1764" spans="1:9" x14ac:dyDescent="0.25">
      <c r="A1764" t="s">
        <v>3848</v>
      </c>
      <c r="B1764" s="26" t="str">
        <f>MID(tbl_forecast[[#This Row],[PACE Job Number]],3,3)</f>
        <v>WSH</v>
      </c>
      <c r="C1764" t="s">
        <v>11</v>
      </c>
      <c r="D1764" s="1">
        <v>43411</v>
      </c>
      <c r="E1764" s="1">
        <v>43412</v>
      </c>
      <c r="F1764" s="1">
        <v>43412</v>
      </c>
      <c r="G1764" s="1">
        <v>43412</v>
      </c>
      <c r="H1764" t="s">
        <v>9</v>
      </c>
      <c r="I1764" t="s">
        <v>10</v>
      </c>
    </row>
    <row r="1765" spans="1:9" x14ac:dyDescent="0.25">
      <c r="A1765" t="s">
        <v>3849</v>
      </c>
      <c r="B1765" s="26" t="str">
        <f>MID(tbl_forecast[[#This Row],[PACE Job Number]],3,3)</f>
        <v>WSH</v>
      </c>
      <c r="C1765" t="s">
        <v>11</v>
      </c>
      <c r="D1765" s="1">
        <v>43406</v>
      </c>
      <c r="E1765" s="1">
        <v>43409</v>
      </c>
      <c r="F1765" s="1">
        <v>43409</v>
      </c>
      <c r="G1765" s="1">
        <v>43409</v>
      </c>
      <c r="H1765" t="s">
        <v>9</v>
      </c>
      <c r="I1765" t="s">
        <v>10</v>
      </c>
    </row>
    <row r="1766" spans="1:9" x14ac:dyDescent="0.25">
      <c r="A1766" t="s">
        <v>255</v>
      </c>
      <c r="B1766" s="26" t="str">
        <f>MID(tbl_forecast[[#This Row],[PACE Job Number]],3,3)</f>
        <v>WSH</v>
      </c>
      <c r="C1766" t="s">
        <v>11</v>
      </c>
      <c r="D1766" s="1">
        <v>43424</v>
      </c>
      <c r="E1766" s="1">
        <v>43424</v>
      </c>
      <c r="F1766" s="1">
        <v>43424</v>
      </c>
      <c r="G1766" s="1">
        <v>43424</v>
      </c>
      <c r="H1766" t="s">
        <v>9</v>
      </c>
      <c r="I1766" t="s">
        <v>10</v>
      </c>
    </row>
    <row r="1767" spans="1:9" x14ac:dyDescent="0.25">
      <c r="A1767" t="s">
        <v>5243</v>
      </c>
      <c r="B1767" s="26" t="str">
        <f>MID(tbl_forecast[[#This Row],[PACE Job Number]],3,3)</f>
        <v>WSH</v>
      </c>
      <c r="C1767" t="s">
        <v>11</v>
      </c>
      <c r="D1767" s="1">
        <v>43424</v>
      </c>
      <c r="E1767" s="1">
        <v>43448</v>
      </c>
      <c r="F1767" s="1">
        <v>43441</v>
      </c>
      <c r="G1767" s="1"/>
      <c r="H1767" t="s">
        <v>4664</v>
      </c>
      <c r="I1767" t="s">
        <v>4665</v>
      </c>
    </row>
    <row r="1768" spans="1:9" x14ac:dyDescent="0.25">
      <c r="A1768" t="s">
        <v>5485</v>
      </c>
      <c r="B1768" s="26" t="str">
        <f>MID(tbl_forecast[[#This Row],[PACE Job Number]],3,3)</f>
        <v>WSH</v>
      </c>
      <c r="C1768" t="s">
        <v>11</v>
      </c>
      <c r="D1768" s="1">
        <v>43413</v>
      </c>
      <c r="E1768" s="1">
        <v>43412</v>
      </c>
      <c r="F1768" s="1">
        <v>43412</v>
      </c>
      <c r="G1768" s="1">
        <v>43412</v>
      </c>
      <c r="H1768" t="s">
        <v>9</v>
      </c>
      <c r="I1768" t="s">
        <v>10</v>
      </c>
    </row>
    <row r="1769" spans="1:9" x14ac:dyDescent="0.25">
      <c r="A1769" t="s">
        <v>5244</v>
      </c>
      <c r="B1769" s="26" t="str">
        <f>MID(tbl_forecast[[#This Row],[PACE Job Number]],3,3)</f>
        <v>WSH</v>
      </c>
      <c r="C1769" t="s">
        <v>11</v>
      </c>
      <c r="D1769" s="1">
        <v>43434</v>
      </c>
      <c r="E1769" s="1">
        <v>43453</v>
      </c>
      <c r="F1769" s="1">
        <v>43432</v>
      </c>
      <c r="G1769" s="1"/>
      <c r="H1769" t="s">
        <v>9</v>
      </c>
      <c r="I1769" t="s">
        <v>44</v>
      </c>
    </row>
    <row r="1770" spans="1:9" x14ac:dyDescent="0.25">
      <c r="A1770" t="s">
        <v>5245</v>
      </c>
      <c r="B1770" s="26" t="str">
        <f>MID(tbl_forecast[[#This Row],[PACE Job Number]],3,3)</f>
        <v>WSH</v>
      </c>
      <c r="C1770" t="s">
        <v>11</v>
      </c>
      <c r="D1770" s="1">
        <v>43424</v>
      </c>
      <c r="E1770" s="1">
        <v>43434</v>
      </c>
      <c r="F1770" s="1">
        <v>43430</v>
      </c>
      <c r="G1770" s="1"/>
      <c r="H1770" t="s">
        <v>9</v>
      </c>
      <c r="I1770" t="s">
        <v>27</v>
      </c>
    </row>
    <row r="1771" spans="1:9" x14ac:dyDescent="0.25">
      <c r="A1771" t="s">
        <v>3853</v>
      </c>
      <c r="B1771" s="26" t="str">
        <f>MID(tbl_forecast[[#This Row],[PACE Job Number]],3,3)</f>
        <v>WSH</v>
      </c>
      <c r="C1771" t="s">
        <v>11</v>
      </c>
      <c r="D1771" s="1">
        <v>43405</v>
      </c>
      <c r="E1771" s="1">
        <v>43405</v>
      </c>
      <c r="F1771" s="1">
        <v>43405</v>
      </c>
      <c r="G1771" s="1">
        <v>43405</v>
      </c>
      <c r="H1771" t="s">
        <v>9</v>
      </c>
      <c r="I1771" t="s">
        <v>10</v>
      </c>
    </row>
    <row r="1772" spans="1:9" x14ac:dyDescent="0.25">
      <c r="A1772" t="s">
        <v>3854</v>
      </c>
      <c r="B1772" s="26" t="str">
        <f>MID(tbl_forecast[[#This Row],[PACE Job Number]],3,3)</f>
        <v>WSH</v>
      </c>
      <c r="C1772" t="s">
        <v>11</v>
      </c>
      <c r="D1772" s="1">
        <v>43424</v>
      </c>
      <c r="E1772" s="1">
        <v>43440</v>
      </c>
      <c r="F1772" s="1">
        <v>43431</v>
      </c>
      <c r="G1772" s="1"/>
      <c r="H1772" t="s">
        <v>9</v>
      </c>
      <c r="I1772" t="s">
        <v>44</v>
      </c>
    </row>
    <row r="1773" spans="1:9" x14ac:dyDescent="0.25">
      <c r="A1773" t="s">
        <v>5486</v>
      </c>
      <c r="B1773" s="26" t="str">
        <f>MID(tbl_forecast[[#This Row],[PACE Job Number]],3,3)</f>
        <v>WSH</v>
      </c>
      <c r="C1773" t="s">
        <v>11</v>
      </c>
      <c r="D1773" s="1">
        <v>43413</v>
      </c>
      <c r="E1773" s="1">
        <v>43412</v>
      </c>
      <c r="F1773" s="1">
        <v>43412</v>
      </c>
      <c r="G1773" s="1">
        <v>43412</v>
      </c>
      <c r="H1773" t="s">
        <v>9</v>
      </c>
      <c r="I1773" t="s">
        <v>10</v>
      </c>
    </row>
    <row r="1774" spans="1:9" x14ac:dyDescent="0.25">
      <c r="A1774" t="s">
        <v>3776</v>
      </c>
      <c r="B1774" s="26" t="str">
        <f>MID(tbl_forecast[[#This Row],[PACE Job Number]],3,3)</f>
        <v>WSH</v>
      </c>
      <c r="C1774" t="s">
        <v>11</v>
      </c>
      <c r="D1774" s="1">
        <v>43420</v>
      </c>
      <c r="E1774" s="1">
        <v>43434</v>
      </c>
      <c r="F1774" s="1">
        <v>43433</v>
      </c>
      <c r="G1774" s="1"/>
      <c r="H1774" t="s">
        <v>9</v>
      </c>
      <c r="I1774" t="s">
        <v>27</v>
      </c>
    </row>
    <row r="1775" spans="1:9" x14ac:dyDescent="0.25">
      <c r="A1775" t="s">
        <v>5246</v>
      </c>
      <c r="B1775" s="26" t="str">
        <f>MID(tbl_forecast[[#This Row],[PACE Job Number]],3,3)</f>
        <v>WSH</v>
      </c>
      <c r="C1775" t="s">
        <v>11</v>
      </c>
      <c r="D1775" s="1">
        <v>43420</v>
      </c>
      <c r="E1775" s="1">
        <v>43440</v>
      </c>
      <c r="F1775" s="1">
        <v>43434</v>
      </c>
      <c r="G1775" s="1"/>
      <c r="H1775" t="s">
        <v>9</v>
      </c>
      <c r="I1775" t="s">
        <v>44</v>
      </c>
    </row>
    <row r="1776" spans="1:9" x14ac:dyDescent="0.25">
      <c r="A1776" t="s">
        <v>3857</v>
      </c>
      <c r="B1776" s="26" t="str">
        <f>MID(tbl_forecast[[#This Row],[PACE Job Number]],3,3)</f>
        <v>WSH</v>
      </c>
      <c r="C1776" t="s">
        <v>11</v>
      </c>
      <c r="D1776" s="1">
        <v>43424</v>
      </c>
      <c r="E1776" s="1">
        <v>43438</v>
      </c>
      <c r="F1776" s="1">
        <v>43441</v>
      </c>
      <c r="G1776" s="1"/>
      <c r="H1776" t="s">
        <v>4664</v>
      </c>
      <c r="I1776" t="s">
        <v>4665</v>
      </c>
    </row>
    <row r="1777" spans="1:9" x14ac:dyDescent="0.25">
      <c r="A1777" t="s">
        <v>3858</v>
      </c>
      <c r="B1777" s="26" t="str">
        <f>MID(tbl_forecast[[#This Row],[PACE Job Number]],3,3)</f>
        <v>WSH</v>
      </c>
      <c r="C1777" t="s">
        <v>11</v>
      </c>
      <c r="D1777" s="1">
        <v>43411</v>
      </c>
      <c r="E1777" s="1">
        <v>43412</v>
      </c>
      <c r="F1777" s="1">
        <v>43412</v>
      </c>
      <c r="G1777" s="1">
        <v>43412</v>
      </c>
      <c r="H1777" t="s">
        <v>9</v>
      </c>
      <c r="I1777" t="s">
        <v>10</v>
      </c>
    </row>
    <row r="1778" spans="1:9" x14ac:dyDescent="0.25">
      <c r="A1778" t="s">
        <v>3859</v>
      </c>
      <c r="B1778" s="26" t="str">
        <f>MID(tbl_forecast[[#This Row],[PACE Job Number]],3,3)</f>
        <v>WSH</v>
      </c>
      <c r="C1778" t="s">
        <v>11</v>
      </c>
      <c r="D1778" s="1">
        <v>43405</v>
      </c>
      <c r="E1778" s="1">
        <v>43405</v>
      </c>
      <c r="F1778" s="1">
        <v>43405</v>
      </c>
      <c r="G1778" s="1">
        <v>43405</v>
      </c>
      <c r="H1778" t="s">
        <v>9</v>
      </c>
      <c r="I1778" t="s">
        <v>10</v>
      </c>
    </row>
    <row r="1779" spans="1:9" x14ac:dyDescent="0.25">
      <c r="A1779" t="s">
        <v>3861</v>
      </c>
      <c r="B1779" s="26" t="str">
        <f>MID(tbl_forecast[[#This Row],[PACE Job Number]],3,3)</f>
        <v>WSH</v>
      </c>
      <c r="C1779" t="s">
        <v>11</v>
      </c>
      <c r="D1779" s="1">
        <v>43424</v>
      </c>
      <c r="E1779" s="1">
        <v>43438</v>
      </c>
      <c r="F1779" s="1">
        <v>43441</v>
      </c>
      <c r="G1779" s="1"/>
      <c r="H1779" t="s">
        <v>4664</v>
      </c>
      <c r="I1779" t="s">
        <v>4665</v>
      </c>
    </row>
    <row r="1780" spans="1:9" x14ac:dyDescent="0.25">
      <c r="A1780" t="s">
        <v>1663</v>
      </c>
      <c r="B1780" s="26" t="str">
        <f>MID(tbl_forecast[[#This Row],[PACE Job Number]],3,3)</f>
        <v>NTX</v>
      </c>
      <c r="C1780" t="s">
        <v>11</v>
      </c>
      <c r="D1780" s="1">
        <v>43426</v>
      </c>
      <c r="E1780" s="1">
        <v>43367</v>
      </c>
      <c r="F1780" s="1">
        <v>43420</v>
      </c>
      <c r="G1780" s="1">
        <v>43420</v>
      </c>
      <c r="H1780" t="s">
        <v>9</v>
      </c>
      <c r="I1780" t="s">
        <v>10</v>
      </c>
    </row>
    <row r="1781" spans="1:9" x14ac:dyDescent="0.25">
      <c r="A1781" t="s">
        <v>349</v>
      </c>
      <c r="B1781" s="26" t="str">
        <f>MID(tbl_forecast[[#This Row],[PACE Job Number]],3,3)</f>
        <v>ANM</v>
      </c>
      <c r="C1781" t="s">
        <v>11</v>
      </c>
      <c r="D1781" s="1">
        <v>43420</v>
      </c>
      <c r="E1781" s="1">
        <v>43460</v>
      </c>
      <c r="F1781" s="1">
        <v>43445</v>
      </c>
      <c r="G1781" s="1"/>
      <c r="H1781" t="s">
        <v>4664</v>
      </c>
      <c r="I1781" t="s">
        <v>5645</v>
      </c>
    </row>
    <row r="1782" spans="1:9" x14ac:dyDescent="0.25">
      <c r="A1782" t="s">
        <v>33</v>
      </c>
      <c r="B1782" s="26" t="str">
        <f>MID(tbl_forecast[[#This Row],[PACE Job Number]],3,3)</f>
        <v>STX</v>
      </c>
      <c r="C1782" t="s">
        <v>11</v>
      </c>
      <c r="D1782" s="1">
        <v>43425</v>
      </c>
      <c r="E1782" s="1">
        <v>43425</v>
      </c>
      <c r="F1782" s="1">
        <v>43424</v>
      </c>
      <c r="G1782" s="1">
        <v>43424</v>
      </c>
      <c r="H1782" t="s">
        <v>9</v>
      </c>
      <c r="I1782" t="s">
        <v>10</v>
      </c>
    </row>
    <row r="1783" spans="1:9" x14ac:dyDescent="0.25">
      <c r="A1783" t="s">
        <v>30</v>
      </c>
      <c r="B1783" s="26" t="str">
        <f>MID(tbl_forecast[[#This Row],[PACE Job Number]],3,3)</f>
        <v>STX</v>
      </c>
      <c r="C1783" t="s">
        <v>11</v>
      </c>
      <c r="D1783" s="1">
        <v>43425</v>
      </c>
      <c r="E1783" s="1">
        <v>43425</v>
      </c>
      <c r="F1783" s="1">
        <v>43424</v>
      </c>
      <c r="G1783" s="1">
        <v>43424</v>
      </c>
      <c r="H1783" t="s">
        <v>9</v>
      </c>
      <c r="I1783" t="s">
        <v>10</v>
      </c>
    </row>
    <row r="1784" spans="1:9" x14ac:dyDescent="0.25">
      <c r="A1784" t="s">
        <v>253</v>
      </c>
      <c r="B1784" s="26" t="str">
        <f>MID(tbl_forecast[[#This Row],[PACE Job Number]],3,3)</f>
        <v>STX</v>
      </c>
      <c r="C1784" t="s">
        <v>11</v>
      </c>
      <c r="D1784" s="1">
        <v>43425</v>
      </c>
      <c r="E1784" s="1">
        <v>43425</v>
      </c>
      <c r="F1784" s="1">
        <v>43418</v>
      </c>
      <c r="G1784" s="1">
        <v>43418</v>
      </c>
      <c r="H1784" t="s">
        <v>9</v>
      </c>
      <c r="I1784" t="s">
        <v>10</v>
      </c>
    </row>
    <row r="1785" spans="1:9" x14ac:dyDescent="0.25">
      <c r="A1785" t="s">
        <v>4354</v>
      </c>
      <c r="B1785" s="26" t="str">
        <f>MID(tbl_forecast[[#This Row],[PACE Job Number]],3,3)</f>
        <v>STX</v>
      </c>
      <c r="C1785" t="s">
        <v>11</v>
      </c>
      <c r="D1785" s="1">
        <v>43428</v>
      </c>
      <c r="E1785" s="1">
        <v>43447</v>
      </c>
      <c r="F1785" s="1">
        <v>43447</v>
      </c>
      <c r="G1785" s="1"/>
      <c r="H1785" t="s">
        <v>4664</v>
      </c>
      <c r="I1785" t="s">
        <v>4665</v>
      </c>
    </row>
    <row r="1786" spans="1:9" x14ac:dyDescent="0.25">
      <c r="A1786" t="s">
        <v>573</v>
      </c>
      <c r="B1786" s="26" t="str">
        <f>MID(tbl_forecast[[#This Row],[PACE Job Number]],3,3)</f>
        <v>STX</v>
      </c>
      <c r="C1786" t="s">
        <v>11</v>
      </c>
      <c r="D1786" s="1">
        <v>43428</v>
      </c>
      <c r="E1786" s="1">
        <v>43447</v>
      </c>
      <c r="F1786" s="1">
        <v>43447</v>
      </c>
      <c r="G1786" s="1"/>
      <c r="H1786" t="s">
        <v>4664</v>
      </c>
      <c r="I1786" t="s">
        <v>4665</v>
      </c>
    </row>
    <row r="1787" spans="1:9" x14ac:dyDescent="0.25">
      <c r="A1787" t="s">
        <v>3114</v>
      </c>
      <c r="B1787" s="26" t="str">
        <f>MID(tbl_forecast[[#This Row],[PACE Job Number]],3,3)</f>
        <v>STX</v>
      </c>
      <c r="C1787" t="s">
        <v>11</v>
      </c>
      <c r="D1787" s="1">
        <v>43428</v>
      </c>
      <c r="E1787" s="1">
        <v>43428</v>
      </c>
      <c r="F1787" s="1">
        <v>43424</v>
      </c>
      <c r="G1787" s="1">
        <v>43424</v>
      </c>
      <c r="H1787" t="s">
        <v>9</v>
      </c>
      <c r="I1787" t="s">
        <v>10</v>
      </c>
    </row>
    <row r="1788" spans="1:9" x14ac:dyDescent="0.25">
      <c r="A1788" t="s">
        <v>723</v>
      </c>
      <c r="B1788" s="26" t="str">
        <f>MID(tbl_forecast[[#This Row],[PACE Job Number]],3,3)</f>
        <v>STX</v>
      </c>
      <c r="C1788" t="s">
        <v>11</v>
      </c>
      <c r="D1788" s="1">
        <v>43428</v>
      </c>
      <c r="E1788" s="1">
        <v>43447</v>
      </c>
      <c r="F1788" s="1">
        <v>43447</v>
      </c>
      <c r="G1788" s="1"/>
      <c r="H1788" t="s">
        <v>4664</v>
      </c>
      <c r="I1788" t="s">
        <v>4665</v>
      </c>
    </row>
    <row r="1789" spans="1:9" x14ac:dyDescent="0.25">
      <c r="A1789" t="s">
        <v>3104</v>
      </c>
      <c r="B1789" s="26" t="str">
        <f>MID(tbl_forecast[[#This Row],[PACE Job Number]],3,3)</f>
        <v>STX</v>
      </c>
      <c r="C1789" t="s">
        <v>11</v>
      </c>
      <c r="D1789" s="1">
        <v>43428</v>
      </c>
      <c r="E1789" s="1">
        <v>43428</v>
      </c>
      <c r="F1789" s="1">
        <v>43424</v>
      </c>
      <c r="G1789" s="1">
        <v>43424</v>
      </c>
      <c r="H1789" t="s">
        <v>9</v>
      </c>
      <c r="I1789" t="s">
        <v>10</v>
      </c>
    </row>
    <row r="1790" spans="1:9" x14ac:dyDescent="0.25">
      <c r="A1790" t="s">
        <v>1705</v>
      </c>
      <c r="B1790" s="26" t="str">
        <f>MID(tbl_forecast[[#This Row],[PACE Job Number]],3,3)</f>
        <v>STX</v>
      </c>
      <c r="C1790" t="s">
        <v>11</v>
      </c>
      <c r="D1790" s="1">
        <v>43425</v>
      </c>
      <c r="E1790" s="1">
        <v>43459</v>
      </c>
      <c r="F1790" s="1">
        <v>43425</v>
      </c>
      <c r="G1790" s="1"/>
      <c r="H1790" t="s">
        <v>9</v>
      </c>
      <c r="I1790" t="s">
        <v>44</v>
      </c>
    </row>
    <row r="1791" spans="1:9" x14ac:dyDescent="0.25">
      <c r="A1791" t="s">
        <v>5366</v>
      </c>
      <c r="B1791" s="26" t="str">
        <f>MID(tbl_forecast[[#This Row],[PACE Job Number]],3,3)</f>
        <v>STX</v>
      </c>
      <c r="C1791" t="s">
        <v>11</v>
      </c>
      <c r="D1791" s="1">
        <v>43425</v>
      </c>
      <c r="E1791" s="1">
        <v>43459</v>
      </c>
      <c r="F1791" s="1">
        <v>43425</v>
      </c>
      <c r="G1791" s="1"/>
      <c r="H1791" t="s">
        <v>9</v>
      </c>
      <c r="I1791" t="s">
        <v>44</v>
      </c>
    </row>
    <row r="1792" spans="1:9" x14ac:dyDescent="0.25">
      <c r="A1792" t="s">
        <v>4356</v>
      </c>
      <c r="B1792" s="26" t="str">
        <f>MID(tbl_forecast[[#This Row],[PACE Job Number]],3,3)</f>
        <v>STX</v>
      </c>
      <c r="C1792" t="s">
        <v>11</v>
      </c>
      <c r="D1792" s="1">
        <v>43425</v>
      </c>
      <c r="E1792" s="1">
        <v>43425</v>
      </c>
      <c r="F1792" s="1">
        <v>43424</v>
      </c>
      <c r="G1792" s="1">
        <v>43424</v>
      </c>
      <c r="H1792" t="s">
        <v>9</v>
      </c>
      <c r="I1792" t="s">
        <v>10</v>
      </c>
    </row>
    <row r="1793" spans="1:9" x14ac:dyDescent="0.25">
      <c r="A1793" t="s">
        <v>4357</v>
      </c>
      <c r="B1793" s="26" t="str">
        <f>MID(tbl_forecast[[#This Row],[PACE Job Number]],3,3)</f>
        <v>STX</v>
      </c>
      <c r="C1793" t="s">
        <v>11</v>
      </c>
      <c r="D1793" s="1">
        <v>43425</v>
      </c>
      <c r="E1793" s="1">
        <v>43425</v>
      </c>
      <c r="F1793" s="1">
        <v>43423</v>
      </c>
      <c r="G1793" s="1">
        <v>43423</v>
      </c>
      <c r="H1793" t="s">
        <v>9</v>
      </c>
      <c r="I1793" t="s">
        <v>10</v>
      </c>
    </row>
    <row r="1794" spans="1:9" x14ac:dyDescent="0.25">
      <c r="A1794" t="s">
        <v>312</v>
      </c>
      <c r="B1794" s="26" t="str">
        <f>MID(tbl_forecast[[#This Row],[PACE Job Number]],3,3)</f>
        <v>STX</v>
      </c>
      <c r="C1794" t="s">
        <v>11</v>
      </c>
      <c r="D1794" s="1">
        <v>43423</v>
      </c>
      <c r="E1794" s="1">
        <v>43423</v>
      </c>
      <c r="F1794" s="1">
        <v>43410</v>
      </c>
      <c r="G1794" s="1">
        <v>43410</v>
      </c>
      <c r="H1794" t="s">
        <v>9</v>
      </c>
      <c r="I1794" t="s">
        <v>10</v>
      </c>
    </row>
    <row r="1795" spans="1:9" x14ac:dyDescent="0.25">
      <c r="A1795" t="s">
        <v>1749</v>
      </c>
      <c r="B1795" s="26" t="str">
        <f>MID(tbl_forecast[[#This Row],[PACE Job Number]],3,3)</f>
        <v>NTX</v>
      </c>
      <c r="C1795" t="s">
        <v>11</v>
      </c>
      <c r="D1795" s="1">
        <v>43430</v>
      </c>
      <c r="E1795" s="1">
        <v>43434</v>
      </c>
      <c r="F1795" s="1">
        <v>43434</v>
      </c>
      <c r="G1795" s="1">
        <v>43432</v>
      </c>
      <c r="H1795" t="s">
        <v>9</v>
      </c>
      <c r="I1795" t="s">
        <v>10</v>
      </c>
    </row>
    <row r="1796" spans="1:9" x14ac:dyDescent="0.25">
      <c r="A1796" t="s">
        <v>3422</v>
      </c>
      <c r="B1796" s="26" t="str">
        <f>MID(tbl_forecast[[#This Row],[PACE Job Number]],3,3)</f>
        <v>NTX</v>
      </c>
      <c r="C1796" t="s">
        <v>11</v>
      </c>
      <c r="D1796" s="1">
        <v>43407</v>
      </c>
      <c r="E1796" s="1">
        <v>43407</v>
      </c>
      <c r="F1796" s="1">
        <v>43409</v>
      </c>
      <c r="G1796" s="1">
        <v>43409</v>
      </c>
      <c r="H1796" t="s">
        <v>9</v>
      </c>
      <c r="I1796" t="s">
        <v>10</v>
      </c>
    </row>
    <row r="1797" spans="1:9" x14ac:dyDescent="0.25">
      <c r="A1797" t="s">
        <v>3498</v>
      </c>
      <c r="B1797" s="26" t="str">
        <f>MID(tbl_forecast[[#This Row],[PACE Job Number]],3,3)</f>
        <v>NTX</v>
      </c>
      <c r="C1797" t="s">
        <v>11</v>
      </c>
      <c r="D1797" s="1">
        <v>43409</v>
      </c>
      <c r="E1797" s="1">
        <v>43437</v>
      </c>
      <c r="F1797" s="1">
        <v>43437</v>
      </c>
      <c r="G1797" s="1"/>
      <c r="H1797" t="s">
        <v>4664</v>
      </c>
      <c r="I1797" t="s">
        <v>5645</v>
      </c>
    </row>
    <row r="1798" spans="1:9" x14ac:dyDescent="0.25">
      <c r="A1798" t="s">
        <v>5368</v>
      </c>
      <c r="B1798" s="26" t="str">
        <f>MID(tbl_forecast[[#This Row],[PACE Job Number]],3,3)</f>
        <v>NTX</v>
      </c>
      <c r="C1798" t="s">
        <v>11</v>
      </c>
      <c r="D1798" s="1">
        <v>43420</v>
      </c>
      <c r="E1798" s="1">
        <v>43434</v>
      </c>
      <c r="F1798" s="1">
        <v>43432</v>
      </c>
      <c r="G1798" s="1">
        <v>43432</v>
      </c>
      <c r="H1798" t="s">
        <v>9</v>
      </c>
      <c r="I1798" t="s">
        <v>10</v>
      </c>
    </row>
    <row r="1799" spans="1:9" x14ac:dyDescent="0.25">
      <c r="A1799" t="s">
        <v>2347</v>
      </c>
      <c r="B1799" s="26" t="str">
        <f>MID(tbl_forecast[[#This Row],[PACE Job Number]],3,3)</f>
        <v>NTX</v>
      </c>
      <c r="C1799" t="s">
        <v>11</v>
      </c>
      <c r="D1799" s="1">
        <v>43420</v>
      </c>
      <c r="E1799" s="1">
        <v>43430</v>
      </c>
      <c r="F1799" s="1">
        <v>43429</v>
      </c>
      <c r="G1799" s="1">
        <v>43429</v>
      </c>
      <c r="H1799" t="s">
        <v>9</v>
      </c>
      <c r="I1799" t="s">
        <v>10</v>
      </c>
    </row>
    <row r="1800" spans="1:9" x14ac:dyDescent="0.25">
      <c r="A1800" t="s">
        <v>516</v>
      </c>
      <c r="B1800" s="26" t="str">
        <f>MID(tbl_forecast[[#This Row],[PACE Job Number]],3,3)</f>
        <v>NTX</v>
      </c>
      <c r="C1800" t="s">
        <v>11</v>
      </c>
      <c r="D1800" s="1">
        <v>43409</v>
      </c>
      <c r="E1800" s="1">
        <v>43418</v>
      </c>
      <c r="F1800" s="1">
        <v>43413</v>
      </c>
      <c r="G1800" s="1">
        <v>43413</v>
      </c>
      <c r="H1800" t="s">
        <v>9</v>
      </c>
      <c r="I1800" t="s">
        <v>10</v>
      </c>
    </row>
    <row r="1801" spans="1:9" x14ac:dyDescent="0.25">
      <c r="A1801" t="s">
        <v>1755</v>
      </c>
      <c r="B1801" s="26" t="str">
        <f>MID(tbl_forecast[[#This Row],[PACE Job Number]],3,3)</f>
        <v>NTX</v>
      </c>
      <c r="C1801" t="s">
        <v>11</v>
      </c>
      <c r="D1801" s="1">
        <v>43430</v>
      </c>
      <c r="E1801" s="1">
        <v>43507</v>
      </c>
      <c r="F1801" s="1">
        <v>43507</v>
      </c>
      <c r="G1801" s="1"/>
      <c r="H1801" t="s">
        <v>4664</v>
      </c>
      <c r="I1801" t="s">
        <v>4665</v>
      </c>
    </row>
    <row r="1802" spans="1:9" x14ac:dyDescent="0.25">
      <c r="A1802" t="s">
        <v>5487</v>
      </c>
      <c r="B1802" s="26" t="str">
        <f>MID(tbl_forecast[[#This Row],[PACE Job Number]],3,3)</f>
        <v>NTX</v>
      </c>
      <c r="C1802" t="s">
        <v>11</v>
      </c>
      <c r="D1802" s="1">
        <v>43423</v>
      </c>
      <c r="E1802" s="1">
        <v>43423</v>
      </c>
      <c r="F1802" s="1">
        <v>43423</v>
      </c>
      <c r="G1802" s="1">
        <v>43423</v>
      </c>
      <c r="H1802" t="s">
        <v>9</v>
      </c>
      <c r="I1802" t="s">
        <v>10</v>
      </c>
    </row>
    <row r="1803" spans="1:9" x14ac:dyDescent="0.25">
      <c r="A1803" t="s">
        <v>3434</v>
      </c>
      <c r="B1803" s="26" t="str">
        <f>MID(tbl_forecast[[#This Row],[PACE Job Number]],3,3)</f>
        <v>NTX</v>
      </c>
      <c r="C1803" t="s">
        <v>11</v>
      </c>
      <c r="D1803" s="1">
        <v>43407</v>
      </c>
      <c r="E1803" s="1">
        <v>43407</v>
      </c>
      <c r="F1803" s="1">
        <v>43409</v>
      </c>
      <c r="G1803" s="1">
        <v>43409</v>
      </c>
      <c r="H1803" t="s">
        <v>9</v>
      </c>
      <c r="I1803" t="s">
        <v>10</v>
      </c>
    </row>
    <row r="1804" spans="1:9" x14ac:dyDescent="0.25">
      <c r="A1804" t="s">
        <v>343</v>
      </c>
      <c r="B1804" s="26" t="str">
        <f>MID(tbl_forecast[[#This Row],[PACE Job Number]],3,3)</f>
        <v>NTX</v>
      </c>
      <c r="C1804" t="s">
        <v>11</v>
      </c>
      <c r="D1804" s="1">
        <v>43430</v>
      </c>
      <c r="E1804" s="1">
        <v>43434</v>
      </c>
      <c r="F1804" s="1">
        <v>43434</v>
      </c>
      <c r="G1804" s="1"/>
      <c r="H1804" t="s">
        <v>9</v>
      </c>
      <c r="I1804" t="s">
        <v>27</v>
      </c>
    </row>
    <row r="1805" spans="1:9" x14ac:dyDescent="0.25">
      <c r="A1805" t="s">
        <v>1758</v>
      </c>
      <c r="B1805" s="26" t="str">
        <f>MID(tbl_forecast[[#This Row],[PACE Job Number]],3,3)</f>
        <v>NTX</v>
      </c>
      <c r="C1805" t="s">
        <v>11</v>
      </c>
      <c r="D1805" s="1">
        <v>43430</v>
      </c>
      <c r="E1805" s="1">
        <v>43434</v>
      </c>
      <c r="F1805" s="1">
        <v>43434</v>
      </c>
      <c r="G1805" s="1">
        <v>43432</v>
      </c>
      <c r="H1805" t="s">
        <v>9</v>
      </c>
      <c r="I1805" t="s">
        <v>10</v>
      </c>
    </row>
    <row r="1806" spans="1:9" x14ac:dyDescent="0.25">
      <c r="A1806" t="s">
        <v>5488</v>
      </c>
      <c r="B1806" s="26" t="str">
        <f>MID(tbl_forecast[[#This Row],[PACE Job Number]],3,3)</f>
        <v>NTX</v>
      </c>
      <c r="C1806" t="s">
        <v>11</v>
      </c>
      <c r="D1806" s="1">
        <v>43423</v>
      </c>
      <c r="E1806" s="1">
        <v>43361</v>
      </c>
      <c r="F1806" s="1">
        <v>43410</v>
      </c>
      <c r="G1806" s="1">
        <v>43410</v>
      </c>
      <c r="H1806" t="s">
        <v>9</v>
      </c>
      <c r="I1806" t="s">
        <v>10</v>
      </c>
    </row>
    <row r="1807" spans="1:9" x14ac:dyDescent="0.25">
      <c r="A1807" t="s">
        <v>291</v>
      </c>
      <c r="B1807" s="26" t="str">
        <f>MID(tbl_forecast[[#This Row],[PACE Job Number]],3,3)</f>
        <v>NTX</v>
      </c>
      <c r="C1807" t="s">
        <v>11</v>
      </c>
      <c r="D1807" s="1">
        <v>43430</v>
      </c>
      <c r="E1807" s="1">
        <v>43430</v>
      </c>
      <c r="F1807" s="1">
        <v>43419</v>
      </c>
      <c r="G1807" s="1">
        <v>43419</v>
      </c>
      <c r="H1807" t="s">
        <v>9</v>
      </c>
      <c r="I1807" t="s">
        <v>10</v>
      </c>
    </row>
    <row r="1808" spans="1:9" x14ac:dyDescent="0.25">
      <c r="A1808" t="s">
        <v>5489</v>
      </c>
      <c r="B1808" s="26" t="str">
        <f>MID(tbl_forecast[[#This Row],[PACE Job Number]],3,3)</f>
        <v>NTX</v>
      </c>
      <c r="C1808" t="s">
        <v>11</v>
      </c>
      <c r="D1808" s="1">
        <v>43423</v>
      </c>
      <c r="E1808" s="1">
        <v>43434</v>
      </c>
      <c r="F1808" s="1">
        <v>43434</v>
      </c>
      <c r="G1808" s="1"/>
      <c r="H1808" t="s">
        <v>9</v>
      </c>
      <c r="I1808" t="s">
        <v>27</v>
      </c>
    </row>
    <row r="1809" spans="1:9" x14ac:dyDescent="0.25">
      <c r="A1809" t="s">
        <v>5370</v>
      </c>
      <c r="B1809" s="26" t="str">
        <f>MID(tbl_forecast[[#This Row],[PACE Job Number]],3,3)</f>
        <v>NTX</v>
      </c>
      <c r="C1809" t="s">
        <v>11</v>
      </c>
      <c r="D1809" s="1">
        <v>43423</v>
      </c>
      <c r="E1809" s="1">
        <v>43454</v>
      </c>
      <c r="F1809" s="1">
        <v>43454</v>
      </c>
      <c r="G1809" s="1"/>
      <c r="H1809" t="s">
        <v>4664</v>
      </c>
      <c r="I1809" t="s">
        <v>4665</v>
      </c>
    </row>
    <row r="1810" spans="1:9" x14ac:dyDescent="0.25">
      <c r="A1810" t="s">
        <v>4423</v>
      </c>
      <c r="B1810" s="26" t="str">
        <f>MID(tbl_forecast[[#This Row],[PACE Job Number]],3,3)</f>
        <v>NTX</v>
      </c>
      <c r="C1810" t="s">
        <v>11</v>
      </c>
      <c r="D1810" s="1">
        <v>43420</v>
      </c>
      <c r="E1810" s="1">
        <v>43420</v>
      </c>
      <c r="F1810" s="1">
        <v>43416</v>
      </c>
      <c r="G1810" s="1">
        <v>43416</v>
      </c>
      <c r="H1810" t="s">
        <v>9</v>
      </c>
      <c r="I1810" t="s">
        <v>10</v>
      </c>
    </row>
    <row r="1811" spans="1:9" x14ac:dyDescent="0.25">
      <c r="A1811" t="s">
        <v>5371</v>
      </c>
      <c r="B1811" s="26" t="str">
        <f>MID(tbl_forecast[[#This Row],[PACE Job Number]],3,3)</f>
        <v>NTX</v>
      </c>
      <c r="C1811" t="s">
        <v>11</v>
      </c>
      <c r="D1811" s="1">
        <v>43423</v>
      </c>
      <c r="E1811" s="1">
        <v>43454</v>
      </c>
      <c r="F1811" s="1">
        <v>43454</v>
      </c>
      <c r="G1811" s="1"/>
      <c r="H1811" t="s">
        <v>4664</v>
      </c>
      <c r="I1811" t="s">
        <v>4665</v>
      </c>
    </row>
    <row r="1812" spans="1:9" x14ac:dyDescent="0.25">
      <c r="A1812" t="s">
        <v>446</v>
      </c>
      <c r="B1812" s="26" t="str">
        <f>MID(tbl_forecast[[#This Row],[PACE Job Number]],3,3)</f>
        <v>NTX</v>
      </c>
      <c r="C1812" t="s">
        <v>11</v>
      </c>
      <c r="D1812" s="1">
        <v>43420</v>
      </c>
      <c r="E1812" s="1">
        <v>43420</v>
      </c>
      <c r="F1812" s="1">
        <v>43413</v>
      </c>
      <c r="G1812" s="1">
        <v>43413</v>
      </c>
      <c r="H1812" t="s">
        <v>9</v>
      </c>
      <c r="I1812" t="s">
        <v>10</v>
      </c>
    </row>
    <row r="1813" spans="1:9" x14ac:dyDescent="0.25">
      <c r="A1813" t="s">
        <v>4441</v>
      </c>
      <c r="B1813" s="26" t="str">
        <f>MID(tbl_forecast[[#This Row],[PACE Job Number]],3,3)</f>
        <v>NTX</v>
      </c>
      <c r="C1813" t="s">
        <v>11</v>
      </c>
      <c r="D1813" s="1">
        <v>43423</v>
      </c>
      <c r="E1813" s="1">
        <v>43444</v>
      </c>
      <c r="F1813" s="1">
        <v>43444</v>
      </c>
      <c r="G1813" s="1"/>
      <c r="H1813" t="s">
        <v>4664</v>
      </c>
      <c r="I1813" t="s">
        <v>4665</v>
      </c>
    </row>
    <row r="1814" spans="1:9" x14ac:dyDescent="0.25">
      <c r="A1814" t="s">
        <v>4442</v>
      </c>
      <c r="B1814" s="26" t="str">
        <f>MID(tbl_forecast[[#This Row],[PACE Job Number]],3,3)</f>
        <v>NTX</v>
      </c>
      <c r="C1814" t="s">
        <v>11</v>
      </c>
      <c r="D1814" s="1">
        <v>43418</v>
      </c>
      <c r="E1814" s="1">
        <v>43423</v>
      </c>
      <c r="F1814" s="1">
        <v>43416</v>
      </c>
      <c r="G1814" s="1">
        <v>43416</v>
      </c>
      <c r="H1814" t="s">
        <v>9</v>
      </c>
      <c r="I1814" t="s">
        <v>10</v>
      </c>
    </row>
    <row r="1815" spans="1:9" x14ac:dyDescent="0.25">
      <c r="A1815" t="s">
        <v>4443</v>
      </c>
      <c r="B1815" s="26" t="str">
        <f>MID(tbl_forecast[[#This Row],[PACE Job Number]],3,3)</f>
        <v>NTX</v>
      </c>
      <c r="C1815" t="s">
        <v>11</v>
      </c>
      <c r="D1815" s="1">
        <v>43420</v>
      </c>
      <c r="E1815" s="1">
        <v>43434</v>
      </c>
      <c r="F1815" s="1">
        <v>43434</v>
      </c>
      <c r="G1815" s="1"/>
      <c r="H1815" t="s">
        <v>9</v>
      </c>
      <c r="I1815" t="s">
        <v>27</v>
      </c>
    </row>
    <row r="1816" spans="1:9" x14ac:dyDescent="0.25">
      <c r="A1816" t="s">
        <v>4444</v>
      </c>
      <c r="B1816" s="26" t="str">
        <f>MID(tbl_forecast[[#This Row],[PACE Job Number]],3,3)</f>
        <v>NTX</v>
      </c>
      <c r="C1816" t="s">
        <v>11</v>
      </c>
      <c r="D1816" s="1">
        <v>43413</v>
      </c>
      <c r="E1816" s="1">
        <v>43423</v>
      </c>
      <c r="F1816" s="1">
        <v>43416</v>
      </c>
      <c r="G1816" s="1">
        <v>43416</v>
      </c>
      <c r="H1816" t="s">
        <v>9</v>
      </c>
      <c r="I1816" t="s">
        <v>10</v>
      </c>
    </row>
    <row r="1817" spans="1:9" x14ac:dyDescent="0.25">
      <c r="A1817" t="s">
        <v>5372</v>
      </c>
      <c r="B1817" s="26" t="str">
        <f>MID(tbl_forecast[[#This Row],[PACE Job Number]],3,3)</f>
        <v>NTX</v>
      </c>
      <c r="C1817" t="s">
        <v>11</v>
      </c>
      <c r="D1817" s="1">
        <v>43430</v>
      </c>
      <c r="E1817" s="1">
        <v>43437</v>
      </c>
      <c r="F1817" s="1">
        <v>43425</v>
      </c>
      <c r="G1817" s="1">
        <v>43425</v>
      </c>
      <c r="H1817" t="s">
        <v>9</v>
      </c>
      <c r="I1817" t="s">
        <v>10</v>
      </c>
    </row>
    <row r="1818" spans="1:9" x14ac:dyDescent="0.25">
      <c r="A1818" t="s">
        <v>2437</v>
      </c>
      <c r="B1818" s="26" t="str">
        <f>MID(tbl_forecast[[#This Row],[PACE Job Number]],3,3)</f>
        <v>NTX</v>
      </c>
      <c r="C1818" t="s">
        <v>11</v>
      </c>
      <c r="D1818" s="1">
        <v>43406</v>
      </c>
      <c r="E1818" s="1">
        <v>43419</v>
      </c>
      <c r="F1818" s="1">
        <v>43406</v>
      </c>
      <c r="G1818" s="1">
        <v>43406</v>
      </c>
      <c r="H1818" t="s">
        <v>9</v>
      </c>
      <c r="I1818" t="s">
        <v>10</v>
      </c>
    </row>
    <row r="1819" spans="1:9" x14ac:dyDescent="0.25">
      <c r="A1819" t="s">
        <v>4445</v>
      </c>
      <c r="B1819" s="26" t="str">
        <f>MID(tbl_forecast[[#This Row],[PACE Job Number]],3,3)</f>
        <v>NTX</v>
      </c>
      <c r="C1819" t="s">
        <v>11</v>
      </c>
      <c r="D1819" s="1">
        <v>43427</v>
      </c>
      <c r="E1819" s="1">
        <v>43427</v>
      </c>
      <c r="F1819" s="1">
        <v>43416</v>
      </c>
      <c r="G1819" s="1">
        <v>43416</v>
      </c>
      <c r="H1819" t="s">
        <v>9</v>
      </c>
      <c r="I1819" t="s">
        <v>10</v>
      </c>
    </row>
    <row r="1820" spans="1:9" x14ac:dyDescent="0.25">
      <c r="A1820" t="s">
        <v>4446</v>
      </c>
      <c r="B1820" s="26" t="str">
        <f>MID(tbl_forecast[[#This Row],[PACE Job Number]],3,3)</f>
        <v>NTX</v>
      </c>
      <c r="C1820" t="s">
        <v>11</v>
      </c>
      <c r="D1820" s="1">
        <v>43427</v>
      </c>
      <c r="E1820" s="1">
        <v>43431</v>
      </c>
      <c r="F1820" s="1">
        <v>43419</v>
      </c>
      <c r="G1820" s="1">
        <v>43419</v>
      </c>
      <c r="H1820" t="s">
        <v>9</v>
      </c>
      <c r="I1820" t="s">
        <v>10</v>
      </c>
    </row>
    <row r="1821" spans="1:9" x14ac:dyDescent="0.25">
      <c r="A1821" t="s">
        <v>4447</v>
      </c>
      <c r="B1821" s="26" t="str">
        <f>MID(tbl_forecast[[#This Row],[PACE Job Number]],3,3)</f>
        <v>NTX</v>
      </c>
      <c r="C1821" t="s">
        <v>11</v>
      </c>
      <c r="D1821" s="1">
        <v>43430</v>
      </c>
      <c r="E1821" s="1">
        <v>43430</v>
      </c>
      <c r="F1821" s="1">
        <v>43416</v>
      </c>
      <c r="G1821" s="1">
        <v>43416</v>
      </c>
      <c r="H1821" t="s">
        <v>9</v>
      </c>
      <c r="I1821" t="s">
        <v>10</v>
      </c>
    </row>
    <row r="1822" spans="1:9" x14ac:dyDescent="0.25">
      <c r="A1822" t="s">
        <v>4449</v>
      </c>
      <c r="B1822" s="26" t="str">
        <f>MID(tbl_forecast[[#This Row],[PACE Job Number]],3,3)</f>
        <v>NTX</v>
      </c>
      <c r="C1822" t="s">
        <v>11</v>
      </c>
      <c r="D1822" s="1">
        <v>43423</v>
      </c>
      <c r="E1822" s="1">
        <v>43423</v>
      </c>
      <c r="F1822" s="1">
        <v>43418</v>
      </c>
      <c r="G1822" s="1">
        <v>43418</v>
      </c>
      <c r="H1822" t="s">
        <v>9</v>
      </c>
      <c r="I1822" t="s">
        <v>10</v>
      </c>
    </row>
    <row r="1823" spans="1:9" x14ac:dyDescent="0.25">
      <c r="A1823" t="s">
        <v>4450</v>
      </c>
      <c r="B1823" s="26" t="str">
        <f>MID(tbl_forecast[[#This Row],[PACE Job Number]],3,3)</f>
        <v>NTX</v>
      </c>
      <c r="C1823" t="s">
        <v>11</v>
      </c>
      <c r="D1823" s="1">
        <v>43430</v>
      </c>
      <c r="E1823" s="1">
        <v>43452</v>
      </c>
      <c r="F1823" s="1">
        <v>43452</v>
      </c>
      <c r="G1823" s="1"/>
      <c r="H1823" t="s">
        <v>4664</v>
      </c>
      <c r="I1823" t="s">
        <v>4665</v>
      </c>
    </row>
    <row r="1824" spans="1:9" x14ac:dyDescent="0.25">
      <c r="A1824" t="s">
        <v>4451</v>
      </c>
      <c r="B1824" s="26" t="str">
        <f>MID(tbl_forecast[[#This Row],[PACE Job Number]],3,3)</f>
        <v>NTX</v>
      </c>
      <c r="C1824" t="s">
        <v>11</v>
      </c>
      <c r="D1824" s="1">
        <v>43423</v>
      </c>
      <c r="E1824" s="1">
        <v>43434</v>
      </c>
      <c r="F1824" s="1">
        <v>43434</v>
      </c>
      <c r="G1824" s="1"/>
      <c r="H1824" t="s">
        <v>9</v>
      </c>
      <c r="I1824" t="s">
        <v>27</v>
      </c>
    </row>
    <row r="1825" spans="1:9" x14ac:dyDescent="0.25">
      <c r="A1825" t="s">
        <v>5374</v>
      </c>
      <c r="B1825" s="26" t="str">
        <f>MID(tbl_forecast[[#This Row],[PACE Job Number]],3,3)</f>
        <v>NTX</v>
      </c>
      <c r="C1825" t="s">
        <v>11</v>
      </c>
      <c r="D1825" s="1">
        <v>43423</v>
      </c>
      <c r="E1825" s="1">
        <v>43423</v>
      </c>
      <c r="F1825" s="1">
        <v>43412</v>
      </c>
      <c r="G1825" s="1">
        <v>43412</v>
      </c>
      <c r="H1825" t="s">
        <v>9</v>
      </c>
      <c r="I1825" t="s">
        <v>10</v>
      </c>
    </row>
    <row r="1826" spans="1:9" x14ac:dyDescent="0.25">
      <c r="A1826" t="s">
        <v>5490</v>
      </c>
      <c r="B1826" s="26" t="str">
        <f>MID(tbl_forecast[[#This Row],[PACE Job Number]],3,3)</f>
        <v>NTX</v>
      </c>
      <c r="C1826" t="s">
        <v>11</v>
      </c>
      <c r="D1826" s="1">
        <v>43419</v>
      </c>
      <c r="E1826" s="1">
        <v>43419</v>
      </c>
      <c r="F1826" s="1">
        <v>43411</v>
      </c>
      <c r="G1826" s="1">
        <v>43411</v>
      </c>
      <c r="H1826" t="s">
        <v>9</v>
      </c>
      <c r="I1826" t="s">
        <v>10</v>
      </c>
    </row>
    <row r="1827" spans="1:9" x14ac:dyDescent="0.25">
      <c r="A1827" t="s">
        <v>5375</v>
      </c>
      <c r="B1827" s="26" t="str">
        <f>MID(tbl_forecast[[#This Row],[PACE Job Number]],3,3)</f>
        <v>NTX</v>
      </c>
      <c r="C1827" t="s">
        <v>11</v>
      </c>
      <c r="D1827" s="1">
        <v>43430</v>
      </c>
      <c r="E1827" s="1">
        <v>43437</v>
      </c>
      <c r="F1827" s="1">
        <v>43429</v>
      </c>
      <c r="G1827" s="1">
        <v>43429</v>
      </c>
      <c r="H1827" t="s">
        <v>9</v>
      </c>
      <c r="I1827" t="s">
        <v>10</v>
      </c>
    </row>
    <row r="1828" spans="1:9" x14ac:dyDescent="0.25">
      <c r="A1828" t="s">
        <v>392</v>
      </c>
      <c r="B1828" s="26" t="str">
        <f>MID(tbl_forecast[[#This Row],[PACE Job Number]],3,3)</f>
        <v>NTX</v>
      </c>
      <c r="C1828" t="s">
        <v>11</v>
      </c>
      <c r="D1828" s="1">
        <v>43406</v>
      </c>
      <c r="E1828" s="1">
        <v>43409</v>
      </c>
      <c r="F1828" s="1">
        <v>43406</v>
      </c>
      <c r="G1828" s="1">
        <v>43406</v>
      </c>
      <c r="H1828" t="s">
        <v>9</v>
      </c>
      <c r="I1828" t="s">
        <v>10</v>
      </c>
    </row>
    <row r="1829" spans="1:9" x14ac:dyDescent="0.25">
      <c r="A1829" t="s">
        <v>5376</v>
      </c>
      <c r="B1829" s="26" t="str">
        <f>MID(tbl_forecast[[#This Row],[PACE Job Number]],3,3)</f>
        <v>NTX</v>
      </c>
      <c r="C1829" t="s">
        <v>11</v>
      </c>
      <c r="D1829" s="1">
        <v>43430</v>
      </c>
      <c r="E1829" s="1">
        <v>43437</v>
      </c>
      <c r="F1829" s="1">
        <v>43429</v>
      </c>
      <c r="G1829" s="1">
        <v>43429</v>
      </c>
      <c r="H1829" t="s">
        <v>9</v>
      </c>
      <c r="I1829" t="s">
        <v>10</v>
      </c>
    </row>
    <row r="1830" spans="1:9" x14ac:dyDescent="0.25">
      <c r="A1830" t="s">
        <v>2291</v>
      </c>
      <c r="B1830" s="26" t="str">
        <f>MID(tbl_forecast[[#This Row],[PACE Job Number]],3,3)</f>
        <v>NTX</v>
      </c>
      <c r="C1830" t="s">
        <v>11</v>
      </c>
      <c r="D1830" s="1">
        <v>43430</v>
      </c>
      <c r="E1830" s="1">
        <v>43434</v>
      </c>
      <c r="F1830" s="1">
        <v>43434</v>
      </c>
      <c r="G1830" s="1"/>
      <c r="H1830" t="s">
        <v>9</v>
      </c>
      <c r="I1830" t="s">
        <v>27</v>
      </c>
    </row>
    <row r="1831" spans="1:9" x14ac:dyDescent="0.25">
      <c r="A1831" t="s">
        <v>5491</v>
      </c>
      <c r="B1831" s="26" t="str">
        <f>MID(tbl_forecast[[#This Row],[PACE Job Number]],3,3)</f>
        <v>NTX</v>
      </c>
      <c r="C1831" t="s">
        <v>11</v>
      </c>
      <c r="D1831" s="1">
        <v>43423</v>
      </c>
      <c r="E1831" s="1">
        <v>43423</v>
      </c>
      <c r="F1831" s="1">
        <v>43413</v>
      </c>
      <c r="G1831" s="1">
        <v>43413</v>
      </c>
      <c r="H1831" t="s">
        <v>9</v>
      </c>
      <c r="I1831" t="s">
        <v>10</v>
      </c>
    </row>
    <row r="1832" spans="1:9" x14ac:dyDescent="0.25">
      <c r="A1832" t="s">
        <v>5492</v>
      </c>
      <c r="B1832" s="26" t="str">
        <f>MID(tbl_forecast[[#This Row],[PACE Job Number]],3,3)</f>
        <v>NTX</v>
      </c>
      <c r="C1832" t="s">
        <v>11</v>
      </c>
      <c r="D1832" s="1">
        <v>43419</v>
      </c>
      <c r="E1832" s="1">
        <v>43419</v>
      </c>
      <c r="F1832" s="1">
        <v>43411</v>
      </c>
      <c r="G1832" s="1">
        <v>43411</v>
      </c>
      <c r="H1832" t="s">
        <v>9</v>
      </c>
      <c r="I1832" t="s">
        <v>10</v>
      </c>
    </row>
    <row r="1833" spans="1:9" x14ac:dyDescent="0.25">
      <c r="A1833" t="s">
        <v>2292</v>
      </c>
      <c r="B1833" s="26" t="str">
        <f>MID(tbl_forecast[[#This Row],[PACE Job Number]],3,3)</f>
        <v>NTX</v>
      </c>
      <c r="C1833" t="s">
        <v>11</v>
      </c>
      <c r="D1833" s="1">
        <v>43430</v>
      </c>
      <c r="E1833" s="1">
        <v>43438</v>
      </c>
      <c r="F1833" s="1">
        <v>43438</v>
      </c>
      <c r="G1833" s="1">
        <v>43432</v>
      </c>
      <c r="H1833" t="s">
        <v>9</v>
      </c>
      <c r="I1833" t="s">
        <v>10</v>
      </c>
    </row>
    <row r="1834" spans="1:9" x14ac:dyDescent="0.25">
      <c r="A1834" t="s">
        <v>2440</v>
      </c>
      <c r="B1834" s="26" t="str">
        <f>MID(tbl_forecast[[#This Row],[PACE Job Number]],3,3)</f>
        <v>NTX</v>
      </c>
      <c r="C1834" t="s">
        <v>11</v>
      </c>
      <c r="D1834" s="1">
        <v>43430</v>
      </c>
      <c r="E1834" s="1">
        <v>43448</v>
      </c>
      <c r="F1834" s="1">
        <v>43448</v>
      </c>
      <c r="G1834" s="1"/>
      <c r="H1834" t="s">
        <v>4664</v>
      </c>
      <c r="I1834" t="s">
        <v>4665</v>
      </c>
    </row>
    <row r="1835" spans="1:9" x14ac:dyDescent="0.25">
      <c r="A1835" t="s">
        <v>4452</v>
      </c>
      <c r="B1835" s="26" t="str">
        <f>MID(tbl_forecast[[#This Row],[PACE Job Number]],3,3)</f>
        <v>NTX</v>
      </c>
      <c r="C1835" t="s">
        <v>11</v>
      </c>
      <c r="D1835" s="1">
        <v>43430</v>
      </c>
      <c r="E1835" s="1">
        <v>43437</v>
      </c>
      <c r="F1835" s="1">
        <v>43437</v>
      </c>
      <c r="G1835" s="1"/>
      <c r="H1835" t="s">
        <v>9</v>
      </c>
      <c r="I1835" t="s">
        <v>27</v>
      </c>
    </row>
    <row r="1836" spans="1:9" x14ac:dyDescent="0.25">
      <c r="A1836" t="s">
        <v>5378</v>
      </c>
      <c r="B1836" s="26" t="str">
        <f>MID(tbl_forecast[[#This Row],[PACE Job Number]],3,3)</f>
        <v>NTX</v>
      </c>
      <c r="C1836" t="s">
        <v>11</v>
      </c>
      <c r="D1836" s="1">
        <v>43430</v>
      </c>
      <c r="E1836" s="1">
        <v>43437</v>
      </c>
      <c r="F1836" s="1">
        <v>43429</v>
      </c>
      <c r="G1836" s="1">
        <v>43429</v>
      </c>
      <c r="H1836" t="s">
        <v>9</v>
      </c>
      <c r="I1836" t="s">
        <v>10</v>
      </c>
    </row>
    <row r="1837" spans="1:9" x14ac:dyDescent="0.25">
      <c r="A1837" t="s">
        <v>5379</v>
      </c>
      <c r="B1837" s="26" t="str">
        <f>MID(tbl_forecast[[#This Row],[PACE Job Number]],3,3)</f>
        <v>NTX</v>
      </c>
      <c r="C1837" t="s">
        <v>11</v>
      </c>
      <c r="D1837" s="1">
        <v>43425</v>
      </c>
      <c r="E1837" s="1">
        <v>43438</v>
      </c>
      <c r="F1837" s="1">
        <v>43438</v>
      </c>
      <c r="G1837" s="1"/>
      <c r="H1837" t="s">
        <v>9</v>
      </c>
      <c r="I1837" t="s">
        <v>27</v>
      </c>
    </row>
    <row r="1838" spans="1:9" x14ac:dyDescent="0.25">
      <c r="A1838" t="s">
        <v>5380</v>
      </c>
      <c r="B1838" s="26" t="str">
        <f>MID(tbl_forecast[[#This Row],[PACE Job Number]],3,3)</f>
        <v>NTX</v>
      </c>
      <c r="C1838" t="s">
        <v>11</v>
      </c>
      <c r="D1838" s="1">
        <v>43430</v>
      </c>
      <c r="E1838" s="1">
        <v>43448</v>
      </c>
      <c r="F1838" s="1">
        <v>43448</v>
      </c>
      <c r="G1838" s="1"/>
      <c r="H1838" t="s">
        <v>4664</v>
      </c>
      <c r="I1838" t="s">
        <v>4665</v>
      </c>
    </row>
    <row r="1839" spans="1:9" x14ac:dyDescent="0.25">
      <c r="A1839" t="s">
        <v>5493</v>
      </c>
      <c r="B1839" s="26" t="str">
        <f>MID(tbl_forecast[[#This Row],[PACE Job Number]],3,3)</f>
        <v>NTX</v>
      </c>
      <c r="C1839" t="s">
        <v>11</v>
      </c>
      <c r="D1839" s="1">
        <v>43423</v>
      </c>
      <c r="E1839" s="1">
        <v>43423</v>
      </c>
      <c r="F1839" s="1">
        <v>43413</v>
      </c>
      <c r="G1839" s="1">
        <v>43413</v>
      </c>
      <c r="H1839" t="s">
        <v>9</v>
      </c>
      <c r="I1839" t="s">
        <v>10</v>
      </c>
    </row>
    <row r="1840" spans="1:9" x14ac:dyDescent="0.25">
      <c r="A1840" t="s">
        <v>5494</v>
      </c>
      <c r="B1840" s="26" t="str">
        <f>MID(tbl_forecast[[#This Row],[PACE Job Number]],3,3)</f>
        <v>NTX</v>
      </c>
      <c r="C1840" t="s">
        <v>11</v>
      </c>
      <c r="D1840" s="1">
        <v>43423</v>
      </c>
      <c r="E1840" s="1">
        <v>43423</v>
      </c>
      <c r="F1840" s="1">
        <v>43413</v>
      </c>
      <c r="G1840" s="1">
        <v>43413</v>
      </c>
      <c r="H1840" t="s">
        <v>9</v>
      </c>
      <c r="I1840" t="s">
        <v>10</v>
      </c>
    </row>
    <row r="1841" spans="1:9" x14ac:dyDescent="0.25">
      <c r="A1841" t="s">
        <v>4455</v>
      </c>
      <c r="B1841" s="26" t="str">
        <f>MID(tbl_forecast[[#This Row],[PACE Job Number]],3,3)</f>
        <v>NTX</v>
      </c>
      <c r="C1841" t="s">
        <v>11</v>
      </c>
      <c r="D1841" s="1">
        <v>43430</v>
      </c>
      <c r="E1841" s="1">
        <v>43437</v>
      </c>
      <c r="F1841" s="1">
        <v>43437</v>
      </c>
      <c r="G1841" s="1"/>
      <c r="H1841" t="s">
        <v>9</v>
      </c>
      <c r="I1841" t="s">
        <v>27</v>
      </c>
    </row>
    <row r="1842" spans="1:9" x14ac:dyDescent="0.25">
      <c r="A1842" t="s">
        <v>5381</v>
      </c>
      <c r="B1842" s="26" t="str">
        <f>MID(tbl_forecast[[#This Row],[PACE Job Number]],3,3)</f>
        <v>NTX</v>
      </c>
      <c r="C1842" t="s">
        <v>11</v>
      </c>
      <c r="D1842" s="1">
        <v>43430</v>
      </c>
      <c r="E1842" s="1">
        <v>43448</v>
      </c>
      <c r="F1842" s="1">
        <v>43448</v>
      </c>
      <c r="G1842" s="1"/>
      <c r="H1842" t="s">
        <v>4664</v>
      </c>
      <c r="I1842" t="s">
        <v>4665</v>
      </c>
    </row>
    <row r="1843" spans="1:9" x14ac:dyDescent="0.25">
      <c r="A1843" t="s">
        <v>5382</v>
      </c>
      <c r="B1843" s="26" t="str">
        <f>MID(tbl_forecast[[#This Row],[PACE Job Number]],3,3)</f>
        <v>NTX</v>
      </c>
      <c r="C1843" t="s">
        <v>11</v>
      </c>
      <c r="D1843" s="1">
        <v>43425</v>
      </c>
      <c r="E1843" s="1">
        <v>43438</v>
      </c>
      <c r="F1843" s="1">
        <v>43438</v>
      </c>
      <c r="G1843" s="1"/>
      <c r="H1843" t="s">
        <v>9</v>
      </c>
      <c r="I1843" t="s">
        <v>27</v>
      </c>
    </row>
    <row r="1844" spans="1:9" x14ac:dyDescent="0.25">
      <c r="A1844" t="s">
        <v>2293</v>
      </c>
      <c r="B1844" s="26" t="str">
        <f>MID(tbl_forecast[[#This Row],[PACE Job Number]],3,3)</f>
        <v>NTX</v>
      </c>
      <c r="C1844" t="s">
        <v>11</v>
      </c>
      <c r="D1844" s="1">
        <v>43430</v>
      </c>
      <c r="E1844" s="1">
        <v>43434</v>
      </c>
      <c r="F1844" s="1">
        <v>43434</v>
      </c>
      <c r="G1844" s="1"/>
      <c r="H1844" t="s">
        <v>9</v>
      </c>
      <c r="I1844" t="s">
        <v>27</v>
      </c>
    </row>
    <row r="1845" spans="1:9" x14ac:dyDescent="0.25">
      <c r="A1845" t="s">
        <v>5383</v>
      </c>
      <c r="B1845" s="26" t="str">
        <f>MID(tbl_forecast[[#This Row],[PACE Job Number]],3,3)</f>
        <v>NTX</v>
      </c>
      <c r="C1845" t="s">
        <v>11</v>
      </c>
      <c r="D1845" s="1">
        <v>43430</v>
      </c>
      <c r="E1845" s="1">
        <v>43448</v>
      </c>
      <c r="F1845" s="1">
        <v>43448</v>
      </c>
      <c r="G1845" s="1"/>
      <c r="H1845" t="s">
        <v>4664</v>
      </c>
      <c r="I1845" t="s">
        <v>4665</v>
      </c>
    </row>
    <row r="1846" spans="1:9" x14ac:dyDescent="0.25">
      <c r="A1846" t="s">
        <v>435</v>
      </c>
      <c r="B1846" s="26" t="str">
        <f>MID(tbl_forecast[[#This Row],[PACE Job Number]],3,3)</f>
        <v>NTX</v>
      </c>
      <c r="C1846" t="s">
        <v>11</v>
      </c>
      <c r="D1846" s="1">
        <v>43406</v>
      </c>
      <c r="E1846" s="1">
        <v>43409</v>
      </c>
      <c r="F1846" s="1">
        <v>43406</v>
      </c>
      <c r="G1846" s="1">
        <v>43406</v>
      </c>
      <c r="H1846" t="s">
        <v>9</v>
      </c>
      <c r="I1846" t="s">
        <v>10</v>
      </c>
    </row>
    <row r="1847" spans="1:9" x14ac:dyDescent="0.25">
      <c r="A1847" t="s">
        <v>2441</v>
      </c>
      <c r="B1847" s="26" t="str">
        <f>MID(tbl_forecast[[#This Row],[PACE Job Number]],3,3)</f>
        <v>NTX</v>
      </c>
      <c r="C1847" t="s">
        <v>11</v>
      </c>
      <c r="D1847" s="1">
        <v>43430</v>
      </c>
      <c r="E1847" s="1">
        <v>43448</v>
      </c>
      <c r="F1847" s="1">
        <v>43448</v>
      </c>
      <c r="G1847" s="1"/>
      <c r="H1847" t="s">
        <v>4664</v>
      </c>
      <c r="I1847" t="s">
        <v>4665</v>
      </c>
    </row>
    <row r="1848" spans="1:9" x14ac:dyDescent="0.25">
      <c r="A1848" t="s">
        <v>5384</v>
      </c>
      <c r="B1848" s="26" t="str">
        <f>MID(tbl_forecast[[#This Row],[PACE Job Number]],3,3)</f>
        <v>NTX</v>
      </c>
      <c r="C1848" t="s">
        <v>11</v>
      </c>
      <c r="D1848" s="1">
        <v>43430</v>
      </c>
      <c r="E1848" s="1">
        <v>43437</v>
      </c>
      <c r="F1848" s="1">
        <v>43429</v>
      </c>
      <c r="G1848" s="1">
        <v>43429</v>
      </c>
      <c r="H1848" t="s">
        <v>9</v>
      </c>
      <c r="I1848" t="s">
        <v>10</v>
      </c>
    </row>
    <row r="1849" spans="1:9" x14ac:dyDescent="0.25">
      <c r="A1849" t="s">
        <v>5385</v>
      </c>
      <c r="B1849" s="26" t="str">
        <f>MID(tbl_forecast[[#This Row],[PACE Job Number]],3,3)</f>
        <v>NTX</v>
      </c>
      <c r="C1849" t="s">
        <v>11</v>
      </c>
      <c r="D1849" s="1">
        <v>43430</v>
      </c>
      <c r="E1849" s="1">
        <v>43448</v>
      </c>
      <c r="F1849" s="1">
        <v>43448</v>
      </c>
      <c r="G1849" s="1"/>
      <c r="H1849" t="s">
        <v>4664</v>
      </c>
      <c r="I1849" t="s">
        <v>4665</v>
      </c>
    </row>
    <row r="1850" spans="1:9" x14ac:dyDescent="0.25">
      <c r="A1850" t="s">
        <v>3473</v>
      </c>
      <c r="B1850" s="26" t="str">
        <f>MID(tbl_forecast[[#This Row],[PACE Job Number]],3,3)</f>
        <v>NTX</v>
      </c>
      <c r="C1850" t="s">
        <v>11</v>
      </c>
      <c r="D1850" s="1">
        <v>43420</v>
      </c>
      <c r="E1850" s="1">
        <v>43444</v>
      </c>
      <c r="F1850" s="1">
        <v>43444</v>
      </c>
      <c r="G1850" s="1"/>
      <c r="H1850" t="s">
        <v>4664</v>
      </c>
      <c r="I1850" t="s">
        <v>5645</v>
      </c>
    </row>
    <row r="1851" spans="1:9" x14ac:dyDescent="0.25">
      <c r="A1851" t="s">
        <v>2442</v>
      </c>
      <c r="B1851" s="26" t="str">
        <f>MID(tbl_forecast[[#This Row],[PACE Job Number]],3,3)</f>
        <v>NTX</v>
      </c>
      <c r="C1851" t="s">
        <v>11</v>
      </c>
      <c r="D1851" s="1">
        <v>43433</v>
      </c>
      <c r="E1851" s="1">
        <v>43448</v>
      </c>
      <c r="F1851" s="1">
        <v>43448</v>
      </c>
      <c r="G1851" s="1"/>
      <c r="H1851" t="s">
        <v>4664</v>
      </c>
      <c r="I1851" t="s">
        <v>4665</v>
      </c>
    </row>
    <row r="1852" spans="1:9" x14ac:dyDescent="0.25">
      <c r="A1852" t="s">
        <v>5386</v>
      </c>
      <c r="B1852" s="26" t="str">
        <f>MID(tbl_forecast[[#This Row],[PACE Job Number]],3,3)</f>
        <v>NTX</v>
      </c>
      <c r="C1852" t="s">
        <v>11</v>
      </c>
      <c r="D1852" s="1">
        <v>43430</v>
      </c>
      <c r="E1852" s="1">
        <v>43444</v>
      </c>
      <c r="F1852" s="1">
        <v>43444</v>
      </c>
      <c r="G1852" s="1"/>
      <c r="H1852" t="s">
        <v>9</v>
      </c>
      <c r="I1852" t="s">
        <v>27</v>
      </c>
    </row>
    <row r="1853" spans="1:9" x14ac:dyDescent="0.25">
      <c r="A1853" t="s">
        <v>2444</v>
      </c>
      <c r="B1853" s="26" t="str">
        <f>MID(tbl_forecast[[#This Row],[PACE Job Number]],3,3)</f>
        <v>NTX</v>
      </c>
      <c r="C1853" t="s">
        <v>11</v>
      </c>
      <c r="D1853" s="1">
        <v>43433</v>
      </c>
      <c r="E1853" s="1">
        <v>43448</v>
      </c>
      <c r="F1853" s="1">
        <v>43448</v>
      </c>
      <c r="G1853" s="1"/>
      <c r="H1853" t="s">
        <v>4664</v>
      </c>
      <c r="I1853" t="s">
        <v>4665</v>
      </c>
    </row>
    <row r="1854" spans="1:9" x14ac:dyDescent="0.25">
      <c r="A1854" t="s">
        <v>4457</v>
      </c>
      <c r="B1854" s="26" t="str">
        <f>MID(tbl_forecast[[#This Row],[PACE Job Number]],3,3)</f>
        <v>NTX</v>
      </c>
      <c r="C1854" t="s">
        <v>11</v>
      </c>
      <c r="D1854" s="1">
        <v>43427</v>
      </c>
      <c r="E1854" s="1">
        <v>43437</v>
      </c>
      <c r="F1854" s="1">
        <v>43432</v>
      </c>
      <c r="G1854" s="1">
        <v>43432</v>
      </c>
      <c r="H1854" t="s">
        <v>9</v>
      </c>
      <c r="I1854" t="s">
        <v>10</v>
      </c>
    </row>
    <row r="1855" spans="1:9" x14ac:dyDescent="0.25">
      <c r="A1855" t="s">
        <v>2445</v>
      </c>
      <c r="B1855" s="26" t="str">
        <f>MID(tbl_forecast[[#This Row],[PACE Job Number]],3,3)</f>
        <v>NTX</v>
      </c>
      <c r="C1855" t="s">
        <v>11</v>
      </c>
      <c r="D1855" s="1">
        <v>43433</v>
      </c>
      <c r="E1855" s="1">
        <v>43448</v>
      </c>
      <c r="F1855" s="1">
        <v>43448</v>
      </c>
      <c r="G1855" s="1"/>
      <c r="H1855" t="s">
        <v>4664</v>
      </c>
      <c r="I1855" t="s">
        <v>4665</v>
      </c>
    </row>
    <row r="1856" spans="1:9" x14ac:dyDescent="0.25">
      <c r="A1856" t="s">
        <v>118</v>
      </c>
      <c r="B1856" s="26" t="str">
        <f>MID(tbl_forecast[[#This Row],[PACE Job Number]],3,3)</f>
        <v>NTX</v>
      </c>
      <c r="C1856" t="s">
        <v>11</v>
      </c>
      <c r="D1856" s="1">
        <v>43423</v>
      </c>
      <c r="E1856" s="1">
        <v>43451</v>
      </c>
      <c r="F1856" s="1">
        <v>43451</v>
      </c>
      <c r="G1856" s="1"/>
      <c r="H1856" t="s">
        <v>4664</v>
      </c>
      <c r="I1856" t="s">
        <v>4665</v>
      </c>
    </row>
    <row r="1857" spans="1:9" x14ac:dyDescent="0.25">
      <c r="A1857" t="s">
        <v>5495</v>
      </c>
      <c r="B1857" s="26" t="str">
        <f>MID(tbl_forecast[[#This Row],[PACE Job Number]],3,3)</f>
        <v>NTX</v>
      </c>
      <c r="C1857" t="s">
        <v>11</v>
      </c>
      <c r="D1857" s="1">
        <v>43432</v>
      </c>
      <c r="E1857" s="1">
        <v>36524</v>
      </c>
      <c r="F1857" s="1">
        <v>43409</v>
      </c>
      <c r="G1857" s="1">
        <v>43409</v>
      </c>
      <c r="H1857" t="s">
        <v>9</v>
      </c>
      <c r="I1857" t="s">
        <v>10</v>
      </c>
    </row>
    <row r="1858" spans="1:9" x14ac:dyDescent="0.25">
      <c r="A1858" t="s">
        <v>4458</v>
      </c>
      <c r="B1858" s="26" t="str">
        <f>MID(tbl_forecast[[#This Row],[PACE Job Number]],3,3)</f>
        <v>NTX</v>
      </c>
      <c r="C1858" t="s">
        <v>11</v>
      </c>
      <c r="D1858" s="1">
        <v>43427</v>
      </c>
      <c r="E1858" s="1">
        <v>43437</v>
      </c>
      <c r="F1858" s="1">
        <v>43437</v>
      </c>
      <c r="G1858" s="1"/>
      <c r="H1858" t="s">
        <v>9</v>
      </c>
      <c r="I1858" t="s">
        <v>27</v>
      </c>
    </row>
    <row r="1859" spans="1:9" x14ac:dyDescent="0.25">
      <c r="A1859" t="s">
        <v>4459</v>
      </c>
      <c r="B1859" s="26" t="str">
        <f>MID(tbl_forecast[[#This Row],[PACE Job Number]],3,3)</f>
        <v>NTX</v>
      </c>
      <c r="C1859" t="s">
        <v>11</v>
      </c>
      <c r="D1859" s="1">
        <v>43420</v>
      </c>
      <c r="E1859" s="1">
        <v>43434</v>
      </c>
      <c r="F1859" s="1">
        <v>43432</v>
      </c>
      <c r="G1859" s="1">
        <v>43432</v>
      </c>
      <c r="H1859" t="s">
        <v>9</v>
      </c>
      <c r="I1859" t="s">
        <v>10</v>
      </c>
    </row>
    <row r="1860" spans="1:9" x14ac:dyDescent="0.25">
      <c r="A1860" t="s">
        <v>3375</v>
      </c>
      <c r="B1860" s="26" t="str">
        <f>MID(tbl_forecast[[#This Row],[PACE Job Number]],3,3)</f>
        <v>NTX</v>
      </c>
      <c r="C1860" t="s">
        <v>11</v>
      </c>
      <c r="D1860" s="1">
        <v>43409</v>
      </c>
      <c r="E1860" s="1">
        <v>43418</v>
      </c>
      <c r="F1860" s="1">
        <v>43420</v>
      </c>
      <c r="G1860" s="1">
        <v>43420</v>
      </c>
      <c r="H1860" t="s">
        <v>9</v>
      </c>
      <c r="I1860" t="s">
        <v>10</v>
      </c>
    </row>
    <row r="1861" spans="1:9" x14ac:dyDescent="0.25">
      <c r="A1861" t="s">
        <v>4461</v>
      </c>
      <c r="B1861" s="26" t="str">
        <f>MID(tbl_forecast[[#This Row],[PACE Job Number]],3,3)</f>
        <v>NTX</v>
      </c>
      <c r="C1861" t="s">
        <v>11</v>
      </c>
      <c r="D1861" s="1">
        <v>43427</v>
      </c>
      <c r="E1861" s="1">
        <v>43427</v>
      </c>
      <c r="F1861" s="1">
        <v>43418</v>
      </c>
      <c r="G1861" s="1">
        <v>43418</v>
      </c>
      <c r="H1861" t="s">
        <v>9</v>
      </c>
      <c r="I1861" t="s">
        <v>10</v>
      </c>
    </row>
    <row r="1862" spans="1:9" x14ac:dyDescent="0.25">
      <c r="A1862" t="s">
        <v>342</v>
      </c>
      <c r="B1862" s="26" t="str">
        <f>MID(tbl_forecast[[#This Row],[PACE Job Number]],3,3)</f>
        <v>NTX</v>
      </c>
      <c r="C1862" t="s">
        <v>11</v>
      </c>
      <c r="D1862" s="1">
        <v>43423</v>
      </c>
      <c r="E1862" s="1">
        <v>43438</v>
      </c>
      <c r="F1862" s="1">
        <v>43429</v>
      </c>
      <c r="G1862" s="1">
        <v>43429</v>
      </c>
      <c r="H1862" t="s">
        <v>9</v>
      </c>
      <c r="I1862" t="s">
        <v>10</v>
      </c>
    </row>
    <row r="1863" spans="1:9" x14ac:dyDescent="0.25">
      <c r="A1863" t="s">
        <v>2447</v>
      </c>
      <c r="B1863" s="26" t="str">
        <f>MID(tbl_forecast[[#This Row],[PACE Job Number]],3,3)</f>
        <v>NTX</v>
      </c>
      <c r="C1863" t="s">
        <v>11</v>
      </c>
      <c r="D1863" s="1">
        <v>43430</v>
      </c>
      <c r="E1863" s="1">
        <v>43430</v>
      </c>
      <c r="F1863" s="1">
        <v>43429</v>
      </c>
      <c r="G1863" s="1">
        <v>43429</v>
      </c>
      <c r="H1863" t="s">
        <v>9</v>
      </c>
      <c r="I1863" t="s">
        <v>10</v>
      </c>
    </row>
    <row r="1864" spans="1:9" x14ac:dyDescent="0.25">
      <c r="A1864" t="s">
        <v>471</v>
      </c>
      <c r="B1864" s="26" t="str">
        <f>MID(tbl_forecast[[#This Row],[PACE Job Number]],3,3)</f>
        <v>NTX</v>
      </c>
      <c r="C1864" t="s">
        <v>11</v>
      </c>
      <c r="D1864" s="1">
        <v>43427</v>
      </c>
      <c r="E1864" s="1">
        <v>43438</v>
      </c>
      <c r="F1864" s="1">
        <v>43438</v>
      </c>
      <c r="G1864" s="1"/>
      <c r="H1864" t="s">
        <v>9</v>
      </c>
      <c r="I1864" t="s">
        <v>27</v>
      </c>
    </row>
    <row r="1865" spans="1:9" x14ac:dyDescent="0.25">
      <c r="A1865" t="s">
        <v>5388</v>
      </c>
      <c r="B1865" s="26" t="str">
        <f>MID(tbl_forecast[[#This Row],[PACE Job Number]],3,3)</f>
        <v>NTX</v>
      </c>
      <c r="C1865" t="s">
        <v>11</v>
      </c>
      <c r="D1865" s="1">
        <v>43433</v>
      </c>
      <c r="E1865" s="1">
        <v>43451</v>
      </c>
      <c r="F1865" s="1">
        <v>43451</v>
      </c>
      <c r="G1865" s="1"/>
      <c r="H1865" t="s">
        <v>4664</v>
      </c>
      <c r="I1865" t="s">
        <v>4665</v>
      </c>
    </row>
    <row r="1866" spans="1:9" x14ac:dyDescent="0.25">
      <c r="A1866" t="s">
        <v>4418</v>
      </c>
      <c r="B1866" s="26" t="str">
        <f>MID(tbl_forecast[[#This Row],[PACE Job Number]],3,3)</f>
        <v>NTX</v>
      </c>
      <c r="C1866" t="s">
        <v>11</v>
      </c>
      <c r="D1866" s="1">
        <v>43430</v>
      </c>
      <c r="E1866" s="1">
        <v>43448</v>
      </c>
      <c r="F1866" s="1">
        <v>43448</v>
      </c>
      <c r="G1866" s="1"/>
      <c r="H1866" t="s">
        <v>4664</v>
      </c>
      <c r="I1866" t="s">
        <v>4665</v>
      </c>
    </row>
    <row r="1867" spans="1:9" x14ac:dyDescent="0.25">
      <c r="A1867" t="s">
        <v>768</v>
      </c>
      <c r="B1867" s="26" t="str">
        <f>MID(tbl_forecast[[#This Row],[PACE Job Number]],3,3)</f>
        <v>NTX</v>
      </c>
      <c r="C1867" t="s">
        <v>11</v>
      </c>
      <c r="D1867" s="1">
        <v>43430</v>
      </c>
      <c r="E1867" s="1">
        <v>43448</v>
      </c>
      <c r="F1867" s="1">
        <v>43448</v>
      </c>
      <c r="G1867" s="1"/>
      <c r="H1867" t="s">
        <v>4664</v>
      </c>
      <c r="I1867" t="s">
        <v>4665</v>
      </c>
    </row>
    <row r="1868" spans="1:9" x14ac:dyDescent="0.25">
      <c r="A1868" t="s">
        <v>3797</v>
      </c>
      <c r="B1868" s="26" t="str">
        <f>MID(tbl_forecast[[#This Row],[PACE Job Number]],3,3)</f>
        <v>NTX</v>
      </c>
      <c r="C1868" t="s">
        <v>11</v>
      </c>
      <c r="D1868" s="1">
        <v>43430</v>
      </c>
      <c r="E1868" s="1">
        <v>43495</v>
      </c>
      <c r="F1868" s="1">
        <v>43495</v>
      </c>
      <c r="G1868" s="1"/>
      <c r="H1868" t="s">
        <v>4664</v>
      </c>
      <c r="I1868" t="s">
        <v>4665</v>
      </c>
    </row>
    <row r="1869" spans="1:9" x14ac:dyDescent="0.25">
      <c r="A1869" t="s">
        <v>5389</v>
      </c>
      <c r="B1869" s="26" t="str">
        <f>MID(tbl_forecast[[#This Row],[PACE Job Number]],3,3)</f>
        <v>NTX</v>
      </c>
      <c r="C1869" t="s">
        <v>11</v>
      </c>
      <c r="D1869" s="1">
        <v>43430</v>
      </c>
      <c r="E1869" s="1">
        <v>43451</v>
      </c>
      <c r="F1869" s="1">
        <v>43451</v>
      </c>
      <c r="G1869" s="1"/>
      <c r="H1869" t="s">
        <v>4664</v>
      </c>
      <c r="I1869" t="s">
        <v>4665</v>
      </c>
    </row>
    <row r="1870" spans="1:9" x14ac:dyDescent="0.25">
      <c r="A1870" t="s">
        <v>4419</v>
      </c>
      <c r="B1870" s="26" t="str">
        <f>MID(tbl_forecast[[#This Row],[PACE Job Number]],3,3)</f>
        <v>NTX</v>
      </c>
      <c r="C1870" t="s">
        <v>11</v>
      </c>
      <c r="D1870" s="1">
        <v>43427</v>
      </c>
      <c r="E1870" s="1">
        <v>43437</v>
      </c>
      <c r="F1870" s="1">
        <v>43432</v>
      </c>
      <c r="G1870" s="1">
        <v>43432</v>
      </c>
      <c r="H1870" t="s">
        <v>9</v>
      </c>
      <c r="I1870" t="s">
        <v>10</v>
      </c>
    </row>
    <row r="1871" spans="1:9" x14ac:dyDescent="0.25">
      <c r="A1871" t="s">
        <v>3969</v>
      </c>
      <c r="B1871" s="26" t="str">
        <f>MID(tbl_forecast[[#This Row],[PACE Job Number]],3,3)</f>
        <v>NTX</v>
      </c>
      <c r="C1871" t="s">
        <v>11</v>
      </c>
      <c r="D1871" s="1">
        <v>43412</v>
      </c>
      <c r="E1871" s="1">
        <v>43412</v>
      </c>
      <c r="F1871" s="1">
        <v>43409</v>
      </c>
      <c r="G1871" s="1">
        <v>43409</v>
      </c>
      <c r="H1871" t="s">
        <v>9</v>
      </c>
      <c r="I1871" t="s">
        <v>10</v>
      </c>
    </row>
    <row r="1872" spans="1:9" x14ac:dyDescent="0.25">
      <c r="A1872" t="s">
        <v>1891</v>
      </c>
      <c r="B1872" s="26" t="str">
        <f>MID(tbl_forecast[[#This Row],[PACE Job Number]],3,3)</f>
        <v>NTX</v>
      </c>
      <c r="C1872" t="s">
        <v>11</v>
      </c>
      <c r="D1872" s="1">
        <v>43420</v>
      </c>
      <c r="E1872" s="1">
        <v>43434</v>
      </c>
      <c r="F1872" s="1">
        <v>43434</v>
      </c>
      <c r="G1872" s="1"/>
      <c r="H1872" t="s">
        <v>9</v>
      </c>
      <c r="I1872" t="s">
        <v>27</v>
      </c>
    </row>
    <row r="1873" spans="1:9" x14ac:dyDescent="0.25">
      <c r="A1873" t="s">
        <v>3506</v>
      </c>
      <c r="B1873" s="26" t="str">
        <f>MID(tbl_forecast[[#This Row],[PACE Job Number]],3,3)</f>
        <v>NTX</v>
      </c>
      <c r="C1873" t="s">
        <v>11</v>
      </c>
      <c r="D1873" s="1">
        <v>43420</v>
      </c>
      <c r="E1873" s="1">
        <v>43444</v>
      </c>
      <c r="F1873" s="1">
        <v>43444</v>
      </c>
      <c r="G1873" s="1"/>
      <c r="H1873" t="s">
        <v>4664</v>
      </c>
      <c r="I1873" t="s">
        <v>5645</v>
      </c>
    </row>
    <row r="1874" spans="1:9" x14ac:dyDescent="0.25">
      <c r="A1874" t="s">
        <v>5390</v>
      </c>
      <c r="B1874" s="26" t="str">
        <f>MID(tbl_forecast[[#This Row],[PACE Job Number]],3,3)</f>
        <v>NTX</v>
      </c>
      <c r="C1874" t="s">
        <v>11</v>
      </c>
      <c r="D1874" s="1">
        <v>43430</v>
      </c>
      <c r="E1874" s="1">
        <v>43444</v>
      </c>
      <c r="F1874" s="1">
        <v>43444</v>
      </c>
      <c r="G1874" s="1"/>
      <c r="H1874" t="s">
        <v>9</v>
      </c>
      <c r="I1874" t="s">
        <v>27</v>
      </c>
    </row>
    <row r="1875" spans="1:9" x14ac:dyDescent="0.25">
      <c r="A1875" t="s">
        <v>4433</v>
      </c>
      <c r="B1875" s="26" t="str">
        <f>MID(tbl_forecast[[#This Row],[PACE Job Number]],3,3)</f>
        <v>NTX</v>
      </c>
      <c r="C1875" t="s">
        <v>11</v>
      </c>
      <c r="D1875" s="1">
        <v>43409</v>
      </c>
      <c r="E1875" s="1">
        <v>43409</v>
      </c>
      <c r="F1875" s="1">
        <v>43410</v>
      </c>
      <c r="G1875" s="1">
        <v>43410</v>
      </c>
      <c r="H1875" t="s">
        <v>9</v>
      </c>
      <c r="I1875" t="s">
        <v>10</v>
      </c>
    </row>
    <row r="1876" spans="1:9" x14ac:dyDescent="0.25">
      <c r="A1876" t="s">
        <v>3376</v>
      </c>
      <c r="B1876" s="26" t="str">
        <f>MID(tbl_forecast[[#This Row],[PACE Job Number]],3,3)</f>
        <v>NTX</v>
      </c>
      <c r="C1876" t="s">
        <v>11</v>
      </c>
      <c r="D1876" s="1">
        <v>43423</v>
      </c>
      <c r="E1876" s="1">
        <v>43423</v>
      </c>
      <c r="F1876" s="1">
        <v>43419</v>
      </c>
      <c r="G1876" s="1">
        <v>43419</v>
      </c>
      <c r="H1876" t="s">
        <v>9</v>
      </c>
      <c r="I1876" t="s">
        <v>10</v>
      </c>
    </row>
    <row r="1877" spans="1:9" x14ac:dyDescent="0.25">
      <c r="A1877" t="s">
        <v>5391</v>
      </c>
      <c r="B1877" s="26" t="str">
        <f>MID(tbl_forecast[[#This Row],[PACE Job Number]],3,3)</f>
        <v>NTX</v>
      </c>
      <c r="C1877" t="s">
        <v>11</v>
      </c>
      <c r="D1877" s="1">
        <v>43430</v>
      </c>
      <c r="E1877" s="1">
        <v>43455</v>
      </c>
      <c r="F1877" s="1">
        <v>43455</v>
      </c>
      <c r="G1877" s="1"/>
      <c r="H1877" t="s">
        <v>4664</v>
      </c>
      <c r="I1877" t="s">
        <v>4665</v>
      </c>
    </row>
    <row r="1878" spans="1:9" x14ac:dyDescent="0.25">
      <c r="A1878" t="s">
        <v>2147</v>
      </c>
      <c r="B1878" s="26" t="str">
        <f>MID(tbl_forecast[[#This Row],[PACE Job Number]],3,3)</f>
        <v>NTX</v>
      </c>
      <c r="C1878" t="s">
        <v>11</v>
      </c>
      <c r="D1878" s="1">
        <v>43418</v>
      </c>
      <c r="E1878" s="1">
        <v>43418</v>
      </c>
      <c r="F1878" s="1">
        <v>43409</v>
      </c>
      <c r="G1878" s="1">
        <v>43409</v>
      </c>
      <c r="H1878" t="s">
        <v>9</v>
      </c>
      <c r="I1878" t="s">
        <v>10</v>
      </c>
    </row>
    <row r="1879" spans="1:9" x14ac:dyDescent="0.25">
      <c r="A1879" t="s">
        <v>2330</v>
      </c>
      <c r="B1879" s="26" t="str">
        <f>MID(tbl_forecast[[#This Row],[PACE Job Number]],3,3)</f>
        <v>NTX</v>
      </c>
      <c r="C1879" t="s">
        <v>11</v>
      </c>
      <c r="D1879" s="1">
        <v>43433</v>
      </c>
      <c r="E1879" s="1">
        <v>43448</v>
      </c>
      <c r="F1879" s="1">
        <v>43448</v>
      </c>
      <c r="G1879" s="1"/>
      <c r="H1879" t="s">
        <v>4664</v>
      </c>
      <c r="I1879" t="s">
        <v>4665</v>
      </c>
    </row>
    <row r="1880" spans="1:9" x14ac:dyDescent="0.25">
      <c r="A1880" t="s">
        <v>231</v>
      </c>
      <c r="B1880" s="26" t="str">
        <f>MID(tbl_forecast[[#This Row],[PACE Job Number]],3,3)</f>
        <v>NTX</v>
      </c>
      <c r="C1880" t="s">
        <v>11</v>
      </c>
      <c r="D1880" s="1">
        <v>43409</v>
      </c>
      <c r="E1880" s="1">
        <v>43409</v>
      </c>
      <c r="F1880" s="1">
        <v>43409</v>
      </c>
      <c r="G1880" s="1">
        <v>43409</v>
      </c>
      <c r="H1880" t="s">
        <v>9</v>
      </c>
      <c r="I1880" t="s">
        <v>10</v>
      </c>
    </row>
    <row r="1881" spans="1:9" x14ac:dyDescent="0.25">
      <c r="A1881" t="s">
        <v>3378</v>
      </c>
      <c r="B1881" s="26" t="str">
        <f>MID(tbl_forecast[[#This Row],[PACE Job Number]],3,3)</f>
        <v>NTX</v>
      </c>
      <c r="C1881" t="s">
        <v>11</v>
      </c>
      <c r="D1881" s="1">
        <v>43423</v>
      </c>
      <c r="E1881" s="1">
        <v>43423</v>
      </c>
      <c r="F1881" s="1">
        <v>43419</v>
      </c>
      <c r="G1881" s="1">
        <v>43419</v>
      </c>
      <c r="H1881" t="s">
        <v>9</v>
      </c>
      <c r="I1881" t="s">
        <v>10</v>
      </c>
    </row>
    <row r="1882" spans="1:9" x14ac:dyDescent="0.25">
      <c r="A1882" t="s">
        <v>4435</v>
      </c>
      <c r="B1882" s="26" t="str">
        <f>MID(tbl_forecast[[#This Row],[PACE Job Number]],3,3)</f>
        <v>NTX</v>
      </c>
      <c r="C1882" t="s">
        <v>11</v>
      </c>
      <c r="D1882" s="1">
        <v>43420</v>
      </c>
      <c r="E1882" s="1">
        <v>43420</v>
      </c>
      <c r="F1882" s="1">
        <v>43432</v>
      </c>
      <c r="G1882" s="1">
        <v>43432</v>
      </c>
      <c r="H1882" t="s">
        <v>9</v>
      </c>
      <c r="I1882" t="s">
        <v>10</v>
      </c>
    </row>
    <row r="1883" spans="1:9" x14ac:dyDescent="0.25">
      <c r="A1883" t="s">
        <v>3486</v>
      </c>
      <c r="B1883" s="26" t="str">
        <f>MID(tbl_forecast[[#This Row],[PACE Job Number]],3,3)</f>
        <v>NTX</v>
      </c>
      <c r="C1883" t="s">
        <v>11</v>
      </c>
      <c r="D1883" s="1">
        <v>43406</v>
      </c>
      <c r="E1883" s="1">
        <v>43409</v>
      </c>
      <c r="F1883" s="1">
        <v>43406</v>
      </c>
      <c r="G1883" s="1">
        <v>43406</v>
      </c>
      <c r="H1883" t="s">
        <v>9</v>
      </c>
      <c r="I1883" t="s">
        <v>10</v>
      </c>
    </row>
    <row r="1884" spans="1:9" x14ac:dyDescent="0.25">
      <c r="A1884" t="s">
        <v>4163</v>
      </c>
      <c r="B1884" s="26" t="str">
        <f>MID(tbl_forecast[[#This Row],[PACE Job Number]],3,3)</f>
        <v>NTX</v>
      </c>
      <c r="C1884" t="s">
        <v>11</v>
      </c>
      <c r="D1884" s="1">
        <v>43429</v>
      </c>
      <c r="E1884" s="1">
        <v>43444</v>
      </c>
      <c r="F1884" s="1">
        <v>43444</v>
      </c>
      <c r="G1884" s="1"/>
      <c r="H1884" t="s">
        <v>4664</v>
      </c>
      <c r="I1884" t="s">
        <v>4665</v>
      </c>
    </row>
    <row r="1885" spans="1:9" x14ac:dyDescent="0.25">
      <c r="A1885" t="s">
        <v>3970</v>
      </c>
      <c r="B1885" s="26" t="str">
        <f>MID(tbl_forecast[[#This Row],[PACE Job Number]],3,3)</f>
        <v>NTX</v>
      </c>
      <c r="C1885" t="s">
        <v>11</v>
      </c>
      <c r="D1885" s="1">
        <v>43413</v>
      </c>
      <c r="E1885" s="1">
        <v>43413</v>
      </c>
      <c r="F1885" s="1">
        <v>43409</v>
      </c>
      <c r="G1885" s="1">
        <v>43409</v>
      </c>
      <c r="H1885" t="s">
        <v>9</v>
      </c>
      <c r="I1885" t="s">
        <v>10</v>
      </c>
    </row>
    <row r="1886" spans="1:9" x14ac:dyDescent="0.25">
      <c r="A1886" t="s">
        <v>4436</v>
      </c>
      <c r="B1886" s="26" t="str">
        <f>MID(tbl_forecast[[#This Row],[PACE Job Number]],3,3)</f>
        <v>NTX</v>
      </c>
      <c r="C1886" t="s">
        <v>11</v>
      </c>
      <c r="D1886" s="1">
        <v>43430</v>
      </c>
      <c r="E1886" s="1">
        <v>43444</v>
      </c>
      <c r="F1886" s="1">
        <v>43444</v>
      </c>
      <c r="G1886" s="1"/>
      <c r="H1886" t="s">
        <v>9</v>
      </c>
      <c r="I1886" t="s">
        <v>27</v>
      </c>
    </row>
    <row r="1887" spans="1:9" x14ac:dyDescent="0.25">
      <c r="A1887" t="s">
        <v>132</v>
      </c>
      <c r="B1887" s="26" t="str">
        <f>MID(tbl_forecast[[#This Row],[PACE Job Number]],3,3)</f>
        <v>NTX</v>
      </c>
      <c r="C1887" t="s">
        <v>11</v>
      </c>
      <c r="D1887" s="1">
        <v>43414</v>
      </c>
      <c r="E1887" s="1">
        <v>43423</v>
      </c>
      <c r="F1887" s="1">
        <v>43420</v>
      </c>
      <c r="G1887" s="1">
        <v>43420</v>
      </c>
      <c r="H1887" t="s">
        <v>9</v>
      </c>
      <c r="I1887" t="s">
        <v>10</v>
      </c>
    </row>
    <row r="1888" spans="1:9" x14ac:dyDescent="0.25">
      <c r="A1888" t="s">
        <v>5392</v>
      </c>
      <c r="B1888" s="26" t="str">
        <f>MID(tbl_forecast[[#This Row],[PACE Job Number]],3,3)</f>
        <v>NTX</v>
      </c>
      <c r="C1888" t="s">
        <v>11</v>
      </c>
      <c r="D1888" s="1">
        <v>43429</v>
      </c>
      <c r="E1888" s="1">
        <v>43454</v>
      </c>
      <c r="F1888" s="1">
        <v>43454</v>
      </c>
      <c r="G1888" s="1"/>
      <c r="H1888" t="s">
        <v>4664</v>
      </c>
      <c r="I1888" t="s">
        <v>4665</v>
      </c>
    </row>
    <row r="1889" spans="1:9" x14ac:dyDescent="0.25">
      <c r="A1889" t="s">
        <v>2269</v>
      </c>
      <c r="B1889" s="26" t="str">
        <f>MID(tbl_forecast[[#This Row],[PACE Job Number]],3,3)</f>
        <v>NTX</v>
      </c>
      <c r="C1889" t="s">
        <v>11</v>
      </c>
      <c r="D1889" s="1">
        <v>43433</v>
      </c>
      <c r="E1889" s="1">
        <v>43433</v>
      </c>
      <c r="F1889" s="1">
        <v>43418</v>
      </c>
      <c r="G1889" s="1">
        <v>43418</v>
      </c>
      <c r="H1889" t="s">
        <v>9</v>
      </c>
      <c r="I1889" t="s">
        <v>10</v>
      </c>
    </row>
    <row r="1890" spans="1:9" x14ac:dyDescent="0.25">
      <c r="A1890" t="s">
        <v>370</v>
      </c>
      <c r="B1890" s="26" t="str">
        <f>MID(tbl_forecast[[#This Row],[PACE Job Number]],3,3)</f>
        <v>NTX</v>
      </c>
      <c r="C1890" t="s">
        <v>11</v>
      </c>
      <c r="D1890" s="1">
        <v>43429</v>
      </c>
      <c r="E1890" s="1">
        <v>43444</v>
      </c>
      <c r="F1890" s="1">
        <v>43444</v>
      </c>
      <c r="G1890" s="1"/>
      <c r="H1890" t="s">
        <v>4664</v>
      </c>
      <c r="I1890" t="s">
        <v>4665</v>
      </c>
    </row>
    <row r="1891" spans="1:9" x14ac:dyDescent="0.25">
      <c r="A1891" t="s">
        <v>3503</v>
      </c>
      <c r="B1891" s="26" t="str">
        <f>MID(tbl_forecast[[#This Row],[PACE Job Number]],3,3)</f>
        <v>NTX</v>
      </c>
      <c r="C1891" t="s">
        <v>11</v>
      </c>
      <c r="D1891" s="1">
        <v>43418</v>
      </c>
      <c r="E1891" s="1">
        <v>43423</v>
      </c>
      <c r="F1891" s="1">
        <v>43418</v>
      </c>
      <c r="G1891" s="1">
        <v>43418</v>
      </c>
      <c r="H1891" t="s">
        <v>9</v>
      </c>
      <c r="I1891" t="s">
        <v>10</v>
      </c>
    </row>
    <row r="1892" spans="1:9" x14ac:dyDescent="0.25">
      <c r="A1892" t="s">
        <v>1892</v>
      </c>
      <c r="B1892" s="26" t="str">
        <f>MID(tbl_forecast[[#This Row],[PACE Job Number]],3,3)</f>
        <v>NTX</v>
      </c>
      <c r="C1892" t="s">
        <v>11</v>
      </c>
      <c r="D1892" s="1">
        <v>43420</v>
      </c>
      <c r="E1892" s="1">
        <v>43434</v>
      </c>
      <c r="F1892" s="1">
        <v>43434</v>
      </c>
      <c r="G1892" s="1"/>
      <c r="H1892" t="s">
        <v>9</v>
      </c>
      <c r="I1892" t="s">
        <v>27</v>
      </c>
    </row>
    <row r="1893" spans="1:9" x14ac:dyDescent="0.25">
      <c r="A1893" t="s">
        <v>5393</v>
      </c>
      <c r="B1893" s="26" t="str">
        <f>MID(tbl_forecast[[#This Row],[PACE Job Number]],3,3)</f>
        <v>NTX</v>
      </c>
      <c r="C1893" t="s">
        <v>11</v>
      </c>
      <c r="D1893" s="1">
        <v>43430</v>
      </c>
      <c r="E1893" s="1">
        <v>43455</v>
      </c>
      <c r="F1893" s="1">
        <v>43430</v>
      </c>
      <c r="G1893" s="1">
        <v>43430</v>
      </c>
      <c r="H1893" t="s">
        <v>9</v>
      </c>
      <c r="I1893" t="s">
        <v>10</v>
      </c>
    </row>
    <row r="1894" spans="1:9" x14ac:dyDescent="0.25">
      <c r="A1894" t="s">
        <v>3501</v>
      </c>
      <c r="B1894" s="26" t="str">
        <f>MID(tbl_forecast[[#This Row],[PACE Job Number]],3,3)</f>
        <v>NTX</v>
      </c>
      <c r="C1894" t="s">
        <v>11</v>
      </c>
      <c r="D1894" s="1">
        <v>43427</v>
      </c>
      <c r="E1894" s="1">
        <v>43438</v>
      </c>
      <c r="F1894" s="1">
        <v>43438</v>
      </c>
      <c r="G1894" s="1">
        <v>43434</v>
      </c>
      <c r="H1894" t="s">
        <v>9</v>
      </c>
      <c r="I1894" t="s">
        <v>10</v>
      </c>
    </row>
    <row r="1895" spans="1:9" x14ac:dyDescent="0.25">
      <c r="A1895" t="s">
        <v>5496</v>
      </c>
      <c r="B1895" s="26" t="str">
        <f>MID(tbl_forecast[[#This Row],[PACE Job Number]],3,3)</f>
        <v>NTX</v>
      </c>
      <c r="C1895" t="s">
        <v>11</v>
      </c>
      <c r="D1895" s="1">
        <v>43432</v>
      </c>
      <c r="E1895" s="1">
        <v>36524</v>
      </c>
      <c r="F1895" s="1">
        <v>43409</v>
      </c>
      <c r="G1895" s="1">
        <v>43409</v>
      </c>
      <c r="H1895" t="s">
        <v>9</v>
      </c>
      <c r="I1895" t="s">
        <v>10</v>
      </c>
    </row>
    <row r="1896" spans="1:9" x14ac:dyDescent="0.25">
      <c r="A1896" t="s">
        <v>5497</v>
      </c>
      <c r="B1896" s="26" t="str">
        <f>MID(tbl_forecast[[#This Row],[PACE Job Number]],3,3)</f>
        <v>NTX</v>
      </c>
      <c r="C1896" t="s">
        <v>11</v>
      </c>
      <c r="D1896" s="1">
        <v>43433</v>
      </c>
      <c r="E1896" s="1">
        <v>43433</v>
      </c>
      <c r="F1896" s="1">
        <v>43418</v>
      </c>
      <c r="G1896" s="1">
        <v>43418</v>
      </c>
      <c r="H1896" t="s">
        <v>9</v>
      </c>
      <c r="I1896" t="s">
        <v>10</v>
      </c>
    </row>
    <row r="1897" spans="1:9" x14ac:dyDescent="0.25">
      <c r="A1897" t="s">
        <v>5394</v>
      </c>
      <c r="B1897" s="26" t="str">
        <f>MID(tbl_forecast[[#This Row],[PACE Job Number]],3,3)</f>
        <v>NTX</v>
      </c>
      <c r="C1897" t="s">
        <v>11</v>
      </c>
      <c r="D1897" s="1">
        <v>43429</v>
      </c>
      <c r="E1897" s="1">
        <v>43444</v>
      </c>
      <c r="F1897" s="1">
        <v>43444</v>
      </c>
      <c r="G1897" s="1"/>
      <c r="H1897" t="s">
        <v>4664</v>
      </c>
      <c r="I1897" t="s">
        <v>4665</v>
      </c>
    </row>
    <row r="1898" spans="1:9" x14ac:dyDescent="0.25">
      <c r="A1898" t="s">
        <v>3481</v>
      </c>
      <c r="B1898" s="26" t="str">
        <f>MID(tbl_forecast[[#This Row],[PACE Job Number]],3,3)</f>
        <v>NTX</v>
      </c>
      <c r="C1898" t="s">
        <v>11</v>
      </c>
      <c r="D1898" s="1">
        <v>43418</v>
      </c>
      <c r="E1898" s="1">
        <v>43423</v>
      </c>
      <c r="F1898" s="1">
        <v>43418</v>
      </c>
      <c r="G1898" s="1">
        <v>43418</v>
      </c>
      <c r="H1898" t="s">
        <v>9</v>
      </c>
      <c r="I1898" t="s">
        <v>10</v>
      </c>
    </row>
    <row r="1899" spans="1:9" x14ac:dyDescent="0.25">
      <c r="A1899" t="s">
        <v>4437</v>
      </c>
      <c r="B1899" s="26" t="str">
        <f>MID(tbl_forecast[[#This Row],[PACE Job Number]],3,3)</f>
        <v>NTX</v>
      </c>
      <c r="C1899" t="s">
        <v>11</v>
      </c>
      <c r="D1899" s="1">
        <v>43418</v>
      </c>
      <c r="E1899" s="1">
        <v>43418</v>
      </c>
      <c r="F1899" s="1">
        <v>43411</v>
      </c>
      <c r="G1899" s="1">
        <v>43411</v>
      </c>
      <c r="H1899" t="s">
        <v>9</v>
      </c>
      <c r="I1899" t="s">
        <v>10</v>
      </c>
    </row>
    <row r="1900" spans="1:9" x14ac:dyDescent="0.25">
      <c r="A1900" t="s">
        <v>5395</v>
      </c>
      <c r="B1900" s="26" t="str">
        <f>MID(tbl_forecast[[#This Row],[PACE Job Number]],3,3)</f>
        <v>NTX</v>
      </c>
      <c r="C1900" t="s">
        <v>11</v>
      </c>
      <c r="D1900" s="1">
        <v>43420</v>
      </c>
      <c r="E1900" s="1">
        <v>43507</v>
      </c>
      <c r="F1900" s="1">
        <v>43507</v>
      </c>
      <c r="G1900" s="1"/>
      <c r="H1900" t="s">
        <v>4664</v>
      </c>
      <c r="I1900" t="s">
        <v>5645</v>
      </c>
    </row>
    <row r="1901" spans="1:9" x14ac:dyDescent="0.25">
      <c r="A1901" t="s">
        <v>3489</v>
      </c>
      <c r="B1901" s="26" t="str">
        <f>MID(tbl_forecast[[#This Row],[PACE Job Number]],3,3)</f>
        <v>NTX</v>
      </c>
      <c r="C1901" t="s">
        <v>11</v>
      </c>
      <c r="D1901" s="1">
        <v>43406</v>
      </c>
      <c r="E1901" s="1">
        <v>43409</v>
      </c>
      <c r="F1901" s="1">
        <v>43406</v>
      </c>
      <c r="G1901" s="1">
        <v>43406</v>
      </c>
      <c r="H1901" t="s">
        <v>9</v>
      </c>
      <c r="I1901" t="s">
        <v>10</v>
      </c>
    </row>
    <row r="1902" spans="1:9" x14ac:dyDescent="0.25">
      <c r="A1902" t="s">
        <v>5396</v>
      </c>
      <c r="B1902" s="26" t="str">
        <f>MID(tbl_forecast[[#This Row],[PACE Job Number]],3,3)</f>
        <v>NTX</v>
      </c>
      <c r="C1902" t="s">
        <v>11</v>
      </c>
      <c r="D1902" s="1">
        <v>43430</v>
      </c>
      <c r="E1902" s="1">
        <v>43444</v>
      </c>
      <c r="F1902" s="1">
        <v>43444</v>
      </c>
      <c r="G1902" s="1"/>
      <c r="H1902" t="s">
        <v>9</v>
      </c>
      <c r="I1902" t="s">
        <v>27</v>
      </c>
    </row>
    <row r="1903" spans="1:9" x14ac:dyDescent="0.25">
      <c r="A1903" t="s">
        <v>4438</v>
      </c>
      <c r="B1903" s="26" t="str">
        <f>MID(tbl_forecast[[#This Row],[PACE Job Number]],3,3)</f>
        <v>NTX</v>
      </c>
      <c r="C1903" t="s">
        <v>11</v>
      </c>
      <c r="D1903" s="1">
        <v>43420</v>
      </c>
      <c r="E1903" s="1">
        <v>43420</v>
      </c>
      <c r="F1903" s="1">
        <v>43432</v>
      </c>
      <c r="G1903" s="1">
        <v>43432</v>
      </c>
      <c r="H1903" t="s">
        <v>9</v>
      </c>
      <c r="I1903" t="s">
        <v>10</v>
      </c>
    </row>
    <row r="1904" spans="1:9" x14ac:dyDescent="0.25">
      <c r="A1904" t="s">
        <v>5397</v>
      </c>
      <c r="B1904" s="26" t="str">
        <f>MID(tbl_forecast[[#This Row],[PACE Job Number]],3,3)</f>
        <v>NTX</v>
      </c>
      <c r="C1904" t="s">
        <v>11</v>
      </c>
      <c r="D1904" s="1">
        <v>43430</v>
      </c>
      <c r="E1904" s="1">
        <v>43444</v>
      </c>
      <c r="F1904" s="1">
        <v>43444</v>
      </c>
      <c r="G1904" s="1"/>
      <c r="H1904" t="s">
        <v>9</v>
      </c>
      <c r="I1904" t="s">
        <v>27</v>
      </c>
    </row>
    <row r="1905" spans="1:9" x14ac:dyDescent="0.25">
      <c r="A1905" t="s">
        <v>4439</v>
      </c>
      <c r="B1905" s="26" t="str">
        <f>MID(tbl_forecast[[#This Row],[PACE Job Number]],3,3)</f>
        <v>NTX</v>
      </c>
      <c r="C1905" t="s">
        <v>11</v>
      </c>
      <c r="D1905" s="1">
        <v>43409</v>
      </c>
      <c r="E1905" s="1">
        <v>43418</v>
      </c>
      <c r="F1905" s="1">
        <v>43420</v>
      </c>
      <c r="G1905" s="1">
        <v>43420</v>
      </c>
      <c r="H1905" t="s">
        <v>9</v>
      </c>
      <c r="I1905" t="s">
        <v>10</v>
      </c>
    </row>
    <row r="1906" spans="1:9" x14ac:dyDescent="0.25">
      <c r="A1906" t="s">
        <v>124</v>
      </c>
      <c r="B1906" s="26" t="str">
        <f>MID(tbl_forecast[[#This Row],[PACE Job Number]],3,3)</f>
        <v>NTX</v>
      </c>
      <c r="C1906" t="s">
        <v>11</v>
      </c>
      <c r="D1906" s="1">
        <v>43416</v>
      </c>
      <c r="E1906" s="1">
        <v>43423</v>
      </c>
      <c r="F1906" s="1">
        <v>43420</v>
      </c>
      <c r="G1906" s="1">
        <v>43420</v>
      </c>
      <c r="H1906" t="s">
        <v>9</v>
      </c>
      <c r="I1906" t="s">
        <v>10</v>
      </c>
    </row>
    <row r="1907" spans="1:9" x14ac:dyDescent="0.25">
      <c r="A1907" t="s">
        <v>3451</v>
      </c>
      <c r="B1907" s="26" t="str">
        <f>MID(tbl_forecast[[#This Row],[PACE Job Number]],3,3)</f>
        <v>NTX</v>
      </c>
      <c r="C1907" t="s">
        <v>11</v>
      </c>
      <c r="D1907" s="1">
        <v>43407</v>
      </c>
      <c r="E1907" s="1">
        <v>43407</v>
      </c>
      <c r="F1907" s="1">
        <v>43409</v>
      </c>
      <c r="G1907" s="1">
        <v>43409</v>
      </c>
      <c r="H1907" t="s">
        <v>9</v>
      </c>
      <c r="I1907" t="s">
        <v>10</v>
      </c>
    </row>
    <row r="1908" spans="1:9" x14ac:dyDescent="0.25">
      <c r="A1908" t="s">
        <v>5398</v>
      </c>
      <c r="B1908" s="26" t="str">
        <f>MID(tbl_forecast[[#This Row],[PACE Job Number]],3,3)</f>
        <v>NTX</v>
      </c>
      <c r="C1908" t="s">
        <v>11</v>
      </c>
      <c r="D1908" s="1">
        <v>43430</v>
      </c>
      <c r="E1908" s="1">
        <v>43444</v>
      </c>
      <c r="F1908" s="1">
        <v>43444</v>
      </c>
      <c r="G1908" s="1"/>
      <c r="H1908" t="s">
        <v>9</v>
      </c>
      <c r="I1908" t="s">
        <v>27</v>
      </c>
    </row>
    <row r="1909" spans="1:9" x14ac:dyDescent="0.25">
      <c r="A1909" t="s">
        <v>1731</v>
      </c>
      <c r="B1909" s="26" t="str">
        <f>MID(tbl_forecast[[#This Row],[PACE Job Number]],3,3)</f>
        <v>NTX</v>
      </c>
      <c r="C1909" t="s">
        <v>11</v>
      </c>
      <c r="D1909" s="1">
        <v>43427</v>
      </c>
      <c r="E1909" s="1">
        <v>43444</v>
      </c>
      <c r="F1909" s="1">
        <v>43444</v>
      </c>
      <c r="G1909" s="1"/>
      <c r="H1909" t="s">
        <v>4664</v>
      </c>
      <c r="I1909" t="s">
        <v>4665</v>
      </c>
    </row>
    <row r="1910" spans="1:9" x14ac:dyDescent="0.25">
      <c r="A1910" t="s">
        <v>2335</v>
      </c>
      <c r="B1910" s="26" t="str">
        <f>MID(tbl_forecast[[#This Row],[PACE Job Number]],3,3)</f>
        <v>NTX</v>
      </c>
      <c r="C1910" t="s">
        <v>11</v>
      </c>
      <c r="D1910" s="1">
        <v>43433</v>
      </c>
      <c r="E1910" s="1">
        <v>43448</v>
      </c>
      <c r="F1910" s="1">
        <v>43448</v>
      </c>
      <c r="G1910" s="1"/>
      <c r="H1910" t="s">
        <v>4664</v>
      </c>
      <c r="I1910" t="s">
        <v>4665</v>
      </c>
    </row>
    <row r="1911" spans="1:9" x14ac:dyDescent="0.25">
      <c r="A1911" t="s">
        <v>3802</v>
      </c>
      <c r="B1911" s="26" t="str">
        <f>MID(tbl_forecast[[#This Row],[PACE Job Number]],3,3)</f>
        <v>NTX</v>
      </c>
      <c r="C1911" t="s">
        <v>11</v>
      </c>
      <c r="D1911" s="1">
        <v>43430</v>
      </c>
      <c r="E1911" s="1">
        <v>43495</v>
      </c>
      <c r="F1911" s="1">
        <v>43495</v>
      </c>
      <c r="G1911" s="1"/>
      <c r="H1911" t="s">
        <v>4664</v>
      </c>
      <c r="I1911" t="s">
        <v>4665</v>
      </c>
    </row>
    <row r="1912" spans="1:9" x14ac:dyDescent="0.25">
      <c r="A1912" t="s">
        <v>3499</v>
      </c>
      <c r="B1912" s="26" t="str">
        <f>MID(tbl_forecast[[#This Row],[PACE Job Number]],3,3)</f>
        <v>NTX</v>
      </c>
      <c r="C1912" t="s">
        <v>11</v>
      </c>
      <c r="D1912" s="1">
        <v>43418</v>
      </c>
      <c r="E1912" s="1">
        <v>43423</v>
      </c>
      <c r="F1912" s="1">
        <v>43418</v>
      </c>
      <c r="G1912" s="1">
        <v>43418</v>
      </c>
      <c r="H1912" t="s">
        <v>9</v>
      </c>
      <c r="I1912" t="s">
        <v>10</v>
      </c>
    </row>
    <row r="1913" spans="1:9" x14ac:dyDescent="0.25">
      <c r="A1913" t="s">
        <v>3389</v>
      </c>
      <c r="B1913" s="26" t="str">
        <f>MID(tbl_forecast[[#This Row],[PACE Job Number]],3,3)</f>
        <v>NTX</v>
      </c>
      <c r="C1913" t="s">
        <v>11</v>
      </c>
      <c r="D1913" s="1">
        <v>43423</v>
      </c>
      <c r="E1913" s="1">
        <v>43423</v>
      </c>
      <c r="F1913" s="1">
        <v>43419</v>
      </c>
      <c r="G1913" s="1">
        <v>43419</v>
      </c>
      <c r="H1913" t="s">
        <v>9</v>
      </c>
      <c r="I1913" t="s">
        <v>10</v>
      </c>
    </row>
    <row r="1914" spans="1:9" x14ac:dyDescent="0.25">
      <c r="A1914" t="s">
        <v>1893</v>
      </c>
      <c r="B1914" s="26" t="str">
        <f>MID(tbl_forecast[[#This Row],[PACE Job Number]],3,3)</f>
        <v>NTX</v>
      </c>
      <c r="C1914" t="s">
        <v>11</v>
      </c>
      <c r="D1914" s="1">
        <v>43420</v>
      </c>
      <c r="E1914" s="1">
        <v>43434</v>
      </c>
      <c r="F1914" s="1">
        <v>43434</v>
      </c>
      <c r="G1914" s="1"/>
      <c r="H1914" t="s">
        <v>9</v>
      </c>
      <c r="I1914" t="s">
        <v>27</v>
      </c>
    </row>
    <row r="1915" spans="1:9" x14ac:dyDescent="0.25">
      <c r="A1915" t="s">
        <v>1894</v>
      </c>
      <c r="B1915" s="26" t="str">
        <f>MID(tbl_forecast[[#This Row],[PACE Job Number]],3,3)</f>
        <v>NTX</v>
      </c>
      <c r="C1915" t="s">
        <v>11</v>
      </c>
      <c r="D1915" s="1">
        <v>43420</v>
      </c>
      <c r="E1915" s="1">
        <v>43434</v>
      </c>
      <c r="F1915" s="1">
        <v>43434</v>
      </c>
      <c r="G1915" s="1"/>
      <c r="H1915" t="s">
        <v>9</v>
      </c>
      <c r="I1915" t="s">
        <v>27</v>
      </c>
    </row>
    <row r="1916" spans="1:9" x14ac:dyDescent="0.25">
      <c r="A1916" t="s">
        <v>4440</v>
      </c>
      <c r="B1916" s="26" t="str">
        <f>MID(tbl_forecast[[#This Row],[PACE Job Number]],3,3)</f>
        <v>NTX</v>
      </c>
      <c r="C1916" t="s">
        <v>11</v>
      </c>
      <c r="D1916" s="1">
        <v>43418</v>
      </c>
      <c r="E1916" s="1">
        <v>43418</v>
      </c>
      <c r="F1916" s="1">
        <v>43411</v>
      </c>
      <c r="G1916" s="1">
        <v>43411</v>
      </c>
      <c r="H1916" t="s">
        <v>9</v>
      </c>
      <c r="I1916" t="s">
        <v>10</v>
      </c>
    </row>
    <row r="1917" spans="1:9" x14ac:dyDescent="0.25">
      <c r="A1917" t="s">
        <v>5399</v>
      </c>
      <c r="B1917" s="26" t="str">
        <f>MID(tbl_forecast[[#This Row],[PACE Job Number]],3,3)</f>
        <v>NTX</v>
      </c>
      <c r="C1917" t="s">
        <v>11</v>
      </c>
      <c r="D1917" s="1">
        <v>43430</v>
      </c>
      <c r="E1917" s="1">
        <v>43451</v>
      </c>
      <c r="F1917" s="1">
        <v>43451</v>
      </c>
      <c r="G1917" s="1"/>
      <c r="H1917" t="s">
        <v>4664</v>
      </c>
      <c r="I1917" t="s">
        <v>4665</v>
      </c>
    </row>
    <row r="1918" spans="1:9" x14ac:dyDescent="0.25">
      <c r="A1918" t="s">
        <v>2150</v>
      </c>
      <c r="B1918" s="26" t="str">
        <f>MID(tbl_forecast[[#This Row],[PACE Job Number]],3,3)</f>
        <v>NTX</v>
      </c>
      <c r="C1918" t="s">
        <v>11</v>
      </c>
      <c r="D1918" s="1">
        <v>43408</v>
      </c>
      <c r="E1918" s="1">
        <v>43408</v>
      </c>
      <c r="F1918" s="1">
        <v>43409</v>
      </c>
      <c r="G1918" s="1">
        <v>43409</v>
      </c>
      <c r="H1918" t="s">
        <v>9</v>
      </c>
      <c r="I1918" t="s">
        <v>10</v>
      </c>
    </row>
    <row r="1919" spans="1:9" x14ac:dyDescent="0.25">
      <c r="A1919" t="s">
        <v>2151</v>
      </c>
      <c r="B1919" s="26" t="str">
        <f>MID(tbl_forecast[[#This Row],[PACE Job Number]],3,3)</f>
        <v>NTX</v>
      </c>
      <c r="C1919" t="s">
        <v>11</v>
      </c>
      <c r="D1919" s="1">
        <v>43408</v>
      </c>
      <c r="E1919" s="1">
        <v>43408</v>
      </c>
      <c r="F1919" s="1">
        <v>43409</v>
      </c>
      <c r="G1919" s="1">
        <v>43409</v>
      </c>
      <c r="H1919" t="s">
        <v>9</v>
      </c>
      <c r="I1919" t="s">
        <v>10</v>
      </c>
    </row>
    <row r="1920" spans="1:9" x14ac:dyDescent="0.25">
      <c r="A1920" t="s">
        <v>5498</v>
      </c>
      <c r="B1920" s="26" t="str">
        <f>MID(tbl_forecast[[#This Row],[PACE Job Number]],3,3)</f>
        <v>NTX</v>
      </c>
      <c r="C1920" t="s">
        <v>11</v>
      </c>
      <c r="D1920" s="1">
        <v>43430</v>
      </c>
      <c r="E1920" s="1">
        <v>43437</v>
      </c>
      <c r="F1920" s="1">
        <v>43437</v>
      </c>
      <c r="G1920" s="1"/>
      <c r="H1920" t="s">
        <v>9</v>
      </c>
      <c r="I1920" t="s">
        <v>27</v>
      </c>
    </row>
    <row r="1921" spans="1:9" x14ac:dyDescent="0.25">
      <c r="A1921" t="s">
        <v>47</v>
      </c>
      <c r="B1921" s="26" t="str">
        <f>MID(tbl_forecast[[#This Row],[PACE Job Number]],3,3)</f>
        <v>NTX</v>
      </c>
      <c r="C1921" t="s">
        <v>11</v>
      </c>
      <c r="D1921" s="1">
        <v>43409</v>
      </c>
      <c r="E1921" s="1">
        <v>43409</v>
      </c>
      <c r="F1921" s="1">
        <v>43409</v>
      </c>
      <c r="G1921" s="1">
        <v>43409</v>
      </c>
      <c r="H1921" t="s">
        <v>9</v>
      </c>
      <c r="I1921" t="s">
        <v>10</v>
      </c>
    </row>
    <row r="1922" spans="1:9" x14ac:dyDescent="0.25">
      <c r="A1922" t="s">
        <v>5400</v>
      </c>
      <c r="B1922" s="26" t="str">
        <f>MID(tbl_forecast[[#This Row],[PACE Job Number]],3,3)</f>
        <v>NTX</v>
      </c>
      <c r="C1922" t="s">
        <v>11</v>
      </c>
      <c r="D1922" s="1">
        <v>43430</v>
      </c>
      <c r="E1922" s="1">
        <v>43444</v>
      </c>
      <c r="F1922" s="1">
        <v>43444</v>
      </c>
      <c r="G1922" s="1"/>
      <c r="H1922" t="s">
        <v>9</v>
      </c>
      <c r="I1922" t="s">
        <v>27</v>
      </c>
    </row>
    <row r="1923" spans="1:9" x14ac:dyDescent="0.25">
      <c r="A1923" t="s">
        <v>3497</v>
      </c>
      <c r="B1923" s="26" t="str">
        <f>MID(tbl_forecast[[#This Row],[PACE Job Number]],3,3)</f>
        <v>NTX</v>
      </c>
      <c r="C1923" t="s">
        <v>11</v>
      </c>
      <c r="D1923" s="1">
        <v>43418</v>
      </c>
      <c r="E1923" s="1">
        <v>43423</v>
      </c>
      <c r="F1923" s="1">
        <v>43418</v>
      </c>
      <c r="G1923" s="1">
        <v>43418</v>
      </c>
      <c r="H1923" t="s">
        <v>9</v>
      </c>
      <c r="I1923" t="s">
        <v>10</v>
      </c>
    </row>
    <row r="1924" spans="1:9" x14ac:dyDescent="0.25">
      <c r="A1924" t="s">
        <v>3507</v>
      </c>
      <c r="B1924" s="26" t="str">
        <f>MID(tbl_forecast[[#This Row],[PACE Job Number]],3,3)</f>
        <v>NTX</v>
      </c>
      <c r="C1924" t="s">
        <v>11</v>
      </c>
      <c r="D1924" s="1">
        <v>43427</v>
      </c>
      <c r="E1924" s="1">
        <v>43438</v>
      </c>
      <c r="F1924" s="1">
        <v>43438</v>
      </c>
      <c r="G1924" s="1">
        <v>43434</v>
      </c>
      <c r="H1924" t="s">
        <v>9</v>
      </c>
      <c r="I1924" t="s">
        <v>10</v>
      </c>
    </row>
    <row r="1925" spans="1:9" x14ac:dyDescent="0.25">
      <c r="A1925" t="s">
        <v>5401</v>
      </c>
      <c r="B1925" s="26" t="str">
        <f>MID(tbl_forecast[[#This Row],[PACE Job Number]],3,3)</f>
        <v>NTX</v>
      </c>
      <c r="C1925" t="s">
        <v>11</v>
      </c>
      <c r="D1925" s="1">
        <v>43420</v>
      </c>
      <c r="E1925" s="1">
        <v>43507</v>
      </c>
      <c r="F1925" s="1">
        <v>43507</v>
      </c>
      <c r="G1925" s="1"/>
      <c r="H1925" t="s">
        <v>4664</v>
      </c>
      <c r="I1925" t="s">
        <v>5645</v>
      </c>
    </row>
    <row r="1926" spans="1:9" x14ac:dyDescent="0.25">
      <c r="A1926" t="s">
        <v>3803</v>
      </c>
      <c r="B1926" s="26" t="str">
        <f>MID(tbl_forecast[[#This Row],[PACE Job Number]],3,3)</f>
        <v>NTX</v>
      </c>
      <c r="C1926" t="s">
        <v>11</v>
      </c>
      <c r="D1926" s="1">
        <v>43430</v>
      </c>
      <c r="E1926" s="1">
        <v>43495</v>
      </c>
      <c r="F1926" s="1">
        <v>43495</v>
      </c>
      <c r="G1926" s="1"/>
      <c r="H1926" t="s">
        <v>4664</v>
      </c>
      <c r="I1926" t="s">
        <v>4665</v>
      </c>
    </row>
    <row r="1927" spans="1:9" x14ac:dyDescent="0.25">
      <c r="A1927" t="s">
        <v>229</v>
      </c>
      <c r="B1927" s="26" t="str">
        <f>MID(tbl_forecast[[#This Row],[PACE Job Number]],3,3)</f>
        <v>NTX</v>
      </c>
      <c r="C1927" t="s">
        <v>11</v>
      </c>
      <c r="D1927" s="1">
        <v>43409</v>
      </c>
      <c r="E1927" s="1">
        <v>43409</v>
      </c>
      <c r="F1927" s="1">
        <v>43409</v>
      </c>
      <c r="G1927" s="1">
        <v>43409</v>
      </c>
      <c r="H1927" t="s">
        <v>9</v>
      </c>
      <c r="I1927" t="s">
        <v>10</v>
      </c>
    </row>
    <row r="1928" spans="1:9" x14ac:dyDescent="0.25">
      <c r="A1928" t="s">
        <v>2413</v>
      </c>
      <c r="B1928" s="26" t="str">
        <f>MID(tbl_forecast[[#This Row],[PACE Job Number]],3,3)</f>
        <v>NTX</v>
      </c>
      <c r="C1928" t="s">
        <v>11</v>
      </c>
      <c r="D1928" s="1">
        <v>43409</v>
      </c>
      <c r="E1928" s="1">
        <v>43437</v>
      </c>
      <c r="F1928" s="1">
        <v>43437</v>
      </c>
      <c r="G1928" s="1">
        <v>43434</v>
      </c>
      <c r="H1928" t="s">
        <v>4664</v>
      </c>
      <c r="I1928" t="s">
        <v>10</v>
      </c>
    </row>
    <row r="1929" spans="1:9" x14ac:dyDescent="0.25">
      <c r="A1929" t="s">
        <v>4262</v>
      </c>
      <c r="B1929" s="26" t="str">
        <f>MID(tbl_forecast[[#This Row],[PACE Job Number]],3,3)</f>
        <v>NTX</v>
      </c>
      <c r="C1929" t="s">
        <v>11</v>
      </c>
      <c r="D1929" s="1">
        <v>43423</v>
      </c>
      <c r="E1929" s="1">
        <v>43434</v>
      </c>
      <c r="F1929" s="1">
        <v>43434</v>
      </c>
      <c r="G1929" s="1"/>
      <c r="H1929" t="s">
        <v>9</v>
      </c>
      <c r="I1929" t="s">
        <v>27</v>
      </c>
    </row>
    <row r="1930" spans="1:9" x14ac:dyDescent="0.25">
      <c r="A1930" t="s">
        <v>4403</v>
      </c>
      <c r="B1930" s="26" t="str">
        <f>MID(tbl_forecast[[#This Row],[PACE Job Number]],3,3)</f>
        <v>NTX</v>
      </c>
      <c r="C1930" t="s">
        <v>11</v>
      </c>
      <c r="D1930" s="1">
        <v>43423</v>
      </c>
      <c r="E1930" s="1">
        <v>43507</v>
      </c>
      <c r="F1930" s="1">
        <v>43507</v>
      </c>
      <c r="G1930" s="1"/>
      <c r="H1930" t="s">
        <v>4664</v>
      </c>
      <c r="I1930" t="s">
        <v>4665</v>
      </c>
    </row>
    <row r="1931" spans="1:9" x14ac:dyDescent="0.25">
      <c r="A1931" t="s">
        <v>619</v>
      </c>
      <c r="B1931" s="26" t="str">
        <f>MID(tbl_forecast[[#This Row],[PACE Job Number]],3,3)</f>
        <v>NTX</v>
      </c>
      <c r="C1931" t="s">
        <v>11</v>
      </c>
      <c r="D1931" s="1">
        <v>43411</v>
      </c>
      <c r="E1931" s="1">
        <v>43418</v>
      </c>
      <c r="F1931" s="1">
        <v>43412</v>
      </c>
      <c r="G1931" s="1">
        <v>43412</v>
      </c>
      <c r="H1931" t="s">
        <v>9</v>
      </c>
      <c r="I1931" t="s">
        <v>10</v>
      </c>
    </row>
    <row r="1932" spans="1:9" x14ac:dyDescent="0.25">
      <c r="A1932" t="s">
        <v>4263</v>
      </c>
      <c r="B1932" s="26" t="str">
        <f>MID(tbl_forecast[[#This Row],[PACE Job Number]],3,3)</f>
        <v>NTX</v>
      </c>
      <c r="C1932" t="s">
        <v>11</v>
      </c>
      <c r="D1932" s="1">
        <v>43423</v>
      </c>
      <c r="E1932" s="1">
        <v>43434</v>
      </c>
      <c r="F1932" s="1">
        <v>43434</v>
      </c>
      <c r="G1932" s="1"/>
      <c r="H1932" t="s">
        <v>9</v>
      </c>
      <c r="I1932" t="s">
        <v>27</v>
      </c>
    </row>
    <row r="1933" spans="1:9" x14ac:dyDescent="0.25">
      <c r="A1933" t="s">
        <v>164</v>
      </c>
      <c r="B1933" s="26" t="str">
        <f>MID(tbl_forecast[[#This Row],[PACE Job Number]],3,3)</f>
        <v>NTX</v>
      </c>
      <c r="C1933" t="s">
        <v>11</v>
      </c>
      <c r="D1933" s="1">
        <v>43416</v>
      </c>
      <c r="E1933" s="1">
        <v>43423</v>
      </c>
      <c r="F1933" s="1">
        <v>43418</v>
      </c>
      <c r="G1933" s="1">
        <v>43418</v>
      </c>
      <c r="H1933" t="s">
        <v>9</v>
      </c>
      <c r="I1933" t="s">
        <v>10</v>
      </c>
    </row>
    <row r="1934" spans="1:9" x14ac:dyDescent="0.25">
      <c r="A1934" t="s">
        <v>4264</v>
      </c>
      <c r="B1934" s="26" t="str">
        <f>MID(tbl_forecast[[#This Row],[PACE Job Number]],3,3)</f>
        <v>NTX</v>
      </c>
      <c r="C1934" t="s">
        <v>11</v>
      </c>
      <c r="D1934" s="1">
        <v>43430</v>
      </c>
      <c r="E1934" s="1">
        <v>43437</v>
      </c>
      <c r="F1934" s="1">
        <v>43437</v>
      </c>
      <c r="G1934" s="1">
        <v>43434</v>
      </c>
      <c r="H1934" t="s">
        <v>9</v>
      </c>
      <c r="I1934" t="s">
        <v>10</v>
      </c>
    </row>
    <row r="1935" spans="1:9" x14ac:dyDescent="0.25">
      <c r="A1935" t="s">
        <v>106</v>
      </c>
      <c r="B1935" s="26" t="str">
        <f>MID(tbl_forecast[[#This Row],[PACE Job Number]],3,3)</f>
        <v>NTX</v>
      </c>
      <c r="C1935" t="s">
        <v>11</v>
      </c>
      <c r="D1935" s="1">
        <v>43423</v>
      </c>
      <c r="E1935" s="1">
        <v>43448</v>
      </c>
      <c r="F1935" s="1">
        <v>43448</v>
      </c>
      <c r="G1935" s="1"/>
      <c r="H1935" t="s">
        <v>4664</v>
      </c>
      <c r="I1935" t="s">
        <v>4665</v>
      </c>
    </row>
    <row r="1936" spans="1:9" x14ac:dyDescent="0.25">
      <c r="A1936" t="s">
        <v>4265</v>
      </c>
      <c r="B1936" s="26" t="str">
        <f>MID(tbl_forecast[[#This Row],[PACE Job Number]],3,3)</f>
        <v>NTX</v>
      </c>
      <c r="C1936" t="s">
        <v>11</v>
      </c>
      <c r="D1936" s="1">
        <v>43430</v>
      </c>
      <c r="E1936" s="1">
        <v>43437</v>
      </c>
      <c r="F1936" s="1">
        <v>43437</v>
      </c>
      <c r="G1936" s="1">
        <v>43434</v>
      </c>
      <c r="H1936" t="s">
        <v>9</v>
      </c>
      <c r="I1936" t="s">
        <v>10</v>
      </c>
    </row>
    <row r="1937" spans="1:9" x14ac:dyDescent="0.25">
      <c r="A1937" t="s">
        <v>3793</v>
      </c>
      <c r="B1937" s="26" t="str">
        <f>MID(tbl_forecast[[#This Row],[PACE Job Number]],3,3)</f>
        <v>NTX</v>
      </c>
      <c r="C1937" t="s">
        <v>11</v>
      </c>
      <c r="D1937" s="1">
        <v>43406</v>
      </c>
      <c r="E1937" s="1">
        <v>43351</v>
      </c>
      <c r="F1937" s="1">
        <v>43406</v>
      </c>
      <c r="G1937" s="1">
        <v>43406</v>
      </c>
      <c r="H1937" t="s">
        <v>9</v>
      </c>
      <c r="I1937" t="s">
        <v>10</v>
      </c>
    </row>
    <row r="1938" spans="1:9" x14ac:dyDescent="0.25">
      <c r="A1938" t="s">
        <v>2282</v>
      </c>
      <c r="B1938" s="26" t="str">
        <f>MID(tbl_forecast[[#This Row],[PACE Job Number]],3,3)</f>
        <v>NTX</v>
      </c>
      <c r="C1938" t="s">
        <v>11</v>
      </c>
      <c r="D1938" s="1">
        <v>43431</v>
      </c>
      <c r="E1938" s="1">
        <v>43431</v>
      </c>
      <c r="F1938" s="1">
        <v>43416</v>
      </c>
      <c r="G1938" s="1">
        <v>43416</v>
      </c>
      <c r="H1938" t="s">
        <v>9</v>
      </c>
      <c r="I1938" t="s">
        <v>10</v>
      </c>
    </row>
    <row r="1939" spans="1:9" x14ac:dyDescent="0.25">
      <c r="A1939" t="s">
        <v>2419</v>
      </c>
      <c r="B1939" s="26" t="str">
        <f>MID(tbl_forecast[[#This Row],[PACE Job Number]],3,3)</f>
        <v>NTX</v>
      </c>
      <c r="C1939" t="s">
        <v>11</v>
      </c>
      <c r="D1939" s="1">
        <v>43423</v>
      </c>
      <c r="E1939" s="1">
        <v>43458</v>
      </c>
      <c r="F1939" s="1">
        <v>43458</v>
      </c>
      <c r="G1939" s="1"/>
      <c r="H1939" t="s">
        <v>4664</v>
      </c>
      <c r="I1939" t="s">
        <v>4665</v>
      </c>
    </row>
    <row r="1940" spans="1:9" x14ac:dyDescent="0.25">
      <c r="A1940" t="s">
        <v>4404</v>
      </c>
      <c r="B1940" s="26" t="str">
        <f>MID(tbl_forecast[[#This Row],[PACE Job Number]],3,3)</f>
        <v>NTX</v>
      </c>
      <c r="C1940" t="s">
        <v>11</v>
      </c>
      <c r="D1940" s="1">
        <v>43407</v>
      </c>
      <c r="E1940" s="1">
        <v>43434</v>
      </c>
      <c r="F1940" s="1">
        <v>43434</v>
      </c>
      <c r="G1940" s="1"/>
      <c r="H1940" t="s">
        <v>4664</v>
      </c>
      <c r="I1940" t="s">
        <v>5645</v>
      </c>
    </row>
    <row r="1941" spans="1:9" x14ac:dyDescent="0.25">
      <c r="A1941" t="s">
        <v>3798</v>
      </c>
      <c r="B1941" s="26" t="str">
        <f>MID(tbl_forecast[[#This Row],[PACE Job Number]],3,3)</f>
        <v>WSH</v>
      </c>
      <c r="C1941" t="s">
        <v>11</v>
      </c>
      <c r="D1941" s="1">
        <v>43434</v>
      </c>
      <c r="E1941" s="1">
        <v>43448</v>
      </c>
      <c r="F1941" s="1">
        <v>43448</v>
      </c>
      <c r="G1941" s="1"/>
      <c r="H1941" t="s">
        <v>9</v>
      </c>
      <c r="I1941" t="s">
        <v>27</v>
      </c>
    </row>
    <row r="1942" spans="1:9" x14ac:dyDescent="0.25">
      <c r="A1942" t="s">
        <v>4196</v>
      </c>
      <c r="B1942" s="26" t="str">
        <f>MID(tbl_forecast[[#This Row],[PACE Job Number]],3,3)</f>
        <v>WSH</v>
      </c>
      <c r="C1942" t="s">
        <v>11</v>
      </c>
      <c r="D1942" s="1">
        <v>43434</v>
      </c>
      <c r="E1942" s="1">
        <v>43377</v>
      </c>
      <c r="F1942" s="1">
        <v>43427</v>
      </c>
      <c r="G1942" s="1">
        <v>43427</v>
      </c>
      <c r="H1942" t="s">
        <v>9</v>
      </c>
      <c r="I1942" t="s">
        <v>10</v>
      </c>
    </row>
    <row r="1943" spans="1:9" x14ac:dyDescent="0.25">
      <c r="A1943" t="s">
        <v>31</v>
      </c>
      <c r="B1943" s="26" t="str">
        <f>MID(tbl_forecast[[#This Row],[PACE Job Number]],3,3)</f>
        <v>WSH</v>
      </c>
      <c r="C1943" t="s">
        <v>11</v>
      </c>
      <c r="D1943" s="1">
        <v>43434</v>
      </c>
      <c r="E1943" s="1">
        <v>43448</v>
      </c>
      <c r="F1943" s="1">
        <v>43448</v>
      </c>
      <c r="G1943" s="1"/>
      <c r="H1943" t="s">
        <v>9</v>
      </c>
      <c r="I1943" t="s">
        <v>27</v>
      </c>
    </row>
    <row r="1944" spans="1:9" x14ac:dyDescent="0.25">
      <c r="A1944" t="s">
        <v>5250</v>
      </c>
      <c r="B1944" s="26" t="str">
        <f>MID(tbl_forecast[[#This Row],[PACE Job Number]],3,3)</f>
        <v>WSH</v>
      </c>
      <c r="C1944" t="s">
        <v>11</v>
      </c>
      <c r="D1944" s="1">
        <v>43434</v>
      </c>
      <c r="E1944" s="1">
        <v>43453</v>
      </c>
      <c r="F1944" s="1">
        <v>43432</v>
      </c>
      <c r="G1944" s="1"/>
      <c r="H1944" t="s">
        <v>9</v>
      </c>
      <c r="I1944" t="s">
        <v>44</v>
      </c>
    </row>
    <row r="1945" spans="1:9" x14ac:dyDescent="0.25">
      <c r="A1945" t="s">
        <v>3889</v>
      </c>
      <c r="B1945" s="26" t="str">
        <f>MID(tbl_forecast[[#This Row],[PACE Job Number]],3,3)</f>
        <v>WSH</v>
      </c>
      <c r="C1945" t="s">
        <v>11</v>
      </c>
      <c r="D1945" s="1">
        <v>43405</v>
      </c>
      <c r="E1945" s="1">
        <v>43405</v>
      </c>
      <c r="F1945" s="1">
        <v>43405</v>
      </c>
      <c r="G1945" s="1">
        <v>43405</v>
      </c>
      <c r="H1945" t="s">
        <v>9</v>
      </c>
      <c r="I1945" t="s">
        <v>10</v>
      </c>
    </row>
    <row r="1946" spans="1:9" x14ac:dyDescent="0.25">
      <c r="A1946" t="s">
        <v>3890</v>
      </c>
      <c r="B1946" s="26" t="str">
        <f>MID(tbl_forecast[[#This Row],[PACE Job Number]],3,3)</f>
        <v>WSH</v>
      </c>
      <c r="C1946" t="s">
        <v>11</v>
      </c>
      <c r="D1946" s="1">
        <v>43413</v>
      </c>
      <c r="E1946" s="1">
        <v>43420</v>
      </c>
      <c r="F1946" s="1">
        <v>43420</v>
      </c>
      <c r="G1946" s="1">
        <v>43420</v>
      </c>
      <c r="H1946" t="s">
        <v>9</v>
      </c>
      <c r="I1946" t="s">
        <v>10</v>
      </c>
    </row>
    <row r="1947" spans="1:9" x14ac:dyDescent="0.25">
      <c r="A1947" t="s">
        <v>5252</v>
      </c>
      <c r="B1947" s="26" t="str">
        <f>MID(tbl_forecast[[#This Row],[PACE Job Number]],3,3)</f>
        <v>WSH</v>
      </c>
      <c r="C1947" t="s">
        <v>11</v>
      </c>
      <c r="D1947" s="1">
        <v>43424</v>
      </c>
      <c r="E1947" s="1">
        <v>43448</v>
      </c>
      <c r="F1947" s="1">
        <v>43441</v>
      </c>
      <c r="G1947" s="1"/>
      <c r="H1947" t="s">
        <v>4664</v>
      </c>
      <c r="I1947" t="s">
        <v>4665</v>
      </c>
    </row>
    <row r="1948" spans="1:9" x14ac:dyDescent="0.25">
      <c r="A1948" t="s">
        <v>62</v>
      </c>
      <c r="B1948" s="26" t="str">
        <f>MID(tbl_forecast[[#This Row],[PACE Job Number]],3,3)</f>
        <v>WSH</v>
      </c>
      <c r="C1948" t="s">
        <v>11</v>
      </c>
      <c r="D1948" s="1">
        <v>43413</v>
      </c>
      <c r="E1948" s="1">
        <v>43420</v>
      </c>
      <c r="F1948" s="1">
        <v>43420</v>
      </c>
      <c r="G1948" s="1">
        <v>43420</v>
      </c>
      <c r="H1948" t="s">
        <v>9</v>
      </c>
      <c r="I1948" t="s">
        <v>10</v>
      </c>
    </row>
    <row r="1949" spans="1:9" x14ac:dyDescent="0.25">
      <c r="A1949" t="s">
        <v>3799</v>
      </c>
      <c r="B1949" s="26" t="str">
        <f>MID(tbl_forecast[[#This Row],[PACE Job Number]],3,3)</f>
        <v>WSH</v>
      </c>
      <c r="C1949" t="s">
        <v>11</v>
      </c>
      <c r="D1949" s="1">
        <v>43424</v>
      </c>
      <c r="E1949" s="1">
        <v>43434</v>
      </c>
      <c r="F1949" s="1">
        <v>43431</v>
      </c>
      <c r="G1949" s="1"/>
      <c r="H1949" t="s">
        <v>9</v>
      </c>
      <c r="I1949" t="s">
        <v>27</v>
      </c>
    </row>
    <row r="1950" spans="1:9" x14ac:dyDescent="0.25">
      <c r="A1950" t="s">
        <v>4228</v>
      </c>
      <c r="B1950" s="26" t="str">
        <f>MID(tbl_forecast[[#This Row],[PACE Job Number]],3,3)</f>
        <v>ANM</v>
      </c>
      <c r="C1950" t="s">
        <v>11</v>
      </c>
      <c r="D1950" s="1">
        <v>43417</v>
      </c>
      <c r="E1950" s="1">
        <v>36524</v>
      </c>
      <c r="F1950" s="1">
        <v>43417</v>
      </c>
      <c r="G1950" s="1"/>
      <c r="H1950" t="s">
        <v>9</v>
      </c>
      <c r="I1950" t="s">
        <v>27</v>
      </c>
    </row>
    <row r="1951" spans="1:9" x14ac:dyDescent="0.25">
      <c r="A1951" t="s">
        <v>4229</v>
      </c>
      <c r="B1951" s="26" t="str">
        <f>MID(tbl_forecast[[#This Row],[PACE Job Number]],3,3)</f>
        <v>ANM</v>
      </c>
      <c r="C1951" t="s">
        <v>11</v>
      </c>
      <c r="D1951" s="1">
        <v>43417</v>
      </c>
      <c r="E1951" s="1">
        <v>36524</v>
      </c>
      <c r="F1951" s="1">
        <v>43417</v>
      </c>
      <c r="G1951" s="1"/>
      <c r="H1951" t="s">
        <v>9</v>
      </c>
      <c r="I1951" t="s">
        <v>27</v>
      </c>
    </row>
    <row r="1952" spans="1:9" x14ac:dyDescent="0.25">
      <c r="A1952" t="s">
        <v>4231</v>
      </c>
      <c r="B1952" s="26" t="str">
        <f>MID(tbl_forecast[[#This Row],[PACE Job Number]],3,3)</f>
        <v>ANM</v>
      </c>
      <c r="C1952" t="s">
        <v>11</v>
      </c>
      <c r="D1952" s="1">
        <v>43417</v>
      </c>
      <c r="E1952" s="1">
        <v>36524</v>
      </c>
      <c r="F1952" s="1">
        <v>43417</v>
      </c>
      <c r="G1952" s="1"/>
      <c r="H1952" t="s">
        <v>9</v>
      </c>
      <c r="I1952" t="s">
        <v>27</v>
      </c>
    </row>
    <row r="1953" spans="1:9" x14ac:dyDescent="0.25">
      <c r="A1953" t="s">
        <v>4232</v>
      </c>
      <c r="B1953" s="26" t="str">
        <f>MID(tbl_forecast[[#This Row],[PACE Job Number]],3,3)</f>
        <v>ANM</v>
      </c>
      <c r="C1953" t="s">
        <v>11</v>
      </c>
      <c r="D1953" s="1">
        <v>43417</v>
      </c>
      <c r="E1953" s="1">
        <v>36524</v>
      </c>
      <c r="F1953" s="1">
        <v>43417</v>
      </c>
      <c r="G1953" s="1"/>
      <c r="H1953" t="s">
        <v>9</v>
      </c>
      <c r="I1953" t="s">
        <v>27</v>
      </c>
    </row>
    <row r="1954" spans="1:9" x14ac:dyDescent="0.25">
      <c r="A1954" t="s">
        <v>4233</v>
      </c>
      <c r="B1954" s="26" t="str">
        <f>MID(tbl_forecast[[#This Row],[PACE Job Number]],3,3)</f>
        <v>ANM</v>
      </c>
      <c r="C1954" t="s">
        <v>11</v>
      </c>
      <c r="D1954" s="1">
        <v>43417</v>
      </c>
      <c r="E1954" s="1">
        <v>36524</v>
      </c>
      <c r="F1954" s="1">
        <v>43417</v>
      </c>
      <c r="G1954" s="1"/>
      <c r="H1954" t="s">
        <v>9</v>
      </c>
      <c r="I1954" t="s">
        <v>27</v>
      </c>
    </row>
    <row r="1955" spans="1:9" x14ac:dyDescent="0.25">
      <c r="A1955" t="s">
        <v>4234</v>
      </c>
      <c r="B1955" s="26" t="str">
        <f>MID(tbl_forecast[[#This Row],[PACE Job Number]],3,3)</f>
        <v>ANM</v>
      </c>
      <c r="C1955" t="s">
        <v>11</v>
      </c>
      <c r="D1955" s="1">
        <v>43417</v>
      </c>
      <c r="E1955" s="1">
        <v>36524</v>
      </c>
      <c r="F1955" s="1">
        <v>43417</v>
      </c>
      <c r="G1955" s="1"/>
      <c r="H1955" t="s">
        <v>9</v>
      </c>
      <c r="I1955" t="s">
        <v>27</v>
      </c>
    </row>
    <row r="1956" spans="1:9" x14ac:dyDescent="0.25">
      <c r="A1956" t="s">
        <v>4235</v>
      </c>
      <c r="B1956" s="26" t="str">
        <f>MID(tbl_forecast[[#This Row],[PACE Job Number]],3,3)</f>
        <v>ANM</v>
      </c>
      <c r="C1956" t="s">
        <v>11</v>
      </c>
      <c r="D1956" s="1">
        <v>43417</v>
      </c>
      <c r="E1956" s="1">
        <v>36524</v>
      </c>
      <c r="F1956" s="1">
        <v>43417</v>
      </c>
      <c r="G1956" s="1"/>
      <c r="H1956" t="s">
        <v>9</v>
      </c>
      <c r="I1956" t="s">
        <v>27</v>
      </c>
    </row>
    <row r="1957" spans="1:9" x14ac:dyDescent="0.25">
      <c r="A1957" t="s">
        <v>4236</v>
      </c>
      <c r="B1957" s="26" t="str">
        <f>MID(tbl_forecast[[#This Row],[PACE Job Number]],3,3)</f>
        <v>ANM</v>
      </c>
      <c r="C1957" t="s">
        <v>11</v>
      </c>
      <c r="D1957" s="1">
        <v>43417</v>
      </c>
      <c r="E1957" s="1">
        <v>36524</v>
      </c>
      <c r="F1957" s="1">
        <v>43417</v>
      </c>
      <c r="G1957" s="1"/>
      <c r="H1957" t="s">
        <v>9</v>
      </c>
      <c r="I1957" t="s">
        <v>27</v>
      </c>
    </row>
    <row r="1958" spans="1:9" x14ac:dyDescent="0.25">
      <c r="A1958" t="s">
        <v>4237</v>
      </c>
      <c r="B1958" s="26" t="str">
        <f>MID(tbl_forecast[[#This Row],[PACE Job Number]],3,3)</f>
        <v>ANM</v>
      </c>
      <c r="C1958" t="s">
        <v>11</v>
      </c>
      <c r="D1958" s="1">
        <v>43417</v>
      </c>
      <c r="E1958" s="1">
        <v>36524</v>
      </c>
      <c r="F1958" s="1">
        <v>43417</v>
      </c>
      <c r="G1958" s="1"/>
      <c r="H1958" t="s">
        <v>9</v>
      </c>
      <c r="I1958" t="s">
        <v>27</v>
      </c>
    </row>
    <row r="1959" spans="1:9" x14ac:dyDescent="0.25">
      <c r="A1959" t="s">
        <v>5253</v>
      </c>
      <c r="B1959" s="26" t="str">
        <f>MID(tbl_forecast[[#This Row],[PACE Job Number]],3,3)</f>
        <v>ANM</v>
      </c>
      <c r="C1959" t="s">
        <v>11</v>
      </c>
      <c r="D1959" s="1">
        <v>43430</v>
      </c>
      <c r="E1959" s="1">
        <v>43465</v>
      </c>
      <c r="F1959" s="1">
        <v>43430</v>
      </c>
      <c r="G1959" s="1"/>
      <c r="H1959" t="s">
        <v>9</v>
      </c>
      <c r="I1959" t="s">
        <v>44</v>
      </c>
    </row>
    <row r="1960" spans="1:9" x14ac:dyDescent="0.25">
      <c r="A1960" t="s">
        <v>4239</v>
      </c>
      <c r="B1960" s="26" t="str">
        <f>MID(tbl_forecast[[#This Row],[PACE Job Number]],3,3)</f>
        <v>ANM</v>
      </c>
      <c r="C1960" t="s">
        <v>11</v>
      </c>
      <c r="D1960" s="1">
        <v>43409</v>
      </c>
      <c r="E1960" s="1">
        <v>43409</v>
      </c>
      <c r="F1960" s="1">
        <v>43414</v>
      </c>
      <c r="G1960" s="1">
        <v>43414</v>
      </c>
      <c r="H1960" t="s">
        <v>9</v>
      </c>
      <c r="I1960" t="s">
        <v>10</v>
      </c>
    </row>
    <row r="1961" spans="1:9" x14ac:dyDescent="0.25">
      <c r="A1961" t="s">
        <v>4240</v>
      </c>
      <c r="B1961" s="26" t="str">
        <f>MID(tbl_forecast[[#This Row],[PACE Job Number]],3,3)</f>
        <v>ANM</v>
      </c>
      <c r="C1961" t="s">
        <v>11</v>
      </c>
      <c r="D1961" s="1">
        <v>43409</v>
      </c>
      <c r="E1961" s="1">
        <v>43409</v>
      </c>
      <c r="F1961" s="1">
        <v>43414</v>
      </c>
      <c r="G1961" s="1">
        <v>43414</v>
      </c>
      <c r="H1961" t="s">
        <v>9</v>
      </c>
      <c r="I1961" t="s">
        <v>10</v>
      </c>
    </row>
    <row r="1962" spans="1:9" x14ac:dyDescent="0.25">
      <c r="A1962" t="s">
        <v>5065</v>
      </c>
      <c r="B1962" s="26" t="str">
        <f>MID(tbl_forecast[[#This Row],[PACE Job Number]],3,3)</f>
        <v>ANM</v>
      </c>
      <c r="C1962" t="s">
        <v>11</v>
      </c>
      <c r="D1962" s="1">
        <v>43430</v>
      </c>
      <c r="E1962" s="1">
        <v>43465</v>
      </c>
      <c r="F1962" s="1">
        <v>43465</v>
      </c>
      <c r="G1962" s="1"/>
      <c r="H1962" t="s">
        <v>4664</v>
      </c>
      <c r="I1962" t="s">
        <v>4665</v>
      </c>
    </row>
    <row r="1963" spans="1:9" x14ac:dyDescent="0.25">
      <c r="A1963" t="s">
        <v>5254</v>
      </c>
      <c r="B1963" s="26" t="str">
        <f>MID(tbl_forecast[[#This Row],[PACE Job Number]],3,3)</f>
        <v>ANM</v>
      </c>
      <c r="C1963" t="s">
        <v>11</v>
      </c>
      <c r="D1963" s="1">
        <v>43419</v>
      </c>
      <c r="E1963" s="1">
        <v>43458</v>
      </c>
      <c r="F1963" s="1">
        <v>43458</v>
      </c>
      <c r="G1963" s="1"/>
      <c r="H1963" t="s">
        <v>4664</v>
      </c>
      <c r="I1963" t="s">
        <v>5645</v>
      </c>
    </row>
    <row r="1964" spans="1:9" x14ac:dyDescent="0.25">
      <c r="A1964" t="s">
        <v>4153</v>
      </c>
      <c r="B1964" s="26" t="str">
        <f>MID(tbl_forecast[[#This Row],[PACE Job Number]],3,3)</f>
        <v>ANM</v>
      </c>
      <c r="C1964" t="s">
        <v>11</v>
      </c>
      <c r="D1964" s="1">
        <v>43430</v>
      </c>
      <c r="E1964" s="1">
        <v>43465</v>
      </c>
      <c r="F1964" s="1">
        <v>43465</v>
      </c>
      <c r="G1964" s="1"/>
      <c r="H1964" t="s">
        <v>4664</v>
      </c>
      <c r="I1964" t="s">
        <v>4665</v>
      </c>
    </row>
    <row r="1965" spans="1:9" x14ac:dyDescent="0.25">
      <c r="A1965" t="s">
        <v>4156</v>
      </c>
      <c r="B1965" s="26" t="str">
        <f>MID(tbl_forecast[[#This Row],[PACE Job Number]],3,3)</f>
        <v>ANM</v>
      </c>
      <c r="C1965" t="s">
        <v>11</v>
      </c>
      <c r="D1965" s="1">
        <v>43430</v>
      </c>
      <c r="E1965" s="1">
        <v>43465</v>
      </c>
      <c r="F1965" s="1">
        <v>43465</v>
      </c>
      <c r="G1965" s="1"/>
      <c r="H1965" t="s">
        <v>4664</v>
      </c>
      <c r="I1965" t="s">
        <v>4665</v>
      </c>
    </row>
    <row r="1966" spans="1:9" x14ac:dyDescent="0.25">
      <c r="A1966" t="s">
        <v>5067</v>
      </c>
      <c r="B1966" s="26" t="str">
        <f>MID(tbl_forecast[[#This Row],[PACE Job Number]],3,3)</f>
        <v>ANM</v>
      </c>
      <c r="C1966" t="s">
        <v>11</v>
      </c>
      <c r="D1966" s="1">
        <v>43430</v>
      </c>
      <c r="E1966" s="1">
        <v>43465</v>
      </c>
      <c r="F1966" s="1">
        <v>43465</v>
      </c>
      <c r="G1966" s="1"/>
      <c r="H1966" t="s">
        <v>4664</v>
      </c>
      <c r="I1966" t="s">
        <v>4665</v>
      </c>
    </row>
    <row r="1967" spans="1:9" x14ac:dyDescent="0.25">
      <c r="A1967" t="s">
        <v>5068</v>
      </c>
      <c r="B1967" s="26" t="str">
        <f>MID(tbl_forecast[[#This Row],[PACE Job Number]],3,3)</f>
        <v>ANM</v>
      </c>
      <c r="C1967" t="s">
        <v>11</v>
      </c>
      <c r="D1967" s="1">
        <v>43430</v>
      </c>
      <c r="E1967" s="1">
        <v>43465</v>
      </c>
      <c r="F1967" s="1">
        <v>43465</v>
      </c>
      <c r="G1967" s="1"/>
      <c r="H1967" t="s">
        <v>4664</v>
      </c>
      <c r="I1967" t="s">
        <v>4665</v>
      </c>
    </row>
    <row r="1968" spans="1:9" x14ac:dyDescent="0.25">
      <c r="A1968" t="s">
        <v>4464</v>
      </c>
      <c r="B1968" s="26" t="str">
        <f>MID(tbl_forecast[[#This Row],[PACE Job Number]],3,3)</f>
        <v>STX</v>
      </c>
      <c r="C1968" t="s">
        <v>11</v>
      </c>
      <c r="D1968" s="1">
        <v>43428</v>
      </c>
      <c r="E1968" s="1">
        <v>43447</v>
      </c>
      <c r="F1968" s="1">
        <v>43447</v>
      </c>
      <c r="G1968" s="1"/>
      <c r="H1968" t="s">
        <v>4664</v>
      </c>
      <c r="I1968" t="s">
        <v>4665</v>
      </c>
    </row>
    <row r="1969" spans="1:9" x14ac:dyDescent="0.25">
      <c r="A1969" t="s">
        <v>4465</v>
      </c>
      <c r="B1969" s="26" t="str">
        <f>MID(tbl_forecast[[#This Row],[PACE Job Number]],3,3)</f>
        <v>STX</v>
      </c>
      <c r="C1969" t="s">
        <v>11</v>
      </c>
      <c r="D1969" s="1">
        <v>43428</v>
      </c>
      <c r="E1969" s="1">
        <v>43447</v>
      </c>
      <c r="F1969" s="1">
        <v>43447</v>
      </c>
      <c r="G1969" s="1"/>
      <c r="H1969" t="s">
        <v>4664</v>
      </c>
      <c r="I1969" t="s">
        <v>4665</v>
      </c>
    </row>
    <row r="1970" spans="1:9" x14ac:dyDescent="0.25">
      <c r="A1970" t="s">
        <v>3259</v>
      </c>
      <c r="B1970" s="26" t="str">
        <f>MID(tbl_forecast[[#This Row],[PACE Job Number]],3,3)</f>
        <v>STX</v>
      </c>
      <c r="C1970" t="s">
        <v>11</v>
      </c>
      <c r="D1970" s="1">
        <v>43428</v>
      </c>
      <c r="E1970" s="1">
        <v>43459</v>
      </c>
      <c r="F1970" s="1">
        <v>43459</v>
      </c>
      <c r="G1970" s="1"/>
      <c r="H1970" t="s">
        <v>4664</v>
      </c>
      <c r="I1970" t="s">
        <v>4665</v>
      </c>
    </row>
    <row r="1971" spans="1:9" x14ac:dyDescent="0.25">
      <c r="A1971" t="s">
        <v>1205</v>
      </c>
      <c r="B1971" s="26" t="str">
        <f>MID(tbl_forecast[[#This Row],[PACE Job Number]],3,3)</f>
        <v>STX</v>
      </c>
      <c r="C1971" t="s">
        <v>11</v>
      </c>
      <c r="D1971" s="1">
        <v>43428</v>
      </c>
      <c r="E1971" s="1">
        <v>43452</v>
      </c>
      <c r="F1971" s="1">
        <v>43424</v>
      </c>
      <c r="G1971" s="1"/>
      <c r="H1971" t="s">
        <v>9</v>
      </c>
      <c r="I1971" t="s">
        <v>44</v>
      </c>
    </row>
    <row r="1972" spans="1:9" x14ac:dyDescent="0.25">
      <c r="A1972" t="s">
        <v>4467</v>
      </c>
      <c r="B1972" s="26" t="str">
        <f>MID(tbl_forecast[[#This Row],[PACE Job Number]],3,3)</f>
        <v>STX</v>
      </c>
      <c r="C1972" t="s">
        <v>11</v>
      </c>
      <c r="D1972" s="1">
        <v>43428</v>
      </c>
      <c r="E1972" s="1">
        <v>43428</v>
      </c>
      <c r="F1972" s="1">
        <v>43419</v>
      </c>
      <c r="G1972" s="1">
        <v>43419</v>
      </c>
      <c r="H1972" t="s">
        <v>9</v>
      </c>
      <c r="I1972" t="s">
        <v>10</v>
      </c>
    </row>
    <row r="1973" spans="1:9" x14ac:dyDescent="0.25">
      <c r="A1973" t="s">
        <v>4468</v>
      </c>
      <c r="B1973" s="26" t="str">
        <f>MID(tbl_forecast[[#This Row],[PACE Job Number]],3,3)</f>
        <v>STX</v>
      </c>
      <c r="C1973" t="s">
        <v>11</v>
      </c>
      <c r="D1973" s="1">
        <v>43428</v>
      </c>
      <c r="E1973" s="1">
        <v>43428</v>
      </c>
      <c r="F1973" s="1">
        <v>43419</v>
      </c>
      <c r="G1973" s="1">
        <v>43419</v>
      </c>
      <c r="H1973" t="s">
        <v>9</v>
      </c>
      <c r="I1973" t="s">
        <v>10</v>
      </c>
    </row>
    <row r="1974" spans="1:9" x14ac:dyDescent="0.25">
      <c r="A1974" t="s">
        <v>3294</v>
      </c>
      <c r="B1974" s="26" t="str">
        <f>MID(tbl_forecast[[#This Row],[PACE Job Number]],3,3)</f>
        <v>STX</v>
      </c>
      <c r="C1974" t="s">
        <v>11</v>
      </c>
      <c r="D1974" s="1">
        <v>43425</v>
      </c>
      <c r="E1974" s="1">
        <v>43459</v>
      </c>
      <c r="F1974" s="1">
        <v>43459</v>
      </c>
      <c r="G1974" s="1"/>
      <c r="H1974" t="s">
        <v>4664</v>
      </c>
      <c r="I1974" t="s">
        <v>4665</v>
      </c>
    </row>
    <row r="1975" spans="1:9" x14ac:dyDescent="0.25">
      <c r="A1975" t="s">
        <v>2726</v>
      </c>
      <c r="B1975" s="26" t="str">
        <f>MID(tbl_forecast[[#This Row],[PACE Job Number]],3,3)</f>
        <v>STX</v>
      </c>
      <c r="C1975" t="s">
        <v>11</v>
      </c>
      <c r="D1975" s="1">
        <v>43428</v>
      </c>
      <c r="E1975" s="1">
        <v>43428</v>
      </c>
      <c r="F1975" s="1">
        <v>43419</v>
      </c>
      <c r="G1975" s="1">
        <v>43419</v>
      </c>
      <c r="H1975" t="s">
        <v>9</v>
      </c>
      <c r="I1975" t="s">
        <v>10</v>
      </c>
    </row>
    <row r="1976" spans="1:9" x14ac:dyDescent="0.25">
      <c r="A1976" t="s">
        <v>2731</v>
      </c>
      <c r="B1976" s="26" t="str">
        <f>MID(tbl_forecast[[#This Row],[PACE Job Number]],3,3)</f>
        <v>STX</v>
      </c>
      <c r="C1976" t="s">
        <v>11</v>
      </c>
      <c r="D1976" s="1">
        <v>43428</v>
      </c>
      <c r="E1976" s="1">
        <v>43428</v>
      </c>
      <c r="F1976" s="1">
        <v>43419</v>
      </c>
      <c r="G1976" s="1">
        <v>43419</v>
      </c>
      <c r="H1976" t="s">
        <v>9</v>
      </c>
      <c r="I1976" t="s">
        <v>10</v>
      </c>
    </row>
    <row r="1977" spans="1:9" x14ac:dyDescent="0.25">
      <c r="A1977" t="s">
        <v>2729</v>
      </c>
      <c r="B1977" s="26" t="str">
        <f>MID(tbl_forecast[[#This Row],[PACE Job Number]],3,3)</f>
        <v>STX</v>
      </c>
      <c r="C1977" t="s">
        <v>11</v>
      </c>
      <c r="D1977" s="1">
        <v>43428</v>
      </c>
      <c r="E1977" s="1">
        <v>43428</v>
      </c>
      <c r="F1977" s="1">
        <v>43419</v>
      </c>
      <c r="G1977" s="1">
        <v>43419</v>
      </c>
      <c r="H1977" t="s">
        <v>9</v>
      </c>
      <c r="I1977" t="s">
        <v>10</v>
      </c>
    </row>
    <row r="1978" spans="1:9" x14ac:dyDescent="0.25">
      <c r="A1978" t="s">
        <v>3128</v>
      </c>
      <c r="B1978" s="26" t="str">
        <f>MID(tbl_forecast[[#This Row],[PACE Job Number]],3,3)</f>
        <v>STX</v>
      </c>
      <c r="C1978" t="s">
        <v>11</v>
      </c>
      <c r="D1978" s="1">
        <v>43428</v>
      </c>
      <c r="E1978" s="1">
        <v>43459</v>
      </c>
      <c r="F1978" s="1">
        <v>43459</v>
      </c>
      <c r="G1978" s="1"/>
      <c r="H1978" t="s">
        <v>4664</v>
      </c>
      <c r="I1978" t="s">
        <v>4665</v>
      </c>
    </row>
    <row r="1979" spans="1:9" x14ac:dyDescent="0.25">
      <c r="A1979" t="s">
        <v>3275</v>
      </c>
      <c r="B1979" s="26" t="str">
        <f>MID(tbl_forecast[[#This Row],[PACE Job Number]],3,3)</f>
        <v>STX</v>
      </c>
      <c r="C1979" t="s">
        <v>11</v>
      </c>
      <c r="D1979" s="1">
        <v>43405</v>
      </c>
      <c r="E1979" s="1">
        <v>43406</v>
      </c>
      <c r="F1979" s="1">
        <v>43405</v>
      </c>
      <c r="G1979" s="1">
        <v>43405</v>
      </c>
      <c r="H1979" t="s">
        <v>9</v>
      </c>
      <c r="I1979" t="s">
        <v>10</v>
      </c>
    </row>
    <row r="1980" spans="1:9" x14ac:dyDescent="0.25">
      <c r="A1980" t="s">
        <v>5405</v>
      </c>
      <c r="B1980" s="26" t="str">
        <f>MID(tbl_forecast[[#This Row],[PACE Job Number]],3,3)</f>
        <v>STX</v>
      </c>
      <c r="C1980" t="s">
        <v>11</v>
      </c>
      <c r="D1980" s="1">
        <v>43425</v>
      </c>
      <c r="E1980" s="1">
        <v>43459</v>
      </c>
      <c r="F1980" s="1">
        <v>43459</v>
      </c>
      <c r="G1980" s="1"/>
      <c r="H1980" t="s">
        <v>4664</v>
      </c>
      <c r="I1980" t="s">
        <v>4665</v>
      </c>
    </row>
    <row r="1981" spans="1:9" x14ac:dyDescent="0.25">
      <c r="A1981" t="s">
        <v>4279</v>
      </c>
      <c r="B1981" s="26" t="str">
        <f>MID(tbl_forecast[[#This Row],[PACE Job Number]],3,3)</f>
        <v>STX</v>
      </c>
      <c r="C1981" t="s">
        <v>11</v>
      </c>
      <c r="D1981" s="1">
        <v>43429</v>
      </c>
      <c r="E1981" s="1">
        <v>43424</v>
      </c>
      <c r="F1981" s="1">
        <v>43424</v>
      </c>
      <c r="G1981" s="1">
        <v>43424</v>
      </c>
      <c r="H1981" t="s">
        <v>9</v>
      </c>
      <c r="I1981" t="s">
        <v>10</v>
      </c>
    </row>
    <row r="1982" spans="1:9" x14ac:dyDescent="0.25">
      <c r="A1982" t="s">
        <v>1270</v>
      </c>
      <c r="B1982" s="26" t="str">
        <f>MID(tbl_forecast[[#This Row],[PACE Job Number]],3,3)</f>
        <v>STX</v>
      </c>
      <c r="C1982" t="s">
        <v>11</v>
      </c>
      <c r="D1982" s="1">
        <v>43428</v>
      </c>
      <c r="E1982" s="1">
        <v>43452</v>
      </c>
      <c r="F1982" s="1">
        <v>43452</v>
      </c>
      <c r="G1982" s="1"/>
      <c r="H1982" t="s">
        <v>4664</v>
      </c>
      <c r="I1982" t="s">
        <v>4665</v>
      </c>
    </row>
    <row r="1983" spans="1:9" x14ac:dyDescent="0.25">
      <c r="A1983" t="s">
        <v>584</v>
      </c>
      <c r="B1983" s="26" t="str">
        <f>MID(tbl_forecast[[#This Row],[PACE Job Number]],3,3)</f>
        <v>NTX</v>
      </c>
      <c r="C1983" t="s">
        <v>11</v>
      </c>
      <c r="D1983" s="1">
        <v>43411</v>
      </c>
      <c r="E1983" s="1">
        <v>43418</v>
      </c>
      <c r="F1983" s="1">
        <v>43412</v>
      </c>
      <c r="G1983" s="1">
        <v>43412</v>
      </c>
      <c r="H1983" t="s">
        <v>9</v>
      </c>
      <c r="I1983" t="s">
        <v>10</v>
      </c>
    </row>
    <row r="1984" spans="1:9" x14ac:dyDescent="0.25">
      <c r="A1984" t="s">
        <v>5499</v>
      </c>
      <c r="B1984" s="26" t="str">
        <f>MID(tbl_forecast[[#This Row],[PACE Job Number]],3,3)</f>
        <v>NTX</v>
      </c>
      <c r="C1984" t="s">
        <v>11</v>
      </c>
      <c r="D1984" s="1">
        <v>43425</v>
      </c>
      <c r="E1984" s="1">
        <v>43445</v>
      </c>
      <c r="F1984" s="1">
        <v>43445</v>
      </c>
      <c r="G1984" s="1"/>
      <c r="H1984" t="s">
        <v>4664</v>
      </c>
      <c r="I1984" t="s">
        <v>4665</v>
      </c>
    </row>
    <row r="1985" spans="1:9" x14ac:dyDescent="0.25">
      <c r="A1985" t="s">
        <v>4266</v>
      </c>
      <c r="B1985" s="26" t="str">
        <f>MID(tbl_forecast[[#This Row],[PACE Job Number]],3,3)</f>
        <v>NTX</v>
      </c>
      <c r="C1985" t="s">
        <v>11</v>
      </c>
      <c r="D1985" s="1">
        <v>43434</v>
      </c>
      <c r="E1985" s="1">
        <v>43507</v>
      </c>
      <c r="F1985" s="1">
        <v>43507</v>
      </c>
      <c r="G1985" s="1"/>
      <c r="H1985" t="s">
        <v>4664</v>
      </c>
      <c r="I1985" t="s">
        <v>4665</v>
      </c>
    </row>
    <row r="1986" spans="1:9" x14ac:dyDescent="0.25">
      <c r="A1986" t="s">
        <v>3794</v>
      </c>
      <c r="B1986" s="26" t="str">
        <f>MID(tbl_forecast[[#This Row],[PACE Job Number]],3,3)</f>
        <v>NTX</v>
      </c>
      <c r="C1986" t="s">
        <v>11</v>
      </c>
      <c r="D1986" s="1">
        <v>43433</v>
      </c>
      <c r="E1986" s="1">
        <v>43434</v>
      </c>
      <c r="F1986" s="1">
        <v>43434</v>
      </c>
      <c r="G1986" s="1"/>
      <c r="H1986" t="s">
        <v>9</v>
      </c>
      <c r="I1986" t="s">
        <v>27</v>
      </c>
    </row>
    <row r="1987" spans="1:9" x14ac:dyDescent="0.25">
      <c r="A1987" t="s">
        <v>677</v>
      </c>
      <c r="B1987" s="26" t="str">
        <f>MID(tbl_forecast[[#This Row],[PACE Job Number]],3,3)</f>
        <v>STX</v>
      </c>
      <c r="C1987" t="s">
        <v>11</v>
      </c>
      <c r="D1987" s="1">
        <v>43428</v>
      </c>
      <c r="E1987" s="1">
        <v>43459</v>
      </c>
      <c r="F1987" s="1">
        <v>43459</v>
      </c>
      <c r="G1987" s="1"/>
      <c r="H1987" t="s">
        <v>4664</v>
      </c>
      <c r="I1987" t="s">
        <v>4665</v>
      </c>
    </row>
    <row r="1988" spans="1:9" x14ac:dyDescent="0.25">
      <c r="A1988" t="s">
        <v>3124</v>
      </c>
      <c r="B1988" s="26" t="str">
        <f>MID(tbl_forecast[[#This Row],[PACE Job Number]],3,3)</f>
        <v>STX</v>
      </c>
      <c r="C1988" t="s">
        <v>11</v>
      </c>
      <c r="D1988" s="1">
        <v>43406</v>
      </c>
      <c r="E1988" s="1">
        <v>43406</v>
      </c>
      <c r="F1988" s="1">
        <v>43406</v>
      </c>
      <c r="G1988" s="1">
        <v>43406</v>
      </c>
      <c r="H1988" t="s">
        <v>9</v>
      </c>
      <c r="I1988" t="s">
        <v>10</v>
      </c>
    </row>
    <row r="1989" spans="1:9" x14ac:dyDescent="0.25">
      <c r="A1989" t="s">
        <v>3110</v>
      </c>
      <c r="B1989" s="26" t="str">
        <f>MID(tbl_forecast[[#This Row],[PACE Job Number]],3,3)</f>
        <v>STX</v>
      </c>
      <c r="C1989" t="s">
        <v>11</v>
      </c>
      <c r="D1989" s="1">
        <v>43406</v>
      </c>
      <c r="E1989" s="1">
        <v>43406</v>
      </c>
      <c r="F1989" s="1">
        <v>43406</v>
      </c>
      <c r="G1989" s="1">
        <v>43406</v>
      </c>
      <c r="H1989" t="s">
        <v>9</v>
      </c>
      <c r="I1989" t="s">
        <v>10</v>
      </c>
    </row>
    <row r="1990" spans="1:9" x14ac:dyDescent="0.25">
      <c r="A1990" t="s">
        <v>3472</v>
      </c>
      <c r="B1990" s="26" t="str">
        <f>MID(tbl_forecast[[#This Row],[PACE Job Number]],3,3)</f>
        <v>STX</v>
      </c>
      <c r="C1990" t="s">
        <v>11</v>
      </c>
      <c r="D1990" s="1">
        <v>43418</v>
      </c>
      <c r="E1990" s="1">
        <v>43419</v>
      </c>
      <c r="F1990" s="1">
        <v>43419</v>
      </c>
      <c r="G1990" s="1">
        <v>43419</v>
      </c>
      <c r="H1990" t="s">
        <v>9</v>
      </c>
      <c r="I1990" t="s">
        <v>10</v>
      </c>
    </row>
    <row r="1991" spans="1:9" x14ac:dyDescent="0.25">
      <c r="A1991" t="s">
        <v>261</v>
      </c>
      <c r="B1991" s="26" t="str">
        <f>MID(tbl_forecast[[#This Row],[PACE Job Number]],3,3)</f>
        <v>STX</v>
      </c>
      <c r="C1991" t="s">
        <v>11</v>
      </c>
      <c r="D1991" s="1">
        <v>43425</v>
      </c>
      <c r="E1991" s="1">
        <v>43425</v>
      </c>
      <c r="F1991" s="1">
        <v>43424</v>
      </c>
      <c r="G1991" s="1">
        <v>43424</v>
      </c>
      <c r="H1991" t="s">
        <v>9</v>
      </c>
      <c r="I1991" t="s">
        <v>10</v>
      </c>
    </row>
    <row r="1992" spans="1:9" x14ac:dyDescent="0.25">
      <c r="A1992" t="s">
        <v>53</v>
      </c>
      <c r="B1992" s="26" t="str">
        <f>MID(tbl_forecast[[#This Row],[PACE Job Number]],3,3)</f>
        <v>STX</v>
      </c>
      <c r="C1992" t="s">
        <v>11</v>
      </c>
      <c r="D1992" s="1">
        <v>43425</v>
      </c>
      <c r="E1992" s="1">
        <v>43459</v>
      </c>
      <c r="F1992" s="1">
        <v>43459</v>
      </c>
      <c r="G1992" s="1"/>
      <c r="H1992" t="s">
        <v>4664</v>
      </c>
      <c r="I1992" t="s">
        <v>4665</v>
      </c>
    </row>
    <row r="1993" spans="1:9" x14ac:dyDescent="0.25">
      <c r="A1993" t="s">
        <v>5407</v>
      </c>
      <c r="B1993" s="26" t="str">
        <f>MID(tbl_forecast[[#This Row],[PACE Job Number]],3,3)</f>
        <v>STX</v>
      </c>
      <c r="C1993" t="s">
        <v>11</v>
      </c>
      <c r="D1993" s="1">
        <v>43425</v>
      </c>
      <c r="E1993" s="1">
        <v>43425</v>
      </c>
      <c r="F1993" s="1">
        <v>43424</v>
      </c>
      <c r="G1993" s="1">
        <v>43424</v>
      </c>
      <c r="H1993" t="s">
        <v>9</v>
      </c>
      <c r="I1993" t="s">
        <v>10</v>
      </c>
    </row>
    <row r="1994" spans="1:9" x14ac:dyDescent="0.25">
      <c r="A1994" t="s">
        <v>1612</v>
      </c>
      <c r="B1994" s="26" t="str">
        <f>MID(tbl_forecast[[#This Row],[PACE Job Number]],3,3)</f>
        <v>STX</v>
      </c>
      <c r="C1994" t="s">
        <v>11</v>
      </c>
      <c r="D1994" s="1">
        <v>43426</v>
      </c>
      <c r="E1994" s="1">
        <v>43426</v>
      </c>
      <c r="F1994" s="1">
        <v>43420</v>
      </c>
      <c r="G1994" s="1">
        <v>43420</v>
      </c>
      <c r="H1994" t="s">
        <v>9</v>
      </c>
      <c r="I1994" t="s">
        <v>10</v>
      </c>
    </row>
    <row r="1995" spans="1:9" x14ac:dyDescent="0.25">
      <c r="A1995" t="s">
        <v>1594</v>
      </c>
      <c r="B1995" s="26" t="str">
        <f>MID(tbl_forecast[[#This Row],[PACE Job Number]],3,3)</f>
        <v>NTX</v>
      </c>
      <c r="C1995" t="s">
        <v>11</v>
      </c>
      <c r="D1995" s="1">
        <v>43419</v>
      </c>
      <c r="E1995" s="1">
        <v>43445</v>
      </c>
      <c r="F1995" s="1">
        <v>43445</v>
      </c>
      <c r="G1995" s="1"/>
      <c r="H1995" t="s">
        <v>4664</v>
      </c>
      <c r="I1995" t="s">
        <v>5645</v>
      </c>
    </row>
    <row r="1996" spans="1:9" x14ac:dyDescent="0.25">
      <c r="A1996" t="s">
        <v>3958</v>
      </c>
      <c r="B1996" s="26" t="str">
        <f>MID(tbl_forecast[[#This Row],[PACE Job Number]],3,3)</f>
        <v>NTX</v>
      </c>
      <c r="C1996" t="s">
        <v>11</v>
      </c>
      <c r="D1996" s="1">
        <v>43427</v>
      </c>
      <c r="E1996" s="1">
        <v>43444</v>
      </c>
      <c r="F1996" s="1">
        <v>43444</v>
      </c>
      <c r="G1996" s="1"/>
      <c r="H1996" t="s">
        <v>4664</v>
      </c>
      <c r="I1996" t="s">
        <v>4665</v>
      </c>
    </row>
    <row r="1997" spans="1:9" x14ac:dyDescent="0.25">
      <c r="A1997" t="s">
        <v>318</v>
      </c>
      <c r="B1997" s="26" t="str">
        <f>MID(tbl_forecast[[#This Row],[PACE Job Number]],3,3)</f>
        <v>NTX</v>
      </c>
      <c r="C1997" t="s">
        <v>11</v>
      </c>
      <c r="D1997" s="1">
        <v>43430</v>
      </c>
      <c r="E1997" s="1">
        <v>43448</v>
      </c>
      <c r="F1997" s="1">
        <v>43448</v>
      </c>
      <c r="G1997" s="1"/>
      <c r="H1997" t="s">
        <v>4664</v>
      </c>
      <c r="I1997" t="s">
        <v>4665</v>
      </c>
    </row>
    <row r="1998" spans="1:9" x14ac:dyDescent="0.25">
      <c r="A1998" t="s">
        <v>369</v>
      </c>
      <c r="B1998" s="26" t="str">
        <f>MID(tbl_forecast[[#This Row],[PACE Job Number]],3,3)</f>
        <v>NTX</v>
      </c>
      <c r="C1998" t="s">
        <v>11</v>
      </c>
      <c r="D1998" s="1">
        <v>43412</v>
      </c>
      <c r="E1998" s="1">
        <v>43437</v>
      </c>
      <c r="F1998" s="1">
        <v>43437</v>
      </c>
      <c r="G1998" s="1"/>
      <c r="H1998" t="s">
        <v>4664</v>
      </c>
      <c r="I1998" t="s">
        <v>5645</v>
      </c>
    </row>
    <row r="1999" spans="1:9" x14ac:dyDescent="0.25">
      <c r="A1999" t="s">
        <v>3420</v>
      </c>
      <c r="B1999" s="26" t="str">
        <f>MID(tbl_forecast[[#This Row],[PACE Job Number]],3,3)</f>
        <v>NTX</v>
      </c>
      <c r="C1999" t="s">
        <v>11</v>
      </c>
      <c r="D1999" s="1">
        <v>43407</v>
      </c>
      <c r="E1999" s="1">
        <v>43407</v>
      </c>
      <c r="F1999" s="1">
        <v>43409</v>
      </c>
      <c r="G1999" s="1">
        <v>43409</v>
      </c>
      <c r="H1999" t="s">
        <v>9</v>
      </c>
      <c r="I1999" t="s">
        <v>10</v>
      </c>
    </row>
    <row r="2000" spans="1:9" x14ac:dyDescent="0.25">
      <c r="A2000" t="s">
        <v>5500</v>
      </c>
      <c r="B2000" s="26" t="str">
        <f>MID(tbl_forecast[[#This Row],[PACE Job Number]],3,3)</f>
        <v>NTX</v>
      </c>
      <c r="C2000" t="s">
        <v>11</v>
      </c>
      <c r="D2000" s="1">
        <v>43431</v>
      </c>
      <c r="E2000" s="1">
        <v>43363</v>
      </c>
      <c r="F2000" s="1">
        <v>43427</v>
      </c>
      <c r="G2000" s="1">
        <v>43427</v>
      </c>
      <c r="H2000" t="s">
        <v>9</v>
      </c>
      <c r="I2000" t="s">
        <v>10</v>
      </c>
    </row>
    <row r="2001" spans="1:9" x14ac:dyDescent="0.25">
      <c r="A2001" t="s">
        <v>1821</v>
      </c>
      <c r="B2001" s="26" t="str">
        <f>MID(tbl_forecast[[#This Row],[PACE Job Number]],3,3)</f>
        <v>NTX</v>
      </c>
      <c r="C2001" t="s">
        <v>11</v>
      </c>
      <c r="D2001" s="1">
        <v>43409</v>
      </c>
      <c r="E2001" s="1">
        <v>43418</v>
      </c>
      <c r="F2001" s="1">
        <v>43413</v>
      </c>
      <c r="G2001" s="1">
        <v>43413</v>
      </c>
      <c r="H2001" t="s">
        <v>9</v>
      </c>
      <c r="I2001" t="s">
        <v>10</v>
      </c>
    </row>
    <row r="2002" spans="1:9" x14ac:dyDescent="0.25">
      <c r="A2002" t="s">
        <v>1825</v>
      </c>
      <c r="B2002" s="26" t="str">
        <f>MID(tbl_forecast[[#This Row],[PACE Job Number]],3,3)</f>
        <v>NTX</v>
      </c>
      <c r="C2002" t="s">
        <v>11</v>
      </c>
      <c r="D2002" s="1">
        <v>43430</v>
      </c>
      <c r="E2002" s="1">
        <v>43507</v>
      </c>
      <c r="F2002" s="1">
        <v>43507</v>
      </c>
      <c r="G2002" s="1"/>
      <c r="H2002" t="s">
        <v>4664</v>
      </c>
      <c r="I2002" t="s">
        <v>4665</v>
      </c>
    </row>
    <row r="2003" spans="1:9" x14ac:dyDescent="0.25">
      <c r="A2003" t="s">
        <v>1826</v>
      </c>
      <c r="B2003" s="26" t="str">
        <f>MID(tbl_forecast[[#This Row],[PACE Job Number]],3,3)</f>
        <v>NTX</v>
      </c>
      <c r="C2003" t="s">
        <v>11</v>
      </c>
      <c r="D2003" s="1">
        <v>43409</v>
      </c>
      <c r="E2003" s="1">
        <v>43458</v>
      </c>
      <c r="F2003" s="1">
        <v>43458</v>
      </c>
      <c r="G2003" s="1"/>
      <c r="H2003" t="s">
        <v>4664</v>
      </c>
      <c r="I2003" t="s">
        <v>5645</v>
      </c>
    </row>
    <row r="2004" spans="1:9" x14ac:dyDescent="0.25">
      <c r="A2004" t="s">
        <v>583</v>
      </c>
      <c r="B2004" s="26" t="str">
        <f>MID(tbl_forecast[[#This Row],[PACE Job Number]],3,3)</f>
        <v>NTX</v>
      </c>
      <c r="C2004" t="s">
        <v>11</v>
      </c>
      <c r="D2004" s="1">
        <v>43409</v>
      </c>
      <c r="E2004" s="1">
        <v>43418</v>
      </c>
      <c r="F2004" s="1">
        <v>43413</v>
      </c>
      <c r="G2004" s="1">
        <v>43413</v>
      </c>
      <c r="H2004" t="s">
        <v>9</v>
      </c>
      <c r="I2004" t="s">
        <v>10</v>
      </c>
    </row>
    <row r="2005" spans="1:9" x14ac:dyDescent="0.25">
      <c r="A2005" t="s">
        <v>1575</v>
      </c>
      <c r="B2005" s="26" t="str">
        <f>MID(tbl_forecast[[#This Row],[PACE Job Number]],3,3)</f>
        <v>NTX</v>
      </c>
      <c r="C2005" t="s">
        <v>11</v>
      </c>
      <c r="D2005" s="1">
        <v>43426</v>
      </c>
      <c r="E2005" s="1">
        <v>43367</v>
      </c>
      <c r="F2005" s="1">
        <v>43420</v>
      </c>
      <c r="G2005" s="1">
        <v>43420</v>
      </c>
      <c r="H2005" t="s">
        <v>9</v>
      </c>
      <c r="I2005" t="s">
        <v>10</v>
      </c>
    </row>
    <row r="2006" spans="1:9" x14ac:dyDescent="0.25">
      <c r="A2006" t="s">
        <v>5501</v>
      </c>
      <c r="B2006" s="26" t="str">
        <f>MID(tbl_forecast[[#This Row],[PACE Job Number]],3,3)</f>
        <v>NTX</v>
      </c>
      <c r="C2006" t="s">
        <v>11</v>
      </c>
      <c r="D2006" s="1">
        <v>43423</v>
      </c>
      <c r="E2006" s="1">
        <v>43423</v>
      </c>
      <c r="F2006" s="1">
        <v>43423</v>
      </c>
      <c r="G2006" s="1">
        <v>43423</v>
      </c>
      <c r="H2006" t="s">
        <v>9</v>
      </c>
      <c r="I2006" t="s">
        <v>10</v>
      </c>
    </row>
    <row r="2007" spans="1:9" x14ac:dyDescent="0.25">
      <c r="A2007" t="s">
        <v>4528</v>
      </c>
      <c r="B2007" s="26" t="str">
        <f>MID(tbl_forecast[[#This Row],[PACE Job Number]],3,3)</f>
        <v>NTX</v>
      </c>
      <c r="C2007" t="s">
        <v>11</v>
      </c>
      <c r="D2007" s="1">
        <v>43407</v>
      </c>
      <c r="E2007" s="1">
        <v>43507</v>
      </c>
      <c r="F2007" s="1">
        <v>43507</v>
      </c>
      <c r="G2007" s="1"/>
      <c r="H2007" t="s">
        <v>4664</v>
      </c>
      <c r="I2007" t="s">
        <v>5645</v>
      </c>
    </row>
    <row r="2008" spans="1:9" x14ac:dyDescent="0.25">
      <c r="A2008" t="s">
        <v>5408</v>
      </c>
      <c r="B2008" s="26" t="str">
        <f>MID(tbl_forecast[[#This Row],[PACE Job Number]],3,3)</f>
        <v>NTX</v>
      </c>
      <c r="C2008" t="s">
        <v>11</v>
      </c>
      <c r="D2008" s="1">
        <v>43423</v>
      </c>
      <c r="E2008" s="1">
        <v>43423</v>
      </c>
      <c r="F2008" s="1">
        <v>43413</v>
      </c>
      <c r="G2008" s="1">
        <v>43413</v>
      </c>
      <c r="H2008" t="s">
        <v>9</v>
      </c>
      <c r="I2008" t="s">
        <v>10</v>
      </c>
    </row>
    <row r="2009" spans="1:9" x14ac:dyDescent="0.25">
      <c r="A2009" t="s">
        <v>645</v>
      </c>
      <c r="B2009" s="26" t="str">
        <f>MID(tbl_forecast[[#This Row],[PACE Job Number]],3,3)</f>
        <v>NTX</v>
      </c>
      <c r="C2009" t="s">
        <v>11</v>
      </c>
      <c r="D2009" s="1">
        <v>43427</v>
      </c>
      <c r="E2009" s="1">
        <v>43448</v>
      </c>
      <c r="F2009" s="1">
        <v>43448</v>
      </c>
      <c r="G2009" s="1"/>
      <c r="H2009" t="s">
        <v>4664</v>
      </c>
      <c r="I2009" t="s">
        <v>4665</v>
      </c>
    </row>
    <row r="2010" spans="1:9" x14ac:dyDescent="0.25">
      <c r="A2010" t="s">
        <v>3368</v>
      </c>
      <c r="B2010" s="26" t="str">
        <f>MID(tbl_forecast[[#This Row],[PACE Job Number]],3,3)</f>
        <v>NTX</v>
      </c>
      <c r="C2010" t="s">
        <v>11</v>
      </c>
      <c r="D2010" s="1">
        <v>43420</v>
      </c>
      <c r="E2010" s="1">
        <v>43420</v>
      </c>
      <c r="F2010" s="1">
        <v>43424</v>
      </c>
      <c r="G2010" s="1">
        <v>43424</v>
      </c>
      <c r="H2010" t="s">
        <v>9</v>
      </c>
      <c r="I2010" t="s">
        <v>10</v>
      </c>
    </row>
    <row r="2011" spans="1:9" x14ac:dyDescent="0.25">
      <c r="A2011" t="s">
        <v>5409</v>
      </c>
      <c r="B2011" s="26" t="str">
        <f>MID(tbl_forecast[[#This Row],[PACE Job Number]],3,3)</f>
        <v>NTX</v>
      </c>
      <c r="C2011" t="s">
        <v>11</v>
      </c>
      <c r="D2011" s="1">
        <v>43423</v>
      </c>
      <c r="E2011" s="1">
        <v>43434</v>
      </c>
      <c r="F2011" s="1">
        <v>43434</v>
      </c>
      <c r="G2011" s="1">
        <v>43434</v>
      </c>
      <c r="H2011" t="s">
        <v>9</v>
      </c>
      <c r="I2011" t="s">
        <v>10</v>
      </c>
    </row>
    <row r="2012" spans="1:9" x14ac:dyDescent="0.25">
      <c r="A2012" t="s">
        <v>5502</v>
      </c>
      <c r="B2012" s="26" t="str">
        <f>MID(tbl_forecast[[#This Row],[PACE Job Number]],3,3)</f>
        <v>WSH</v>
      </c>
      <c r="C2012" t="s">
        <v>11</v>
      </c>
      <c r="D2012" s="1">
        <v>43413</v>
      </c>
      <c r="E2012" s="1">
        <v>43412</v>
      </c>
      <c r="F2012" s="1">
        <v>43412</v>
      </c>
      <c r="G2012" s="1">
        <v>43412</v>
      </c>
      <c r="H2012" t="s">
        <v>9</v>
      </c>
      <c r="I2012" t="s">
        <v>10</v>
      </c>
    </row>
    <row r="2013" spans="1:9" x14ac:dyDescent="0.25">
      <c r="A2013" t="s">
        <v>5258</v>
      </c>
      <c r="B2013" s="26" t="str">
        <f>MID(tbl_forecast[[#This Row],[PACE Job Number]],3,3)</f>
        <v>WSH</v>
      </c>
      <c r="C2013" t="s">
        <v>11</v>
      </c>
      <c r="D2013" s="1">
        <v>43424</v>
      </c>
      <c r="E2013" s="1">
        <v>43497</v>
      </c>
      <c r="F2013" s="1">
        <v>43497</v>
      </c>
      <c r="G2013" s="1"/>
      <c r="H2013" t="s">
        <v>4664</v>
      </c>
      <c r="I2013" t="s">
        <v>4665</v>
      </c>
    </row>
    <row r="2014" spans="1:9" x14ac:dyDescent="0.25">
      <c r="A2014" t="s">
        <v>242</v>
      </c>
      <c r="B2014" s="26" t="str">
        <f>MID(tbl_forecast[[#This Row],[PACE Job Number]],3,3)</f>
        <v>WSH</v>
      </c>
      <c r="C2014" t="s">
        <v>11</v>
      </c>
      <c r="D2014" s="1">
        <v>43424</v>
      </c>
      <c r="E2014" s="1">
        <v>43424</v>
      </c>
      <c r="F2014" s="1">
        <v>43424</v>
      </c>
      <c r="G2014" s="1">
        <v>43424</v>
      </c>
      <c r="H2014" t="s">
        <v>9</v>
      </c>
      <c r="I2014" t="s">
        <v>10</v>
      </c>
    </row>
    <row r="2015" spans="1:9" x14ac:dyDescent="0.25">
      <c r="A2015" t="s">
        <v>3863</v>
      </c>
      <c r="B2015" s="26" t="str">
        <f>MID(tbl_forecast[[#This Row],[PACE Job Number]],3,3)</f>
        <v>WSH</v>
      </c>
      <c r="C2015" t="s">
        <v>11</v>
      </c>
      <c r="D2015" s="1">
        <v>43413</v>
      </c>
      <c r="E2015" s="1">
        <v>43417</v>
      </c>
      <c r="F2015" s="1">
        <v>43417</v>
      </c>
      <c r="G2015" s="1">
        <v>43417</v>
      </c>
      <c r="H2015" t="s">
        <v>9</v>
      </c>
      <c r="I2015" t="s">
        <v>10</v>
      </c>
    </row>
    <row r="2016" spans="1:9" x14ac:dyDescent="0.25">
      <c r="A2016" t="s">
        <v>5259</v>
      </c>
      <c r="B2016" s="26" t="str">
        <f>MID(tbl_forecast[[#This Row],[PACE Job Number]],3,3)</f>
        <v>WSH</v>
      </c>
      <c r="C2016" t="s">
        <v>11</v>
      </c>
      <c r="D2016" s="1">
        <v>43424</v>
      </c>
      <c r="E2016" s="1">
        <v>43425</v>
      </c>
      <c r="F2016" s="1">
        <v>43425</v>
      </c>
      <c r="G2016" s="1">
        <v>43425</v>
      </c>
      <c r="H2016" t="s">
        <v>9</v>
      </c>
      <c r="I2016" t="s">
        <v>10</v>
      </c>
    </row>
    <row r="2017" spans="1:9" x14ac:dyDescent="0.25">
      <c r="A2017" t="s">
        <v>121</v>
      </c>
      <c r="B2017" s="26" t="str">
        <f>MID(tbl_forecast[[#This Row],[PACE Job Number]],3,3)</f>
        <v>WSH</v>
      </c>
      <c r="C2017" t="s">
        <v>11</v>
      </c>
      <c r="D2017" s="1">
        <v>43420</v>
      </c>
      <c r="E2017" s="1">
        <v>43496</v>
      </c>
      <c r="F2017" s="1">
        <v>43496</v>
      </c>
      <c r="G2017" s="1"/>
      <c r="H2017" t="s">
        <v>4664</v>
      </c>
      <c r="I2017" t="s">
        <v>5645</v>
      </c>
    </row>
    <row r="2018" spans="1:9" x14ac:dyDescent="0.25">
      <c r="A2018" t="s">
        <v>5503</v>
      </c>
      <c r="B2018" s="26" t="str">
        <f>MID(tbl_forecast[[#This Row],[PACE Job Number]],3,3)</f>
        <v>WSH</v>
      </c>
      <c r="C2018" t="s">
        <v>11</v>
      </c>
      <c r="D2018" s="1">
        <v>43413</v>
      </c>
      <c r="E2018" s="1">
        <v>43433</v>
      </c>
      <c r="F2018" s="1">
        <v>43428</v>
      </c>
      <c r="G2018" s="1">
        <v>43433</v>
      </c>
      <c r="H2018" t="s">
        <v>4664</v>
      </c>
      <c r="I2018" t="s">
        <v>10</v>
      </c>
    </row>
    <row r="2019" spans="1:9" x14ac:dyDescent="0.25">
      <c r="A2019" t="s">
        <v>5261</v>
      </c>
      <c r="B2019" s="26" t="str">
        <f>MID(tbl_forecast[[#This Row],[PACE Job Number]],3,3)</f>
        <v>WSH</v>
      </c>
      <c r="C2019" t="s">
        <v>11</v>
      </c>
      <c r="D2019" s="1">
        <v>43424</v>
      </c>
      <c r="E2019" s="1">
        <v>43464</v>
      </c>
      <c r="F2019" s="1">
        <v>43464</v>
      </c>
      <c r="G2019" s="1"/>
      <c r="H2019" t="s">
        <v>4664</v>
      </c>
      <c r="I2019" t="s">
        <v>4665</v>
      </c>
    </row>
    <row r="2020" spans="1:9" x14ac:dyDescent="0.25">
      <c r="A2020" t="s">
        <v>4269</v>
      </c>
      <c r="B2020" s="26" t="str">
        <f>MID(tbl_forecast[[#This Row],[PACE Job Number]],3,3)</f>
        <v>WSH</v>
      </c>
      <c r="C2020" t="s">
        <v>11</v>
      </c>
      <c r="D2020" s="1">
        <v>43410</v>
      </c>
      <c r="E2020" s="1">
        <v>43409</v>
      </c>
      <c r="F2020" s="1">
        <v>43409</v>
      </c>
      <c r="G2020" s="1">
        <v>43409</v>
      </c>
      <c r="H2020" t="s">
        <v>9</v>
      </c>
      <c r="I2020" t="s">
        <v>10</v>
      </c>
    </row>
    <row r="2021" spans="1:9" x14ac:dyDescent="0.25">
      <c r="A2021" t="s">
        <v>5504</v>
      </c>
      <c r="B2021" s="26" t="str">
        <f>MID(tbl_forecast[[#This Row],[PACE Job Number]],3,3)</f>
        <v>WSH</v>
      </c>
      <c r="C2021" t="s">
        <v>11</v>
      </c>
      <c r="D2021" s="1">
        <v>43405</v>
      </c>
      <c r="E2021" s="1">
        <v>43405</v>
      </c>
      <c r="F2021" s="1">
        <v>43405</v>
      </c>
      <c r="G2021" s="1">
        <v>43405</v>
      </c>
      <c r="H2021" t="s">
        <v>9</v>
      </c>
      <c r="I2021" t="s">
        <v>10</v>
      </c>
    </row>
    <row r="2022" spans="1:9" x14ac:dyDescent="0.25">
      <c r="A2022" t="s">
        <v>5262</v>
      </c>
      <c r="B2022" s="26" t="str">
        <f>MID(tbl_forecast[[#This Row],[PACE Job Number]],3,3)</f>
        <v>WSH</v>
      </c>
      <c r="C2022" t="s">
        <v>11</v>
      </c>
      <c r="D2022" s="1">
        <v>43424</v>
      </c>
      <c r="E2022" s="1">
        <v>43497</v>
      </c>
      <c r="F2022" s="1">
        <v>43497</v>
      </c>
      <c r="G2022" s="1"/>
      <c r="H2022" t="s">
        <v>4664</v>
      </c>
      <c r="I2022" t="s">
        <v>4665</v>
      </c>
    </row>
    <row r="2023" spans="1:9" x14ac:dyDescent="0.25">
      <c r="A2023" t="s">
        <v>153</v>
      </c>
      <c r="B2023" s="26" t="str">
        <f>MID(tbl_forecast[[#This Row],[PACE Job Number]],3,3)</f>
        <v>WSH</v>
      </c>
      <c r="C2023" t="s">
        <v>11</v>
      </c>
      <c r="D2023" s="1">
        <v>43420</v>
      </c>
      <c r="E2023" s="1">
        <v>43496</v>
      </c>
      <c r="F2023" s="1">
        <v>43496</v>
      </c>
      <c r="G2023" s="1"/>
      <c r="H2023" t="s">
        <v>4664</v>
      </c>
      <c r="I2023" t="s">
        <v>5645</v>
      </c>
    </row>
    <row r="2024" spans="1:9" x14ac:dyDescent="0.25">
      <c r="A2024" t="s">
        <v>5505</v>
      </c>
      <c r="B2024" s="26" t="str">
        <f>MID(tbl_forecast[[#This Row],[PACE Job Number]],3,3)</f>
        <v>WSH</v>
      </c>
      <c r="C2024" t="s">
        <v>11</v>
      </c>
      <c r="D2024" s="1">
        <v>43405</v>
      </c>
      <c r="E2024" s="1">
        <v>43405</v>
      </c>
      <c r="F2024" s="1">
        <v>43405</v>
      </c>
      <c r="G2024" s="1">
        <v>43405</v>
      </c>
      <c r="H2024" t="s">
        <v>9</v>
      </c>
      <c r="I2024" t="s">
        <v>10</v>
      </c>
    </row>
    <row r="2025" spans="1:9" x14ac:dyDescent="0.25">
      <c r="A2025" t="s">
        <v>5506</v>
      </c>
      <c r="B2025" s="26" t="str">
        <f>MID(tbl_forecast[[#This Row],[PACE Job Number]],3,3)</f>
        <v>WSH</v>
      </c>
      <c r="C2025" t="s">
        <v>11</v>
      </c>
      <c r="D2025" s="1">
        <v>43413</v>
      </c>
      <c r="E2025" s="1">
        <v>43420</v>
      </c>
      <c r="F2025" s="1">
        <v>43420</v>
      </c>
      <c r="G2025" s="1">
        <v>43420</v>
      </c>
      <c r="H2025" t="s">
        <v>9</v>
      </c>
      <c r="I2025" t="s">
        <v>10</v>
      </c>
    </row>
    <row r="2026" spans="1:9" x14ac:dyDescent="0.25">
      <c r="A2026" t="s">
        <v>5263</v>
      </c>
      <c r="B2026" s="26" t="str">
        <f>MID(tbl_forecast[[#This Row],[PACE Job Number]],3,3)</f>
        <v>WSH</v>
      </c>
      <c r="C2026" t="s">
        <v>11</v>
      </c>
      <c r="D2026" s="1">
        <v>43424</v>
      </c>
      <c r="E2026" s="1">
        <v>43497</v>
      </c>
      <c r="F2026" s="1">
        <v>43497</v>
      </c>
      <c r="G2026" s="1"/>
      <c r="H2026" t="s">
        <v>4664</v>
      </c>
      <c r="I2026" t="s">
        <v>4665</v>
      </c>
    </row>
    <row r="2027" spans="1:9" x14ac:dyDescent="0.25">
      <c r="A2027" t="s">
        <v>5507</v>
      </c>
      <c r="B2027" s="26" t="str">
        <f>MID(tbl_forecast[[#This Row],[PACE Job Number]],3,3)</f>
        <v>WSH</v>
      </c>
      <c r="C2027" t="s">
        <v>11</v>
      </c>
      <c r="D2027" s="1">
        <v>43413</v>
      </c>
      <c r="E2027" s="1">
        <v>43420</v>
      </c>
      <c r="F2027" s="1">
        <v>43420</v>
      </c>
      <c r="G2027" s="1">
        <v>43420</v>
      </c>
      <c r="H2027" t="s">
        <v>9</v>
      </c>
      <c r="I2027" t="s">
        <v>10</v>
      </c>
    </row>
    <row r="2028" spans="1:9" x14ac:dyDescent="0.25">
      <c r="A2028" t="s">
        <v>5264</v>
      </c>
      <c r="B2028" s="26" t="str">
        <f>MID(tbl_forecast[[#This Row],[PACE Job Number]],3,3)</f>
        <v>WSH</v>
      </c>
      <c r="C2028" t="s">
        <v>11</v>
      </c>
      <c r="D2028" s="1">
        <v>43418</v>
      </c>
      <c r="E2028" s="1">
        <v>43420</v>
      </c>
      <c r="F2028" s="1">
        <v>43420</v>
      </c>
      <c r="G2028" s="1">
        <v>43420</v>
      </c>
      <c r="H2028" t="s">
        <v>9</v>
      </c>
      <c r="I2028" t="s">
        <v>10</v>
      </c>
    </row>
    <row r="2029" spans="1:9" x14ac:dyDescent="0.25">
      <c r="A2029" t="s">
        <v>5265</v>
      </c>
      <c r="B2029" s="26" t="str">
        <f>MID(tbl_forecast[[#This Row],[PACE Job Number]],3,3)</f>
        <v>WSH</v>
      </c>
      <c r="C2029" t="s">
        <v>11</v>
      </c>
      <c r="D2029" s="1">
        <v>43418</v>
      </c>
      <c r="E2029" s="1">
        <v>43420</v>
      </c>
      <c r="F2029" s="1">
        <v>43420</v>
      </c>
      <c r="G2029" s="1">
        <v>43420</v>
      </c>
      <c r="H2029" t="s">
        <v>9</v>
      </c>
      <c r="I2029" t="s">
        <v>10</v>
      </c>
    </row>
    <row r="2030" spans="1:9" x14ac:dyDescent="0.25">
      <c r="A2030" t="s">
        <v>3868</v>
      </c>
      <c r="B2030" s="26" t="str">
        <f>MID(tbl_forecast[[#This Row],[PACE Job Number]],3,3)</f>
        <v>WSH</v>
      </c>
      <c r="C2030" t="s">
        <v>11</v>
      </c>
      <c r="D2030" s="1">
        <v>43413</v>
      </c>
      <c r="E2030" s="1">
        <v>43420</v>
      </c>
      <c r="F2030" s="1">
        <v>43420</v>
      </c>
      <c r="G2030" s="1">
        <v>43420</v>
      </c>
      <c r="H2030" t="s">
        <v>9</v>
      </c>
      <c r="I2030" t="s">
        <v>10</v>
      </c>
    </row>
    <row r="2031" spans="1:9" x14ac:dyDescent="0.25">
      <c r="A2031" t="s">
        <v>3869</v>
      </c>
      <c r="B2031" s="26" t="str">
        <f>MID(tbl_forecast[[#This Row],[PACE Job Number]],3,3)</f>
        <v>WSH</v>
      </c>
      <c r="C2031" t="s">
        <v>11</v>
      </c>
      <c r="D2031" s="1">
        <v>43405</v>
      </c>
      <c r="E2031" s="1">
        <v>43405</v>
      </c>
      <c r="F2031" s="1">
        <v>43405</v>
      </c>
      <c r="G2031" s="1">
        <v>43405</v>
      </c>
      <c r="H2031" t="s">
        <v>9</v>
      </c>
      <c r="I2031" t="s">
        <v>10</v>
      </c>
    </row>
    <row r="2032" spans="1:9" x14ac:dyDescent="0.25">
      <c r="A2032" t="s">
        <v>5268</v>
      </c>
      <c r="B2032" s="26" t="str">
        <f>MID(tbl_forecast[[#This Row],[PACE Job Number]],3,3)</f>
        <v>WSH</v>
      </c>
      <c r="C2032" t="s">
        <v>11</v>
      </c>
      <c r="D2032" s="1">
        <v>43424</v>
      </c>
      <c r="E2032" s="1">
        <v>43497</v>
      </c>
      <c r="F2032" s="1">
        <v>43497</v>
      </c>
      <c r="G2032" s="1"/>
      <c r="H2032" t="s">
        <v>4664</v>
      </c>
      <c r="I2032" t="s">
        <v>4665</v>
      </c>
    </row>
    <row r="2033" spans="1:9" x14ac:dyDescent="0.25">
      <c r="A2033" t="s">
        <v>5269</v>
      </c>
      <c r="B2033" s="26" t="str">
        <f>MID(tbl_forecast[[#This Row],[PACE Job Number]],3,3)</f>
        <v>WSH</v>
      </c>
      <c r="C2033" t="s">
        <v>11</v>
      </c>
      <c r="D2033" s="1">
        <v>43424</v>
      </c>
      <c r="E2033" s="1">
        <v>43425</v>
      </c>
      <c r="F2033" s="1">
        <v>43425</v>
      </c>
      <c r="G2033" s="1">
        <v>43425</v>
      </c>
      <c r="H2033" t="s">
        <v>9</v>
      </c>
      <c r="I2033" t="s">
        <v>10</v>
      </c>
    </row>
    <row r="2034" spans="1:9" x14ac:dyDescent="0.25">
      <c r="A2034" t="s">
        <v>2694</v>
      </c>
      <c r="B2034" s="26" t="str">
        <f>MID(tbl_forecast[[#This Row],[PACE Job Number]],3,3)</f>
        <v>STX</v>
      </c>
      <c r="C2034" t="s">
        <v>11</v>
      </c>
      <c r="D2034" s="1">
        <v>43428</v>
      </c>
      <c r="E2034" s="1">
        <v>43459</v>
      </c>
      <c r="F2034" s="1">
        <v>43459</v>
      </c>
      <c r="G2034" s="1"/>
      <c r="H2034" t="s">
        <v>4664</v>
      </c>
      <c r="I2034" t="s">
        <v>4665</v>
      </c>
    </row>
    <row r="2035" spans="1:9" x14ac:dyDescent="0.25">
      <c r="A2035" t="s">
        <v>3510</v>
      </c>
      <c r="B2035" s="26" t="str">
        <f>MID(tbl_forecast[[#This Row],[PACE Job Number]],3,3)</f>
        <v>STX</v>
      </c>
      <c r="C2035" t="s">
        <v>11</v>
      </c>
      <c r="D2035" s="1">
        <v>43428</v>
      </c>
      <c r="E2035" s="1">
        <v>43447</v>
      </c>
      <c r="F2035" s="1">
        <v>43447</v>
      </c>
      <c r="G2035" s="1"/>
      <c r="H2035" t="s">
        <v>4664</v>
      </c>
      <c r="I2035" t="s">
        <v>4665</v>
      </c>
    </row>
    <row r="2036" spans="1:9" x14ac:dyDescent="0.25">
      <c r="A2036" t="s">
        <v>5410</v>
      </c>
      <c r="B2036" s="26" t="str">
        <f>MID(tbl_forecast[[#This Row],[PACE Job Number]],3,3)</f>
        <v>STX</v>
      </c>
      <c r="C2036" t="s">
        <v>11</v>
      </c>
      <c r="D2036" s="1">
        <v>43428</v>
      </c>
      <c r="E2036" s="1">
        <v>43428</v>
      </c>
      <c r="F2036" s="1">
        <v>43424</v>
      </c>
      <c r="G2036" s="1">
        <v>43424</v>
      </c>
      <c r="H2036" t="s">
        <v>9</v>
      </c>
      <c r="I2036" t="s">
        <v>10</v>
      </c>
    </row>
    <row r="2037" spans="1:9" x14ac:dyDescent="0.25">
      <c r="A2037" t="s">
        <v>3831</v>
      </c>
      <c r="B2037" s="26" t="str">
        <f>MID(tbl_forecast[[#This Row],[PACE Job Number]],3,3)</f>
        <v>WSH</v>
      </c>
      <c r="C2037" t="s">
        <v>11</v>
      </c>
      <c r="D2037" s="1">
        <v>43424</v>
      </c>
      <c r="E2037" s="1">
        <v>43446</v>
      </c>
      <c r="F2037" s="1">
        <v>43441</v>
      </c>
      <c r="G2037" s="1"/>
      <c r="H2037" t="s">
        <v>4664</v>
      </c>
      <c r="I2037" t="s">
        <v>4665</v>
      </c>
    </row>
    <row r="2038" spans="1:9" x14ac:dyDescent="0.25">
      <c r="A2038" t="s">
        <v>4247</v>
      </c>
      <c r="B2038" s="26" t="str">
        <f>MID(tbl_forecast[[#This Row],[PACE Job Number]],3,3)</f>
        <v>WSH</v>
      </c>
      <c r="C2038" t="s">
        <v>11</v>
      </c>
      <c r="D2038" s="1">
        <v>43409</v>
      </c>
      <c r="E2038" s="1">
        <v>43417</v>
      </c>
      <c r="F2038" s="1">
        <v>43416</v>
      </c>
      <c r="G2038" s="1">
        <v>43416</v>
      </c>
      <c r="H2038" t="s">
        <v>9</v>
      </c>
      <c r="I2038" t="s">
        <v>10</v>
      </c>
    </row>
    <row r="2039" spans="1:9" x14ac:dyDescent="0.25">
      <c r="A2039" t="s">
        <v>4248</v>
      </c>
      <c r="B2039" s="26" t="str">
        <f>MID(tbl_forecast[[#This Row],[PACE Job Number]],3,3)</f>
        <v>WSH</v>
      </c>
      <c r="C2039" t="s">
        <v>11</v>
      </c>
      <c r="D2039" s="1">
        <v>43409</v>
      </c>
      <c r="E2039" s="1">
        <v>43417</v>
      </c>
      <c r="F2039" s="1">
        <v>43416</v>
      </c>
      <c r="G2039" s="1">
        <v>43416</v>
      </c>
      <c r="H2039" t="s">
        <v>9</v>
      </c>
      <c r="I2039" t="s">
        <v>10</v>
      </c>
    </row>
    <row r="2040" spans="1:9" x14ac:dyDescent="0.25">
      <c r="A2040" t="s">
        <v>4249</v>
      </c>
      <c r="B2040" s="26" t="str">
        <f>MID(tbl_forecast[[#This Row],[PACE Job Number]],3,3)</f>
        <v>WSH</v>
      </c>
      <c r="C2040" t="s">
        <v>11</v>
      </c>
      <c r="D2040" s="1">
        <v>43424</v>
      </c>
      <c r="E2040" s="1">
        <v>43425</v>
      </c>
      <c r="F2040" s="1">
        <v>43425</v>
      </c>
      <c r="G2040" s="1">
        <v>43425</v>
      </c>
      <c r="H2040" t="s">
        <v>9</v>
      </c>
      <c r="I2040" t="s">
        <v>10</v>
      </c>
    </row>
    <row r="2041" spans="1:9" x14ac:dyDescent="0.25">
      <c r="A2041" t="s">
        <v>361</v>
      </c>
      <c r="B2041" s="26" t="str">
        <f>MID(tbl_forecast[[#This Row],[PACE Job Number]],3,3)</f>
        <v>WSH</v>
      </c>
      <c r="C2041" t="s">
        <v>11</v>
      </c>
      <c r="D2041" s="1">
        <v>43408</v>
      </c>
      <c r="E2041" s="1">
        <v>43408</v>
      </c>
      <c r="F2041" s="1">
        <v>43408</v>
      </c>
      <c r="G2041" s="1">
        <v>43408</v>
      </c>
      <c r="H2041" t="s">
        <v>9</v>
      </c>
      <c r="I2041" t="s">
        <v>10</v>
      </c>
    </row>
    <row r="2042" spans="1:9" x14ac:dyDescent="0.25">
      <c r="A2042" t="s">
        <v>232</v>
      </c>
      <c r="B2042" s="26" t="str">
        <f>MID(tbl_forecast[[#This Row],[PACE Job Number]],3,3)</f>
        <v>WSH</v>
      </c>
      <c r="C2042" t="s">
        <v>11</v>
      </c>
      <c r="D2042" s="1">
        <v>43434</v>
      </c>
      <c r="E2042" s="1">
        <v>43433</v>
      </c>
      <c r="F2042" s="1">
        <v>43431</v>
      </c>
      <c r="G2042" s="1">
        <v>43433</v>
      </c>
      <c r="H2042" t="s">
        <v>9</v>
      </c>
      <c r="I2042" t="s">
        <v>10</v>
      </c>
    </row>
    <row r="2043" spans="1:9" x14ac:dyDescent="0.25">
      <c r="A2043" t="s">
        <v>177</v>
      </c>
      <c r="B2043" s="26" t="str">
        <f>MID(tbl_forecast[[#This Row],[PACE Job Number]],3,3)</f>
        <v>WSH</v>
      </c>
      <c r="C2043" t="s">
        <v>11</v>
      </c>
      <c r="D2043" s="1">
        <v>43424</v>
      </c>
      <c r="E2043" s="1">
        <v>43440</v>
      </c>
      <c r="F2043" s="1">
        <v>43434</v>
      </c>
      <c r="G2043" s="1"/>
      <c r="H2043" t="s">
        <v>9</v>
      </c>
      <c r="I2043" t="s">
        <v>44</v>
      </c>
    </row>
    <row r="2044" spans="1:9" x14ac:dyDescent="0.25">
      <c r="A2044" t="s">
        <v>5271</v>
      </c>
      <c r="B2044" s="26" t="str">
        <f>MID(tbl_forecast[[#This Row],[PACE Job Number]],3,3)</f>
        <v>WSH</v>
      </c>
      <c r="C2044" t="s">
        <v>11</v>
      </c>
      <c r="D2044" s="1">
        <v>43434</v>
      </c>
      <c r="E2044" s="1">
        <v>43433</v>
      </c>
      <c r="F2044" s="1">
        <v>43433</v>
      </c>
      <c r="G2044" s="1">
        <v>43433</v>
      </c>
      <c r="H2044" t="s">
        <v>9</v>
      </c>
      <c r="I2044" t="s">
        <v>10</v>
      </c>
    </row>
    <row r="2045" spans="1:9" x14ac:dyDescent="0.25">
      <c r="A2045" t="s">
        <v>3833</v>
      </c>
      <c r="B2045" s="26" t="str">
        <f>MID(tbl_forecast[[#This Row],[PACE Job Number]],3,3)</f>
        <v>WSH</v>
      </c>
      <c r="C2045" t="s">
        <v>11</v>
      </c>
      <c r="D2045" s="1">
        <v>43410</v>
      </c>
      <c r="E2045" s="1">
        <v>43410</v>
      </c>
      <c r="F2045" s="1">
        <v>43410</v>
      </c>
      <c r="G2045" s="1">
        <v>43410</v>
      </c>
      <c r="H2045" t="s">
        <v>9</v>
      </c>
      <c r="I2045" t="s">
        <v>10</v>
      </c>
    </row>
    <row r="2046" spans="1:9" x14ac:dyDescent="0.25">
      <c r="A2046" t="s">
        <v>4359</v>
      </c>
      <c r="B2046" s="26" t="str">
        <f>MID(tbl_forecast[[#This Row],[PACE Job Number]],3,3)</f>
        <v>NTX</v>
      </c>
      <c r="C2046" t="s">
        <v>11</v>
      </c>
      <c r="D2046" s="1">
        <v>43409</v>
      </c>
      <c r="E2046" s="1">
        <v>43437</v>
      </c>
      <c r="F2046" s="1">
        <v>43437</v>
      </c>
      <c r="G2046" s="1"/>
      <c r="H2046" t="s">
        <v>4664</v>
      </c>
      <c r="I2046" t="s">
        <v>5645</v>
      </c>
    </row>
    <row r="2047" spans="1:9" x14ac:dyDescent="0.25">
      <c r="A2047" t="s">
        <v>122</v>
      </c>
      <c r="B2047" s="26" t="str">
        <f>MID(tbl_forecast[[#This Row],[PACE Job Number]],3,3)</f>
        <v>NTX</v>
      </c>
      <c r="C2047" t="s">
        <v>11</v>
      </c>
      <c r="D2047" s="1">
        <v>43423</v>
      </c>
      <c r="E2047" s="1">
        <v>43430</v>
      </c>
      <c r="F2047" s="1">
        <v>43424</v>
      </c>
      <c r="G2047" s="1">
        <v>43424</v>
      </c>
      <c r="H2047" t="s">
        <v>9</v>
      </c>
      <c r="I2047" t="s">
        <v>10</v>
      </c>
    </row>
    <row r="2048" spans="1:9" x14ac:dyDescent="0.25">
      <c r="A2048" t="s">
        <v>89</v>
      </c>
      <c r="B2048" s="26" t="str">
        <f>MID(tbl_forecast[[#This Row],[PACE Job Number]],3,3)</f>
        <v>NTX</v>
      </c>
      <c r="C2048" t="s">
        <v>11</v>
      </c>
      <c r="D2048" s="1">
        <v>43423</v>
      </c>
      <c r="E2048" s="1">
        <v>43434</v>
      </c>
      <c r="F2048" s="1">
        <v>43434</v>
      </c>
      <c r="G2048" s="1">
        <v>43434</v>
      </c>
      <c r="H2048" t="s">
        <v>9</v>
      </c>
      <c r="I2048" t="s">
        <v>10</v>
      </c>
    </row>
    <row r="2049" spans="1:9" x14ac:dyDescent="0.25">
      <c r="A2049" t="s">
        <v>3502</v>
      </c>
      <c r="B2049" s="26" t="str">
        <f>MID(tbl_forecast[[#This Row],[PACE Job Number]],3,3)</f>
        <v>NTX</v>
      </c>
      <c r="C2049" t="s">
        <v>11</v>
      </c>
      <c r="D2049" s="1">
        <v>43409</v>
      </c>
      <c r="E2049" s="1">
        <v>43430</v>
      </c>
      <c r="F2049" s="1">
        <v>43425</v>
      </c>
      <c r="G2049" s="1">
        <v>43425</v>
      </c>
      <c r="H2049" t="s">
        <v>4664</v>
      </c>
      <c r="I2049" t="s">
        <v>10</v>
      </c>
    </row>
    <row r="2050" spans="1:9" x14ac:dyDescent="0.25">
      <c r="A2050" t="s">
        <v>66</v>
      </c>
      <c r="B2050" s="26" t="str">
        <f>MID(tbl_forecast[[#This Row],[PACE Job Number]],3,3)</f>
        <v>NTX</v>
      </c>
      <c r="C2050" t="s">
        <v>11</v>
      </c>
      <c r="D2050" s="1">
        <v>43423</v>
      </c>
      <c r="E2050" s="1">
        <v>43430</v>
      </c>
      <c r="F2050" s="1">
        <v>43424</v>
      </c>
      <c r="G2050" s="1">
        <v>43424</v>
      </c>
      <c r="H2050" t="s">
        <v>9</v>
      </c>
      <c r="I2050" t="s">
        <v>10</v>
      </c>
    </row>
    <row r="2051" spans="1:9" x14ac:dyDescent="0.25">
      <c r="A2051" t="s">
        <v>74</v>
      </c>
      <c r="B2051" s="26" t="str">
        <f>MID(tbl_forecast[[#This Row],[PACE Job Number]],3,3)</f>
        <v>NTX</v>
      </c>
      <c r="C2051" t="s">
        <v>11</v>
      </c>
      <c r="D2051" s="1">
        <v>43423</v>
      </c>
      <c r="E2051" s="1">
        <v>43430</v>
      </c>
      <c r="F2051" s="1">
        <v>43424</v>
      </c>
      <c r="G2051" s="1">
        <v>43424</v>
      </c>
      <c r="H2051" t="s">
        <v>9</v>
      </c>
      <c r="I2051" t="s">
        <v>10</v>
      </c>
    </row>
    <row r="2052" spans="1:9" x14ac:dyDescent="0.25">
      <c r="A2052" t="s">
        <v>3881</v>
      </c>
      <c r="B2052" s="26" t="str">
        <f>MID(tbl_forecast[[#This Row],[PACE Job Number]],3,3)</f>
        <v>NTX</v>
      </c>
      <c r="C2052" t="s">
        <v>11</v>
      </c>
      <c r="D2052" s="1">
        <v>43409</v>
      </c>
      <c r="E2052" s="1">
        <v>43418</v>
      </c>
      <c r="F2052" s="1">
        <v>43420</v>
      </c>
      <c r="G2052" s="1">
        <v>43420</v>
      </c>
      <c r="H2052" t="s">
        <v>9</v>
      </c>
      <c r="I2052" t="s">
        <v>10</v>
      </c>
    </row>
    <row r="2053" spans="1:9" x14ac:dyDescent="0.25">
      <c r="A2053" t="s">
        <v>5413</v>
      </c>
      <c r="B2053" s="26" t="str">
        <f>MID(tbl_forecast[[#This Row],[PACE Job Number]],3,3)</f>
        <v>NTX</v>
      </c>
      <c r="C2053" t="s">
        <v>11</v>
      </c>
      <c r="D2053" s="1">
        <v>43428</v>
      </c>
      <c r="E2053" s="1">
        <v>43437</v>
      </c>
      <c r="F2053" s="1">
        <v>43420</v>
      </c>
      <c r="G2053" s="1">
        <v>43420</v>
      </c>
      <c r="H2053" t="s">
        <v>9</v>
      </c>
      <c r="I2053" t="s">
        <v>10</v>
      </c>
    </row>
    <row r="2054" spans="1:9" x14ac:dyDescent="0.25">
      <c r="A2054" t="s">
        <v>3464</v>
      </c>
      <c r="B2054" s="26" t="str">
        <f>MID(tbl_forecast[[#This Row],[PACE Job Number]],3,3)</f>
        <v>NTX</v>
      </c>
      <c r="C2054" t="s">
        <v>11</v>
      </c>
      <c r="D2054" s="1">
        <v>43409</v>
      </c>
      <c r="E2054" s="1">
        <v>43430</v>
      </c>
      <c r="F2054" s="1">
        <v>43425</v>
      </c>
      <c r="G2054" s="1">
        <v>43425</v>
      </c>
      <c r="H2054" t="s">
        <v>4664</v>
      </c>
      <c r="I2054" t="s">
        <v>10</v>
      </c>
    </row>
    <row r="2055" spans="1:9" x14ac:dyDescent="0.25">
      <c r="A2055" t="s">
        <v>3304</v>
      </c>
      <c r="B2055" s="26" t="str">
        <f>MID(tbl_forecast[[#This Row],[PACE Job Number]],3,3)</f>
        <v>STX</v>
      </c>
      <c r="C2055" t="s">
        <v>11</v>
      </c>
      <c r="D2055" s="1">
        <v>43425</v>
      </c>
      <c r="E2055" s="1">
        <v>43425</v>
      </c>
      <c r="F2055" s="1">
        <v>43424</v>
      </c>
      <c r="G2055" s="1">
        <v>43424</v>
      </c>
      <c r="H2055" t="s">
        <v>9</v>
      </c>
      <c r="I2055" t="s">
        <v>10</v>
      </c>
    </row>
    <row r="2056" spans="1:9" x14ac:dyDescent="0.25">
      <c r="A2056" t="s">
        <v>5414</v>
      </c>
      <c r="B2056" s="26" t="str">
        <f>MID(tbl_forecast[[#This Row],[PACE Job Number]],3,3)</f>
        <v>STX</v>
      </c>
      <c r="C2056" t="s">
        <v>11</v>
      </c>
      <c r="D2056" s="1">
        <v>43428</v>
      </c>
      <c r="E2056" s="1">
        <v>43428</v>
      </c>
      <c r="F2056" s="1">
        <v>43424</v>
      </c>
      <c r="G2056" s="1">
        <v>43424</v>
      </c>
      <c r="H2056" t="s">
        <v>9</v>
      </c>
      <c r="I2056" t="s">
        <v>10</v>
      </c>
    </row>
    <row r="2057" spans="1:9" x14ac:dyDescent="0.25">
      <c r="A2057" t="s">
        <v>4364</v>
      </c>
      <c r="B2057" s="26" t="str">
        <f>MID(tbl_forecast[[#This Row],[PACE Job Number]],3,3)</f>
        <v>STX</v>
      </c>
      <c r="C2057" t="s">
        <v>11</v>
      </c>
      <c r="D2057" s="1">
        <v>43425</v>
      </c>
      <c r="E2057" s="1">
        <v>43425</v>
      </c>
      <c r="F2057" s="1">
        <v>43424</v>
      </c>
      <c r="G2057" s="1">
        <v>43424</v>
      </c>
      <c r="H2057" t="s">
        <v>9</v>
      </c>
      <c r="I2057" t="s">
        <v>10</v>
      </c>
    </row>
    <row r="2058" spans="1:9" x14ac:dyDescent="0.25">
      <c r="A2058" t="s">
        <v>4365</v>
      </c>
      <c r="B2058" s="26" t="str">
        <f>MID(tbl_forecast[[#This Row],[PACE Job Number]],3,3)</f>
        <v>STX</v>
      </c>
      <c r="C2058" t="s">
        <v>11</v>
      </c>
      <c r="D2058" s="1">
        <v>43425</v>
      </c>
      <c r="E2058" s="1">
        <v>43425</v>
      </c>
      <c r="F2058" s="1">
        <v>43423</v>
      </c>
      <c r="G2058" s="1">
        <v>43423</v>
      </c>
      <c r="H2058" t="s">
        <v>9</v>
      </c>
      <c r="I2058" t="s">
        <v>10</v>
      </c>
    </row>
    <row r="2059" spans="1:9" x14ac:dyDescent="0.25">
      <c r="A2059" t="s">
        <v>3785</v>
      </c>
      <c r="B2059" s="26" t="str">
        <f>MID(tbl_forecast[[#This Row],[PACE Job Number]],3,3)</f>
        <v>WSH</v>
      </c>
      <c r="C2059" t="s">
        <v>11</v>
      </c>
      <c r="D2059" s="1">
        <v>43410</v>
      </c>
      <c r="E2059" s="1">
        <v>43410</v>
      </c>
      <c r="F2059" s="1">
        <v>43410</v>
      </c>
      <c r="G2059" s="1">
        <v>43410</v>
      </c>
      <c r="H2059" t="s">
        <v>9</v>
      </c>
      <c r="I2059" t="s">
        <v>10</v>
      </c>
    </row>
    <row r="2060" spans="1:9" x14ac:dyDescent="0.25">
      <c r="A2060" t="s">
        <v>5272</v>
      </c>
      <c r="B2060" s="26" t="str">
        <f>MID(tbl_forecast[[#This Row],[PACE Job Number]],3,3)</f>
        <v>WSH</v>
      </c>
      <c r="C2060" t="s">
        <v>11</v>
      </c>
      <c r="D2060" s="1">
        <v>43434</v>
      </c>
      <c r="E2060" s="1">
        <v>43444</v>
      </c>
      <c r="F2060" s="1">
        <v>43438</v>
      </c>
      <c r="G2060" s="1"/>
      <c r="H2060" t="s">
        <v>9</v>
      </c>
      <c r="I2060" t="s">
        <v>27</v>
      </c>
    </row>
    <row r="2061" spans="1:9" x14ac:dyDescent="0.25">
      <c r="A2061" t="s">
        <v>314</v>
      </c>
      <c r="B2061" s="26" t="str">
        <f>MID(tbl_forecast[[#This Row],[PACE Job Number]],3,3)</f>
        <v>WSH</v>
      </c>
      <c r="C2061" t="s">
        <v>11</v>
      </c>
      <c r="D2061" s="1">
        <v>43424</v>
      </c>
      <c r="E2061" s="1">
        <v>43442</v>
      </c>
      <c r="F2061" s="1">
        <v>43434</v>
      </c>
      <c r="G2061" s="1"/>
      <c r="H2061" t="s">
        <v>9</v>
      </c>
      <c r="I2061" t="s">
        <v>44</v>
      </c>
    </row>
    <row r="2062" spans="1:9" x14ac:dyDescent="0.25">
      <c r="A2062" t="s">
        <v>5273</v>
      </c>
      <c r="B2062" s="26" t="str">
        <f>MID(tbl_forecast[[#This Row],[PACE Job Number]],3,3)</f>
        <v>WSH</v>
      </c>
      <c r="C2062" t="s">
        <v>11</v>
      </c>
      <c r="D2062" s="1">
        <v>43434</v>
      </c>
      <c r="E2062" s="1">
        <v>43444</v>
      </c>
      <c r="F2062" s="1">
        <v>43438</v>
      </c>
      <c r="G2062" s="1"/>
      <c r="H2062" t="s">
        <v>9</v>
      </c>
      <c r="I2062" t="s">
        <v>27</v>
      </c>
    </row>
    <row r="2063" spans="1:9" x14ac:dyDescent="0.25">
      <c r="A2063" t="s">
        <v>93</v>
      </c>
      <c r="B2063" s="26" t="str">
        <f>MID(tbl_forecast[[#This Row],[PACE Job Number]],3,3)</f>
        <v>WSH</v>
      </c>
      <c r="C2063" t="s">
        <v>11</v>
      </c>
      <c r="D2063" s="1">
        <v>43424</v>
      </c>
      <c r="E2063" s="1">
        <v>43442</v>
      </c>
      <c r="F2063" s="1">
        <v>43434</v>
      </c>
      <c r="G2063" s="1"/>
      <c r="H2063" t="s">
        <v>9</v>
      </c>
      <c r="I2063" t="s">
        <v>44</v>
      </c>
    </row>
    <row r="2064" spans="1:9" x14ac:dyDescent="0.25">
      <c r="A2064" t="s">
        <v>306</v>
      </c>
      <c r="B2064" s="26" t="str">
        <f>MID(tbl_forecast[[#This Row],[PACE Job Number]],3,3)</f>
        <v>WSH</v>
      </c>
      <c r="C2064" t="s">
        <v>11</v>
      </c>
      <c r="D2064" s="1">
        <v>43412</v>
      </c>
      <c r="E2064" s="1">
        <v>43408</v>
      </c>
      <c r="F2064" s="1">
        <v>43408</v>
      </c>
      <c r="G2064" s="1">
        <v>43408</v>
      </c>
      <c r="H2064" t="s">
        <v>9</v>
      </c>
      <c r="I2064" t="s">
        <v>10</v>
      </c>
    </row>
    <row r="2065" spans="1:9" x14ac:dyDescent="0.25">
      <c r="A2065" t="s">
        <v>298</v>
      </c>
      <c r="B2065" s="26" t="str">
        <f>MID(tbl_forecast[[#This Row],[PACE Job Number]],3,3)</f>
        <v>WSH</v>
      </c>
      <c r="C2065" t="s">
        <v>11</v>
      </c>
      <c r="D2065" s="1">
        <v>43424</v>
      </c>
      <c r="E2065" s="1">
        <v>43442</v>
      </c>
      <c r="F2065" s="1">
        <v>43434</v>
      </c>
      <c r="G2065" s="1"/>
      <c r="H2065" t="s">
        <v>9</v>
      </c>
      <c r="I2065" t="s">
        <v>44</v>
      </c>
    </row>
    <row r="2066" spans="1:9" x14ac:dyDescent="0.25">
      <c r="A2066" t="s">
        <v>123</v>
      </c>
      <c r="B2066" s="26" t="str">
        <f>MID(tbl_forecast[[#This Row],[PACE Job Number]],3,3)</f>
        <v>WSH</v>
      </c>
      <c r="C2066" t="s">
        <v>11</v>
      </c>
      <c r="D2066" s="1">
        <v>43412</v>
      </c>
      <c r="E2066" s="1">
        <v>43408</v>
      </c>
      <c r="F2066" s="1">
        <v>43408</v>
      </c>
      <c r="G2066" s="1">
        <v>43408</v>
      </c>
      <c r="H2066" t="s">
        <v>9</v>
      </c>
      <c r="I2066" t="s">
        <v>10</v>
      </c>
    </row>
    <row r="2067" spans="1:9" x14ac:dyDescent="0.25">
      <c r="A2067" t="s">
        <v>4273</v>
      </c>
      <c r="B2067" s="26" t="str">
        <f>MID(tbl_forecast[[#This Row],[PACE Job Number]],3,3)</f>
        <v>WSH</v>
      </c>
      <c r="C2067" t="s">
        <v>11</v>
      </c>
      <c r="D2067" s="1">
        <v>43424</v>
      </c>
      <c r="E2067" s="1">
        <v>43421</v>
      </c>
      <c r="F2067" s="1">
        <v>43421</v>
      </c>
      <c r="G2067" s="1">
        <v>43421</v>
      </c>
      <c r="H2067" t="s">
        <v>9</v>
      </c>
      <c r="I2067" t="s">
        <v>10</v>
      </c>
    </row>
    <row r="2068" spans="1:9" x14ac:dyDescent="0.25">
      <c r="A2068" t="s">
        <v>215</v>
      </c>
      <c r="B2068" s="26" t="str">
        <f>MID(tbl_forecast[[#This Row],[PACE Job Number]],3,3)</f>
        <v>WSH</v>
      </c>
      <c r="C2068" t="s">
        <v>11</v>
      </c>
      <c r="D2068" s="1">
        <v>43424</v>
      </c>
      <c r="E2068" s="1">
        <v>43442</v>
      </c>
      <c r="F2068" s="1">
        <v>43434</v>
      </c>
      <c r="G2068" s="1"/>
      <c r="H2068" t="s">
        <v>9</v>
      </c>
      <c r="I2068" t="s">
        <v>44</v>
      </c>
    </row>
    <row r="2069" spans="1:9" x14ac:dyDescent="0.25">
      <c r="A2069" t="s">
        <v>3914</v>
      </c>
      <c r="B2069" s="26" t="str">
        <f>MID(tbl_forecast[[#This Row],[PACE Job Number]],3,3)</f>
        <v>NTX</v>
      </c>
      <c r="C2069" t="s">
        <v>11</v>
      </c>
      <c r="D2069" s="1">
        <v>43427</v>
      </c>
      <c r="E2069" s="1">
        <v>43434</v>
      </c>
      <c r="F2069" s="1">
        <v>43434</v>
      </c>
      <c r="G2069" s="1"/>
      <c r="H2069" t="s">
        <v>9</v>
      </c>
      <c r="I2069" t="s">
        <v>27</v>
      </c>
    </row>
    <row r="2070" spans="1:9" x14ac:dyDescent="0.25">
      <c r="A2070" t="s">
        <v>5508</v>
      </c>
      <c r="B2070" s="26" t="str">
        <f>MID(tbl_forecast[[#This Row],[PACE Job Number]],3,3)</f>
        <v>NTX</v>
      </c>
      <c r="C2070" t="s">
        <v>11</v>
      </c>
      <c r="D2070" s="1">
        <v>43431</v>
      </c>
      <c r="E2070" s="1">
        <v>43363</v>
      </c>
      <c r="F2070" s="1">
        <v>43427</v>
      </c>
      <c r="G2070" s="1">
        <v>43427</v>
      </c>
      <c r="H2070" t="s">
        <v>9</v>
      </c>
      <c r="I2070" t="s">
        <v>10</v>
      </c>
    </row>
    <row r="2071" spans="1:9" x14ac:dyDescent="0.25">
      <c r="A2071" t="s">
        <v>5415</v>
      </c>
      <c r="B2071" s="26" t="str">
        <f>MID(tbl_forecast[[#This Row],[PACE Job Number]],3,3)</f>
        <v>NTX</v>
      </c>
      <c r="C2071" t="s">
        <v>11</v>
      </c>
      <c r="D2071" s="1">
        <v>43423</v>
      </c>
      <c r="E2071" s="1">
        <v>43427</v>
      </c>
      <c r="F2071" s="1">
        <v>43425</v>
      </c>
      <c r="G2071" s="1">
        <v>43425</v>
      </c>
      <c r="H2071" t="s">
        <v>9</v>
      </c>
      <c r="I2071" t="s">
        <v>10</v>
      </c>
    </row>
    <row r="2072" spans="1:9" x14ac:dyDescent="0.25">
      <c r="A2072" t="s">
        <v>3404</v>
      </c>
      <c r="B2072" s="26" t="str">
        <f>MID(tbl_forecast[[#This Row],[PACE Job Number]],3,3)</f>
        <v>NTX</v>
      </c>
      <c r="C2072" t="s">
        <v>11</v>
      </c>
      <c r="D2072" s="1">
        <v>43420</v>
      </c>
      <c r="E2072" s="1">
        <v>43420</v>
      </c>
      <c r="F2072" s="1">
        <v>43424</v>
      </c>
      <c r="G2072" s="1">
        <v>43424</v>
      </c>
      <c r="H2072" t="s">
        <v>9</v>
      </c>
      <c r="I2072" t="s">
        <v>10</v>
      </c>
    </row>
    <row r="2073" spans="1:9" x14ac:dyDescent="0.25">
      <c r="A2073" t="s">
        <v>4502</v>
      </c>
      <c r="B2073" s="26" t="str">
        <f>MID(tbl_forecast[[#This Row],[PACE Job Number]],3,3)</f>
        <v>NTX</v>
      </c>
      <c r="C2073" t="s">
        <v>11</v>
      </c>
      <c r="D2073" s="1">
        <v>43427</v>
      </c>
      <c r="E2073" s="1">
        <v>43507</v>
      </c>
      <c r="F2073" s="1">
        <v>43507</v>
      </c>
      <c r="G2073" s="1"/>
      <c r="H2073" t="s">
        <v>4664</v>
      </c>
      <c r="I2073" t="s">
        <v>4665</v>
      </c>
    </row>
    <row r="2074" spans="1:9" x14ac:dyDescent="0.25">
      <c r="A2074" t="s">
        <v>5275</v>
      </c>
      <c r="B2074" s="26" t="str">
        <f>MID(tbl_forecast[[#This Row],[PACE Job Number]],3,3)</f>
        <v>WSH</v>
      </c>
      <c r="C2074" t="s">
        <v>11</v>
      </c>
      <c r="D2074" s="1">
        <v>43424</v>
      </c>
      <c r="E2074" s="1">
        <v>43424</v>
      </c>
      <c r="F2074" s="1">
        <v>43424</v>
      </c>
      <c r="G2074" s="1">
        <v>43424</v>
      </c>
      <c r="H2074" t="s">
        <v>9</v>
      </c>
      <c r="I2074" t="s">
        <v>10</v>
      </c>
    </row>
    <row r="2075" spans="1:9" x14ac:dyDescent="0.25">
      <c r="A2075" t="s">
        <v>5276</v>
      </c>
      <c r="B2075" s="26" t="str">
        <f>MID(tbl_forecast[[#This Row],[PACE Job Number]],3,3)</f>
        <v>WSH</v>
      </c>
      <c r="C2075" t="s">
        <v>11</v>
      </c>
      <c r="D2075" s="1">
        <v>43424</v>
      </c>
      <c r="E2075" s="1">
        <v>43433</v>
      </c>
      <c r="F2075" s="1">
        <v>43434</v>
      </c>
      <c r="G2075" s="1">
        <v>43433</v>
      </c>
      <c r="H2075" t="s">
        <v>9</v>
      </c>
      <c r="I2075" t="s">
        <v>10</v>
      </c>
    </row>
    <row r="2076" spans="1:9" x14ac:dyDescent="0.25">
      <c r="A2076" t="s">
        <v>3834</v>
      </c>
      <c r="B2076" s="26" t="str">
        <f>MID(tbl_forecast[[#This Row],[PACE Job Number]],3,3)</f>
        <v>WSH</v>
      </c>
      <c r="C2076" t="s">
        <v>11</v>
      </c>
      <c r="D2076" s="1">
        <v>43413</v>
      </c>
      <c r="E2076" s="1">
        <v>43411</v>
      </c>
      <c r="F2076" s="1">
        <v>43412</v>
      </c>
      <c r="G2076" s="1">
        <v>43412</v>
      </c>
      <c r="H2076" t="s">
        <v>9</v>
      </c>
      <c r="I2076" t="s">
        <v>10</v>
      </c>
    </row>
    <row r="2077" spans="1:9" x14ac:dyDescent="0.25">
      <c r="A2077" t="s">
        <v>5277</v>
      </c>
      <c r="B2077" s="26" t="str">
        <f>MID(tbl_forecast[[#This Row],[PACE Job Number]],3,3)</f>
        <v>WSH</v>
      </c>
      <c r="C2077" t="s">
        <v>11</v>
      </c>
      <c r="D2077" s="1">
        <v>43424</v>
      </c>
      <c r="E2077" s="1">
        <v>43424</v>
      </c>
      <c r="F2077" s="1">
        <v>43424</v>
      </c>
      <c r="G2077" s="1">
        <v>43424</v>
      </c>
      <c r="H2077" t="s">
        <v>9</v>
      </c>
      <c r="I2077" t="s">
        <v>10</v>
      </c>
    </row>
    <row r="2078" spans="1:9" x14ac:dyDescent="0.25">
      <c r="A2078" t="s">
        <v>366</v>
      </c>
      <c r="B2078" s="26" t="str">
        <f>MID(tbl_forecast[[#This Row],[PACE Job Number]],3,3)</f>
        <v>WSH</v>
      </c>
      <c r="C2078" t="s">
        <v>11</v>
      </c>
      <c r="D2078" s="1">
        <v>43408</v>
      </c>
      <c r="E2078" s="1">
        <v>43408</v>
      </c>
      <c r="F2078" s="1">
        <v>43408</v>
      </c>
      <c r="G2078" s="1">
        <v>43408</v>
      </c>
      <c r="H2078" t="s">
        <v>9</v>
      </c>
      <c r="I2078" t="s">
        <v>10</v>
      </c>
    </row>
    <row r="2079" spans="1:9" x14ac:dyDescent="0.25">
      <c r="A2079" t="s">
        <v>270</v>
      </c>
      <c r="B2079" s="26" t="str">
        <f>MID(tbl_forecast[[#This Row],[PACE Job Number]],3,3)</f>
        <v>WSH</v>
      </c>
      <c r="C2079" t="s">
        <v>11</v>
      </c>
      <c r="D2079" s="1">
        <v>43408</v>
      </c>
      <c r="E2079" s="1">
        <v>43408</v>
      </c>
      <c r="F2079" s="1">
        <v>43408</v>
      </c>
      <c r="G2079" s="1">
        <v>43408</v>
      </c>
      <c r="H2079" t="s">
        <v>9</v>
      </c>
      <c r="I2079" t="s">
        <v>10</v>
      </c>
    </row>
    <row r="2080" spans="1:9" x14ac:dyDescent="0.25">
      <c r="A2080" t="s">
        <v>3837</v>
      </c>
      <c r="B2080" s="26" t="str">
        <f>MID(tbl_forecast[[#This Row],[PACE Job Number]],3,3)</f>
        <v>WSH</v>
      </c>
      <c r="C2080" t="s">
        <v>11</v>
      </c>
      <c r="D2080" s="1">
        <v>43424</v>
      </c>
      <c r="E2080" s="1">
        <v>43441</v>
      </c>
      <c r="F2080" s="1">
        <v>43431</v>
      </c>
      <c r="G2080" s="1"/>
      <c r="H2080" t="s">
        <v>9</v>
      </c>
      <c r="I2080" t="s">
        <v>44</v>
      </c>
    </row>
    <row r="2081" spans="1:9" x14ac:dyDescent="0.25">
      <c r="A2081" t="s">
        <v>5509</v>
      </c>
      <c r="B2081" s="26" t="str">
        <f>MID(tbl_forecast[[#This Row],[PACE Job Number]],3,3)</f>
        <v>WSH</v>
      </c>
      <c r="C2081" t="s">
        <v>11</v>
      </c>
      <c r="D2081" s="1">
        <v>43413</v>
      </c>
      <c r="E2081" s="1">
        <v>43418</v>
      </c>
      <c r="F2081" s="1">
        <v>43418</v>
      </c>
      <c r="G2081" s="1">
        <v>43418</v>
      </c>
      <c r="H2081" t="s">
        <v>9</v>
      </c>
      <c r="I2081" t="s">
        <v>10</v>
      </c>
    </row>
    <row r="2082" spans="1:9" x14ac:dyDescent="0.25">
      <c r="A2082" t="s">
        <v>4253</v>
      </c>
      <c r="B2082" s="26" t="str">
        <f>MID(tbl_forecast[[#This Row],[PACE Job Number]],3,3)</f>
        <v>WSH</v>
      </c>
      <c r="C2082" t="s">
        <v>11</v>
      </c>
      <c r="D2082" s="1">
        <v>43419</v>
      </c>
      <c r="E2082" s="1">
        <v>43451</v>
      </c>
      <c r="F2082" s="1">
        <v>43440</v>
      </c>
      <c r="G2082" s="1"/>
      <c r="H2082" t="s">
        <v>4664</v>
      </c>
      <c r="I2082" t="s">
        <v>5645</v>
      </c>
    </row>
    <row r="2083" spans="1:9" x14ac:dyDescent="0.25">
      <c r="A2083" t="s">
        <v>4254</v>
      </c>
      <c r="B2083" s="26" t="str">
        <f>MID(tbl_forecast[[#This Row],[PACE Job Number]],3,3)</f>
        <v>WSH</v>
      </c>
      <c r="C2083" t="s">
        <v>11</v>
      </c>
      <c r="D2083" s="1">
        <v>43419</v>
      </c>
      <c r="E2083" s="1">
        <v>43451</v>
      </c>
      <c r="F2083" s="1">
        <v>43440</v>
      </c>
      <c r="G2083" s="1"/>
      <c r="H2083" t="s">
        <v>4664</v>
      </c>
      <c r="I2083" t="s">
        <v>5645</v>
      </c>
    </row>
    <row r="2084" spans="1:9" x14ac:dyDescent="0.25">
      <c r="A2084" t="s">
        <v>5282</v>
      </c>
      <c r="B2084" s="26" t="str">
        <f>MID(tbl_forecast[[#This Row],[PACE Job Number]],3,3)</f>
        <v>WSH</v>
      </c>
      <c r="C2084" t="s">
        <v>11</v>
      </c>
      <c r="D2084" s="1">
        <v>43424</v>
      </c>
      <c r="E2084" s="1">
        <v>43419</v>
      </c>
      <c r="F2084" s="1">
        <v>43419</v>
      </c>
      <c r="G2084" s="1">
        <v>43419</v>
      </c>
      <c r="H2084" t="s">
        <v>9</v>
      </c>
      <c r="I2084" t="s">
        <v>10</v>
      </c>
    </row>
    <row r="2085" spans="1:9" x14ac:dyDescent="0.25">
      <c r="A2085" t="s">
        <v>3392</v>
      </c>
      <c r="B2085" s="26" t="str">
        <f>MID(tbl_forecast[[#This Row],[PACE Job Number]],3,3)</f>
        <v>WSH</v>
      </c>
      <c r="C2085" t="s">
        <v>11</v>
      </c>
      <c r="D2085" s="1">
        <v>43434</v>
      </c>
      <c r="E2085" s="1">
        <v>43434</v>
      </c>
      <c r="F2085" s="1">
        <v>43441</v>
      </c>
      <c r="G2085" s="1"/>
      <c r="H2085" t="s">
        <v>9</v>
      </c>
      <c r="I2085" t="s">
        <v>27</v>
      </c>
    </row>
    <row r="2086" spans="1:9" x14ac:dyDescent="0.25">
      <c r="A2086" t="s">
        <v>5283</v>
      </c>
      <c r="B2086" s="26" t="str">
        <f>MID(tbl_forecast[[#This Row],[PACE Job Number]],3,3)</f>
        <v>WSH</v>
      </c>
      <c r="C2086" t="s">
        <v>11</v>
      </c>
      <c r="D2086" s="1">
        <v>43420</v>
      </c>
      <c r="E2086" s="1">
        <v>43418</v>
      </c>
      <c r="F2086" s="1">
        <v>43418</v>
      </c>
      <c r="G2086" s="1">
        <v>43418</v>
      </c>
      <c r="H2086" t="s">
        <v>9</v>
      </c>
      <c r="I2086" t="s">
        <v>10</v>
      </c>
    </row>
    <row r="2087" spans="1:9" x14ac:dyDescent="0.25">
      <c r="A2087" t="s">
        <v>4256</v>
      </c>
      <c r="B2087" s="26" t="str">
        <f>MID(tbl_forecast[[#This Row],[PACE Job Number]],3,3)</f>
        <v>WSH</v>
      </c>
      <c r="C2087" t="s">
        <v>11</v>
      </c>
      <c r="D2087" s="1">
        <v>43406</v>
      </c>
      <c r="E2087" s="1">
        <v>43412</v>
      </c>
      <c r="F2087" s="1">
        <v>43412</v>
      </c>
      <c r="G2087" s="1">
        <v>43412</v>
      </c>
      <c r="H2087" t="s">
        <v>9</v>
      </c>
      <c r="I2087" t="s">
        <v>10</v>
      </c>
    </row>
    <row r="2088" spans="1:9" x14ac:dyDescent="0.25">
      <c r="A2088" t="s">
        <v>4257</v>
      </c>
      <c r="B2088" s="26" t="str">
        <f>MID(tbl_forecast[[#This Row],[PACE Job Number]],3,3)</f>
        <v>WSH</v>
      </c>
      <c r="C2088" t="s">
        <v>11</v>
      </c>
      <c r="D2088" s="1">
        <v>43412</v>
      </c>
      <c r="E2088" s="1">
        <v>43437</v>
      </c>
      <c r="F2088" s="1">
        <v>43433</v>
      </c>
      <c r="G2088" s="1"/>
      <c r="H2088" t="s">
        <v>4664</v>
      </c>
      <c r="I2088" t="s">
        <v>5645</v>
      </c>
    </row>
    <row r="2089" spans="1:9" x14ac:dyDescent="0.25">
      <c r="A2089" t="s">
        <v>317</v>
      </c>
      <c r="B2089" s="26" t="str">
        <f>MID(tbl_forecast[[#This Row],[PACE Job Number]],3,3)</f>
        <v>STX</v>
      </c>
      <c r="C2089" t="s">
        <v>11</v>
      </c>
      <c r="D2089" s="1">
        <v>43423</v>
      </c>
      <c r="E2089" s="1">
        <v>43423</v>
      </c>
      <c r="F2089" s="1">
        <v>43410</v>
      </c>
      <c r="G2089" s="1">
        <v>43410</v>
      </c>
      <c r="H2089" t="s">
        <v>9</v>
      </c>
      <c r="I2089" t="s">
        <v>10</v>
      </c>
    </row>
    <row r="2090" spans="1:9" x14ac:dyDescent="0.25">
      <c r="A2090" t="s">
        <v>689</v>
      </c>
      <c r="B2090" s="26" t="str">
        <f>MID(tbl_forecast[[#This Row],[PACE Job Number]],3,3)</f>
        <v>STX</v>
      </c>
      <c r="C2090" t="s">
        <v>11</v>
      </c>
      <c r="D2090" s="1">
        <v>43429</v>
      </c>
      <c r="E2090" s="1">
        <v>43443</v>
      </c>
      <c r="F2090" s="1">
        <v>43443</v>
      </c>
      <c r="G2090" s="1"/>
      <c r="H2090" t="s">
        <v>9</v>
      </c>
      <c r="I2090" t="s">
        <v>27</v>
      </c>
    </row>
    <row r="2091" spans="1:9" x14ac:dyDescent="0.25">
      <c r="A2091" t="s">
        <v>3344</v>
      </c>
      <c r="B2091" s="26" t="str">
        <f>MID(tbl_forecast[[#This Row],[PACE Job Number]],3,3)</f>
        <v>STX</v>
      </c>
      <c r="C2091" t="s">
        <v>11</v>
      </c>
      <c r="D2091" s="1">
        <v>43425</v>
      </c>
      <c r="E2091" s="1">
        <v>43425</v>
      </c>
      <c r="F2091" s="1">
        <v>43424</v>
      </c>
      <c r="G2091" s="1">
        <v>43424</v>
      </c>
      <c r="H2091" t="s">
        <v>9</v>
      </c>
      <c r="I2091" t="s">
        <v>10</v>
      </c>
    </row>
    <row r="2092" spans="1:9" x14ac:dyDescent="0.25">
      <c r="A2092" t="s">
        <v>181</v>
      </c>
      <c r="B2092" s="26" t="str">
        <f>MID(tbl_forecast[[#This Row],[PACE Job Number]],3,3)</f>
        <v>STX</v>
      </c>
      <c r="C2092" t="s">
        <v>11</v>
      </c>
      <c r="D2092" s="1">
        <v>43425</v>
      </c>
      <c r="E2092" s="1">
        <v>43425</v>
      </c>
      <c r="F2092" s="1">
        <v>43418</v>
      </c>
      <c r="G2092" s="1">
        <v>43418</v>
      </c>
      <c r="H2092" t="s">
        <v>9</v>
      </c>
      <c r="I2092" t="s">
        <v>10</v>
      </c>
    </row>
    <row r="2093" spans="1:9" x14ac:dyDescent="0.25">
      <c r="A2093" t="s">
        <v>1706</v>
      </c>
      <c r="B2093" s="26" t="str">
        <f>MID(tbl_forecast[[#This Row],[PACE Job Number]],3,3)</f>
        <v>STX</v>
      </c>
      <c r="C2093" t="s">
        <v>11</v>
      </c>
      <c r="D2093" s="1">
        <v>43425</v>
      </c>
      <c r="E2093" s="1">
        <v>43459</v>
      </c>
      <c r="F2093" s="1">
        <v>43425</v>
      </c>
      <c r="G2093" s="1"/>
      <c r="H2093" t="s">
        <v>9</v>
      </c>
      <c r="I2093" t="s">
        <v>44</v>
      </c>
    </row>
    <row r="2094" spans="1:9" x14ac:dyDescent="0.25">
      <c r="A2094" t="s">
        <v>5419</v>
      </c>
      <c r="B2094" s="26" t="str">
        <f>MID(tbl_forecast[[#This Row],[PACE Job Number]],3,3)</f>
        <v>STX</v>
      </c>
      <c r="C2094" t="s">
        <v>11</v>
      </c>
      <c r="D2094" s="1">
        <v>43425</v>
      </c>
      <c r="E2094" s="1">
        <v>43425</v>
      </c>
      <c r="F2094" s="1">
        <v>43424</v>
      </c>
      <c r="G2094" s="1">
        <v>43424</v>
      </c>
      <c r="H2094" t="s">
        <v>9</v>
      </c>
      <c r="I2094" t="s">
        <v>10</v>
      </c>
    </row>
    <row r="2095" spans="1:9" x14ac:dyDescent="0.25">
      <c r="A2095" t="s">
        <v>5420</v>
      </c>
      <c r="B2095" s="26" t="str">
        <f>MID(tbl_forecast[[#This Row],[PACE Job Number]],3,3)</f>
        <v>STX</v>
      </c>
      <c r="C2095" t="s">
        <v>11</v>
      </c>
      <c r="D2095" s="1">
        <v>43425</v>
      </c>
      <c r="E2095" s="1">
        <v>43459</v>
      </c>
      <c r="F2095" s="1">
        <v>43425</v>
      </c>
      <c r="G2095" s="1"/>
      <c r="H2095" t="s">
        <v>9</v>
      </c>
      <c r="I2095" t="s">
        <v>44</v>
      </c>
    </row>
    <row r="2096" spans="1:9" x14ac:dyDescent="0.25">
      <c r="A2096" t="s">
        <v>4143</v>
      </c>
      <c r="B2096" s="26" t="str">
        <f>MID(tbl_forecast[[#This Row],[PACE Job Number]],3,3)</f>
        <v>STX</v>
      </c>
      <c r="C2096" t="s">
        <v>11</v>
      </c>
      <c r="D2096" s="1">
        <v>43426</v>
      </c>
      <c r="E2096" s="1">
        <v>43426</v>
      </c>
      <c r="F2096" s="1">
        <v>43415</v>
      </c>
      <c r="G2096" s="1">
        <v>43415</v>
      </c>
      <c r="H2096" t="s">
        <v>9</v>
      </c>
      <c r="I2096" t="s">
        <v>10</v>
      </c>
    </row>
    <row r="2097" spans="1:9" x14ac:dyDescent="0.25">
      <c r="A2097" t="s">
        <v>659</v>
      </c>
      <c r="B2097" s="26" t="str">
        <f>MID(tbl_forecast[[#This Row],[PACE Job Number]],3,3)</f>
        <v>STX</v>
      </c>
      <c r="C2097" t="s">
        <v>11</v>
      </c>
      <c r="D2097" s="1">
        <v>43428</v>
      </c>
      <c r="E2097" s="1">
        <v>43428</v>
      </c>
      <c r="F2097" s="1">
        <v>43424</v>
      </c>
      <c r="G2097" s="1">
        <v>43424</v>
      </c>
      <c r="H2097" t="s">
        <v>9</v>
      </c>
      <c r="I2097" t="s">
        <v>10</v>
      </c>
    </row>
    <row r="2098" spans="1:9" x14ac:dyDescent="0.25">
      <c r="A2098" t="s">
        <v>319</v>
      </c>
      <c r="B2098" s="26" t="str">
        <f>MID(tbl_forecast[[#This Row],[PACE Job Number]],3,3)</f>
        <v>STX</v>
      </c>
      <c r="C2098" t="s">
        <v>11</v>
      </c>
      <c r="D2098" s="1">
        <v>43425</v>
      </c>
      <c r="E2098" s="1">
        <v>43455</v>
      </c>
      <c r="F2098" s="1">
        <v>43455</v>
      </c>
      <c r="G2098" s="1"/>
      <c r="H2098" t="s">
        <v>4664</v>
      </c>
      <c r="I2098" t="s">
        <v>4665</v>
      </c>
    </row>
    <row r="2099" spans="1:9" x14ac:dyDescent="0.25">
      <c r="A2099" t="s">
        <v>3401</v>
      </c>
      <c r="B2099" s="26" t="str">
        <f>MID(tbl_forecast[[#This Row],[PACE Job Number]],3,3)</f>
        <v>WSH</v>
      </c>
      <c r="C2099" t="s">
        <v>11</v>
      </c>
      <c r="D2099" s="1">
        <v>43433</v>
      </c>
      <c r="E2099" s="1">
        <v>43444</v>
      </c>
      <c r="F2099" s="1">
        <v>43447</v>
      </c>
      <c r="G2099" s="1"/>
      <c r="H2099" t="s">
        <v>9</v>
      </c>
      <c r="I2099" t="s">
        <v>27</v>
      </c>
    </row>
    <row r="2100" spans="1:9" x14ac:dyDescent="0.25">
      <c r="A2100" t="s">
        <v>4559</v>
      </c>
      <c r="B2100" s="26" t="str">
        <f>MID(tbl_forecast[[#This Row],[PACE Job Number]],3,3)</f>
        <v>NTX</v>
      </c>
      <c r="C2100" t="s">
        <v>11</v>
      </c>
      <c r="D2100" s="1">
        <v>43407</v>
      </c>
      <c r="E2100" s="1">
        <v>43507</v>
      </c>
      <c r="F2100" s="1">
        <v>43507</v>
      </c>
      <c r="G2100" s="1"/>
      <c r="H2100" t="s">
        <v>4664</v>
      </c>
      <c r="I2100" t="s">
        <v>5645</v>
      </c>
    </row>
    <row r="2101" spans="1:9" x14ac:dyDescent="0.25">
      <c r="A2101" t="s">
        <v>1768</v>
      </c>
      <c r="B2101" s="26" t="str">
        <f>MID(tbl_forecast[[#This Row],[PACE Job Number]],3,3)</f>
        <v>NTX</v>
      </c>
      <c r="C2101" t="s">
        <v>11</v>
      </c>
      <c r="D2101" s="1">
        <v>43409</v>
      </c>
      <c r="E2101" s="1">
        <v>43458</v>
      </c>
      <c r="F2101" s="1">
        <v>43458</v>
      </c>
      <c r="G2101" s="1"/>
      <c r="H2101" t="s">
        <v>4664</v>
      </c>
      <c r="I2101" t="s">
        <v>5645</v>
      </c>
    </row>
    <row r="2102" spans="1:9" x14ac:dyDescent="0.25">
      <c r="A2102" t="s">
        <v>537</v>
      </c>
      <c r="B2102" s="26" t="str">
        <f>MID(tbl_forecast[[#This Row],[PACE Job Number]],3,3)</f>
        <v>NTX</v>
      </c>
      <c r="C2102" t="s">
        <v>11</v>
      </c>
      <c r="D2102" s="1">
        <v>43427</v>
      </c>
      <c r="E2102" s="1">
        <v>43448</v>
      </c>
      <c r="F2102" s="1">
        <v>43448</v>
      </c>
      <c r="G2102" s="1"/>
      <c r="H2102" t="s">
        <v>4664</v>
      </c>
      <c r="I2102" t="s">
        <v>4665</v>
      </c>
    </row>
    <row r="2103" spans="1:9" x14ac:dyDescent="0.25">
      <c r="A2103" t="s">
        <v>5421</v>
      </c>
      <c r="B2103" s="26" t="str">
        <f>MID(tbl_forecast[[#This Row],[PACE Job Number]],3,3)</f>
        <v>NTX</v>
      </c>
      <c r="C2103" t="s">
        <v>11</v>
      </c>
      <c r="D2103" s="1">
        <v>43423</v>
      </c>
      <c r="E2103" s="1">
        <v>43434</v>
      </c>
      <c r="F2103" s="1">
        <v>43434</v>
      </c>
      <c r="G2103" s="1">
        <v>43434</v>
      </c>
      <c r="H2103" t="s">
        <v>9</v>
      </c>
      <c r="I2103" t="s">
        <v>10</v>
      </c>
    </row>
    <row r="2104" spans="1:9" x14ac:dyDescent="0.25">
      <c r="A2104" t="s">
        <v>168</v>
      </c>
      <c r="B2104" s="26" t="str">
        <f>MID(tbl_forecast[[#This Row],[PACE Job Number]],3,3)</f>
        <v>NTX</v>
      </c>
      <c r="C2104" t="s">
        <v>11</v>
      </c>
      <c r="D2104" s="1">
        <v>43412</v>
      </c>
      <c r="E2104" s="1">
        <v>43437</v>
      </c>
      <c r="F2104" s="1">
        <v>43437</v>
      </c>
      <c r="G2104" s="1"/>
      <c r="H2104" t="s">
        <v>4664</v>
      </c>
      <c r="I2104" t="s">
        <v>5645</v>
      </c>
    </row>
    <row r="2105" spans="1:9" x14ac:dyDescent="0.25">
      <c r="A2105" t="s">
        <v>1772</v>
      </c>
      <c r="B2105" s="26" t="str">
        <f>MID(tbl_forecast[[#This Row],[PACE Job Number]],3,3)</f>
        <v>NTX</v>
      </c>
      <c r="C2105" t="s">
        <v>11</v>
      </c>
      <c r="D2105" s="1">
        <v>43430</v>
      </c>
      <c r="E2105" s="1">
        <v>43434</v>
      </c>
      <c r="F2105" s="1">
        <v>43434</v>
      </c>
      <c r="G2105" s="1">
        <v>43432</v>
      </c>
      <c r="H2105" t="s">
        <v>9</v>
      </c>
      <c r="I2105" t="s">
        <v>10</v>
      </c>
    </row>
    <row r="2106" spans="1:9" x14ac:dyDescent="0.25">
      <c r="A2106" t="s">
        <v>2353</v>
      </c>
      <c r="B2106" s="26" t="str">
        <f>MID(tbl_forecast[[#This Row],[PACE Job Number]],3,3)</f>
        <v>NTX</v>
      </c>
      <c r="C2106" t="s">
        <v>11</v>
      </c>
      <c r="D2106" s="1">
        <v>43430</v>
      </c>
      <c r="E2106" s="1">
        <v>43444</v>
      </c>
      <c r="F2106" s="1">
        <v>43444</v>
      </c>
      <c r="G2106" s="1"/>
      <c r="H2106" t="s">
        <v>9</v>
      </c>
      <c r="I2106" t="s">
        <v>27</v>
      </c>
    </row>
    <row r="2107" spans="1:9" x14ac:dyDescent="0.25">
      <c r="A2107" t="s">
        <v>653</v>
      </c>
      <c r="B2107" s="26" t="str">
        <f>MID(tbl_forecast[[#This Row],[PACE Job Number]],3,3)</f>
        <v>NTX</v>
      </c>
      <c r="C2107" t="s">
        <v>11</v>
      </c>
      <c r="D2107" s="1">
        <v>43406</v>
      </c>
      <c r="E2107" s="1">
        <v>43407</v>
      </c>
      <c r="F2107" s="1">
        <v>43406</v>
      </c>
      <c r="G2107" s="1">
        <v>43406</v>
      </c>
      <c r="H2107" t="s">
        <v>9</v>
      </c>
      <c r="I2107" t="s">
        <v>10</v>
      </c>
    </row>
    <row r="2108" spans="1:9" x14ac:dyDescent="0.25">
      <c r="A2108" t="s">
        <v>1897</v>
      </c>
      <c r="B2108" s="26" t="str">
        <f>MID(tbl_forecast[[#This Row],[PACE Job Number]],3,3)</f>
        <v>NTX</v>
      </c>
      <c r="C2108" t="s">
        <v>11</v>
      </c>
      <c r="D2108" s="1">
        <v>43423</v>
      </c>
      <c r="E2108" s="1">
        <v>43434</v>
      </c>
      <c r="F2108" s="1">
        <v>43434</v>
      </c>
      <c r="G2108" s="1"/>
      <c r="H2108" t="s">
        <v>9</v>
      </c>
      <c r="I2108" t="s">
        <v>27</v>
      </c>
    </row>
    <row r="2109" spans="1:9" x14ac:dyDescent="0.25">
      <c r="A2109" t="s">
        <v>472</v>
      </c>
      <c r="B2109" s="26" t="str">
        <f>MID(tbl_forecast[[#This Row],[PACE Job Number]],3,3)</f>
        <v>NTX</v>
      </c>
      <c r="C2109" t="s">
        <v>11</v>
      </c>
      <c r="D2109" s="1">
        <v>43427</v>
      </c>
      <c r="E2109" s="1">
        <v>43438</v>
      </c>
      <c r="F2109" s="1">
        <v>43438</v>
      </c>
      <c r="G2109" s="1"/>
      <c r="H2109" t="s">
        <v>9</v>
      </c>
      <c r="I2109" t="s">
        <v>27</v>
      </c>
    </row>
    <row r="2110" spans="1:9" x14ac:dyDescent="0.25">
      <c r="A2110" t="s">
        <v>1776</v>
      </c>
      <c r="B2110" s="26" t="str">
        <f>MID(tbl_forecast[[#This Row],[PACE Job Number]],3,3)</f>
        <v>NTX</v>
      </c>
      <c r="C2110" t="s">
        <v>11</v>
      </c>
      <c r="D2110" s="1">
        <v>43427</v>
      </c>
      <c r="E2110" s="1">
        <v>43444</v>
      </c>
      <c r="F2110" s="1">
        <v>43444</v>
      </c>
      <c r="G2110" s="1"/>
      <c r="H2110" t="s">
        <v>4664</v>
      </c>
      <c r="I2110" t="s">
        <v>4665</v>
      </c>
    </row>
    <row r="2111" spans="1:9" x14ac:dyDescent="0.25">
      <c r="A2111" t="s">
        <v>5422</v>
      </c>
      <c r="B2111" s="26" t="str">
        <f>MID(tbl_forecast[[#This Row],[PACE Job Number]],3,3)</f>
        <v>NTX</v>
      </c>
      <c r="C2111" t="s">
        <v>11</v>
      </c>
      <c r="D2111" s="1">
        <v>43430</v>
      </c>
      <c r="E2111" s="1">
        <v>43455</v>
      </c>
      <c r="F2111" s="1">
        <v>43455</v>
      </c>
      <c r="G2111" s="1"/>
      <c r="H2111" t="s">
        <v>4664</v>
      </c>
      <c r="I2111" t="s">
        <v>4665</v>
      </c>
    </row>
    <row r="2112" spans="1:9" x14ac:dyDescent="0.25">
      <c r="A2112" t="s">
        <v>4462</v>
      </c>
      <c r="B2112" s="26" t="str">
        <f>MID(tbl_forecast[[#This Row],[PACE Job Number]],3,3)</f>
        <v>NTX</v>
      </c>
      <c r="C2112" t="s">
        <v>11</v>
      </c>
      <c r="D2112" s="1">
        <v>43427</v>
      </c>
      <c r="E2112" s="1">
        <v>43427</v>
      </c>
      <c r="F2112" s="1">
        <v>43418</v>
      </c>
      <c r="G2112" s="1">
        <v>43418</v>
      </c>
      <c r="H2112" t="s">
        <v>9</v>
      </c>
      <c r="I2112" t="s">
        <v>10</v>
      </c>
    </row>
    <row r="2113" spans="1:9" x14ac:dyDescent="0.25">
      <c r="A2113" t="s">
        <v>4463</v>
      </c>
      <c r="B2113" s="26" t="str">
        <f>MID(tbl_forecast[[#This Row],[PACE Job Number]],3,3)</f>
        <v>NTX</v>
      </c>
      <c r="C2113" t="s">
        <v>11</v>
      </c>
      <c r="D2113" s="1">
        <v>43430</v>
      </c>
      <c r="E2113" s="1">
        <v>43444</v>
      </c>
      <c r="F2113" s="1">
        <v>43444</v>
      </c>
      <c r="G2113" s="1"/>
      <c r="H2113" t="s">
        <v>9</v>
      </c>
      <c r="I2113" t="s">
        <v>27</v>
      </c>
    </row>
    <row r="2114" spans="1:9" x14ac:dyDescent="0.25">
      <c r="A2114" t="s">
        <v>2298</v>
      </c>
      <c r="B2114" s="26" t="str">
        <f>MID(tbl_forecast[[#This Row],[PACE Job Number]],3,3)</f>
        <v>NTX</v>
      </c>
      <c r="C2114" t="s">
        <v>11</v>
      </c>
      <c r="D2114" s="1">
        <v>43433</v>
      </c>
      <c r="E2114" s="1">
        <v>43433</v>
      </c>
      <c r="F2114" s="1">
        <v>43418</v>
      </c>
      <c r="G2114" s="1">
        <v>43418</v>
      </c>
      <c r="H2114" t="s">
        <v>9</v>
      </c>
      <c r="I2114" t="s">
        <v>10</v>
      </c>
    </row>
    <row r="2115" spans="1:9" x14ac:dyDescent="0.25">
      <c r="A2115" t="s">
        <v>3806</v>
      </c>
      <c r="B2115" s="26" t="str">
        <f>MID(tbl_forecast[[#This Row],[PACE Job Number]],3,3)</f>
        <v>NTX</v>
      </c>
      <c r="C2115" t="s">
        <v>11</v>
      </c>
      <c r="D2115" s="1">
        <v>43433</v>
      </c>
      <c r="E2115" s="1">
        <v>43434</v>
      </c>
      <c r="F2115" s="1">
        <v>43434</v>
      </c>
      <c r="G2115" s="1"/>
      <c r="H2115" t="s">
        <v>9</v>
      </c>
      <c r="I2115" t="s">
        <v>27</v>
      </c>
    </row>
    <row r="2116" spans="1:9" x14ac:dyDescent="0.25">
      <c r="A2116" t="s">
        <v>3482</v>
      </c>
      <c r="B2116" s="26" t="str">
        <f>MID(tbl_forecast[[#This Row],[PACE Job Number]],3,3)</f>
        <v>NTX</v>
      </c>
      <c r="C2116" t="s">
        <v>11</v>
      </c>
      <c r="D2116" s="1">
        <v>43406</v>
      </c>
      <c r="E2116" s="1">
        <v>43409</v>
      </c>
      <c r="F2116" s="1">
        <v>43406</v>
      </c>
      <c r="G2116" s="1">
        <v>43406</v>
      </c>
      <c r="H2116" t="s">
        <v>9</v>
      </c>
      <c r="I2116" t="s">
        <v>10</v>
      </c>
    </row>
    <row r="2117" spans="1:9" x14ac:dyDescent="0.25">
      <c r="A2117" t="s">
        <v>4476</v>
      </c>
      <c r="B2117" s="26" t="str">
        <f>MID(tbl_forecast[[#This Row],[PACE Job Number]],3,3)</f>
        <v>NTX</v>
      </c>
      <c r="C2117" t="s">
        <v>11</v>
      </c>
      <c r="D2117" s="1">
        <v>43420</v>
      </c>
      <c r="E2117" s="1">
        <v>43420</v>
      </c>
      <c r="F2117" s="1">
        <v>43432</v>
      </c>
      <c r="G2117" s="1">
        <v>43432</v>
      </c>
      <c r="H2117" t="s">
        <v>9</v>
      </c>
      <c r="I2117" t="s">
        <v>10</v>
      </c>
    </row>
    <row r="2118" spans="1:9" x14ac:dyDescent="0.25">
      <c r="A2118" t="s">
        <v>4477</v>
      </c>
      <c r="B2118" s="26" t="str">
        <f>MID(tbl_forecast[[#This Row],[PACE Job Number]],3,3)</f>
        <v>NTX</v>
      </c>
      <c r="C2118" t="s">
        <v>11</v>
      </c>
      <c r="D2118" s="1">
        <v>43409</v>
      </c>
      <c r="E2118" s="1">
        <v>43418</v>
      </c>
      <c r="F2118" s="1">
        <v>43412</v>
      </c>
      <c r="G2118" s="1">
        <v>43412</v>
      </c>
      <c r="H2118" t="s">
        <v>9</v>
      </c>
      <c r="I2118" t="s">
        <v>10</v>
      </c>
    </row>
    <row r="2119" spans="1:9" x14ac:dyDescent="0.25">
      <c r="A2119" t="s">
        <v>4479</v>
      </c>
      <c r="B2119" s="26" t="str">
        <f>MID(tbl_forecast[[#This Row],[PACE Job Number]],3,3)</f>
        <v>NTX</v>
      </c>
      <c r="C2119" t="s">
        <v>11</v>
      </c>
      <c r="D2119" s="1">
        <v>43409</v>
      </c>
      <c r="E2119" s="1">
        <v>43418</v>
      </c>
      <c r="F2119" s="1">
        <v>43412</v>
      </c>
      <c r="G2119" s="1">
        <v>43412</v>
      </c>
      <c r="H2119" t="s">
        <v>9</v>
      </c>
      <c r="I2119" t="s">
        <v>10</v>
      </c>
    </row>
    <row r="2120" spans="1:9" x14ac:dyDescent="0.25">
      <c r="A2120" t="s">
        <v>5428</v>
      </c>
      <c r="B2120" s="26" t="str">
        <f>MID(tbl_forecast[[#This Row],[PACE Job Number]],3,3)</f>
        <v>NTX</v>
      </c>
      <c r="C2120" t="s">
        <v>11</v>
      </c>
      <c r="D2120" s="1">
        <v>43430</v>
      </c>
      <c r="E2120" s="1">
        <v>43448</v>
      </c>
      <c r="F2120" s="1">
        <v>43448</v>
      </c>
      <c r="G2120" s="1"/>
      <c r="H2120" t="s">
        <v>4664</v>
      </c>
      <c r="I2120" t="s">
        <v>4665</v>
      </c>
    </row>
    <row r="2121" spans="1:9" x14ac:dyDescent="0.25">
      <c r="A2121" t="s">
        <v>5429</v>
      </c>
      <c r="B2121" s="26" t="str">
        <f>MID(tbl_forecast[[#This Row],[PACE Job Number]],3,3)</f>
        <v>NTX</v>
      </c>
      <c r="C2121" t="s">
        <v>11</v>
      </c>
      <c r="D2121" s="1">
        <v>43430</v>
      </c>
      <c r="E2121" s="1">
        <v>43448</v>
      </c>
      <c r="F2121" s="1">
        <v>43448</v>
      </c>
      <c r="G2121" s="1"/>
      <c r="H2121" t="s">
        <v>4664</v>
      </c>
      <c r="I2121" t="s">
        <v>4665</v>
      </c>
    </row>
    <row r="2122" spans="1:9" x14ac:dyDescent="0.25">
      <c r="A2122" t="s">
        <v>5430</v>
      </c>
      <c r="B2122" s="26" t="str">
        <f>MID(tbl_forecast[[#This Row],[PACE Job Number]],3,3)</f>
        <v>NTX</v>
      </c>
      <c r="C2122" t="s">
        <v>11</v>
      </c>
      <c r="D2122" s="1">
        <v>43430</v>
      </c>
      <c r="E2122" s="1">
        <v>43444</v>
      </c>
      <c r="F2122" s="1">
        <v>43444</v>
      </c>
      <c r="G2122" s="1"/>
      <c r="H2122" t="s">
        <v>9</v>
      </c>
      <c r="I2122" t="s">
        <v>27</v>
      </c>
    </row>
    <row r="2123" spans="1:9" x14ac:dyDescent="0.25">
      <c r="A2123" t="s">
        <v>3807</v>
      </c>
      <c r="B2123" s="26" t="str">
        <f>MID(tbl_forecast[[#This Row],[PACE Job Number]],3,3)</f>
        <v>NTX</v>
      </c>
      <c r="C2123" t="s">
        <v>11</v>
      </c>
      <c r="D2123" s="1">
        <v>43430</v>
      </c>
      <c r="E2123" s="1">
        <v>43495</v>
      </c>
      <c r="F2123" s="1">
        <v>43495</v>
      </c>
      <c r="G2123" s="1"/>
      <c r="H2123" t="s">
        <v>4664</v>
      </c>
      <c r="I2123" t="s">
        <v>4665</v>
      </c>
    </row>
    <row r="2124" spans="1:9" x14ac:dyDescent="0.25">
      <c r="A2124" t="s">
        <v>56</v>
      </c>
      <c r="B2124" s="26" t="str">
        <f>MID(tbl_forecast[[#This Row],[PACE Job Number]],3,3)</f>
        <v>NTX</v>
      </c>
      <c r="C2124" t="s">
        <v>11</v>
      </c>
      <c r="D2124" s="1">
        <v>43418</v>
      </c>
      <c r="E2124" s="1">
        <v>43423</v>
      </c>
      <c r="F2124" s="1">
        <v>43418</v>
      </c>
      <c r="G2124" s="1">
        <v>43418</v>
      </c>
      <c r="H2124" t="s">
        <v>9</v>
      </c>
      <c r="I2124" t="s">
        <v>10</v>
      </c>
    </row>
    <row r="2125" spans="1:9" x14ac:dyDescent="0.25">
      <c r="A2125" t="s">
        <v>2160</v>
      </c>
      <c r="B2125" s="26" t="str">
        <f>MID(tbl_forecast[[#This Row],[PACE Job Number]],3,3)</f>
        <v>NTX</v>
      </c>
      <c r="C2125" t="s">
        <v>11</v>
      </c>
      <c r="D2125" s="1">
        <v>43408</v>
      </c>
      <c r="E2125" s="1">
        <v>43408</v>
      </c>
      <c r="F2125" s="1">
        <v>43409</v>
      </c>
      <c r="G2125" s="1">
        <v>43409</v>
      </c>
      <c r="H2125" t="s">
        <v>9</v>
      </c>
      <c r="I2125" t="s">
        <v>10</v>
      </c>
    </row>
    <row r="2126" spans="1:9" x14ac:dyDescent="0.25">
      <c r="A2126" t="s">
        <v>4292</v>
      </c>
      <c r="B2126" s="26" t="str">
        <f>MID(tbl_forecast[[#This Row],[PACE Job Number]],3,3)</f>
        <v>NTX</v>
      </c>
      <c r="C2126" t="s">
        <v>11</v>
      </c>
      <c r="D2126" s="1">
        <v>43423</v>
      </c>
      <c r="E2126" s="1">
        <v>43434</v>
      </c>
      <c r="F2126" s="1">
        <v>43434</v>
      </c>
      <c r="G2126" s="1"/>
      <c r="H2126" t="s">
        <v>9</v>
      </c>
      <c r="I2126" t="s">
        <v>27</v>
      </c>
    </row>
    <row r="2127" spans="1:9" x14ac:dyDescent="0.25">
      <c r="A2127" t="s">
        <v>337</v>
      </c>
      <c r="B2127" s="26" t="str">
        <f>MID(tbl_forecast[[#This Row],[PACE Job Number]],3,3)</f>
        <v>NTX</v>
      </c>
      <c r="C2127" t="s">
        <v>11</v>
      </c>
      <c r="D2127" s="1">
        <v>43409</v>
      </c>
      <c r="E2127" s="1">
        <v>43409</v>
      </c>
      <c r="F2127" s="1">
        <v>43409</v>
      </c>
      <c r="G2127" s="1">
        <v>43409</v>
      </c>
      <c r="H2127" t="s">
        <v>9</v>
      </c>
      <c r="I2127" t="s">
        <v>10</v>
      </c>
    </row>
    <row r="2128" spans="1:9" x14ac:dyDescent="0.25">
      <c r="A2128" t="s">
        <v>2455</v>
      </c>
      <c r="B2128" s="26" t="str">
        <f>MID(tbl_forecast[[#This Row],[PACE Job Number]],3,3)</f>
        <v>NTX</v>
      </c>
      <c r="C2128" t="s">
        <v>11</v>
      </c>
      <c r="D2128" s="1">
        <v>43433</v>
      </c>
      <c r="E2128" s="1">
        <v>43448</v>
      </c>
      <c r="F2128" s="1">
        <v>43448</v>
      </c>
      <c r="G2128" s="1"/>
      <c r="H2128" t="s">
        <v>4664</v>
      </c>
      <c r="I2128" t="s">
        <v>4665</v>
      </c>
    </row>
    <row r="2129" spans="1:9" x14ac:dyDescent="0.25">
      <c r="A2129" t="s">
        <v>226</v>
      </c>
      <c r="B2129" s="26" t="str">
        <f>MID(tbl_forecast[[#This Row],[PACE Job Number]],3,3)</f>
        <v>NTX</v>
      </c>
      <c r="C2129" t="s">
        <v>11</v>
      </c>
      <c r="D2129" s="1">
        <v>43409</v>
      </c>
      <c r="E2129" s="1">
        <v>43409</v>
      </c>
      <c r="F2129" s="1">
        <v>43409</v>
      </c>
      <c r="G2129" s="1">
        <v>43409</v>
      </c>
      <c r="H2129" t="s">
        <v>9</v>
      </c>
      <c r="I2129" t="s">
        <v>10</v>
      </c>
    </row>
    <row r="2130" spans="1:9" x14ac:dyDescent="0.25">
      <c r="A2130" t="s">
        <v>2161</v>
      </c>
      <c r="B2130" s="26" t="str">
        <f>MID(tbl_forecast[[#This Row],[PACE Job Number]],3,3)</f>
        <v>NTX</v>
      </c>
      <c r="C2130" t="s">
        <v>11</v>
      </c>
      <c r="D2130" s="1">
        <v>43408</v>
      </c>
      <c r="E2130" s="1">
        <v>43408</v>
      </c>
      <c r="F2130" s="1">
        <v>43409</v>
      </c>
      <c r="G2130" s="1">
        <v>43409</v>
      </c>
      <c r="H2130" t="s">
        <v>9</v>
      </c>
      <c r="I2130" t="s">
        <v>10</v>
      </c>
    </row>
    <row r="2131" spans="1:9" x14ac:dyDescent="0.25">
      <c r="A2131" t="s">
        <v>2456</v>
      </c>
      <c r="B2131" s="26" t="str">
        <f>MID(tbl_forecast[[#This Row],[PACE Job Number]],3,3)</f>
        <v>NTX</v>
      </c>
      <c r="C2131" t="s">
        <v>11</v>
      </c>
      <c r="D2131" s="1">
        <v>43433</v>
      </c>
      <c r="E2131" s="1">
        <v>43448</v>
      </c>
      <c r="F2131" s="1">
        <v>43448</v>
      </c>
      <c r="G2131" s="1"/>
      <c r="H2131" t="s">
        <v>4664</v>
      </c>
      <c r="I2131" t="s">
        <v>4665</v>
      </c>
    </row>
    <row r="2132" spans="1:9" x14ac:dyDescent="0.25">
      <c r="A2132" t="s">
        <v>917</v>
      </c>
      <c r="B2132" s="26" t="str">
        <f>MID(tbl_forecast[[#This Row],[PACE Job Number]],3,3)</f>
        <v>NTX</v>
      </c>
      <c r="C2132" t="s">
        <v>11</v>
      </c>
      <c r="D2132" s="1">
        <v>43406</v>
      </c>
      <c r="E2132" s="1">
        <v>43418</v>
      </c>
      <c r="F2132" s="1">
        <v>43418</v>
      </c>
      <c r="G2132" s="1">
        <v>43418</v>
      </c>
      <c r="H2132" t="s">
        <v>9</v>
      </c>
      <c r="I2132" t="s">
        <v>10</v>
      </c>
    </row>
    <row r="2133" spans="1:9" x14ac:dyDescent="0.25">
      <c r="A2133" t="s">
        <v>4480</v>
      </c>
      <c r="B2133" s="26" t="str">
        <f>MID(tbl_forecast[[#This Row],[PACE Job Number]],3,3)</f>
        <v>NTX</v>
      </c>
      <c r="C2133" t="s">
        <v>11</v>
      </c>
      <c r="D2133" s="1">
        <v>43418</v>
      </c>
      <c r="E2133" s="1">
        <v>43418</v>
      </c>
      <c r="F2133" s="1">
        <v>43413</v>
      </c>
      <c r="G2133" s="1">
        <v>43413</v>
      </c>
      <c r="H2133" t="s">
        <v>9</v>
      </c>
      <c r="I2133" t="s">
        <v>10</v>
      </c>
    </row>
    <row r="2134" spans="1:9" x14ac:dyDescent="0.25">
      <c r="A2134" t="s">
        <v>878</v>
      </c>
      <c r="B2134" s="26" t="str">
        <f>MID(tbl_forecast[[#This Row],[PACE Job Number]],3,3)</f>
        <v>NTX</v>
      </c>
      <c r="C2134" t="s">
        <v>11</v>
      </c>
      <c r="D2134" s="1">
        <v>43423</v>
      </c>
      <c r="E2134" s="1">
        <v>43444</v>
      </c>
      <c r="F2134" s="1">
        <v>43444</v>
      </c>
      <c r="G2134" s="1"/>
      <c r="H2134" t="s">
        <v>4664</v>
      </c>
      <c r="I2134" t="s">
        <v>4665</v>
      </c>
    </row>
    <row r="2135" spans="1:9" x14ac:dyDescent="0.25">
      <c r="A2135" t="s">
        <v>4481</v>
      </c>
      <c r="B2135" s="26" t="str">
        <f>MID(tbl_forecast[[#This Row],[PACE Job Number]],3,3)</f>
        <v>NTX</v>
      </c>
      <c r="C2135" t="s">
        <v>11</v>
      </c>
      <c r="D2135" s="1">
        <v>43418</v>
      </c>
      <c r="E2135" s="1">
        <v>43418</v>
      </c>
      <c r="F2135" s="1">
        <v>43413</v>
      </c>
      <c r="G2135" s="1">
        <v>43413</v>
      </c>
      <c r="H2135" t="s">
        <v>9</v>
      </c>
      <c r="I2135" t="s">
        <v>10</v>
      </c>
    </row>
    <row r="2136" spans="1:9" x14ac:dyDescent="0.25">
      <c r="A2136" t="s">
        <v>824</v>
      </c>
      <c r="B2136" s="26" t="str">
        <f>MID(tbl_forecast[[#This Row],[PACE Job Number]],3,3)</f>
        <v>NTX</v>
      </c>
      <c r="C2136" t="s">
        <v>11</v>
      </c>
      <c r="D2136" s="1">
        <v>43423</v>
      </c>
      <c r="E2136" s="1">
        <v>43444</v>
      </c>
      <c r="F2136" s="1">
        <v>43444</v>
      </c>
      <c r="G2136" s="1"/>
      <c r="H2136" t="s">
        <v>4664</v>
      </c>
      <c r="I2136" t="s">
        <v>4665</v>
      </c>
    </row>
    <row r="2137" spans="1:9" x14ac:dyDescent="0.25">
      <c r="A2137" t="s">
        <v>916</v>
      </c>
      <c r="B2137" s="26" t="str">
        <f>MID(tbl_forecast[[#This Row],[PACE Job Number]],3,3)</f>
        <v>NTX</v>
      </c>
      <c r="C2137" t="s">
        <v>11</v>
      </c>
      <c r="D2137" s="1">
        <v>43405</v>
      </c>
      <c r="E2137" s="1">
        <v>43418</v>
      </c>
      <c r="F2137" s="1">
        <v>43418</v>
      </c>
      <c r="G2137" s="1">
        <v>43418</v>
      </c>
      <c r="H2137" t="s">
        <v>9</v>
      </c>
      <c r="I2137" t="s">
        <v>10</v>
      </c>
    </row>
    <row r="2138" spans="1:9" x14ac:dyDescent="0.25">
      <c r="A2138" t="s">
        <v>4482</v>
      </c>
      <c r="B2138" s="26" t="str">
        <f>MID(tbl_forecast[[#This Row],[PACE Job Number]],3,3)</f>
        <v>NTX</v>
      </c>
      <c r="C2138" t="s">
        <v>11</v>
      </c>
      <c r="D2138" s="1">
        <v>43420</v>
      </c>
      <c r="E2138" s="1">
        <v>43420</v>
      </c>
      <c r="F2138" s="1">
        <v>43424</v>
      </c>
      <c r="G2138" s="1">
        <v>43424</v>
      </c>
      <c r="H2138" t="s">
        <v>9</v>
      </c>
      <c r="I2138" t="s">
        <v>10</v>
      </c>
    </row>
    <row r="2139" spans="1:9" x14ac:dyDescent="0.25">
      <c r="A2139" t="s">
        <v>4483</v>
      </c>
      <c r="B2139" s="26" t="str">
        <f>MID(tbl_forecast[[#This Row],[PACE Job Number]],3,3)</f>
        <v>NTX</v>
      </c>
      <c r="C2139" t="s">
        <v>11</v>
      </c>
      <c r="D2139" s="1">
        <v>43418</v>
      </c>
      <c r="E2139" s="1">
        <v>43418</v>
      </c>
      <c r="F2139" s="1">
        <v>43413</v>
      </c>
      <c r="G2139" s="1">
        <v>43413</v>
      </c>
      <c r="H2139" t="s">
        <v>9</v>
      </c>
      <c r="I2139" t="s">
        <v>10</v>
      </c>
    </row>
    <row r="2140" spans="1:9" x14ac:dyDescent="0.25">
      <c r="A2140" t="s">
        <v>4034</v>
      </c>
      <c r="B2140" s="26" t="str">
        <f>MID(tbl_forecast[[#This Row],[PACE Job Number]],3,3)</f>
        <v>NTX</v>
      </c>
      <c r="C2140" t="s">
        <v>11</v>
      </c>
      <c r="D2140" s="1">
        <v>43420</v>
      </c>
      <c r="E2140" s="1">
        <v>43420</v>
      </c>
      <c r="F2140" s="1">
        <v>43424</v>
      </c>
      <c r="G2140" s="1">
        <v>43424</v>
      </c>
      <c r="H2140" t="s">
        <v>9</v>
      </c>
      <c r="I2140" t="s">
        <v>10</v>
      </c>
    </row>
    <row r="2141" spans="1:9" x14ac:dyDescent="0.25">
      <c r="A2141" t="s">
        <v>4484</v>
      </c>
      <c r="B2141" s="26" t="str">
        <f>MID(tbl_forecast[[#This Row],[PACE Job Number]],3,3)</f>
        <v>NTX</v>
      </c>
      <c r="C2141" t="s">
        <v>11</v>
      </c>
      <c r="D2141" s="1">
        <v>43418</v>
      </c>
      <c r="E2141" s="1">
        <v>43418</v>
      </c>
      <c r="F2141" s="1">
        <v>43413</v>
      </c>
      <c r="G2141" s="1">
        <v>43413</v>
      </c>
      <c r="H2141" t="s">
        <v>9</v>
      </c>
      <c r="I2141" t="s">
        <v>10</v>
      </c>
    </row>
    <row r="2142" spans="1:9" x14ac:dyDescent="0.25">
      <c r="A2142" t="s">
        <v>4293</v>
      </c>
      <c r="B2142" s="26" t="str">
        <f>MID(tbl_forecast[[#This Row],[PACE Job Number]],3,3)</f>
        <v>NTX</v>
      </c>
      <c r="C2142" t="s">
        <v>11</v>
      </c>
      <c r="D2142" s="1">
        <v>43423</v>
      </c>
      <c r="E2142" s="1">
        <v>43434</v>
      </c>
      <c r="F2142" s="1">
        <v>43434</v>
      </c>
      <c r="G2142" s="1"/>
      <c r="H2142" t="s">
        <v>9</v>
      </c>
      <c r="I2142" t="s">
        <v>27</v>
      </c>
    </row>
    <row r="2143" spans="1:9" x14ac:dyDescent="0.25">
      <c r="A2143" t="s">
        <v>2460</v>
      </c>
      <c r="B2143" s="26" t="str">
        <f>MID(tbl_forecast[[#This Row],[PACE Job Number]],3,3)</f>
        <v>NTX</v>
      </c>
      <c r="C2143" t="s">
        <v>11</v>
      </c>
      <c r="D2143" s="1">
        <v>43433</v>
      </c>
      <c r="E2143" s="1">
        <v>43448</v>
      </c>
      <c r="F2143" s="1">
        <v>43448</v>
      </c>
      <c r="G2143" s="1"/>
      <c r="H2143" t="s">
        <v>4664</v>
      </c>
      <c r="I2143" t="s">
        <v>4665</v>
      </c>
    </row>
    <row r="2144" spans="1:9" x14ac:dyDescent="0.25">
      <c r="A2144" t="s">
        <v>3512</v>
      </c>
      <c r="B2144" s="26" t="str">
        <f>MID(tbl_forecast[[#This Row],[PACE Job Number]],3,3)</f>
        <v>NTX</v>
      </c>
      <c r="C2144" t="s">
        <v>11</v>
      </c>
      <c r="D2144" s="1">
        <v>43418</v>
      </c>
      <c r="E2144" s="1">
        <v>43423</v>
      </c>
      <c r="F2144" s="1">
        <v>43418</v>
      </c>
      <c r="G2144" s="1">
        <v>43418</v>
      </c>
      <c r="H2144" t="s">
        <v>9</v>
      </c>
      <c r="I2144" t="s">
        <v>10</v>
      </c>
    </row>
    <row r="2145" spans="1:9" x14ac:dyDescent="0.25">
      <c r="A2145" t="s">
        <v>3381</v>
      </c>
      <c r="B2145" s="26" t="str">
        <f>MID(tbl_forecast[[#This Row],[PACE Job Number]],3,3)</f>
        <v>NTX</v>
      </c>
      <c r="C2145" t="s">
        <v>11</v>
      </c>
      <c r="D2145" s="1">
        <v>43423</v>
      </c>
      <c r="E2145" s="1">
        <v>43423</v>
      </c>
      <c r="F2145" s="1">
        <v>43419</v>
      </c>
      <c r="G2145" s="1">
        <v>43419</v>
      </c>
      <c r="H2145" t="s">
        <v>9</v>
      </c>
      <c r="I2145" t="s">
        <v>10</v>
      </c>
    </row>
    <row r="2146" spans="1:9" x14ac:dyDescent="0.25">
      <c r="A2146" t="s">
        <v>4294</v>
      </c>
      <c r="B2146" s="26" t="str">
        <f>MID(tbl_forecast[[#This Row],[PACE Job Number]],3,3)</f>
        <v>NTX</v>
      </c>
      <c r="C2146" t="s">
        <v>11</v>
      </c>
      <c r="D2146" s="1">
        <v>43430</v>
      </c>
      <c r="E2146" s="1">
        <v>43437</v>
      </c>
      <c r="F2146" s="1">
        <v>43437</v>
      </c>
      <c r="G2146" s="1">
        <v>43434</v>
      </c>
      <c r="H2146" t="s">
        <v>9</v>
      </c>
      <c r="I2146" t="s">
        <v>10</v>
      </c>
    </row>
    <row r="2147" spans="1:9" x14ac:dyDescent="0.25">
      <c r="A2147" t="s">
        <v>5431</v>
      </c>
      <c r="B2147" s="26" t="str">
        <f>MID(tbl_forecast[[#This Row],[PACE Job Number]],3,3)</f>
        <v>NTX</v>
      </c>
      <c r="C2147" t="s">
        <v>11</v>
      </c>
      <c r="D2147" s="1">
        <v>43420</v>
      </c>
      <c r="E2147" s="1">
        <v>43507</v>
      </c>
      <c r="F2147" s="1">
        <v>43507</v>
      </c>
      <c r="G2147" s="1"/>
      <c r="H2147" t="s">
        <v>4664</v>
      </c>
      <c r="I2147" t="s">
        <v>5645</v>
      </c>
    </row>
    <row r="2148" spans="1:9" x14ac:dyDescent="0.25">
      <c r="A2148" t="s">
        <v>3427</v>
      </c>
      <c r="B2148" s="26" t="str">
        <f>MID(tbl_forecast[[#This Row],[PACE Job Number]],3,3)</f>
        <v>NTX</v>
      </c>
      <c r="C2148" t="s">
        <v>11</v>
      </c>
      <c r="D2148" s="1">
        <v>43407</v>
      </c>
      <c r="E2148" s="1">
        <v>43407</v>
      </c>
      <c r="F2148" s="1">
        <v>43409</v>
      </c>
      <c r="G2148" s="1">
        <v>43409</v>
      </c>
      <c r="H2148" t="s">
        <v>9</v>
      </c>
      <c r="I2148" t="s">
        <v>10</v>
      </c>
    </row>
    <row r="2149" spans="1:9" x14ac:dyDescent="0.25">
      <c r="A2149" t="s">
        <v>3816</v>
      </c>
      <c r="B2149" s="26" t="str">
        <f>MID(tbl_forecast[[#This Row],[PACE Job Number]],3,3)</f>
        <v>NTX</v>
      </c>
      <c r="C2149" t="s">
        <v>11</v>
      </c>
      <c r="D2149" s="1">
        <v>43430</v>
      </c>
      <c r="E2149" s="1">
        <v>43495</v>
      </c>
      <c r="F2149" s="1">
        <v>43495</v>
      </c>
      <c r="G2149" s="1"/>
      <c r="H2149" t="s">
        <v>4664</v>
      </c>
      <c r="I2149" t="s">
        <v>4665</v>
      </c>
    </row>
    <row r="2150" spans="1:9" x14ac:dyDescent="0.25">
      <c r="A2150" t="s">
        <v>5510</v>
      </c>
      <c r="B2150" s="26" t="str">
        <f>MID(tbl_forecast[[#This Row],[PACE Job Number]],3,3)</f>
        <v>NTX</v>
      </c>
      <c r="C2150" t="s">
        <v>11</v>
      </c>
      <c r="D2150" s="1">
        <v>43430</v>
      </c>
      <c r="E2150" s="1">
        <v>43437</v>
      </c>
      <c r="F2150" s="1">
        <v>43437</v>
      </c>
      <c r="G2150" s="1"/>
      <c r="H2150" t="s">
        <v>9</v>
      </c>
      <c r="I2150" t="s">
        <v>27</v>
      </c>
    </row>
    <row r="2151" spans="1:9" x14ac:dyDescent="0.25">
      <c r="A2151" t="s">
        <v>262</v>
      </c>
      <c r="B2151" s="26" t="str">
        <f>MID(tbl_forecast[[#This Row],[PACE Job Number]],3,3)</f>
        <v>NTX</v>
      </c>
      <c r="C2151" t="s">
        <v>11</v>
      </c>
      <c r="D2151" s="1">
        <v>43418</v>
      </c>
      <c r="E2151" s="1">
        <v>43423</v>
      </c>
      <c r="F2151" s="1">
        <v>43418</v>
      </c>
      <c r="G2151" s="1">
        <v>43418</v>
      </c>
      <c r="H2151" t="s">
        <v>9</v>
      </c>
      <c r="I2151" t="s">
        <v>10</v>
      </c>
    </row>
    <row r="2152" spans="1:9" x14ac:dyDescent="0.25">
      <c r="A2152" t="s">
        <v>88</v>
      </c>
      <c r="B2152" s="26" t="str">
        <f>MID(tbl_forecast[[#This Row],[PACE Job Number]],3,3)</f>
        <v>NTX</v>
      </c>
      <c r="C2152" t="s">
        <v>11</v>
      </c>
      <c r="D2152" s="1">
        <v>43415</v>
      </c>
      <c r="E2152" s="1">
        <v>43423</v>
      </c>
      <c r="F2152" s="1">
        <v>43420</v>
      </c>
      <c r="G2152" s="1">
        <v>43420</v>
      </c>
      <c r="H2152" t="s">
        <v>9</v>
      </c>
      <c r="I2152" t="s">
        <v>10</v>
      </c>
    </row>
    <row r="2153" spans="1:9" x14ac:dyDescent="0.25">
      <c r="A2153" t="s">
        <v>3494</v>
      </c>
      <c r="B2153" s="26" t="str">
        <f>MID(tbl_forecast[[#This Row],[PACE Job Number]],3,3)</f>
        <v>NTX</v>
      </c>
      <c r="C2153" t="s">
        <v>11</v>
      </c>
      <c r="D2153" s="1">
        <v>43418</v>
      </c>
      <c r="E2153" s="1">
        <v>43423</v>
      </c>
      <c r="F2153" s="1">
        <v>43418</v>
      </c>
      <c r="G2153" s="1">
        <v>43418</v>
      </c>
      <c r="H2153" t="s">
        <v>9</v>
      </c>
      <c r="I2153" t="s">
        <v>10</v>
      </c>
    </row>
    <row r="2154" spans="1:9" x14ac:dyDescent="0.25">
      <c r="A2154" t="s">
        <v>5432</v>
      </c>
      <c r="B2154" s="26" t="str">
        <f>MID(tbl_forecast[[#This Row],[PACE Job Number]],3,3)</f>
        <v>NTX</v>
      </c>
      <c r="C2154" t="s">
        <v>11</v>
      </c>
      <c r="D2154" s="1">
        <v>43430</v>
      </c>
      <c r="E2154" s="1">
        <v>43444</v>
      </c>
      <c r="F2154" s="1">
        <v>43444</v>
      </c>
      <c r="G2154" s="1"/>
      <c r="H2154" t="s">
        <v>9</v>
      </c>
      <c r="I2154" t="s">
        <v>27</v>
      </c>
    </row>
    <row r="2155" spans="1:9" x14ac:dyDescent="0.25">
      <c r="A2155" t="s">
        <v>5433</v>
      </c>
      <c r="B2155" s="26" t="str">
        <f>MID(tbl_forecast[[#This Row],[PACE Job Number]],3,3)</f>
        <v>NTX</v>
      </c>
      <c r="C2155" t="s">
        <v>11</v>
      </c>
      <c r="D2155" s="1">
        <v>43430</v>
      </c>
      <c r="E2155" s="1">
        <v>43451</v>
      </c>
      <c r="F2155" s="1">
        <v>43451</v>
      </c>
      <c r="G2155" s="1"/>
      <c r="H2155" t="s">
        <v>4664</v>
      </c>
      <c r="I2155" t="s">
        <v>4665</v>
      </c>
    </row>
    <row r="2156" spans="1:9" x14ac:dyDescent="0.25">
      <c r="A2156" t="s">
        <v>5434</v>
      </c>
      <c r="B2156" s="26" t="str">
        <f>MID(tbl_forecast[[#This Row],[PACE Job Number]],3,3)</f>
        <v>NTX</v>
      </c>
      <c r="C2156" t="s">
        <v>11</v>
      </c>
      <c r="D2156" s="1">
        <v>43430</v>
      </c>
      <c r="E2156" s="1">
        <v>43448</v>
      </c>
      <c r="F2156" s="1">
        <v>43448</v>
      </c>
      <c r="G2156" s="1"/>
      <c r="H2156" t="s">
        <v>4664</v>
      </c>
      <c r="I2156" t="s">
        <v>4665</v>
      </c>
    </row>
    <row r="2157" spans="1:9" x14ac:dyDescent="0.25">
      <c r="A2157" t="s">
        <v>166</v>
      </c>
      <c r="B2157" s="26" t="str">
        <f>MID(tbl_forecast[[#This Row],[PACE Job Number]],3,3)</f>
        <v>NTX</v>
      </c>
      <c r="C2157" t="s">
        <v>11</v>
      </c>
      <c r="D2157" s="1">
        <v>43423</v>
      </c>
      <c r="E2157" s="1">
        <v>43437</v>
      </c>
      <c r="F2157" s="1">
        <v>43437</v>
      </c>
      <c r="G2157" s="1">
        <v>43434</v>
      </c>
      <c r="H2157" t="s">
        <v>9</v>
      </c>
      <c r="I2157" t="s">
        <v>10</v>
      </c>
    </row>
    <row r="2158" spans="1:9" x14ac:dyDescent="0.25">
      <c r="A2158" t="s">
        <v>3905</v>
      </c>
      <c r="B2158" s="26" t="str">
        <f>MID(tbl_forecast[[#This Row],[PACE Job Number]],3,3)</f>
        <v>NTX</v>
      </c>
      <c r="C2158" t="s">
        <v>11</v>
      </c>
      <c r="D2158" s="1">
        <v>43409</v>
      </c>
      <c r="E2158" s="1">
        <v>43418</v>
      </c>
      <c r="F2158" s="1">
        <v>43420</v>
      </c>
      <c r="G2158" s="1">
        <v>43420</v>
      </c>
      <c r="H2158" t="s">
        <v>9</v>
      </c>
      <c r="I2158" t="s">
        <v>10</v>
      </c>
    </row>
    <row r="2159" spans="1:9" x14ac:dyDescent="0.25">
      <c r="A2159" t="s">
        <v>5511</v>
      </c>
      <c r="B2159" s="26" t="str">
        <f>MID(tbl_forecast[[#This Row],[PACE Job Number]],3,3)</f>
        <v>NTX</v>
      </c>
      <c r="C2159" t="s">
        <v>11</v>
      </c>
      <c r="D2159" s="1">
        <v>43433</v>
      </c>
      <c r="E2159" s="1">
        <v>43433</v>
      </c>
      <c r="F2159" s="1">
        <v>43410</v>
      </c>
      <c r="G2159" s="1">
        <v>43410</v>
      </c>
      <c r="H2159" t="s">
        <v>9</v>
      </c>
      <c r="I2159" t="s">
        <v>10</v>
      </c>
    </row>
    <row r="2160" spans="1:9" x14ac:dyDescent="0.25">
      <c r="A2160" t="s">
        <v>243</v>
      </c>
      <c r="B2160" s="26" t="str">
        <f>MID(tbl_forecast[[#This Row],[PACE Job Number]],3,3)</f>
        <v>NTX</v>
      </c>
      <c r="C2160" t="s">
        <v>11</v>
      </c>
      <c r="D2160" s="1">
        <v>43433</v>
      </c>
      <c r="E2160" s="1">
        <v>43434</v>
      </c>
      <c r="F2160" s="1">
        <v>43434</v>
      </c>
      <c r="G2160" s="1"/>
      <c r="H2160" t="s">
        <v>9</v>
      </c>
      <c r="I2160" t="s">
        <v>27</v>
      </c>
    </row>
    <row r="2161" spans="1:9" x14ac:dyDescent="0.25">
      <c r="A2161" t="s">
        <v>5512</v>
      </c>
      <c r="B2161" s="26" t="str">
        <f>MID(tbl_forecast[[#This Row],[PACE Job Number]],3,3)</f>
        <v>NTX</v>
      </c>
      <c r="C2161" t="s">
        <v>11</v>
      </c>
      <c r="D2161" s="1">
        <v>43433</v>
      </c>
      <c r="E2161" s="1">
        <v>43433</v>
      </c>
      <c r="F2161" s="1">
        <v>43410</v>
      </c>
      <c r="G2161" s="1">
        <v>43410</v>
      </c>
      <c r="H2161" t="s">
        <v>9</v>
      </c>
      <c r="I2161" t="s">
        <v>10</v>
      </c>
    </row>
    <row r="2162" spans="1:9" x14ac:dyDescent="0.25">
      <c r="A2162" t="s">
        <v>4466</v>
      </c>
      <c r="B2162" s="26" t="str">
        <f>MID(tbl_forecast[[#This Row],[PACE Job Number]],3,3)</f>
        <v>STX</v>
      </c>
      <c r="C2162" t="s">
        <v>11</v>
      </c>
      <c r="D2162" s="1">
        <v>43428</v>
      </c>
      <c r="E2162" s="1">
        <v>43447</v>
      </c>
      <c r="F2162" s="1">
        <v>43447</v>
      </c>
      <c r="G2162" s="1"/>
      <c r="H2162" t="s">
        <v>4664</v>
      </c>
      <c r="I2162" t="s">
        <v>4665</v>
      </c>
    </row>
    <row r="2163" spans="1:9" x14ac:dyDescent="0.25">
      <c r="A2163" t="s">
        <v>141</v>
      </c>
      <c r="B2163" s="26" t="str">
        <f>MID(tbl_forecast[[#This Row],[PACE Job Number]],3,3)</f>
        <v>STX</v>
      </c>
      <c r="C2163" t="s">
        <v>11</v>
      </c>
      <c r="D2163" s="1">
        <v>43425</v>
      </c>
      <c r="E2163" s="1">
        <v>43455</v>
      </c>
      <c r="F2163" s="1">
        <v>43455</v>
      </c>
      <c r="G2163" s="1"/>
      <c r="H2163" t="s">
        <v>4664</v>
      </c>
      <c r="I2163" t="s">
        <v>4665</v>
      </c>
    </row>
    <row r="2164" spans="1:9" x14ac:dyDescent="0.25">
      <c r="A2164" t="s">
        <v>3967</v>
      </c>
      <c r="B2164" s="26" t="str">
        <f>MID(tbl_forecast[[#This Row],[PACE Job Number]],3,3)</f>
        <v>STX</v>
      </c>
      <c r="C2164" t="s">
        <v>11</v>
      </c>
      <c r="D2164" s="1">
        <v>43428</v>
      </c>
      <c r="E2164" s="1">
        <v>43428</v>
      </c>
      <c r="F2164" s="1">
        <v>43424</v>
      </c>
      <c r="G2164" s="1">
        <v>43424</v>
      </c>
      <c r="H2164" t="s">
        <v>9</v>
      </c>
      <c r="I2164" t="s">
        <v>10</v>
      </c>
    </row>
    <row r="2165" spans="1:9" x14ac:dyDescent="0.25">
      <c r="A2165" t="s">
        <v>3439</v>
      </c>
      <c r="B2165" s="26" t="str">
        <f>MID(tbl_forecast[[#This Row],[PACE Job Number]],3,3)</f>
        <v>NTX</v>
      </c>
      <c r="C2165" t="s">
        <v>11</v>
      </c>
      <c r="D2165" s="1">
        <v>43407</v>
      </c>
      <c r="E2165" s="1">
        <v>43407</v>
      </c>
      <c r="F2165" s="1">
        <v>43409</v>
      </c>
      <c r="G2165" s="1">
        <v>43409</v>
      </c>
      <c r="H2165" t="s">
        <v>9</v>
      </c>
      <c r="I2165" t="s">
        <v>10</v>
      </c>
    </row>
    <row r="2166" spans="1:9" x14ac:dyDescent="0.25">
      <c r="A2166" t="s">
        <v>59</v>
      </c>
      <c r="B2166" s="26" t="str">
        <f>MID(tbl_forecast[[#This Row],[PACE Job Number]],3,3)</f>
        <v>NTX</v>
      </c>
      <c r="C2166" t="s">
        <v>11</v>
      </c>
      <c r="D2166" s="1">
        <v>43430</v>
      </c>
      <c r="E2166" s="1">
        <v>43434</v>
      </c>
      <c r="F2166" s="1">
        <v>43434</v>
      </c>
      <c r="G2166" s="1"/>
      <c r="H2166" t="s">
        <v>9</v>
      </c>
      <c r="I2166" t="s">
        <v>27</v>
      </c>
    </row>
    <row r="2167" spans="1:9" x14ac:dyDescent="0.25">
      <c r="A2167" t="s">
        <v>1782</v>
      </c>
      <c r="B2167" s="26" t="str">
        <f>MID(tbl_forecast[[#This Row],[PACE Job Number]],3,3)</f>
        <v>NTX</v>
      </c>
      <c r="C2167" t="s">
        <v>11</v>
      </c>
      <c r="D2167" s="1">
        <v>43430</v>
      </c>
      <c r="E2167" s="1">
        <v>43434</v>
      </c>
      <c r="F2167" s="1">
        <v>43434</v>
      </c>
      <c r="G2167" s="1">
        <v>43432</v>
      </c>
      <c r="H2167" t="s">
        <v>9</v>
      </c>
      <c r="I2167" t="s">
        <v>10</v>
      </c>
    </row>
    <row r="2168" spans="1:9" x14ac:dyDescent="0.25">
      <c r="A2168" t="s">
        <v>4323</v>
      </c>
      <c r="B2168" s="26" t="str">
        <f>MID(tbl_forecast[[#This Row],[PACE Job Number]],3,3)</f>
        <v>NTX</v>
      </c>
      <c r="C2168" t="s">
        <v>11</v>
      </c>
      <c r="D2168" s="1">
        <v>43423</v>
      </c>
      <c r="E2168" s="1">
        <v>43444</v>
      </c>
      <c r="F2168" s="1">
        <v>43444</v>
      </c>
      <c r="G2168" s="1"/>
      <c r="H2168" t="s">
        <v>4664</v>
      </c>
      <c r="I2168" t="s">
        <v>4665</v>
      </c>
    </row>
    <row r="2169" spans="1:9" x14ac:dyDescent="0.25">
      <c r="A2169" t="s">
        <v>4192</v>
      </c>
      <c r="B2169" s="26" t="str">
        <f>MID(tbl_forecast[[#This Row],[PACE Job Number]],3,3)</f>
        <v>NTX</v>
      </c>
      <c r="C2169" t="s">
        <v>11</v>
      </c>
      <c r="D2169" s="1">
        <v>43430</v>
      </c>
      <c r="E2169" s="1">
        <v>43437</v>
      </c>
      <c r="F2169" s="1">
        <v>43437</v>
      </c>
      <c r="G2169" s="1">
        <v>43434</v>
      </c>
      <c r="H2169" t="s">
        <v>9</v>
      </c>
      <c r="I2169" t="s">
        <v>10</v>
      </c>
    </row>
    <row r="2170" spans="1:9" x14ac:dyDescent="0.25">
      <c r="A2170" t="s">
        <v>346</v>
      </c>
      <c r="B2170" s="26" t="str">
        <f>MID(tbl_forecast[[#This Row],[PACE Job Number]],3,3)</f>
        <v>NTX</v>
      </c>
      <c r="C2170" t="s">
        <v>11</v>
      </c>
      <c r="D2170" s="1">
        <v>43430</v>
      </c>
      <c r="E2170" s="1">
        <v>43434</v>
      </c>
      <c r="F2170" s="1">
        <v>43434</v>
      </c>
      <c r="G2170" s="1"/>
      <c r="H2170" t="s">
        <v>9</v>
      </c>
      <c r="I2170" t="s">
        <v>27</v>
      </c>
    </row>
    <row r="2171" spans="1:9" x14ac:dyDescent="0.25">
      <c r="A2171" t="s">
        <v>72</v>
      </c>
      <c r="B2171" s="26" t="str">
        <f>MID(tbl_forecast[[#This Row],[PACE Job Number]],3,3)</f>
        <v>NTX</v>
      </c>
      <c r="C2171" t="s">
        <v>11</v>
      </c>
      <c r="D2171" s="1">
        <v>43430</v>
      </c>
      <c r="E2171" s="1">
        <v>43430</v>
      </c>
      <c r="F2171" s="1">
        <v>43419</v>
      </c>
      <c r="G2171" s="1">
        <v>43419</v>
      </c>
      <c r="H2171" t="s">
        <v>9</v>
      </c>
      <c r="I2171" t="s">
        <v>10</v>
      </c>
    </row>
    <row r="2172" spans="1:9" x14ac:dyDescent="0.25">
      <c r="A2172" t="s">
        <v>3461</v>
      </c>
      <c r="B2172" s="26" t="str">
        <f>MID(tbl_forecast[[#This Row],[PACE Job Number]],3,3)</f>
        <v>NTX</v>
      </c>
      <c r="C2172" t="s">
        <v>11</v>
      </c>
      <c r="D2172" s="1">
        <v>43407</v>
      </c>
      <c r="E2172" s="1">
        <v>43407</v>
      </c>
      <c r="F2172" s="1">
        <v>43409</v>
      </c>
      <c r="G2172" s="1">
        <v>43409</v>
      </c>
      <c r="H2172" t="s">
        <v>9</v>
      </c>
      <c r="I2172" t="s">
        <v>10</v>
      </c>
    </row>
    <row r="2173" spans="1:9" x14ac:dyDescent="0.25">
      <c r="A2173" t="s">
        <v>4324</v>
      </c>
      <c r="B2173" s="26" t="str">
        <f>MID(tbl_forecast[[#This Row],[PACE Job Number]],3,3)</f>
        <v>NTX</v>
      </c>
      <c r="C2173" t="s">
        <v>11</v>
      </c>
      <c r="D2173" s="1">
        <v>43420</v>
      </c>
      <c r="E2173" s="1">
        <v>43420</v>
      </c>
      <c r="F2173" s="1">
        <v>43416</v>
      </c>
      <c r="G2173" s="1">
        <v>43416</v>
      </c>
      <c r="H2173" t="s">
        <v>9</v>
      </c>
      <c r="I2173" t="s">
        <v>10</v>
      </c>
    </row>
    <row r="2174" spans="1:9" x14ac:dyDescent="0.25">
      <c r="A2174" t="s">
        <v>2362</v>
      </c>
      <c r="B2174" s="26" t="str">
        <f>MID(tbl_forecast[[#This Row],[PACE Job Number]],3,3)</f>
        <v>NTX</v>
      </c>
      <c r="C2174" t="s">
        <v>11</v>
      </c>
      <c r="D2174" s="1">
        <v>43420</v>
      </c>
      <c r="E2174" s="1">
        <v>43430</v>
      </c>
      <c r="F2174" s="1">
        <v>43429</v>
      </c>
      <c r="G2174" s="1">
        <v>43429</v>
      </c>
      <c r="H2174" t="s">
        <v>9</v>
      </c>
      <c r="I2174" t="s">
        <v>10</v>
      </c>
    </row>
    <row r="2175" spans="1:9" x14ac:dyDescent="0.25">
      <c r="A2175" t="s">
        <v>3844</v>
      </c>
      <c r="B2175" s="26" t="str">
        <f>MID(tbl_forecast[[#This Row],[PACE Job Number]],3,3)</f>
        <v>NTX</v>
      </c>
      <c r="C2175" t="s">
        <v>11</v>
      </c>
      <c r="D2175" s="1">
        <v>43427</v>
      </c>
      <c r="E2175" s="1">
        <v>43434</v>
      </c>
      <c r="F2175" s="1">
        <v>43434</v>
      </c>
      <c r="G2175" s="1"/>
      <c r="H2175" t="s">
        <v>9</v>
      </c>
      <c r="I2175" t="s">
        <v>27</v>
      </c>
    </row>
    <row r="2176" spans="1:9" x14ac:dyDescent="0.25">
      <c r="A2176" t="s">
        <v>4325</v>
      </c>
      <c r="B2176" s="26" t="str">
        <f>MID(tbl_forecast[[#This Row],[PACE Job Number]],3,3)</f>
        <v>NTX</v>
      </c>
      <c r="C2176" t="s">
        <v>11</v>
      </c>
      <c r="D2176" s="1">
        <v>43427</v>
      </c>
      <c r="E2176" s="1">
        <v>43507</v>
      </c>
      <c r="F2176" s="1">
        <v>43507</v>
      </c>
      <c r="G2176" s="1"/>
      <c r="H2176" t="s">
        <v>4664</v>
      </c>
      <c r="I2176" t="s">
        <v>4665</v>
      </c>
    </row>
    <row r="2177" spans="1:9" x14ac:dyDescent="0.25">
      <c r="A2177" t="s">
        <v>667</v>
      </c>
      <c r="B2177" s="26" t="str">
        <f>MID(tbl_forecast[[#This Row],[PACE Job Number]],3,3)</f>
        <v>NTX</v>
      </c>
      <c r="C2177" t="s">
        <v>11</v>
      </c>
      <c r="D2177" s="1">
        <v>43409</v>
      </c>
      <c r="E2177" s="1">
        <v>43418</v>
      </c>
      <c r="F2177" s="1">
        <v>43413</v>
      </c>
      <c r="G2177" s="1">
        <v>43413</v>
      </c>
      <c r="H2177" t="s">
        <v>9</v>
      </c>
      <c r="I2177" t="s">
        <v>10</v>
      </c>
    </row>
    <row r="2178" spans="1:9" x14ac:dyDescent="0.25">
      <c r="A2178" t="s">
        <v>4326</v>
      </c>
      <c r="B2178" s="26" t="str">
        <f>MID(tbl_forecast[[#This Row],[PACE Job Number]],3,3)</f>
        <v>NTX</v>
      </c>
      <c r="C2178" t="s">
        <v>11</v>
      </c>
      <c r="D2178" s="1">
        <v>43420</v>
      </c>
      <c r="E2178" s="1">
        <v>43420</v>
      </c>
      <c r="F2178" s="1">
        <v>43429</v>
      </c>
      <c r="G2178" s="1">
        <v>43429</v>
      </c>
      <c r="H2178" t="s">
        <v>9</v>
      </c>
      <c r="I2178" t="s">
        <v>10</v>
      </c>
    </row>
    <row r="2179" spans="1:9" x14ac:dyDescent="0.25">
      <c r="A2179" t="s">
        <v>5513</v>
      </c>
      <c r="B2179" s="26" t="str">
        <f>MID(tbl_forecast[[#This Row],[PACE Job Number]],3,3)</f>
        <v>NTX</v>
      </c>
      <c r="C2179" t="s">
        <v>11</v>
      </c>
      <c r="D2179" s="1">
        <v>43423</v>
      </c>
      <c r="E2179" s="1">
        <v>43423</v>
      </c>
      <c r="F2179" s="1">
        <v>43423</v>
      </c>
      <c r="G2179" s="1">
        <v>43423</v>
      </c>
      <c r="H2179" t="s">
        <v>9</v>
      </c>
      <c r="I2179" t="s">
        <v>10</v>
      </c>
    </row>
    <row r="2180" spans="1:9" x14ac:dyDescent="0.25">
      <c r="A2180" t="s">
        <v>2363</v>
      </c>
      <c r="B2180" s="26" t="str">
        <f>MID(tbl_forecast[[#This Row],[PACE Job Number]],3,3)</f>
        <v>NTX</v>
      </c>
      <c r="C2180" t="s">
        <v>11</v>
      </c>
      <c r="D2180" s="1">
        <v>43420</v>
      </c>
      <c r="E2180" s="1">
        <v>43430</v>
      </c>
      <c r="F2180" s="1">
        <v>43429</v>
      </c>
      <c r="G2180" s="1">
        <v>43429</v>
      </c>
      <c r="H2180" t="s">
        <v>9</v>
      </c>
      <c r="I2180" t="s">
        <v>10</v>
      </c>
    </row>
    <row r="2181" spans="1:9" x14ac:dyDescent="0.25">
      <c r="A2181" t="s">
        <v>2365</v>
      </c>
      <c r="B2181" s="26" t="str">
        <f>MID(tbl_forecast[[#This Row],[PACE Job Number]],3,3)</f>
        <v>NTX</v>
      </c>
      <c r="C2181" t="s">
        <v>11</v>
      </c>
      <c r="D2181" s="1">
        <v>43432</v>
      </c>
      <c r="E2181" s="1">
        <v>43256</v>
      </c>
      <c r="F2181" s="1">
        <v>43409</v>
      </c>
      <c r="G2181" s="1">
        <v>43409</v>
      </c>
      <c r="H2181" t="s">
        <v>9</v>
      </c>
      <c r="I2181" t="s">
        <v>10</v>
      </c>
    </row>
    <row r="2182" spans="1:9" x14ac:dyDescent="0.25">
      <c r="A2182" t="s">
        <v>2482</v>
      </c>
      <c r="B2182" s="26" t="str">
        <f>MID(tbl_forecast[[#This Row],[PACE Job Number]],3,3)</f>
        <v>NTX</v>
      </c>
      <c r="C2182" t="s">
        <v>11</v>
      </c>
      <c r="D2182" s="1">
        <v>43430</v>
      </c>
      <c r="E2182" s="1">
        <v>43430</v>
      </c>
      <c r="F2182" s="1">
        <v>43412</v>
      </c>
      <c r="G2182" s="1">
        <v>43412</v>
      </c>
      <c r="H2182" t="s">
        <v>9</v>
      </c>
      <c r="I2182" t="s">
        <v>10</v>
      </c>
    </row>
    <row r="2183" spans="1:9" x14ac:dyDescent="0.25">
      <c r="A2183" t="s">
        <v>2483</v>
      </c>
      <c r="B2183" s="26" t="str">
        <f>MID(tbl_forecast[[#This Row],[PACE Job Number]],3,3)</f>
        <v>NTX</v>
      </c>
      <c r="C2183" t="s">
        <v>11</v>
      </c>
      <c r="D2183" s="1">
        <v>43430</v>
      </c>
      <c r="E2183" s="1">
        <v>43507</v>
      </c>
      <c r="F2183" s="1">
        <v>43507</v>
      </c>
      <c r="G2183" s="1"/>
      <c r="H2183" t="s">
        <v>4664</v>
      </c>
      <c r="I2183" t="s">
        <v>4665</v>
      </c>
    </row>
    <row r="2184" spans="1:9" x14ac:dyDescent="0.25">
      <c r="A2184" t="s">
        <v>5435</v>
      </c>
      <c r="B2184" s="26" t="str">
        <f>MID(tbl_forecast[[#This Row],[PACE Job Number]],3,3)</f>
        <v>NTX</v>
      </c>
      <c r="C2184" t="s">
        <v>11</v>
      </c>
      <c r="D2184" s="1">
        <v>43423</v>
      </c>
      <c r="E2184" s="1">
        <v>43444</v>
      </c>
      <c r="F2184" s="1">
        <v>43444</v>
      </c>
      <c r="G2184" s="1"/>
      <c r="H2184" t="s">
        <v>4664</v>
      </c>
      <c r="I2184" t="s">
        <v>4665</v>
      </c>
    </row>
    <row r="2185" spans="1:9" x14ac:dyDescent="0.25">
      <c r="A2185" t="s">
        <v>5436</v>
      </c>
      <c r="B2185" s="26" t="str">
        <f>MID(tbl_forecast[[#This Row],[PACE Job Number]],3,3)</f>
        <v>NTX</v>
      </c>
      <c r="C2185" t="s">
        <v>11</v>
      </c>
      <c r="D2185" s="1">
        <v>43423</v>
      </c>
      <c r="E2185" s="1">
        <v>43444</v>
      </c>
      <c r="F2185" s="1">
        <v>43444</v>
      </c>
      <c r="G2185" s="1"/>
      <c r="H2185" t="s">
        <v>4664</v>
      </c>
      <c r="I2185" t="s">
        <v>4665</v>
      </c>
    </row>
    <row r="2186" spans="1:9" x14ac:dyDescent="0.25">
      <c r="A2186" t="s">
        <v>4311</v>
      </c>
      <c r="B2186" s="26" t="str">
        <f>MID(tbl_forecast[[#This Row],[PACE Job Number]],3,3)</f>
        <v>NTX</v>
      </c>
      <c r="C2186" t="s">
        <v>11</v>
      </c>
      <c r="D2186" s="1">
        <v>43420</v>
      </c>
      <c r="E2186" s="1">
        <v>43448</v>
      </c>
      <c r="F2186" s="1">
        <v>43448</v>
      </c>
      <c r="G2186" s="1"/>
      <c r="H2186" t="s">
        <v>4664</v>
      </c>
      <c r="I2186" t="s">
        <v>5645</v>
      </c>
    </row>
    <row r="2187" spans="1:9" x14ac:dyDescent="0.25">
      <c r="A2187" t="s">
        <v>76</v>
      </c>
      <c r="B2187" s="26" t="str">
        <f>MID(tbl_forecast[[#This Row],[PACE Job Number]],3,3)</f>
        <v>WSH</v>
      </c>
      <c r="C2187" t="s">
        <v>11</v>
      </c>
      <c r="D2187" s="1">
        <v>43420</v>
      </c>
      <c r="E2187" s="1">
        <v>43420</v>
      </c>
      <c r="F2187" s="1">
        <v>43420</v>
      </c>
      <c r="G2187" s="1">
        <v>43420</v>
      </c>
      <c r="H2187" t="s">
        <v>9</v>
      </c>
      <c r="I2187" t="s">
        <v>10</v>
      </c>
    </row>
    <row r="2188" spans="1:9" x14ac:dyDescent="0.25">
      <c r="A2188" t="s">
        <v>5284</v>
      </c>
      <c r="B2188" s="26" t="str">
        <f>MID(tbl_forecast[[#This Row],[PACE Job Number]],3,3)</f>
        <v>WSH</v>
      </c>
      <c r="C2188" t="s">
        <v>11</v>
      </c>
      <c r="D2188" s="1">
        <v>43424</v>
      </c>
      <c r="E2188" s="1">
        <v>43455</v>
      </c>
      <c r="F2188" s="1">
        <v>43448</v>
      </c>
      <c r="G2188" s="1"/>
      <c r="H2188" t="s">
        <v>4664</v>
      </c>
      <c r="I2188" t="s">
        <v>4665</v>
      </c>
    </row>
    <row r="2189" spans="1:9" x14ac:dyDescent="0.25">
      <c r="A2189" t="s">
        <v>5285</v>
      </c>
      <c r="B2189" s="26" t="str">
        <f>MID(tbl_forecast[[#This Row],[PACE Job Number]],3,3)</f>
        <v>WSH</v>
      </c>
      <c r="C2189" t="s">
        <v>11</v>
      </c>
      <c r="D2189" s="1">
        <v>43424</v>
      </c>
      <c r="E2189" s="1">
        <v>43448</v>
      </c>
      <c r="F2189" s="1">
        <v>43441</v>
      </c>
      <c r="G2189" s="1"/>
      <c r="H2189" t="s">
        <v>4664</v>
      </c>
      <c r="I2189" t="s">
        <v>4665</v>
      </c>
    </row>
    <row r="2190" spans="1:9" x14ac:dyDescent="0.25">
      <c r="A2190" t="s">
        <v>5514</v>
      </c>
      <c r="B2190" s="26" t="str">
        <f>MID(tbl_forecast[[#This Row],[PACE Job Number]],3,3)</f>
        <v>WSH</v>
      </c>
      <c r="C2190" t="s">
        <v>11</v>
      </c>
      <c r="D2190" s="1">
        <v>43405</v>
      </c>
      <c r="E2190" s="1">
        <v>43405</v>
      </c>
      <c r="F2190" s="1">
        <v>43405</v>
      </c>
      <c r="G2190" s="1">
        <v>43405</v>
      </c>
      <c r="H2190" t="s">
        <v>9</v>
      </c>
      <c r="I2190" t="s">
        <v>10</v>
      </c>
    </row>
    <row r="2191" spans="1:9" x14ac:dyDescent="0.25">
      <c r="A2191" t="s">
        <v>4199</v>
      </c>
      <c r="B2191" s="26" t="str">
        <f>MID(tbl_forecast[[#This Row],[PACE Job Number]],3,3)</f>
        <v>WSH</v>
      </c>
      <c r="C2191" t="s">
        <v>11</v>
      </c>
      <c r="D2191" s="1">
        <v>43412</v>
      </c>
      <c r="E2191" s="1">
        <v>43437</v>
      </c>
      <c r="F2191" s="1">
        <v>43433</v>
      </c>
      <c r="G2191" s="1"/>
      <c r="H2191" t="s">
        <v>4664</v>
      </c>
      <c r="I2191" t="s">
        <v>5645</v>
      </c>
    </row>
    <row r="2192" spans="1:9" x14ac:dyDescent="0.25">
      <c r="A2192" t="s">
        <v>3800</v>
      </c>
      <c r="B2192" s="26" t="str">
        <f>MID(tbl_forecast[[#This Row],[PACE Job Number]],3,3)</f>
        <v>WSH</v>
      </c>
      <c r="C2192" t="s">
        <v>11</v>
      </c>
      <c r="D2192" s="1">
        <v>43420</v>
      </c>
      <c r="E2192" s="1">
        <v>43434</v>
      </c>
      <c r="F2192" s="1">
        <v>43433</v>
      </c>
      <c r="G2192" s="1"/>
      <c r="H2192" t="s">
        <v>9</v>
      </c>
      <c r="I2192" t="s">
        <v>27</v>
      </c>
    </row>
    <row r="2193" spans="1:9" x14ac:dyDescent="0.25">
      <c r="A2193" t="s">
        <v>311</v>
      </c>
      <c r="B2193" s="26" t="str">
        <f>MID(tbl_forecast[[#This Row],[PACE Job Number]],3,3)</f>
        <v>WSH</v>
      </c>
      <c r="C2193" t="s">
        <v>11</v>
      </c>
      <c r="D2193" s="1">
        <v>43420</v>
      </c>
      <c r="E2193" s="1">
        <v>43420</v>
      </c>
      <c r="F2193" s="1">
        <v>43420</v>
      </c>
      <c r="G2193" s="1">
        <v>43420</v>
      </c>
      <c r="H2193" t="s">
        <v>9</v>
      </c>
      <c r="I2193" t="s">
        <v>10</v>
      </c>
    </row>
    <row r="2194" spans="1:9" x14ac:dyDescent="0.25">
      <c r="A2194" t="s">
        <v>152</v>
      </c>
      <c r="B2194" s="26" t="str">
        <f>MID(tbl_forecast[[#This Row],[PACE Job Number]],3,3)</f>
        <v>WSH</v>
      </c>
      <c r="C2194" t="s">
        <v>11</v>
      </c>
      <c r="D2194" s="1">
        <v>43409</v>
      </c>
      <c r="E2194" s="1">
        <v>43410</v>
      </c>
      <c r="F2194" s="1">
        <v>43409</v>
      </c>
      <c r="G2194" s="1">
        <v>43409</v>
      </c>
      <c r="H2194" t="s">
        <v>9</v>
      </c>
      <c r="I2194" t="s">
        <v>10</v>
      </c>
    </row>
    <row r="2195" spans="1:9" x14ac:dyDescent="0.25">
      <c r="A2195" t="s">
        <v>5286</v>
      </c>
      <c r="B2195" s="26" t="str">
        <f>MID(tbl_forecast[[#This Row],[PACE Job Number]],3,3)</f>
        <v>WSH</v>
      </c>
      <c r="C2195" t="s">
        <v>11</v>
      </c>
      <c r="D2195" s="1">
        <v>43424</v>
      </c>
      <c r="E2195" s="1">
        <v>43497</v>
      </c>
      <c r="F2195" s="1">
        <v>43448</v>
      </c>
      <c r="G2195" s="1"/>
      <c r="H2195" t="s">
        <v>4664</v>
      </c>
      <c r="I2195" t="s">
        <v>4665</v>
      </c>
    </row>
    <row r="2196" spans="1:9" x14ac:dyDescent="0.25">
      <c r="A2196" t="s">
        <v>5288</v>
      </c>
      <c r="B2196" s="26" t="str">
        <f>MID(tbl_forecast[[#This Row],[PACE Job Number]],3,3)</f>
        <v>WSH</v>
      </c>
      <c r="C2196" t="s">
        <v>11</v>
      </c>
      <c r="D2196" s="1">
        <v>43424</v>
      </c>
      <c r="E2196" s="1">
        <v>43437</v>
      </c>
      <c r="F2196" s="1">
        <v>43434</v>
      </c>
      <c r="G2196" s="1"/>
      <c r="H2196" t="s">
        <v>9</v>
      </c>
      <c r="I2196" t="s">
        <v>27</v>
      </c>
    </row>
    <row r="2197" spans="1:9" x14ac:dyDescent="0.25">
      <c r="A2197" t="s">
        <v>3801</v>
      </c>
      <c r="B2197" s="26" t="str">
        <f>MID(tbl_forecast[[#This Row],[PACE Job Number]],3,3)</f>
        <v>WSH</v>
      </c>
      <c r="C2197" t="s">
        <v>11</v>
      </c>
      <c r="D2197" s="1">
        <v>43424</v>
      </c>
      <c r="E2197" s="1">
        <v>43434</v>
      </c>
      <c r="F2197" s="1">
        <v>43431</v>
      </c>
      <c r="G2197" s="1"/>
      <c r="H2197" t="s">
        <v>9</v>
      </c>
      <c r="I2197" t="s">
        <v>27</v>
      </c>
    </row>
    <row r="2198" spans="1:9" x14ac:dyDescent="0.25">
      <c r="A2198" t="s">
        <v>5289</v>
      </c>
      <c r="B2198" s="26" t="str">
        <f>MID(tbl_forecast[[#This Row],[PACE Job Number]],3,3)</f>
        <v>WSH</v>
      </c>
      <c r="C2198" t="s">
        <v>11</v>
      </c>
      <c r="D2198" s="1">
        <v>43420</v>
      </c>
      <c r="E2198" s="1">
        <v>43440</v>
      </c>
      <c r="F2198" s="1">
        <v>43434</v>
      </c>
      <c r="G2198" s="1"/>
      <c r="H2198" t="s">
        <v>9</v>
      </c>
      <c r="I2198" t="s">
        <v>44</v>
      </c>
    </row>
    <row r="2199" spans="1:9" x14ac:dyDescent="0.25">
      <c r="A2199" t="s">
        <v>5291</v>
      </c>
      <c r="B2199" s="26" t="str">
        <f>MID(tbl_forecast[[#This Row],[PACE Job Number]],3,3)</f>
        <v>WSH</v>
      </c>
      <c r="C2199" t="s">
        <v>11</v>
      </c>
      <c r="D2199" s="1">
        <v>43424</v>
      </c>
      <c r="E2199" s="1">
        <v>43420</v>
      </c>
      <c r="F2199" s="1">
        <v>43420</v>
      </c>
      <c r="G2199" s="1">
        <v>43420</v>
      </c>
      <c r="H2199" t="s">
        <v>9</v>
      </c>
      <c r="I2199" t="s">
        <v>10</v>
      </c>
    </row>
    <row r="2200" spans="1:9" x14ac:dyDescent="0.25">
      <c r="A2200" t="s">
        <v>5292</v>
      </c>
      <c r="B2200" s="26" t="str">
        <f>MID(tbl_forecast[[#This Row],[PACE Job Number]],3,3)</f>
        <v>WSH</v>
      </c>
      <c r="C2200" t="s">
        <v>11</v>
      </c>
      <c r="D2200" s="1">
        <v>43424</v>
      </c>
      <c r="E2200" s="1">
        <v>43437</v>
      </c>
      <c r="F2200" s="1">
        <v>43434</v>
      </c>
      <c r="G2200" s="1"/>
      <c r="H2200" t="s">
        <v>9</v>
      </c>
      <c r="I2200" t="s">
        <v>27</v>
      </c>
    </row>
    <row r="2201" spans="1:9" x14ac:dyDescent="0.25">
      <c r="A2201" t="s">
        <v>5293</v>
      </c>
      <c r="B2201" s="26" t="str">
        <f>MID(tbl_forecast[[#This Row],[PACE Job Number]],3,3)</f>
        <v>WSH</v>
      </c>
      <c r="C2201" t="s">
        <v>11</v>
      </c>
      <c r="D2201" s="1">
        <v>43424</v>
      </c>
      <c r="E2201" s="1">
        <v>43497</v>
      </c>
      <c r="F2201" s="1">
        <v>43448</v>
      </c>
      <c r="G2201" s="1"/>
      <c r="H2201" t="s">
        <v>4664</v>
      </c>
      <c r="I2201" t="s">
        <v>4665</v>
      </c>
    </row>
    <row r="2202" spans="1:9" x14ac:dyDescent="0.25">
      <c r="A2202" t="s">
        <v>3891</v>
      </c>
      <c r="B2202" s="26" t="str">
        <f>MID(tbl_forecast[[#This Row],[PACE Job Number]],3,3)</f>
        <v>WSH</v>
      </c>
      <c r="C2202" t="s">
        <v>11</v>
      </c>
      <c r="D2202" s="1">
        <v>43406</v>
      </c>
      <c r="E2202" s="1">
        <v>43409</v>
      </c>
      <c r="F2202" s="1">
        <v>43409</v>
      </c>
      <c r="G2202" s="1">
        <v>43409</v>
      </c>
      <c r="H2202" t="s">
        <v>9</v>
      </c>
      <c r="I2202" t="s">
        <v>10</v>
      </c>
    </row>
    <row r="2203" spans="1:9" x14ac:dyDescent="0.25">
      <c r="A2203" t="s">
        <v>3808</v>
      </c>
      <c r="B2203" s="26" t="str">
        <f>MID(tbl_forecast[[#This Row],[PACE Job Number]],3,3)</f>
        <v>WSH</v>
      </c>
      <c r="C2203" t="s">
        <v>11</v>
      </c>
      <c r="D2203" s="1">
        <v>43420</v>
      </c>
      <c r="E2203" s="1">
        <v>43434</v>
      </c>
      <c r="F2203" s="1">
        <v>43433</v>
      </c>
      <c r="G2203" s="1"/>
      <c r="H2203" t="s">
        <v>9</v>
      </c>
      <c r="I2203" t="s">
        <v>27</v>
      </c>
    </row>
    <row r="2204" spans="1:9" x14ac:dyDescent="0.25">
      <c r="A2204" t="s">
        <v>5515</v>
      </c>
      <c r="B2204" s="26" t="str">
        <f>MID(tbl_forecast[[#This Row],[PACE Job Number]],3,3)</f>
        <v>WSH</v>
      </c>
      <c r="C2204" t="s">
        <v>11</v>
      </c>
      <c r="D2204" s="1">
        <v>43413</v>
      </c>
      <c r="E2204" s="1">
        <v>43433</v>
      </c>
      <c r="F2204" s="1">
        <v>43428</v>
      </c>
      <c r="G2204" s="1"/>
      <c r="H2204" t="s">
        <v>4664</v>
      </c>
      <c r="I2204" t="s">
        <v>5645</v>
      </c>
    </row>
    <row r="2205" spans="1:9" x14ac:dyDescent="0.25">
      <c r="A2205" t="s">
        <v>3898</v>
      </c>
      <c r="B2205" s="26" t="str">
        <f>MID(tbl_forecast[[#This Row],[PACE Job Number]],3,3)</f>
        <v>WSH</v>
      </c>
      <c r="C2205" t="s">
        <v>11</v>
      </c>
      <c r="D2205" s="1">
        <v>43413</v>
      </c>
      <c r="E2205" s="1">
        <v>43420</v>
      </c>
      <c r="F2205" s="1">
        <v>43420</v>
      </c>
      <c r="G2205" s="1">
        <v>43420</v>
      </c>
      <c r="H2205" t="s">
        <v>9</v>
      </c>
      <c r="I2205" t="s">
        <v>10</v>
      </c>
    </row>
    <row r="2206" spans="1:9" x14ac:dyDescent="0.25">
      <c r="A2206" t="s">
        <v>3809</v>
      </c>
      <c r="B2206" s="26" t="str">
        <f>MID(tbl_forecast[[#This Row],[PACE Job Number]],3,3)</f>
        <v>WSH</v>
      </c>
      <c r="C2206" t="s">
        <v>11</v>
      </c>
      <c r="D2206" s="1">
        <v>43413</v>
      </c>
      <c r="E2206" s="1">
        <v>43411</v>
      </c>
      <c r="F2206" s="1">
        <v>43412</v>
      </c>
      <c r="G2206" s="1">
        <v>43412</v>
      </c>
      <c r="H2206" t="s">
        <v>9</v>
      </c>
      <c r="I2206" t="s">
        <v>10</v>
      </c>
    </row>
    <row r="2207" spans="1:9" x14ac:dyDescent="0.25">
      <c r="A2207" t="s">
        <v>5294</v>
      </c>
      <c r="B2207" s="26" t="str">
        <f>MID(tbl_forecast[[#This Row],[PACE Job Number]],3,3)</f>
        <v>WSH</v>
      </c>
      <c r="C2207" t="s">
        <v>11</v>
      </c>
      <c r="D2207" s="1">
        <v>43420</v>
      </c>
      <c r="E2207" s="1">
        <v>43440</v>
      </c>
      <c r="F2207" s="1">
        <v>43434</v>
      </c>
      <c r="G2207" s="1"/>
      <c r="H2207" t="s">
        <v>9</v>
      </c>
      <c r="I2207" t="s">
        <v>44</v>
      </c>
    </row>
    <row r="2208" spans="1:9" x14ac:dyDescent="0.25">
      <c r="A2208" t="s">
        <v>3900</v>
      </c>
      <c r="B2208" s="26" t="str">
        <f>MID(tbl_forecast[[#This Row],[PACE Job Number]],3,3)</f>
        <v>WSH</v>
      </c>
      <c r="C2208" t="s">
        <v>11</v>
      </c>
      <c r="D2208" s="1">
        <v>43413</v>
      </c>
      <c r="E2208" s="1">
        <v>43417</v>
      </c>
      <c r="F2208" s="1">
        <v>43417</v>
      </c>
      <c r="G2208" s="1">
        <v>43417</v>
      </c>
      <c r="H2208" t="s">
        <v>9</v>
      </c>
      <c r="I2208" t="s">
        <v>10</v>
      </c>
    </row>
    <row r="2209" spans="1:9" x14ac:dyDescent="0.25">
      <c r="A2209" t="s">
        <v>3901</v>
      </c>
      <c r="B2209" s="26" t="str">
        <f>MID(tbl_forecast[[#This Row],[PACE Job Number]],3,3)</f>
        <v>WSH</v>
      </c>
      <c r="C2209" t="s">
        <v>11</v>
      </c>
      <c r="D2209" s="1">
        <v>43424</v>
      </c>
      <c r="E2209" s="1">
        <v>43440</v>
      </c>
      <c r="F2209" s="1">
        <v>43431</v>
      </c>
      <c r="G2209" s="1"/>
      <c r="H2209" t="s">
        <v>9</v>
      </c>
      <c r="I2209" t="s">
        <v>44</v>
      </c>
    </row>
    <row r="2210" spans="1:9" x14ac:dyDescent="0.25">
      <c r="A2210" t="s">
        <v>3391</v>
      </c>
      <c r="B2210" s="26" t="str">
        <f>MID(tbl_forecast[[#This Row],[PACE Job Number]],3,3)</f>
        <v>WSH</v>
      </c>
      <c r="C2210" t="s">
        <v>11</v>
      </c>
      <c r="D2210" s="1">
        <v>43405</v>
      </c>
      <c r="E2210" s="1">
        <v>43405</v>
      </c>
      <c r="F2210" s="1">
        <v>43405</v>
      </c>
      <c r="G2210" s="1">
        <v>43405</v>
      </c>
      <c r="H2210" t="s">
        <v>9</v>
      </c>
      <c r="I2210" t="s">
        <v>10</v>
      </c>
    </row>
    <row r="2211" spans="1:9" x14ac:dyDescent="0.25">
      <c r="A2211" t="s">
        <v>5295</v>
      </c>
      <c r="B2211" s="26" t="str">
        <f>MID(tbl_forecast[[#This Row],[PACE Job Number]],3,3)</f>
        <v>WSH</v>
      </c>
      <c r="C2211" t="s">
        <v>11</v>
      </c>
      <c r="D2211" s="1">
        <v>43424</v>
      </c>
      <c r="E2211" s="1">
        <v>43434</v>
      </c>
      <c r="F2211" s="1">
        <v>43430</v>
      </c>
      <c r="G2211" s="1"/>
      <c r="H2211" t="s">
        <v>9</v>
      </c>
      <c r="I2211" t="s">
        <v>27</v>
      </c>
    </row>
    <row r="2212" spans="1:9" x14ac:dyDescent="0.25">
      <c r="A2212" t="s">
        <v>351</v>
      </c>
      <c r="B2212" s="26" t="str">
        <f>MID(tbl_forecast[[#This Row],[PACE Job Number]],3,3)</f>
        <v>WSH</v>
      </c>
      <c r="C2212" t="s">
        <v>11</v>
      </c>
      <c r="D2212" s="1">
        <v>43424</v>
      </c>
      <c r="E2212" s="1">
        <v>43440</v>
      </c>
      <c r="F2212" s="1">
        <v>43434</v>
      </c>
      <c r="G2212" s="1"/>
      <c r="H2212" t="s">
        <v>9</v>
      </c>
      <c r="I2212" t="s">
        <v>44</v>
      </c>
    </row>
    <row r="2213" spans="1:9" x14ac:dyDescent="0.25">
      <c r="A2213" t="s">
        <v>5297</v>
      </c>
      <c r="B2213" s="26" t="str">
        <f>MID(tbl_forecast[[#This Row],[PACE Job Number]],3,3)</f>
        <v>WSH</v>
      </c>
      <c r="C2213" t="s">
        <v>11</v>
      </c>
      <c r="D2213" s="1">
        <v>43424</v>
      </c>
      <c r="E2213" s="1">
        <v>43433</v>
      </c>
      <c r="F2213" s="1">
        <v>43434</v>
      </c>
      <c r="G2213" s="1"/>
      <c r="H2213" t="s">
        <v>9</v>
      </c>
      <c r="I2213" t="s">
        <v>27</v>
      </c>
    </row>
    <row r="2214" spans="1:9" x14ac:dyDescent="0.25">
      <c r="A2214" t="s">
        <v>71</v>
      </c>
      <c r="B2214" s="26" t="str">
        <f>MID(tbl_forecast[[#This Row],[PACE Job Number]],3,3)</f>
        <v>WSH</v>
      </c>
      <c r="C2214" t="s">
        <v>11</v>
      </c>
      <c r="D2214" s="1">
        <v>43424</v>
      </c>
      <c r="E2214" s="1">
        <v>43425</v>
      </c>
      <c r="F2214" s="1">
        <v>43425</v>
      </c>
      <c r="G2214" s="1">
        <v>43425</v>
      </c>
      <c r="H2214" t="s">
        <v>9</v>
      </c>
      <c r="I2214" t="s">
        <v>10</v>
      </c>
    </row>
    <row r="2215" spans="1:9" x14ac:dyDescent="0.25">
      <c r="A2215" t="s">
        <v>315</v>
      </c>
      <c r="B2215" s="26" t="str">
        <f>MID(tbl_forecast[[#This Row],[PACE Job Number]],3,3)</f>
        <v>WSH</v>
      </c>
      <c r="C2215" t="s">
        <v>11</v>
      </c>
      <c r="D2215" s="1">
        <v>43409</v>
      </c>
      <c r="E2215" s="1">
        <v>43410</v>
      </c>
      <c r="F2215" s="1">
        <v>43409</v>
      </c>
      <c r="G2215" s="1">
        <v>43409</v>
      </c>
      <c r="H2215" t="s">
        <v>9</v>
      </c>
      <c r="I2215" t="s">
        <v>10</v>
      </c>
    </row>
    <row r="2216" spans="1:9" x14ac:dyDescent="0.25">
      <c r="A2216" t="s">
        <v>5298</v>
      </c>
      <c r="B2216" s="26" t="str">
        <f>MID(tbl_forecast[[#This Row],[PACE Job Number]],3,3)</f>
        <v>WSH</v>
      </c>
      <c r="C2216" t="s">
        <v>11</v>
      </c>
      <c r="D2216" s="1">
        <v>43424</v>
      </c>
      <c r="E2216" s="1">
        <v>43430</v>
      </c>
      <c r="F2216" s="1">
        <v>43427</v>
      </c>
      <c r="G2216" s="1">
        <v>43427</v>
      </c>
      <c r="H2216" t="s">
        <v>9</v>
      </c>
      <c r="I2216" t="s">
        <v>10</v>
      </c>
    </row>
    <row r="2217" spans="1:9" x14ac:dyDescent="0.25">
      <c r="A2217" t="s">
        <v>5516</v>
      </c>
      <c r="B2217" s="26" t="str">
        <f>MID(tbl_forecast[[#This Row],[PACE Job Number]],3,3)</f>
        <v>WSH</v>
      </c>
      <c r="C2217" t="s">
        <v>11</v>
      </c>
      <c r="D2217" s="1">
        <v>43405</v>
      </c>
      <c r="E2217" s="1">
        <v>43405</v>
      </c>
      <c r="F2217" s="1">
        <v>43405</v>
      </c>
      <c r="G2217" s="1">
        <v>43405</v>
      </c>
      <c r="H2217" t="s">
        <v>9</v>
      </c>
      <c r="I2217" t="s">
        <v>10</v>
      </c>
    </row>
    <row r="2218" spans="1:9" x14ac:dyDescent="0.25">
      <c r="A2218" t="s">
        <v>1571</v>
      </c>
      <c r="B2218" s="26" t="str">
        <f>MID(tbl_forecast[[#This Row],[PACE Job Number]],3,3)</f>
        <v>NTX</v>
      </c>
      <c r="C2218" t="s">
        <v>11</v>
      </c>
      <c r="D2218" s="1">
        <v>43419</v>
      </c>
      <c r="E2218" s="1">
        <v>43445</v>
      </c>
      <c r="F2218" s="1">
        <v>43445</v>
      </c>
      <c r="G2218" s="1"/>
      <c r="H2218" t="s">
        <v>4664</v>
      </c>
      <c r="I2218" t="s">
        <v>5645</v>
      </c>
    </row>
    <row r="2219" spans="1:9" x14ac:dyDescent="0.25">
      <c r="A2219" t="s">
        <v>176</v>
      </c>
      <c r="B2219" s="26" t="str">
        <f>MID(tbl_forecast[[#This Row],[PACE Job Number]],3,3)</f>
        <v>STX</v>
      </c>
      <c r="C2219" t="s">
        <v>11</v>
      </c>
      <c r="D2219" s="1">
        <v>43425</v>
      </c>
      <c r="E2219" s="1">
        <v>43455</v>
      </c>
      <c r="F2219" s="1">
        <v>43455</v>
      </c>
      <c r="G2219" s="1"/>
      <c r="H2219" t="s">
        <v>4664</v>
      </c>
      <c r="I2219" t="s">
        <v>4665</v>
      </c>
    </row>
    <row r="2220" spans="1:9" x14ac:dyDescent="0.25">
      <c r="A2220" t="s">
        <v>142</v>
      </c>
      <c r="B2220" s="26" t="str">
        <f>MID(tbl_forecast[[#This Row],[PACE Job Number]],3,3)</f>
        <v>STX</v>
      </c>
      <c r="C2220" t="s">
        <v>11</v>
      </c>
      <c r="D2220" s="1">
        <v>43425</v>
      </c>
      <c r="E2220" s="1">
        <v>43455</v>
      </c>
      <c r="F2220" s="1">
        <v>43455</v>
      </c>
      <c r="G2220" s="1"/>
      <c r="H2220" t="s">
        <v>4664</v>
      </c>
      <c r="I2220" t="s">
        <v>4665</v>
      </c>
    </row>
    <row r="2221" spans="1:9" x14ac:dyDescent="0.25">
      <c r="A2221" t="s">
        <v>5440</v>
      </c>
      <c r="B2221" s="26" t="str">
        <f>MID(tbl_forecast[[#This Row],[PACE Job Number]],3,3)</f>
        <v>STX</v>
      </c>
      <c r="C2221" t="s">
        <v>11</v>
      </c>
      <c r="D2221" s="1">
        <v>43425</v>
      </c>
      <c r="E2221" s="1">
        <v>43447</v>
      </c>
      <c r="F2221" s="1">
        <v>43447</v>
      </c>
      <c r="G2221" s="1"/>
      <c r="H2221" t="s">
        <v>4664</v>
      </c>
      <c r="I2221" t="s">
        <v>4665</v>
      </c>
    </row>
    <row r="2222" spans="1:9" x14ac:dyDescent="0.25">
      <c r="A2222" t="s">
        <v>4493</v>
      </c>
      <c r="B2222" s="26" t="str">
        <f>MID(tbl_forecast[[#This Row],[PACE Job Number]],3,3)</f>
        <v>STX</v>
      </c>
      <c r="C2222" t="s">
        <v>11</v>
      </c>
      <c r="D2222" s="1">
        <v>43425</v>
      </c>
      <c r="E2222" s="1">
        <v>43425</v>
      </c>
      <c r="F2222" s="1">
        <v>43424</v>
      </c>
      <c r="G2222" s="1">
        <v>43424</v>
      </c>
      <c r="H2222" t="s">
        <v>9</v>
      </c>
      <c r="I2222" t="s">
        <v>10</v>
      </c>
    </row>
    <row r="2223" spans="1:9" x14ac:dyDescent="0.25">
      <c r="A2223" t="s">
        <v>3490</v>
      </c>
      <c r="B2223" s="26" t="str">
        <f>MID(tbl_forecast[[#This Row],[PACE Job Number]],3,3)</f>
        <v>STX</v>
      </c>
      <c r="C2223" t="s">
        <v>11</v>
      </c>
      <c r="D2223" s="1">
        <v>43428</v>
      </c>
      <c r="E2223" s="1">
        <v>43447</v>
      </c>
      <c r="F2223" s="1">
        <v>43447</v>
      </c>
      <c r="G2223" s="1"/>
      <c r="H2223" t="s">
        <v>4664</v>
      </c>
      <c r="I2223" t="s">
        <v>4665</v>
      </c>
    </row>
    <row r="2224" spans="1:9" x14ac:dyDescent="0.25">
      <c r="A2224" t="s">
        <v>5441</v>
      </c>
      <c r="B2224" s="26" t="str">
        <f>MID(tbl_forecast[[#This Row],[PACE Job Number]],3,3)</f>
        <v>STX</v>
      </c>
      <c r="C2224" t="s">
        <v>11</v>
      </c>
      <c r="D2224" s="1">
        <v>43425</v>
      </c>
      <c r="E2224" s="1">
        <v>43425</v>
      </c>
      <c r="F2224" s="1">
        <v>43424</v>
      </c>
      <c r="G2224" s="1">
        <v>43424</v>
      </c>
      <c r="H2224" t="s">
        <v>9</v>
      </c>
      <c r="I2224" t="s">
        <v>10</v>
      </c>
    </row>
    <row r="2225" spans="1:9" x14ac:dyDescent="0.25">
      <c r="A2225" t="s">
        <v>5442</v>
      </c>
      <c r="B2225" s="26" t="str">
        <f>MID(tbl_forecast[[#This Row],[PACE Job Number]],3,3)</f>
        <v>STX</v>
      </c>
      <c r="C2225" t="s">
        <v>11</v>
      </c>
      <c r="D2225" s="1">
        <v>43428</v>
      </c>
      <c r="E2225" s="1">
        <v>43428</v>
      </c>
      <c r="F2225" s="1">
        <v>43424</v>
      </c>
      <c r="G2225" s="1">
        <v>43424</v>
      </c>
      <c r="H2225" t="s">
        <v>9</v>
      </c>
      <c r="I2225" t="s">
        <v>10</v>
      </c>
    </row>
    <row r="2226" spans="1:9" x14ac:dyDescent="0.25">
      <c r="A2226" t="s">
        <v>722</v>
      </c>
      <c r="B2226" s="26" t="str">
        <f>MID(tbl_forecast[[#This Row],[PACE Job Number]],3,3)</f>
        <v>STX</v>
      </c>
      <c r="C2226" t="s">
        <v>11</v>
      </c>
      <c r="D2226" s="1">
        <v>43428</v>
      </c>
      <c r="E2226" s="1">
        <v>43447</v>
      </c>
      <c r="F2226" s="1">
        <v>43447</v>
      </c>
      <c r="G2226" s="1"/>
      <c r="H2226" t="s">
        <v>4664</v>
      </c>
      <c r="I2226" t="s">
        <v>4665</v>
      </c>
    </row>
    <row r="2227" spans="1:9" x14ac:dyDescent="0.25">
      <c r="A2227" t="s">
        <v>5443</v>
      </c>
      <c r="B2227" s="26" t="str">
        <f>MID(tbl_forecast[[#This Row],[PACE Job Number]],3,3)</f>
        <v>STX</v>
      </c>
      <c r="C2227" t="s">
        <v>11</v>
      </c>
      <c r="D2227" s="1">
        <v>43425</v>
      </c>
      <c r="E2227" s="1">
        <v>43447</v>
      </c>
      <c r="F2227" s="1">
        <v>43447</v>
      </c>
      <c r="G2227" s="1"/>
      <c r="H2227" t="s">
        <v>4664</v>
      </c>
      <c r="I2227" t="s">
        <v>4665</v>
      </c>
    </row>
    <row r="2228" spans="1:9" x14ac:dyDescent="0.25">
      <c r="A2228" t="s">
        <v>4495</v>
      </c>
      <c r="B2228" s="26" t="str">
        <f>MID(tbl_forecast[[#This Row],[PACE Job Number]],3,3)</f>
        <v>STX</v>
      </c>
      <c r="C2228" t="s">
        <v>11</v>
      </c>
      <c r="D2228" s="1">
        <v>43425</v>
      </c>
      <c r="E2228" s="1">
        <v>43447</v>
      </c>
      <c r="F2228" s="1">
        <v>43447</v>
      </c>
      <c r="G2228" s="1"/>
      <c r="H2228" t="s">
        <v>4664</v>
      </c>
      <c r="I2228" t="s">
        <v>4665</v>
      </c>
    </row>
    <row r="2229" spans="1:9" x14ac:dyDescent="0.25">
      <c r="A2229" t="s">
        <v>4496</v>
      </c>
      <c r="B2229" s="26" t="str">
        <f>MID(tbl_forecast[[#This Row],[PACE Job Number]],3,3)</f>
        <v>STX</v>
      </c>
      <c r="C2229" t="s">
        <v>11</v>
      </c>
      <c r="D2229" s="1">
        <v>43425</v>
      </c>
      <c r="E2229" s="1">
        <v>43425</v>
      </c>
      <c r="F2229" s="1">
        <v>43424</v>
      </c>
      <c r="G2229" s="1">
        <v>43424</v>
      </c>
      <c r="H2229" t="s">
        <v>9</v>
      </c>
      <c r="I2229" t="s">
        <v>10</v>
      </c>
    </row>
    <row r="2230" spans="1:9" x14ac:dyDescent="0.25">
      <c r="A2230" t="s">
        <v>288</v>
      </c>
      <c r="B2230" s="26" t="str">
        <f>MID(tbl_forecast[[#This Row],[PACE Job Number]],3,3)</f>
        <v>STX</v>
      </c>
      <c r="C2230" t="s">
        <v>11</v>
      </c>
      <c r="D2230" s="1">
        <v>43425</v>
      </c>
      <c r="E2230" s="1">
        <v>43459</v>
      </c>
      <c r="F2230" s="1">
        <v>43459</v>
      </c>
      <c r="G2230" s="1"/>
      <c r="H2230" t="s">
        <v>4664</v>
      </c>
      <c r="I2230" t="s">
        <v>4665</v>
      </c>
    </row>
    <row r="2231" spans="1:9" x14ac:dyDescent="0.25">
      <c r="A2231" t="s">
        <v>5445</v>
      </c>
      <c r="B2231" s="26" t="str">
        <f>MID(tbl_forecast[[#This Row],[PACE Job Number]],3,3)</f>
        <v>STX</v>
      </c>
      <c r="C2231" t="s">
        <v>11</v>
      </c>
      <c r="D2231" s="1">
        <v>43428</v>
      </c>
      <c r="E2231" s="1">
        <v>43423</v>
      </c>
      <c r="F2231" s="1">
        <v>43424</v>
      </c>
      <c r="G2231" s="1">
        <v>43424</v>
      </c>
      <c r="H2231" t="s">
        <v>9</v>
      </c>
      <c r="I2231" t="s">
        <v>10</v>
      </c>
    </row>
    <row r="2232" spans="1:9" x14ac:dyDescent="0.25">
      <c r="A2232" t="s">
        <v>5446</v>
      </c>
      <c r="B2232" s="26" t="str">
        <f>MID(tbl_forecast[[#This Row],[PACE Job Number]],3,3)</f>
        <v>STX</v>
      </c>
      <c r="C2232" t="s">
        <v>11</v>
      </c>
      <c r="D2232" s="1">
        <v>43428</v>
      </c>
      <c r="E2232" s="1">
        <v>43423</v>
      </c>
      <c r="F2232" s="1">
        <v>43424</v>
      </c>
      <c r="G2232" s="1">
        <v>43424</v>
      </c>
      <c r="H2232" t="s">
        <v>9</v>
      </c>
      <c r="I2232" t="s">
        <v>10</v>
      </c>
    </row>
    <row r="2233" spans="1:9" x14ac:dyDescent="0.25">
      <c r="A2233" t="s">
        <v>5447</v>
      </c>
      <c r="B2233" s="26" t="str">
        <f>MID(tbl_forecast[[#This Row],[PACE Job Number]],3,3)</f>
        <v>STX</v>
      </c>
      <c r="C2233" t="s">
        <v>11</v>
      </c>
      <c r="D2233" s="1">
        <v>43428</v>
      </c>
      <c r="E2233" s="1">
        <v>43423</v>
      </c>
      <c r="F2233" s="1">
        <v>43424</v>
      </c>
      <c r="G2233" s="1">
        <v>43424</v>
      </c>
      <c r="H2233" t="s">
        <v>9</v>
      </c>
      <c r="I2233" t="s">
        <v>10</v>
      </c>
    </row>
    <row r="2234" spans="1:9" x14ac:dyDescent="0.25">
      <c r="A2234" t="s">
        <v>5448</v>
      </c>
      <c r="B2234" s="26" t="str">
        <f>MID(tbl_forecast[[#This Row],[PACE Job Number]],3,3)</f>
        <v>STX</v>
      </c>
      <c r="C2234" t="s">
        <v>11</v>
      </c>
      <c r="D2234" s="1">
        <v>43428</v>
      </c>
      <c r="E2234" s="1">
        <v>43423</v>
      </c>
      <c r="F2234" s="1">
        <v>43424</v>
      </c>
      <c r="G2234" s="1">
        <v>43424</v>
      </c>
      <c r="H2234" t="s">
        <v>9</v>
      </c>
      <c r="I2234" t="s">
        <v>10</v>
      </c>
    </row>
    <row r="2235" spans="1:9" x14ac:dyDescent="0.25">
      <c r="A2235" t="s">
        <v>4312</v>
      </c>
      <c r="B2235" s="26" t="str">
        <f>MID(tbl_forecast[[#This Row],[PACE Job Number]],3,3)</f>
        <v>NTX</v>
      </c>
      <c r="C2235" t="s">
        <v>11</v>
      </c>
      <c r="D2235" s="1">
        <v>43406</v>
      </c>
      <c r="E2235" s="1">
        <v>43416</v>
      </c>
      <c r="F2235" s="1">
        <v>43406</v>
      </c>
      <c r="G2235" s="1">
        <v>43406</v>
      </c>
      <c r="H2235" t="s">
        <v>9</v>
      </c>
      <c r="I2235" t="s">
        <v>10</v>
      </c>
    </row>
    <row r="2236" spans="1:9" x14ac:dyDescent="0.25">
      <c r="A2236" t="s">
        <v>4503</v>
      </c>
      <c r="B2236" s="26" t="str">
        <f>MID(tbl_forecast[[#This Row],[PACE Job Number]],3,3)</f>
        <v>NTX</v>
      </c>
      <c r="C2236" t="s">
        <v>11</v>
      </c>
      <c r="D2236" s="1">
        <v>43423</v>
      </c>
      <c r="E2236" s="1">
        <v>43423</v>
      </c>
      <c r="F2236" s="1">
        <v>43412</v>
      </c>
      <c r="G2236" s="1">
        <v>43412</v>
      </c>
      <c r="H2236" t="s">
        <v>9</v>
      </c>
      <c r="I2236" t="s">
        <v>10</v>
      </c>
    </row>
    <row r="2237" spans="1:9" x14ac:dyDescent="0.25">
      <c r="A2237" t="s">
        <v>360</v>
      </c>
      <c r="B2237" s="26" t="str">
        <f>MID(tbl_forecast[[#This Row],[PACE Job Number]],3,3)</f>
        <v>NTX</v>
      </c>
      <c r="C2237" t="s">
        <v>11</v>
      </c>
      <c r="D2237" s="1">
        <v>43406</v>
      </c>
      <c r="E2237" s="1">
        <v>43418</v>
      </c>
      <c r="F2237" s="1">
        <v>43406</v>
      </c>
      <c r="G2237" s="1">
        <v>43406</v>
      </c>
      <c r="H2237" t="s">
        <v>9</v>
      </c>
      <c r="I2237" t="s">
        <v>10</v>
      </c>
    </row>
    <row r="2238" spans="1:9" x14ac:dyDescent="0.25">
      <c r="A2238" t="s">
        <v>5449</v>
      </c>
      <c r="B2238" s="26" t="str">
        <f>MID(tbl_forecast[[#This Row],[PACE Job Number]],3,3)</f>
        <v>NTX</v>
      </c>
      <c r="C2238" t="s">
        <v>11</v>
      </c>
      <c r="D2238" s="1">
        <v>43423</v>
      </c>
      <c r="E2238" s="1">
        <v>43444</v>
      </c>
      <c r="F2238" s="1">
        <v>43444</v>
      </c>
      <c r="G2238" s="1"/>
      <c r="H2238" t="s">
        <v>4664</v>
      </c>
      <c r="I2238" t="s">
        <v>4665</v>
      </c>
    </row>
    <row r="2239" spans="1:9" x14ac:dyDescent="0.25">
      <c r="A2239" t="s">
        <v>2488</v>
      </c>
      <c r="B2239" s="26" t="str">
        <f>MID(tbl_forecast[[#This Row],[PACE Job Number]],3,3)</f>
        <v>NTX</v>
      </c>
      <c r="C2239" t="s">
        <v>11</v>
      </c>
      <c r="D2239" s="1">
        <v>43430</v>
      </c>
      <c r="E2239" s="1">
        <v>43430</v>
      </c>
      <c r="F2239" s="1">
        <v>43412</v>
      </c>
      <c r="G2239" s="1">
        <v>43412</v>
      </c>
      <c r="H2239" t="s">
        <v>9</v>
      </c>
      <c r="I2239" t="s">
        <v>10</v>
      </c>
    </row>
    <row r="2240" spans="1:9" x14ac:dyDescent="0.25">
      <c r="A2240" t="s">
        <v>5452</v>
      </c>
      <c r="B2240" s="26" t="str">
        <f>MID(tbl_forecast[[#This Row],[PACE Job Number]],3,3)</f>
        <v>NTX</v>
      </c>
      <c r="C2240" t="s">
        <v>11</v>
      </c>
      <c r="D2240" s="1">
        <v>43430</v>
      </c>
      <c r="E2240" s="1">
        <v>43437</v>
      </c>
      <c r="F2240" s="1">
        <v>43437</v>
      </c>
      <c r="G2240" s="1"/>
      <c r="H2240" t="s">
        <v>9</v>
      </c>
      <c r="I2240" t="s">
        <v>27</v>
      </c>
    </row>
    <row r="2241" spans="1:9" x14ac:dyDescent="0.25">
      <c r="A2241" t="s">
        <v>4506</v>
      </c>
      <c r="B2241" s="26" t="str">
        <f>MID(tbl_forecast[[#This Row],[PACE Job Number]],3,3)</f>
        <v>NTX</v>
      </c>
      <c r="C2241" t="s">
        <v>11</v>
      </c>
      <c r="D2241" s="1">
        <v>43423</v>
      </c>
      <c r="E2241" s="1">
        <v>43423</v>
      </c>
      <c r="F2241" s="1">
        <v>43412</v>
      </c>
      <c r="G2241" s="1">
        <v>43412</v>
      </c>
      <c r="H2241" t="s">
        <v>9</v>
      </c>
      <c r="I2241" t="s">
        <v>10</v>
      </c>
    </row>
    <row r="2242" spans="1:9" x14ac:dyDescent="0.25">
      <c r="A2242" t="s">
        <v>2489</v>
      </c>
      <c r="B2242" s="26" t="str">
        <f>MID(tbl_forecast[[#This Row],[PACE Job Number]],3,3)</f>
        <v>NTX</v>
      </c>
      <c r="C2242" t="s">
        <v>11</v>
      </c>
      <c r="D2242" s="1">
        <v>43430</v>
      </c>
      <c r="E2242" s="1">
        <v>43507</v>
      </c>
      <c r="F2242" s="1">
        <v>43507</v>
      </c>
      <c r="G2242" s="1"/>
      <c r="H2242" t="s">
        <v>4664</v>
      </c>
      <c r="I2242" t="s">
        <v>4665</v>
      </c>
    </row>
    <row r="2243" spans="1:9" x14ac:dyDescent="0.25">
      <c r="A2243" t="s">
        <v>5517</v>
      </c>
      <c r="B2243" s="26" t="str">
        <f>MID(tbl_forecast[[#This Row],[PACE Job Number]],3,3)</f>
        <v>NTX</v>
      </c>
      <c r="C2243" t="s">
        <v>11</v>
      </c>
      <c r="D2243" s="1">
        <v>43419</v>
      </c>
      <c r="E2243" s="1">
        <v>43419</v>
      </c>
      <c r="F2243" s="1">
        <v>43409</v>
      </c>
      <c r="G2243" s="1">
        <v>43409</v>
      </c>
      <c r="H2243" t="s">
        <v>9</v>
      </c>
      <c r="I2243" t="s">
        <v>10</v>
      </c>
    </row>
    <row r="2244" spans="1:9" x14ac:dyDescent="0.25">
      <c r="A2244" t="s">
        <v>4507</v>
      </c>
      <c r="B2244" s="26" t="str">
        <f>MID(tbl_forecast[[#This Row],[PACE Job Number]],3,3)</f>
        <v>NTX</v>
      </c>
      <c r="C2244" t="s">
        <v>11</v>
      </c>
      <c r="D2244" s="1">
        <v>43430</v>
      </c>
      <c r="E2244" s="1">
        <v>43437</v>
      </c>
      <c r="F2244" s="1">
        <v>43432</v>
      </c>
      <c r="G2244" s="1">
        <v>43432</v>
      </c>
      <c r="H2244" t="s">
        <v>9</v>
      </c>
      <c r="I2244" t="s">
        <v>10</v>
      </c>
    </row>
    <row r="2245" spans="1:9" x14ac:dyDescent="0.25">
      <c r="A2245" t="s">
        <v>3985</v>
      </c>
      <c r="B2245" s="26" t="str">
        <f>MID(tbl_forecast[[#This Row],[PACE Job Number]],3,3)</f>
        <v>NTX</v>
      </c>
      <c r="C2245" t="s">
        <v>11</v>
      </c>
      <c r="D2245" s="1">
        <v>43420</v>
      </c>
      <c r="E2245" s="1">
        <v>43420</v>
      </c>
      <c r="F2245" s="1">
        <v>43419</v>
      </c>
      <c r="G2245" s="1">
        <v>43419</v>
      </c>
      <c r="H2245" t="s">
        <v>9</v>
      </c>
      <c r="I2245" t="s">
        <v>10</v>
      </c>
    </row>
    <row r="2246" spans="1:9" x14ac:dyDescent="0.25">
      <c r="A2246" t="s">
        <v>5518</v>
      </c>
      <c r="B2246" s="26" t="str">
        <f>MID(tbl_forecast[[#This Row],[PACE Job Number]],3,3)</f>
        <v>NTX</v>
      </c>
      <c r="C2246" t="s">
        <v>11</v>
      </c>
      <c r="D2246" s="1">
        <v>43419</v>
      </c>
      <c r="E2246" s="1">
        <v>43419</v>
      </c>
      <c r="F2246" s="1">
        <v>43409</v>
      </c>
      <c r="G2246" s="1">
        <v>43409</v>
      </c>
      <c r="H2246" t="s">
        <v>9</v>
      </c>
      <c r="I2246" t="s">
        <v>10</v>
      </c>
    </row>
    <row r="2247" spans="1:9" x14ac:dyDescent="0.25">
      <c r="A2247" t="s">
        <v>2572</v>
      </c>
      <c r="B2247" s="26" t="str">
        <f>MID(tbl_forecast[[#This Row],[PACE Job Number]],3,3)</f>
        <v>STX</v>
      </c>
      <c r="C2247" t="s">
        <v>11</v>
      </c>
      <c r="D2247" s="1">
        <v>43429</v>
      </c>
      <c r="E2247" s="1">
        <v>43459</v>
      </c>
      <c r="F2247" s="1">
        <v>43424</v>
      </c>
      <c r="G2247" s="1"/>
      <c r="H2247" t="s">
        <v>9</v>
      </c>
      <c r="I2247" t="s">
        <v>44</v>
      </c>
    </row>
    <row r="2248" spans="1:9" x14ac:dyDescent="0.25">
      <c r="A2248" t="s">
        <v>4508</v>
      </c>
      <c r="B2248" s="26" t="str">
        <f>MID(tbl_forecast[[#This Row],[PACE Job Number]],3,3)</f>
        <v>STX</v>
      </c>
      <c r="C2248" t="s">
        <v>11</v>
      </c>
      <c r="D2248" s="1">
        <v>43412</v>
      </c>
      <c r="E2248" s="1">
        <v>36524</v>
      </c>
      <c r="F2248" s="1">
        <v>43412</v>
      </c>
      <c r="G2248" s="1"/>
      <c r="H2248" t="s">
        <v>9</v>
      </c>
      <c r="I2248" t="s">
        <v>27</v>
      </c>
    </row>
    <row r="2249" spans="1:9" x14ac:dyDescent="0.25">
      <c r="A2249" t="s">
        <v>5455</v>
      </c>
      <c r="B2249" s="26" t="str">
        <f>MID(tbl_forecast[[#This Row],[PACE Job Number]],3,3)</f>
        <v>STX</v>
      </c>
      <c r="C2249" t="s">
        <v>11</v>
      </c>
      <c r="D2249" s="1">
        <v>43428</v>
      </c>
      <c r="E2249" s="1">
        <v>43428</v>
      </c>
      <c r="F2249" s="1">
        <v>43424</v>
      </c>
      <c r="G2249" s="1">
        <v>43424</v>
      </c>
      <c r="H2249" t="s">
        <v>9</v>
      </c>
      <c r="I2249" t="s">
        <v>10</v>
      </c>
    </row>
    <row r="2250" spans="1:9" x14ac:dyDescent="0.25">
      <c r="A2250" t="s">
        <v>5519</v>
      </c>
      <c r="B2250" s="26" t="str">
        <f>MID(tbl_forecast[[#This Row],[PACE Job Number]],3,3)</f>
        <v>STX</v>
      </c>
      <c r="C2250" t="s">
        <v>11</v>
      </c>
      <c r="D2250" s="1">
        <v>43409</v>
      </c>
      <c r="E2250" s="1">
        <v>43428</v>
      </c>
      <c r="F2250" s="1">
        <v>43424</v>
      </c>
      <c r="G2250" s="1">
        <v>43424</v>
      </c>
      <c r="H2250" t="s">
        <v>4664</v>
      </c>
      <c r="I2250" t="s">
        <v>10</v>
      </c>
    </row>
    <row r="2251" spans="1:9" x14ac:dyDescent="0.25">
      <c r="A2251" t="s">
        <v>5520</v>
      </c>
      <c r="B2251" s="26" t="str">
        <f>MID(tbl_forecast[[#This Row],[PACE Job Number]],3,3)</f>
        <v>STX</v>
      </c>
      <c r="C2251" t="s">
        <v>11</v>
      </c>
      <c r="D2251" s="1">
        <v>43409</v>
      </c>
      <c r="E2251" s="1">
        <v>43428</v>
      </c>
      <c r="F2251" s="1">
        <v>43424</v>
      </c>
      <c r="G2251" s="1">
        <v>43424</v>
      </c>
      <c r="H2251" t="s">
        <v>4664</v>
      </c>
      <c r="I2251" t="s">
        <v>10</v>
      </c>
    </row>
    <row r="2252" spans="1:9" x14ac:dyDescent="0.25">
      <c r="A2252" t="s">
        <v>3206</v>
      </c>
      <c r="B2252" s="26" t="str">
        <f>MID(tbl_forecast[[#This Row],[PACE Job Number]],3,3)</f>
        <v>STX</v>
      </c>
      <c r="C2252" t="s">
        <v>11</v>
      </c>
      <c r="D2252" s="1">
        <v>43428</v>
      </c>
      <c r="E2252" s="1">
        <v>43459</v>
      </c>
      <c r="F2252" s="1">
        <v>43447</v>
      </c>
      <c r="G2252" s="1"/>
      <c r="H2252" t="s">
        <v>4664</v>
      </c>
      <c r="I2252" t="s">
        <v>4665</v>
      </c>
    </row>
    <row r="2253" spans="1:9" x14ac:dyDescent="0.25">
      <c r="A2253" t="s">
        <v>5456</v>
      </c>
      <c r="B2253" s="26" t="str">
        <f>MID(tbl_forecast[[#This Row],[PACE Job Number]],3,3)</f>
        <v>STX</v>
      </c>
      <c r="C2253" t="s">
        <v>11</v>
      </c>
      <c r="D2253" s="1">
        <v>43428</v>
      </c>
      <c r="E2253" s="1">
        <v>43428</v>
      </c>
      <c r="F2253" s="1">
        <v>43424</v>
      </c>
      <c r="G2253" s="1">
        <v>43424</v>
      </c>
      <c r="H2253" t="s">
        <v>9</v>
      </c>
      <c r="I2253" t="s">
        <v>10</v>
      </c>
    </row>
    <row r="2254" spans="1:9" x14ac:dyDescent="0.25">
      <c r="A2254" t="s">
        <v>297</v>
      </c>
      <c r="B2254" s="26" t="str">
        <f>MID(tbl_forecast[[#This Row],[PACE Job Number]],3,3)</f>
        <v>STX</v>
      </c>
      <c r="C2254" t="s">
        <v>11</v>
      </c>
      <c r="D2254" s="1">
        <v>43425</v>
      </c>
      <c r="E2254" s="1">
        <v>43425</v>
      </c>
      <c r="F2254" s="1">
        <v>43424</v>
      </c>
      <c r="G2254" s="1">
        <v>43424</v>
      </c>
      <c r="H2254" t="s">
        <v>9</v>
      </c>
      <c r="I2254" t="s">
        <v>10</v>
      </c>
    </row>
    <row r="2255" spans="1:9" x14ac:dyDescent="0.25">
      <c r="A2255" t="s">
        <v>3358</v>
      </c>
      <c r="B2255" s="26" t="str">
        <f>MID(tbl_forecast[[#This Row],[PACE Job Number]],3,3)</f>
        <v>STX</v>
      </c>
      <c r="C2255" t="s">
        <v>11</v>
      </c>
      <c r="D2255" s="1">
        <v>43428</v>
      </c>
      <c r="E2255" s="1">
        <v>43424</v>
      </c>
      <c r="F2255" s="1">
        <v>43423</v>
      </c>
      <c r="G2255" s="1">
        <v>43423</v>
      </c>
      <c r="H2255" t="s">
        <v>9</v>
      </c>
      <c r="I2255" t="s">
        <v>10</v>
      </c>
    </row>
    <row r="2256" spans="1:9" x14ac:dyDescent="0.25">
      <c r="A2256" t="s">
        <v>2560</v>
      </c>
      <c r="B2256" s="26" t="str">
        <f>MID(tbl_forecast[[#This Row],[PACE Job Number]],3,3)</f>
        <v>STX</v>
      </c>
      <c r="C2256" t="s">
        <v>11</v>
      </c>
      <c r="D2256" s="1">
        <v>43429</v>
      </c>
      <c r="E2256" s="1">
        <v>43459</v>
      </c>
      <c r="F2256" s="1">
        <v>43424</v>
      </c>
      <c r="G2256" s="1"/>
      <c r="H2256" t="s">
        <v>9</v>
      </c>
      <c r="I2256" t="s">
        <v>44</v>
      </c>
    </row>
    <row r="2257" spans="1:9" x14ac:dyDescent="0.25">
      <c r="A2257" t="s">
        <v>5457</v>
      </c>
      <c r="B2257" s="26" t="str">
        <f>MID(tbl_forecast[[#This Row],[PACE Job Number]],3,3)</f>
        <v>STX</v>
      </c>
      <c r="C2257" t="s">
        <v>11</v>
      </c>
      <c r="D2257" s="1">
        <v>43429</v>
      </c>
      <c r="E2257" s="1">
        <v>43447</v>
      </c>
      <c r="F2257" s="1">
        <v>43447</v>
      </c>
      <c r="G2257" s="1"/>
      <c r="H2257" t="s">
        <v>4664</v>
      </c>
      <c r="I2257" t="s">
        <v>4665</v>
      </c>
    </row>
    <row r="2258" spans="1:9" x14ac:dyDescent="0.25">
      <c r="A2258" t="s">
        <v>4401</v>
      </c>
      <c r="B2258" s="26" t="str">
        <f>MID(tbl_forecast[[#This Row],[PACE Job Number]],3,3)</f>
        <v>NTX</v>
      </c>
      <c r="C2258" t="s">
        <v>11</v>
      </c>
      <c r="D2258" s="1">
        <v>43409</v>
      </c>
      <c r="E2258" s="1">
        <v>43437</v>
      </c>
      <c r="F2258" s="1">
        <v>43437</v>
      </c>
      <c r="G2258" s="1"/>
      <c r="H2258" t="s">
        <v>4664</v>
      </c>
      <c r="I2258" t="s">
        <v>5645</v>
      </c>
    </row>
    <row r="2259" spans="1:9" x14ac:dyDescent="0.25">
      <c r="A2259" t="s">
        <v>3788</v>
      </c>
      <c r="B2259" s="26" t="str">
        <f>MID(tbl_forecast[[#This Row],[PACE Job Number]],3,3)</f>
        <v>NTX</v>
      </c>
      <c r="C2259" t="s">
        <v>11</v>
      </c>
      <c r="D2259" s="1">
        <v>43430</v>
      </c>
      <c r="E2259" s="1">
        <v>43444</v>
      </c>
      <c r="F2259" s="1">
        <v>43444</v>
      </c>
      <c r="G2259" s="1"/>
      <c r="H2259" t="s">
        <v>9</v>
      </c>
      <c r="I2259" t="s">
        <v>27</v>
      </c>
    </row>
    <row r="2260" spans="1:9" x14ac:dyDescent="0.25">
      <c r="A2260" t="s">
        <v>3882</v>
      </c>
      <c r="B2260" s="26" t="str">
        <f>MID(tbl_forecast[[#This Row],[PACE Job Number]],3,3)</f>
        <v>NTX</v>
      </c>
      <c r="C2260" t="s">
        <v>11</v>
      </c>
      <c r="D2260" s="1">
        <v>43409</v>
      </c>
      <c r="E2260" s="1">
        <v>43418</v>
      </c>
      <c r="F2260" s="1">
        <v>43420</v>
      </c>
      <c r="G2260" s="1">
        <v>43420</v>
      </c>
      <c r="H2260" t="s">
        <v>9</v>
      </c>
      <c r="I2260" t="s">
        <v>10</v>
      </c>
    </row>
    <row r="2261" spans="1:9" x14ac:dyDescent="0.25">
      <c r="A2261" t="s">
        <v>75</v>
      </c>
      <c r="B2261" s="26" t="str">
        <f>MID(tbl_forecast[[#This Row],[PACE Job Number]],3,3)</f>
        <v>NTX</v>
      </c>
      <c r="C2261" t="s">
        <v>11</v>
      </c>
      <c r="D2261" s="1">
        <v>43423</v>
      </c>
      <c r="E2261" s="1">
        <v>43430</v>
      </c>
      <c r="F2261" s="1">
        <v>43424</v>
      </c>
      <c r="G2261" s="1">
        <v>43424</v>
      </c>
      <c r="H2261" t="s">
        <v>9</v>
      </c>
      <c r="I2261" t="s">
        <v>10</v>
      </c>
    </row>
    <row r="2262" spans="1:9" x14ac:dyDescent="0.25">
      <c r="A2262" t="s">
        <v>3789</v>
      </c>
      <c r="B2262" s="26" t="str">
        <f>MID(tbl_forecast[[#This Row],[PACE Job Number]],3,3)</f>
        <v>NTX</v>
      </c>
      <c r="C2262" t="s">
        <v>11</v>
      </c>
      <c r="D2262" s="1">
        <v>43430</v>
      </c>
      <c r="E2262" s="1">
        <v>43448</v>
      </c>
      <c r="F2262" s="1">
        <v>43448</v>
      </c>
      <c r="G2262" s="1"/>
      <c r="H2262" t="s">
        <v>4664</v>
      </c>
      <c r="I2262" t="s">
        <v>4665</v>
      </c>
    </row>
    <row r="2263" spans="1:9" x14ac:dyDescent="0.25">
      <c r="A2263" t="s">
        <v>2391</v>
      </c>
      <c r="B2263" s="26" t="str">
        <f>MID(tbl_forecast[[#This Row],[PACE Job Number]],3,3)</f>
        <v>NTX</v>
      </c>
      <c r="C2263" t="s">
        <v>11</v>
      </c>
      <c r="D2263" s="1">
        <v>43423</v>
      </c>
      <c r="E2263" s="1">
        <v>43458</v>
      </c>
      <c r="F2263" s="1">
        <v>43458</v>
      </c>
      <c r="G2263" s="1"/>
      <c r="H2263" t="s">
        <v>4664</v>
      </c>
      <c r="I2263" t="s">
        <v>4665</v>
      </c>
    </row>
    <row r="2264" spans="1:9" x14ac:dyDescent="0.25">
      <c r="A2264" t="s">
        <v>5521</v>
      </c>
      <c r="B2264" s="26" t="str">
        <f>MID(tbl_forecast[[#This Row],[PACE Job Number]],3,3)</f>
        <v>NTX</v>
      </c>
      <c r="C2264" t="s">
        <v>11</v>
      </c>
      <c r="D2264" s="1">
        <v>43425</v>
      </c>
      <c r="E2264" s="1">
        <v>43445</v>
      </c>
      <c r="F2264" s="1">
        <v>43445</v>
      </c>
      <c r="G2264" s="1"/>
      <c r="H2264" t="s">
        <v>4664</v>
      </c>
      <c r="I2264" t="s">
        <v>4665</v>
      </c>
    </row>
    <row r="2265" spans="1:9" x14ac:dyDescent="0.25">
      <c r="A2265" t="s">
        <v>2278</v>
      </c>
      <c r="B2265" s="26" t="str">
        <f>MID(tbl_forecast[[#This Row],[PACE Job Number]],3,3)</f>
        <v>NTX</v>
      </c>
      <c r="C2265" t="s">
        <v>11</v>
      </c>
      <c r="D2265" s="1">
        <v>43431</v>
      </c>
      <c r="E2265" s="1">
        <v>43431</v>
      </c>
      <c r="F2265" s="1">
        <v>43416</v>
      </c>
      <c r="G2265" s="1">
        <v>43416</v>
      </c>
      <c r="H2265" t="s">
        <v>9</v>
      </c>
      <c r="I2265" t="s">
        <v>10</v>
      </c>
    </row>
    <row r="2266" spans="1:9" x14ac:dyDescent="0.25">
      <c r="A2266" t="s">
        <v>3790</v>
      </c>
      <c r="B2266" s="26" t="str">
        <f>MID(tbl_forecast[[#This Row],[PACE Job Number]],3,3)</f>
        <v>NTX</v>
      </c>
      <c r="C2266" t="s">
        <v>11</v>
      </c>
      <c r="D2266" s="1">
        <v>43430</v>
      </c>
      <c r="E2266" s="1">
        <v>43444</v>
      </c>
      <c r="F2266" s="1">
        <v>43444</v>
      </c>
      <c r="G2266" s="1"/>
      <c r="H2266" t="s">
        <v>9</v>
      </c>
      <c r="I2266" t="s">
        <v>27</v>
      </c>
    </row>
    <row r="2267" spans="1:9" x14ac:dyDescent="0.25">
      <c r="A2267" t="s">
        <v>3874</v>
      </c>
      <c r="B2267" s="26" t="str">
        <f>MID(tbl_forecast[[#This Row],[PACE Job Number]],3,3)</f>
        <v>WSH</v>
      </c>
      <c r="C2267" t="s">
        <v>11</v>
      </c>
      <c r="D2267" s="1">
        <v>43406</v>
      </c>
      <c r="E2267" s="1">
        <v>43409</v>
      </c>
      <c r="F2267" s="1">
        <v>43408</v>
      </c>
      <c r="G2267" s="1">
        <v>43408</v>
      </c>
      <c r="H2267" t="s">
        <v>9</v>
      </c>
      <c r="I2267" t="s">
        <v>10</v>
      </c>
    </row>
    <row r="2268" spans="1:9" x14ac:dyDescent="0.25">
      <c r="A2268" t="s">
        <v>3875</v>
      </c>
      <c r="B2268" s="26" t="str">
        <f>MID(tbl_forecast[[#This Row],[PACE Job Number]],3,3)</f>
        <v>WSH</v>
      </c>
      <c r="C2268" t="s">
        <v>11</v>
      </c>
      <c r="D2268" s="1">
        <v>43406</v>
      </c>
      <c r="E2268" s="1">
        <v>43409</v>
      </c>
      <c r="F2268" s="1">
        <v>43408</v>
      </c>
      <c r="G2268" s="1">
        <v>43408</v>
      </c>
      <c r="H2268" t="s">
        <v>9</v>
      </c>
      <c r="I2268" t="s">
        <v>10</v>
      </c>
    </row>
    <row r="2269" spans="1:9" x14ac:dyDescent="0.25">
      <c r="A2269" t="s">
        <v>4274</v>
      </c>
      <c r="B2269" s="26" t="str">
        <f>MID(tbl_forecast[[#This Row],[PACE Job Number]],3,3)</f>
        <v>WSH</v>
      </c>
      <c r="C2269" t="s">
        <v>11</v>
      </c>
      <c r="D2269" s="1">
        <v>43406</v>
      </c>
      <c r="E2269" s="1">
        <v>43409</v>
      </c>
      <c r="F2269" s="1">
        <v>43408</v>
      </c>
      <c r="G2269" s="1">
        <v>43408</v>
      </c>
      <c r="H2269" t="s">
        <v>9</v>
      </c>
      <c r="I2269" t="s">
        <v>10</v>
      </c>
    </row>
    <row r="2270" spans="1:9" x14ac:dyDescent="0.25">
      <c r="A2270" t="s">
        <v>4280</v>
      </c>
      <c r="B2270" s="26" t="str">
        <f>MID(tbl_forecast[[#This Row],[PACE Job Number]],3,3)</f>
        <v>WSH</v>
      </c>
      <c r="C2270" t="s">
        <v>11</v>
      </c>
      <c r="D2270" s="1">
        <v>43420</v>
      </c>
      <c r="E2270" s="1">
        <v>43418</v>
      </c>
      <c r="F2270" s="1">
        <v>43418</v>
      </c>
      <c r="G2270" s="1">
        <v>43418</v>
      </c>
      <c r="H2270" t="s">
        <v>9</v>
      </c>
      <c r="I2270" t="s">
        <v>10</v>
      </c>
    </row>
    <row r="2271" spans="1:9" x14ac:dyDescent="0.25">
      <c r="A2271" t="s">
        <v>5522</v>
      </c>
      <c r="B2271" s="26" t="str">
        <f>MID(tbl_forecast[[#This Row],[PACE Job Number]],3,3)</f>
        <v>WSH</v>
      </c>
      <c r="C2271" t="s">
        <v>11</v>
      </c>
      <c r="D2271" s="1">
        <v>43424</v>
      </c>
      <c r="E2271" s="1">
        <v>43424</v>
      </c>
      <c r="F2271" s="1">
        <v>43424</v>
      </c>
      <c r="G2271" s="1">
        <v>43424</v>
      </c>
      <c r="H2271" t="s">
        <v>9</v>
      </c>
      <c r="I2271" t="s">
        <v>10</v>
      </c>
    </row>
    <row r="2272" spans="1:9" x14ac:dyDescent="0.25">
      <c r="A2272" t="s">
        <v>4281</v>
      </c>
      <c r="B2272" s="26" t="str">
        <f>MID(tbl_forecast[[#This Row],[PACE Job Number]],3,3)</f>
        <v>WSH</v>
      </c>
      <c r="C2272" t="s">
        <v>11</v>
      </c>
      <c r="D2272" s="1">
        <v>43420</v>
      </c>
      <c r="E2272" s="1">
        <v>43418</v>
      </c>
      <c r="F2272" s="1">
        <v>43418</v>
      </c>
      <c r="G2272" s="1">
        <v>43418</v>
      </c>
      <c r="H2272" t="s">
        <v>9</v>
      </c>
      <c r="I2272" t="s">
        <v>10</v>
      </c>
    </row>
    <row r="2273" spans="1:9" x14ac:dyDescent="0.25">
      <c r="A2273" t="s">
        <v>5310</v>
      </c>
      <c r="B2273" s="26" t="str">
        <f>MID(tbl_forecast[[#This Row],[PACE Job Number]],3,3)</f>
        <v>WSH</v>
      </c>
      <c r="C2273" t="s">
        <v>11</v>
      </c>
      <c r="D2273" s="1">
        <v>43420</v>
      </c>
      <c r="E2273" s="1">
        <v>43424</v>
      </c>
      <c r="F2273" s="1">
        <v>43424</v>
      </c>
      <c r="G2273" s="1">
        <v>43424</v>
      </c>
      <c r="H2273" t="s">
        <v>9</v>
      </c>
      <c r="I2273" t="s">
        <v>10</v>
      </c>
    </row>
    <row r="2274" spans="1:9" x14ac:dyDescent="0.25">
      <c r="A2274" t="s">
        <v>5523</v>
      </c>
      <c r="B2274" s="26" t="str">
        <f>MID(tbl_forecast[[#This Row],[PACE Job Number]],3,3)</f>
        <v>WSH</v>
      </c>
      <c r="C2274" t="s">
        <v>11</v>
      </c>
      <c r="D2274" s="1">
        <v>43424</v>
      </c>
      <c r="E2274" s="1">
        <v>43424</v>
      </c>
      <c r="F2274" s="1">
        <v>43424</v>
      </c>
      <c r="G2274" s="1">
        <v>43424</v>
      </c>
      <c r="H2274" t="s">
        <v>9</v>
      </c>
      <c r="I2274" t="s">
        <v>10</v>
      </c>
    </row>
    <row r="2275" spans="1:9" x14ac:dyDescent="0.25">
      <c r="A2275" t="s">
        <v>3878</v>
      </c>
      <c r="B2275" s="26" t="str">
        <f>MID(tbl_forecast[[#This Row],[PACE Job Number]],3,3)</f>
        <v>WSH</v>
      </c>
      <c r="C2275" t="s">
        <v>11</v>
      </c>
      <c r="D2275" s="1">
        <v>43418</v>
      </c>
      <c r="E2275" s="1">
        <v>43413</v>
      </c>
      <c r="F2275" s="1">
        <v>43413</v>
      </c>
      <c r="G2275" s="1">
        <v>43413</v>
      </c>
      <c r="H2275" t="s">
        <v>9</v>
      </c>
      <c r="I2275" t="s">
        <v>10</v>
      </c>
    </row>
    <row r="2276" spans="1:9" x14ac:dyDescent="0.25">
      <c r="A2276" t="s">
        <v>4282</v>
      </c>
      <c r="B2276" s="26" t="str">
        <f>MID(tbl_forecast[[#This Row],[PACE Job Number]],3,3)</f>
        <v>WSH</v>
      </c>
      <c r="C2276" t="s">
        <v>11</v>
      </c>
      <c r="D2276" s="1">
        <v>43405</v>
      </c>
      <c r="E2276" s="1">
        <v>43405</v>
      </c>
      <c r="F2276" s="1">
        <v>43405</v>
      </c>
      <c r="G2276" s="1">
        <v>43405</v>
      </c>
      <c r="H2276" t="s">
        <v>9</v>
      </c>
      <c r="I2276" t="s">
        <v>10</v>
      </c>
    </row>
    <row r="2277" spans="1:9" x14ac:dyDescent="0.25">
      <c r="A2277" t="s">
        <v>5312</v>
      </c>
      <c r="B2277" s="26" t="str">
        <f>MID(tbl_forecast[[#This Row],[PACE Job Number]],3,3)</f>
        <v>WSH</v>
      </c>
      <c r="C2277" t="s">
        <v>11</v>
      </c>
      <c r="D2277" s="1">
        <v>43420</v>
      </c>
      <c r="E2277" s="1">
        <v>43424</v>
      </c>
      <c r="F2277" s="1">
        <v>43424</v>
      </c>
      <c r="G2277" s="1">
        <v>43424</v>
      </c>
      <c r="H2277" t="s">
        <v>9</v>
      </c>
      <c r="I2277" t="s">
        <v>10</v>
      </c>
    </row>
    <row r="2278" spans="1:9" x14ac:dyDescent="0.25">
      <c r="A2278" t="s">
        <v>4283</v>
      </c>
      <c r="B2278" s="26" t="str">
        <f>MID(tbl_forecast[[#This Row],[PACE Job Number]],3,3)</f>
        <v>WSH</v>
      </c>
      <c r="C2278" t="s">
        <v>11</v>
      </c>
      <c r="D2278" s="1">
        <v>43413</v>
      </c>
      <c r="E2278" s="1">
        <v>43418</v>
      </c>
      <c r="F2278" s="1">
        <v>43418</v>
      </c>
      <c r="G2278" s="1">
        <v>43418</v>
      </c>
      <c r="H2278" t="s">
        <v>9</v>
      </c>
      <c r="I2278" t="s">
        <v>10</v>
      </c>
    </row>
    <row r="2279" spans="1:9" x14ac:dyDescent="0.25">
      <c r="A2279" t="s">
        <v>4284</v>
      </c>
      <c r="B2279" s="26" t="str">
        <f>MID(tbl_forecast[[#This Row],[PACE Job Number]],3,3)</f>
        <v>WSH</v>
      </c>
      <c r="C2279" t="s">
        <v>11</v>
      </c>
      <c r="D2279" s="1">
        <v>43407</v>
      </c>
      <c r="E2279" s="1">
        <v>43416</v>
      </c>
      <c r="F2279" s="1">
        <v>43416</v>
      </c>
      <c r="G2279" s="1">
        <v>43416</v>
      </c>
      <c r="H2279" t="s">
        <v>9</v>
      </c>
      <c r="I2279" t="s">
        <v>10</v>
      </c>
    </row>
    <row r="2280" spans="1:9" x14ac:dyDescent="0.25">
      <c r="A2280" t="s">
        <v>5315</v>
      </c>
      <c r="B2280" s="26" t="str">
        <f>MID(tbl_forecast[[#This Row],[PACE Job Number]],3,3)</f>
        <v>WSH</v>
      </c>
      <c r="C2280" t="s">
        <v>11</v>
      </c>
      <c r="D2280" s="1">
        <v>43418</v>
      </c>
      <c r="E2280" s="1">
        <v>43416</v>
      </c>
      <c r="F2280" s="1">
        <v>43411</v>
      </c>
      <c r="G2280" s="1">
        <v>43411</v>
      </c>
      <c r="H2280" t="s">
        <v>9</v>
      </c>
      <c r="I2280" t="s">
        <v>10</v>
      </c>
    </row>
    <row r="2281" spans="1:9" x14ac:dyDescent="0.25">
      <c r="A2281" t="s">
        <v>5316</v>
      </c>
      <c r="B2281" s="26" t="str">
        <f>MID(tbl_forecast[[#This Row],[PACE Job Number]],3,3)</f>
        <v>WSH</v>
      </c>
      <c r="C2281" t="s">
        <v>11</v>
      </c>
      <c r="D2281" s="1">
        <v>43424</v>
      </c>
      <c r="E2281" s="1">
        <v>43424</v>
      </c>
      <c r="F2281" s="1">
        <v>43424</v>
      </c>
      <c r="G2281" s="1">
        <v>43424</v>
      </c>
      <c r="H2281" t="s">
        <v>9</v>
      </c>
      <c r="I2281" t="s">
        <v>10</v>
      </c>
    </row>
    <row r="2282" spans="1:9" x14ac:dyDescent="0.25">
      <c r="A2282" t="s">
        <v>4289</v>
      </c>
      <c r="B2282" s="26" t="str">
        <f>MID(tbl_forecast[[#This Row],[PACE Job Number]],3,3)</f>
        <v>WSH</v>
      </c>
      <c r="C2282" t="s">
        <v>11</v>
      </c>
      <c r="D2282" s="1">
        <v>43420</v>
      </c>
      <c r="E2282" s="1">
        <v>43418</v>
      </c>
      <c r="F2282" s="1">
        <v>43418</v>
      </c>
      <c r="G2282" s="1">
        <v>43418</v>
      </c>
      <c r="H2282" t="s">
        <v>9</v>
      </c>
      <c r="I2282" t="s">
        <v>10</v>
      </c>
    </row>
    <row r="2283" spans="1:9" x14ac:dyDescent="0.25">
      <c r="A2283" t="s">
        <v>5524</v>
      </c>
      <c r="B2283" s="26" t="str">
        <f>MID(tbl_forecast[[#This Row],[PACE Job Number]],3,3)</f>
        <v>WSH</v>
      </c>
      <c r="C2283" t="s">
        <v>11</v>
      </c>
      <c r="D2283" s="1">
        <v>43413</v>
      </c>
      <c r="E2283" s="1">
        <v>43415</v>
      </c>
      <c r="F2283" s="1">
        <v>43415</v>
      </c>
      <c r="G2283" s="1">
        <v>43415</v>
      </c>
      <c r="H2283" t="s">
        <v>9</v>
      </c>
      <c r="I2283" t="s">
        <v>10</v>
      </c>
    </row>
    <row r="2284" spans="1:9" x14ac:dyDescent="0.25">
      <c r="A2284" t="s">
        <v>5525</v>
      </c>
      <c r="B2284" s="26" t="str">
        <f>MID(tbl_forecast[[#This Row],[PACE Job Number]],3,3)</f>
        <v>WSH</v>
      </c>
      <c r="C2284" t="s">
        <v>11</v>
      </c>
      <c r="D2284" s="1">
        <v>43413</v>
      </c>
      <c r="E2284" s="1">
        <v>43418</v>
      </c>
      <c r="F2284" s="1">
        <v>43418</v>
      </c>
      <c r="G2284" s="1">
        <v>43418</v>
      </c>
      <c r="H2284" t="s">
        <v>9</v>
      </c>
      <c r="I2284" t="s">
        <v>10</v>
      </c>
    </row>
    <row r="2285" spans="1:9" x14ac:dyDescent="0.25">
      <c r="A2285" t="s">
        <v>5461</v>
      </c>
      <c r="B2285" s="26" t="str">
        <f>MID(tbl_forecast[[#This Row],[PACE Job Number]],3,3)</f>
        <v>STX</v>
      </c>
      <c r="C2285" t="s">
        <v>11</v>
      </c>
      <c r="D2285" s="1">
        <v>43424</v>
      </c>
      <c r="E2285" s="1">
        <v>43420</v>
      </c>
      <c r="F2285" s="1">
        <v>43420</v>
      </c>
      <c r="G2285" s="1">
        <v>43420</v>
      </c>
      <c r="H2285" t="s">
        <v>9</v>
      </c>
      <c r="I2285" t="s">
        <v>10</v>
      </c>
    </row>
    <row r="2286" spans="1:9" x14ac:dyDescent="0.25">
      <c r="A2286" t="s">
        <v>3447</v>
      </c>
      <c r="B2286" s="26" t="str">
        <f>MID(tbl_forecast[[#This Row],[PACE Job Number]],3,3)</f>
        <v>NTX</v>
      </c>
      <c r="C2286" t="s">
        <v>11</v>
      </c>
      <c r="D2286" s="1">
        <v>43409</v>
      </c>
      <c r="E2286" s="1">
        <v>43418</v>
      </c>
      <c r="F2286" s="1">
        <v>43420</v>
      </c>
      <c r="G2286" s="1">
        <v>43420</v>
      </c>
      <c r="H2286" t="s">
        <v>9</v>
      </c>
      <c r="I2286" t="s">
        <v>10</v>
      </c>
    </row>
    <row r="2287" spans="1:9" x14ac:dyDescent="0.25">
      <c r="A2287" t="s">
        <v>151</v>
      </c>
      <c r="B2287" s="26" t="str">
        <f>MID(tbl_forecast[[#This Row],[PACE Job Number]],3,3)</f>
        <v>NTX</v>
      </c>
      <c r="C2287" t="s">
        <v>11</v>
      </c>
      <c r="D2287" s="1">
        <v>43423</v>
      </c>
      <c r="E2287" s="1">
        <v>43430</v>
      </c>
      <c r="F2287" s="1">
        <v>43424</v>
      </c>
      <c r="G2287" s="1">
        <v>43424</v>
      </c>
      <c r="H2287" t="s">
        <v>9</v>
      </c>
      <c r="I2287" t="s">
        <v>10</v>
      </c>
    </row>
    <row r="2288" spans="1:9" x14ac:dyDescent="0.25">
      <c r="A2288" t="s">
        <v>3500</v>
      </c>
      <c r="B2288" s="26" t="str">
        <f>MID(tbl_forecast[[#This Row],[PACE Job Number]],3,3)</f>
        <v>NTX</v>
      </c>
      <c r="C2288" t="s">
        <v>11</v>
      </c>
      <c r="D2288" s="1">
        <v>43409</v>
      </c>
      <c r="E2288" s="1">
        <v>43430</v>
      </c>
      <c r="F2288" s="1">
        <v>43425</v>
      </c>
      <c r="G2288" s="1">
        <v>43425</v>
      </c>
      <c r="H2288" t="s">
        <v>4664</v>
      </c>
      <c r="I2288" t="s">
        <v>10</v>
      </c>
    </row>
    <row r="2289" spans="1:9" x14ac:dyDescent="0.25">
      <c r="A2289" t="s">
        <v>3791</v>
      </c>
      <c r="B2289" s="26" t="str">
        <f>MID(tbl_forecast[[#This Row],[PACE Job Number]],3,3)</f>
        <v>NTX</v>
      </c>
      <c r="C2289" t="s">
        <v>11</v>
      </c>
      <c r="D2289" s="1">
        <v>43406</v>
      </c>
      <c r="E2289" s="1">
        <v>43351</v>
      </c>
      <c r="F2289" s="1">
        <v>43406</v>
      </c>
      <c r="G2289" s="1">
        <v>43406</v>
      </c>
      <c r="H2289" t="s">
        <v>9</v>
      </c>
      <c r="I2289" t="s">
        <v>10</v>
      </c>
    </row>
    <row r="2290" spans="1:9" x14ac:dyDescent="0.25">
      <c r="A2290" t="s">
        <v>2400</v>
      </c>
      <c r="B2290" s="26" t="str">
        <f>MID(tbl_forecast[[#This Row],[PACE Job Number]],3,3)</f>
        <v>NTX</v>
      </c>
      <c r="C2290" t="s">
        <v>11</v>
      </c>
      <c r="D2290" s="1">
        <v>43423</v>
      </c>
      <c r="E2290" s="1">
        <v>43458</v>
      </c>
      <c r="F2290" s="1">
        <v>43458</v>
      </c>
      <c r="G2290" s="1"/>
      <c r="H2290" t="s">
        <v>4664</v>
      </c>
      <c r="I2290" t="s">
        <v>4665</v>
      </c>
    </row>
    <row r="2291" spans="1:9" x14ac:dyDescent="0.25">
      <c r="A2291" t="s">
        <v>83</v>
      </c>
      <c r="B2291" s="26" t="str">
        <f>MID(tbl_forecast[[#This Row],[PACE Job Number]],3,3)</f>
        <v>NTX</v>
      </c>
      <c r="C2291" t="s">
        <v>11</v>
      </c>
      <c r="D2291" s="1">
        <v>43423</v>
      </c>
      <c r="E2291" s="1">
        <v>43448</v>
      </c>
      <c r="F2291" s="1">
        <v>43448</v>
      </c>
      <c r="G2291" s="1"/>
      <c r="H2291" t="s">
        <v>4664</v>
      </c>
      <c r="I2291" t="s">
        <v>4665</v>
      </c>
    </row>
    <row r="2292" spans="1:9" x14ac:dyDescent="0.25">
      <c r="A2292" t="s">
        <v>2647</v>
      </c>
      <c r="B2292" s="26" t="str">
        <f>MID(tbl_forecast[[#This Row],[PACE Job Number]],3,3)</f>
        <v>STX</v>
      </c>
      <c r="C2292" t="s">
        <v>11</v>
      </c>
      <c r="D2292" s="1">
        <v>43429</v>
      </c>
      <c r="E2292" s="1">
        <v>43459</v>
      </c>
      <c r="F2292" s="1">
        <v>43424</v>
      </c>
      <c r="G2292" s="1"/>
      <c r="H2292" t="s">
        <v>9</v>
      </c>
      <c r="I2292" t="s">
        <v>44</v>
      </c>
    </row>
    <row r="2293" spans="1:9" x14ac:dyDescent="0.25">
      <c r="A2293" t="s">
        <v>2644</v>
      </c>
      <c r="B2293" s="26" t="str">
        <f>MID(tbl_forecast[[#This Row],[PACE Job Number]],3,3)</f>
        <v>STX</v>
      </c>
      <c r="C2293" t="s">
        <v>11</v>
      </c>
      <c r="D2293" s="1">
        <v>43428</v>
      </c>
      <c r="E2293" s="1">
        <v>43428</v>
      </c>
      <c r="F2293" s="1">
        <v>43424</v>
      </c>
      <c r="G2293" s="1">
        <v>43424</v>
      </c>
      <c r="H2293" t="s">
        <v>9</v>
      </c>
      <c r="I2293" t="s">
        <v>10</v>
      </c>
    </row>
    <row r="2294" spans="1:9" x14ac:dyDescent="0.25">
      <c r="A2294" t="s">
        <v>3946</v>
      </c>
      <c r="B2294" s="26" t="str">
        <f>MID(tbl_forecast[[#This Row],[PACE Job Number]],3,3)</f>
        <v>STX</v>
      </c>
      <c r="C2294" t="s">
        <v>11</v>
      </c>
      <c r="D2294" s="1">
        <v>43428</v>
      </c>
      <c r="E2294" s="1">
        <v>43428</v>
      </c>
      <c r="F2294" s="1">
        <v>43424</v>
      </c>
      <c r="G2294" s="1">
        <v>43424</v>
      </c>
      <c r="H2294" t="s">
        <v>9</v>
      </c>
      <c r="I2294" t="s">
        <v>10</v>
      </c>
    </row>
    <row r="2295" spans="1:9" x14ac:dyDescent="0.25">
      <c r="A2295" t="s">
        <v>2649</v>
      </c>
      <c r="B2295" s="26" t="str">
        <f>MID(tbl_forecast[[#This Row],[PACE Job Number]],3,3)</f>
        <v>STX</v>
      </c>
      <c r="C2295" t="s">
        <v>11</v>
      </c>
      <c r="D2295" s="1">
        <v>43428</v>
      </c>
      <c r="E2295" s="1">
        <v>43428</v>
      </c>
      <c r="F2295" s="1">
        <v>43424</v>
      </c>
      <c r="G2295" s="1">
        <v>43424</v>
      </c>
      <c r="H2295" t="s">
        <v>9</v>
      </c>
      <c r="I2295" t="s">
        <v>10</v>
      </c>
    </row>
    <row r="2296" spans="1:9" x14ac:dyDescent="0.25">
      <c r="A2296" t="s">
        <v>2630</v>
      </c>
      <c r="B2296" s="26" t="str">
        <f>MID(tbl_forecast[[#This Row],[PACE Job Number]],3,3)</f>
        <v>STX</v>
      </c>
      <c r="C2296" t="s">
        <v>11</v>
      </c>
      <c r="D2296" s="1">
        <v>43428</v>
      </c>
      <c r="E2296" s="1">
        <v>43428</v>
      </c>
      <c r="F2296" s="1">
        <v>43424</v>
      </c>
      <c r="G2296" s="1">
        <v>43424</v>
      </c>
      <c r="H2296" t="s">
        <v>9</v>
      </c>
      <c r="I2296" t="s">
        <v>10</v>
      </c>
    </row>
    <row r="2297" spans="1:9" x14ac:dyDescent="0.25">
      <c r="A2297" t="s">
        <v>2641</v>
      </c>
      <c r="B2297" s="26" t="str">
        <f>MID(tbl_forecast[[#This Row],[PACE Job Number]],3,3)</f>
        <v>STX</v>
      </c>
      <c r="C2297" t="s">
        <v>11</v>
      </c>
      <c r="D2297" s="1">
        <v>43428</v>
      </c>
      <c r="E2297" s="1">
        <v>43428</v>
      </c>
      <c r="F2297" s="1">
        <v>43424</v>
      </c>
      <c r="G2297" s="1">
        <v>43424</v>
      </c>
      <c r="H2297" t="s">
        <v>9</v>
      </c>
      <c r="I2297" t="s">
        <v>10</v>
      </c>
    </row>
    <row r="2298" spans="1:9" x14ac:dyDescent="0.25">
      <c r="A2298" t="s">
        <v>5318</v>
      </c>
      <c r="B2298" s="26" t="str">
        <f>MID(tbl_forecast[[#This Row],[PACE Job Number]],3,3)</f>
        <v>WSH</v>
      </c>
      <c r="C2298" t="s">
        <v>11</v>
      </c>
      <c r="D2298" s="1">
        <v>43424</v>
      </c>
      <c r="E2298" s="1">
        <v>43438</v>
      </c>
      <c r="F2298" s="1">
        <v>43433</v>
      </c>
      <c r="G2298" s="1"/>
      <c r="H2298" t="s">
        <v>9</v>
      </c>
      <c r="I2298" t="s">
        <v>27</v>
      </c>
    </row>
    <row r="2299" spans="1:9" x14ac:dyDescent="0.25">
      <c r="A2299" t="s">
        <v>5320</v>
      </c>
      <c r="B2299" s="26" t="str">
        <f>MID(tbl_forecast[[#This Row],[PACE Job Number]],3,3)</f>
        <v>WSH</v>
      </c>
      <c r="C2299" t="s">
        <v>11</v>
      </c>
      <c r="D2299" s="1">
        <v>43424</v>
      </c>
      <c r="E2299" s="1">
        <v>43464</v>
      </c>
      <c r="F2299" s="1">
        <v>43464</v>
      </c>
      <c r="G2299" s="1"/>
      <c r="H2299" t="s">
        <v>4664</v>
      </c>
      <c r="I2299" t="s">
        <v>4665</v>
      </c>
    </row>
    <row r="2300" spans="1:9" x14ac:dyDescent="0.25">
      <c r="A2300" t="s">
        <v>5462</v>
      </c>
      <c r="B2300" s="26" t="str">
        <f>MID(tbl_forecast[[#This Row],[PACE Job Number]],3,3)</f>
        <v>NTX</v>
      </c>
      <c r="C2300" t="s">
        <v>11</v>
      </c>
      <c r="D2300" s="1">
        <v>43420</v>
      </c>
      <c r="E2300" s="1">
        <v>43437</v>
      </c>
      <c r="F2300" s="1">
        <v>43437</v>
      </c>
      <c r="G2300" s="1"/>
      <c r="H2300" t="s">
        <v>4664</v>
      </c>
      <c r="I2300" t="s">
        <v>5645</v>
      </c>
    </row>
    <row r="2301" spans="1:9" x14ac:dyDescent="0.25">
      <c r="A2301" t="s">
        <v>345</v>
      </c>
      <c r="B2301" s="26" t="str">
        <f>MID(tbl_forecast[[#This Row],[PACE Job Number]],3,3)</f>
        <v>NTX</v>
      </c>
      <c r="C2301" t="s">
        <v>11</v>
      </c>
      <c r="D2301" s="1">
        <v>43433</v>
      </c>
      <c r="E2301" s="1">
        <v>43434</v>
      </c>
      <c r="F2301" s="1">
        <v>43434</v>
      </c>
      <c r="G2301" s="1"/>
      <c r="H2301" t="s">
        <v>9</v>
      </c>
      <c r="I2301" t="s">
        <v>27</v>
      </c>
    </row>
    <row r="2302" spans="1:9" x14ac:dyDescent="0.25">
      <c r="A2302" t="s">
        <v>2308</v>
      </c>
      <c r="B2302" s="26" t="str">
        <f>MID(tbl_forecast[[#This Row],[PACE Job Number]],3,3)</f>
        <v>NTX</v>
      </c>
      <c r="C2302" t="s">
        <v>11</v>
      </c>
      <c r="D2302" s="1">
        <v>43430</v>
      </c>
      <c r="E2302" s="1">
        <v>43437</v>
      </c>
      <c r="F2302" s="1">
        <v>43437</v>
      </c>
      <c r="G2302" s="1"/>
      <c r="H2302" t="s">
        <v>9</v>
      </c>
      <c r="I2302" t="s">
        <v>27</v>
      </c>
    </row>
    <row r="2303" spans="1:9" x14ac:dyDescent="0.25">
      <c r="A2303" t="s">
        <v>5526</v>
      </c>
      <c r="B2303" s="26" t="str">
        <f>MID(tbl_forecast[[#This Row],[PACE Job Number]],3,3)</f>
        <v>NTX</v>
      </c>
      <c r="C2303" t="s">
        <v>11</v>
      </c>
      <c r="D2303" s="1">
        <v>43433</v>
      </c>
      <c r="E2303" s="1">
        <v>43433</v>
      </c>
      <c r="F2303" s="1">
        <v>43410</v>
      </c>
      <c r="G2303" s="1">
        <v>43410</v>
      </c>
      <c r="H2303" t="s">
        <v>9</v>
      </c>
      <c r="I2303" t="s">
        <v>10</v>
      </c>
    </row>
    <row r="2304" spans="1:9" x14ac:dyDescent="0.25">
      <c r="A2304" t="s">
        <v>2311</v>
      </c>
      <c r="B2304" s="26" t="str">
        <f>MID(tbl_forecast[[#This Row],[PACE Job Number]],3,3)</f>
        <v>NTX</v>
      </c>
      <c r="C2304" t="s">
        <v>11</v>
      </c>
      <c r="D2304" s="1">
        <v>43433</v>
      </c>
      <c r="E2304" s="1">
        <v>43438</v>
      </c>
      <c r="F2304" s="1">
        <v>43438</v>
      </c>
      <c r="G2304" s="1"/>
      <c r="H2304" t="s">
        <v>9</v>
      </c>
      <c r="I2304" t="s">
        <v>27</v>
      </c>
    </row>
    <row r="2305" spans="1:9" x14ac:dyDescent="0.25">
      <c r="A2305" t="s">
        <v>4191</v>
      </c>
      <c r="B2305" s="26" t="str">
        <f>MID(tbl_forecast[[#This Row],[PACE Job Number]],3,3)</f>
        <v>WSH</v>
      </c>
      <c r="C2305" t="s">
        <v>18</v>
      </c>
      <c r="D2305" s="1">
        <v>43434</v>
      </c>
      <c r="E2305" s="1">
        <v>43436</v>
      </c>
      <c r="F2305" s="1">
        <v>43434</v>
      </c>
      <c r="G2305" s="1"/>
      <c r="H2305" t="s">
        <v>9</v>
      </c>
      <c r="I2305" t="s">
        <v>27</v>
      </c>
    </row>
    <row r="2306" spans="1:9" x14ac:dyDescent="0.25">
      <c r="A2306" t="s">
        <v>432</v>
      </c>
      <c r="B2306" s="26" t="str">
        <f>MID(tbl_forecast[[#This Row],[PACE Job Number]],3,3)</f>
        <v>ANM</v>
      </c>
      <c r="C2306" t="s">
        <v>18</v>
      </c>
      <c r="D2306" s="1">
        <v>43434</v>
      </c>
      <c r="E2306" s="1">
        <v>36524</v>
      </c>
      <c r="F2306" s="1">
        <v>43409</v>
      </c>
      <c r="G2306" s="1">
        <v>43409</v>
      </c>
      <c r="H2306" t="s">
        <v>9</v>
      </c>
      <c r="I2306" t="s">
        <v>10</v>
      </c>
    </row>
    <row r="2307" spans="1:9" x14ac:dyDescent="0.25">
      <c r="A2307" t="s">
        <v>4377</v>
      </c>
      <c r="B2307" s="26" t="str">
        <f>MID(tbl_forecast[[#This Row],[PACE Job Number]],3,3)</f>
        <v>STX</v>
      </c>
      <c r="C2307" t="s">
        <v>18</v>
      </c>
      <c r="D2307" s="1">
        <v>43434</v>
      </c>
      <c r="E2307" s="1">
        <v>43465</v>
      </c>
      <c r="F2307" s="1">
        <v>43465</v>
      </c>
      <c r="G2307" s="1"/>
      <c r="H2307" t="s">
        <v>4664</v>
      </c>
      <c r="I2307" t="s">
        <v>4665</v>
      </c>
    </row>
    <row r="2308" spans="1:9" x14ac:dyDescent="0.25">
      <c r="A2308" t="s">
        <v>3352</v>
      </c>
      <c r="B2308" s="26" t="str">
        <f>MID(tbl_forecast[[#This Row],[PACE Job Number]],3,3)</f>
        <v>STX</v>
      </c>
      <c r="C2308" t="s">
        <v>18</v>
      </c>
      <c r="D2308" s="1">
        <v>43432</v>
      </c>
      <c r="E2308" s="1">
        <v>43465</v>
      </c>
      <c r="F2308" s="1">
        <v>43465</v>
      </c>
      <c r="G2308" s="1"/>
      <c r="H2308" t="s">
        <v>4664</v>
      </c>
      <c r="I2308" t="s">
        <v>4665</v>
      </c>
    </row>
    <row r="2309" spans="1:9" x14ac:dyDescent="0.25">
      <c r="A2309" t="s">
        <v>2669</v>
      </c>
      <c r="B2309" s="26" t="str">
        <f>MID(tbl_forecast[[#This Row],[PACE Job Number]],3,3)</f>
        <v>STX</v>
      </c>
      <c r="C2309" t="s">
        <v>18</v>
      </c>
      <c r="D2309" s="1">
        <v>43434</v>
      </c>
      <c r="E2309" s="1">
        <v>43465</v>
      </c>
      <c r="F2309" s="1">
        <v>43465</v>
      </c>
      <c r="G2309" s="1"/>
      <c r="H2309" t="s">
        <v>4664</v>
      </c>
      <c r="I2309" t="s">
        <v>4665</v>
      </c>
    </row>
    <row r="2310" spans="1:9" x14ac:dyDescent="0.25">
      <c r="A2310" t="s">
        <v>4379</v>
      </c>
      <c r="B2310" s="26" t="str">
        <f>MID(tbl_forecast[[#This Row],[PACE Job Number]],3,3)</f>
        <v>STX</v>
      </c>
      <c r="C2310" t="s">
        <v>18</v>
      </c>
      <c r="D2310" s="1">
        <v>43419</v>
      </c>
      <c r="E2310" s="1">
        <v>43419</v>
      </c>
      <c r="F2310" s="1">
        <v>43419</v>
      </c>
      <c r="G2310" s="1">
        <v>43419</v>
      </c>
      <c r="H2310" t="s">
        <v>9</v>
      </c>
      <c r="I2310" t="s">
        <v>10</v>
      </c>
    </row>
    <row r="2311" spans="1:9" x14ac:dyDescent="0.25">
      <c r="A2311" t="s">
        <v>3810</v>
      </c>
      <c r="B2311" s="26" t="str">
        <f>MID(tbl_forecast[[#This Row],[PACE Job Number]],3,3)</f>
        <v>WSH</v>
      </c>
      <c r="C2311" t="s">
        <v>18</v>
      </c>
      <c r="D2311" s="1">
        <v>43434</v>
      </c>
      <c r="E2311" s="1">
        <v>43459</v>
      </c>
      <c r="F2311" s="1">
        <v>43465</v>
      </c>
      <c r="G2311" s="1"/>
      <c r="H2311" t="s">
        <v>4664</v>
      </c>
      <c r="I2311" t="s">
        <v>4665</v>
      </c>
    </row>
    <row r="2312" spans="1:9" x14ac:dyDescent="0.25">
      <c r="A2312" t="s">
        <v>3811</v>
      </c>
      <c r="B2312" s="26" t="str">
        <f>MID(tbl_forecast[[#This Row],[PACE Job Number]],3,3)</f>
        <v>WSH</v>
      </c>
      <c r="C2312" t="s">
        <v>18</v>
      </c>
      <c r="D2312" s="1">
        <v>43434</v>
      </c>
      <c r="E2312" s="1">
        <v>43361</v>
      </c>
      <c r="F2312" s="1">
        <v>43434</v>
      </c>
      <c r="G2312" s="1"/>
      <c r="H2312" t="s">
        <v>9</v>
      </c>
      <c r="I2312" t="s">
        <v>27</v>
      </c>
    </row>
    <row r="2313" spans="1:9" x14ac:dyDescent="0.25">
      <c r="A2313" t="s">
        <v>3812</v>
      </c>
      <c r="B2313" s="26" t="str">
        <f>MID(tbl_forecast[[#This Row],[PACE Job Number]],3,3)</f>
        <v>WSH</v>
      </c>
      <c r="C2313" t="s">
        <v>18</v>
      </c>
      <c r="D2313" s="1">
        <v>43434</v>
      </c>
      <c r="E2313" s="1">
        <v>43311</v>
      </c>
      <c r="F2313" s="1">
        <v>43465</v>
      </c>
      <c r="G2313" s="1"/>
      <c r="H2313" t="s">
        <v>4664</v>
      </c>
      <c r="I2313" t="s">
        <v>4666</v>
      </c>
    </row>
    <row r="2314" spans="1:9" x14ac:dyDescent="0.25">
      <c r="A2314" t="s">
        <v>5195</v>
      </c>
      <c r="B2314" s="26" t="str">
        <f>MID(tbl_forecast[[#This Row],[PACE Job Number]],3,3)</f>
        <v>WSH</v>
      </c>
      <c r="C2314" t="s">
        <v>18</v>
      </c>
      <c r="D2314" s="1">
        <v>43434</v>
      </c>
      <c r="E2314" s="1">
        <v>43406</v>
      </c>
      <c r="F2314" s="1">
        <v>43465</v>
      </c>
      <c r="G2314" s="1"/>
      <c r="H2314" t="s">
        <v>4664</v>
      </c>
      <c r="I2314" t="s">
        <v>4666</v>
      </c>
    </row>
    <row r="2315" spans="1:9" x14ac:dyDescent="0.25">
      <c r="A2315" t="s">
        <v>4303</v>
      </c>
      <c r="B2315" s="26" t="str">
        <f>MID(tbl_forecast[[#This Row],[PACE Job Number]],3,3)</f>
        <v>NTX</v>
      </c>
      <c r="C2315" t="s">
        <v>18</v>
      </c>
      <c r="D2315" s="1">
        <v>43427</v>
      </c>
      <c r="E2315" s="1">
        <v>43300</v>
      </c>
      <c r="F2315" s="1">
        <v>43418</v>
      </c>
      <c r="G2315" s="1">
        <v>43418</v>
      </c>
      <c r="H2315" t="s">
        <v>9</v>
      </c>
      <c r="I2315" t="s">
        <v>10</v>
      </c>
    </row>
    <row r="2316" spans="1:9" x14ac:dyDescent="0.25">
      <c r="A2316" t="s">
        <v>380</v>
      </c>
      <c r="B2316" s="26" t="str">
        <f>MID(tbl_forecast[[#This Row],[PACE Job Number]],3,3)</f>
        <v>NTX</v>
      </c>
      <c r="C2316" t="s">
        <v>18</v>
      </c>
      <c r="D2316" s="1">
        <v>43427</v>
      </c>
      <c r="E2316" s="1">
        <v>36524</v>
      </c>
      <c r="F2316" s="1">
        <v>43458</v>
      </c>
      <c r="G2316" s="1"/>
      <c r="H2316" t="s">
        <v>4664</v>
      </c>
      <c r="I2316" t="s">
        <v>4666</v>
      </c>
    </row>
    <row r="2317" spans="1:9" x14ac:dyDescent="0.25">
      <c r="A2317" t="s">
        <v>61</v>
      </c>
      <c r="B2317" s="26" t="str">
        <f>MID(tbl_forecast[[#This Row],[PACE Job Number]],3,3)</f>
        <v>NTX</v>
      </c>
      <c r="C2317" t="s">
        <v>18</v>
      </c>
      <c r="D2317" s="1">
        <v>43412</v>
      </c>
      <c r="E2317" s="1">
        <v>36524</v>
      </c>
      <c r="F2317" s="1">
        <v>43433</v>
      </c>
      <c r="G2317" s="1">
        <v>43433</v>
      </c>
      <c r="H2317" t="s">
        <v>4664</v>
      </c>
      <c r="I2317" t="s">
        <v>10</v>
      </c>
    </row>
    <row r="2318" spans="1:9" x14ac:dyDescent="0.25">
      <c r="A2318" t="s">
        <v>3380</v>
      </c>
      <c r="B2318" s="26" t="str">
        <f>MID(tbl_forecast[[#This Row],[PACE Job Number]],3,3)</f>
        <v>NTX</v>
      </c>
      <c r="C2318" t="s">
        <v>18</v>
      </c>
      <c r="D2318" s="1">
        <v>43426</v>
      </c>
      <c r="E2318" s="1">
        <v>43321</v>
      </c>
      <c r="F2318" s="1">
        <v>43452</v>
      </c>
      <c r="G2318" s="1"/>
      <c r="H2318" t="s">
        <v>4664</v>
      </c>
      <c r="I2318" t="s">
        <v>4666</v>
      </c>
    </row>
    <row r="2319" spans="1:9" x14ac:dyDescent="0.25">
      <c r="A2319" t="s">
        <v>2478</v>
      </c>
      <c r="B2319" s="26" t="str">
        <f>MID(tbl_forecast[[#This Row],[PACE Job Number]],3,3)</f>
        <v>NTX</v>
      </c>
      <c r="C2319" t="s">
        <v>18</v>
      </c>
      <c r="D2319" s="1">
        <v>43432</v>
      </c>
      <c r="E2319" s="1">
        <v>43293</v>
      </c>
      <c r="F2319" s="1">
        <v>43452</v>
      </c>
      <c r="G2319" s="1"/>
      <c r="H2319" t="s">
        <v>4664</v>
      </c>
      <c r="I2319" t="s">
        <v>4666</v>
      </c>
    </row>
    <row r="2320" spans="1:9" x14ac:dyDescent="0.25">
      <c r="A2320" t="s">
        <v>4304</v>
      </c>
      <c r="B2320" s="26" t="str">
        <f>MID(tbl_forecast[[#This Row],[PACE Job Number]],3,3)</f>
        <v>NTX</v>
      </c>
      <c r="C2320" t="s">
        <v>18</v>
      </c>
      <c r="D2320" s="1">
        <v>43429</v>
      </c>
      <c r="E2320" s="1">
        <v>36524</v>
      </c>
      <c r="F2320" s="1">
        <v>43431</v>
      </c>
      <c r="G2320" s="1">
        <v>43431</v>
      </c>
      <c r="H2320" t="s">
        <v>9</v>
      </c>
      <c r="I2320" t="s">
        <v>10</v>
      </c>
    </row>
    <row r="2321" spans="1:9" x14ac:dyDescent="0.25">
      <c r="A2321" t="s">
        <v>139</v>
      </c>
      <c r="B2321" s="26" t="str">
        <f>MID(tbl_forecast[[#This Row],[PACE Job Number]],3,3)</f>
        <v>NTX</v>
      </c>
      <c r="C2321" t="s">
        <v>18</v>
      </c>
      <c r="D2321" s="1">
        <v>43412</v>
      </c>
      <c r="E2321" s="1">
        <v>36524</v>
      </c>
      <c r="F2321" s="1">
        <v>43433</v>
      </c>
      <c r="G2321" s="1">
        <v>43433</v>
      </c>
      <c r="H2321" t="s">
        <v>4664</v>
      </c>
      <c r="I2321" t="s">
        <v>10</v>
      </c>
    </row>
    <row r="2322" spans="1:9" x14ac:dyDescent="0.25">
      <c r="A2322" t="s">
        <v>2479</v>
      </c>
      <c r="B2322" s="26" t="str">
        <f>MID(tbl_forecast[[#This Row],[PACE Job Number]],3,3)</f>
        <v>NTX</v>
      </c>
      <c r="C2322" t="s">
        <v>18</v>
      </c>
      <c r="D2322" s="1">
        <v>43432</v>
      </c>
      <c r="E2322" s="1">
        <v>36524</v>
      </c>
      <c r="F2322" s="1">
        <v>43452</v>
      </c>
      <c r="G2322" s="1"/>
      <c r="H2322" t="s">
        <v>4664</v>
      </c>
      <c r="I2322" t="s">
        <v>4666</v>
      </c>
    </row>
    <row r="2323" spans="1:9" x14ac:dyDescent="0.25">
      <c r="A2323" t="s">
        <v>3382</v>
      </c>
      <c r="B2323" s="26" t="str">
        <f>MID(tbl_forecast[[#This Row],[PACE Job Number]],3,3)</f>
        <v>NTX</v>
      </c>
      <c r="C2323" t="s">
        <v>18</v>
      </c>
      <c r="D2323" s="1">
        <v>43426</v>
      </c>
      <c r="E2323" s="1">
        <v>43321</v>
      </c>
      <c r="F2323" s="1">
        <v>43452</v>
      </c>
      <c r="G2323" s="1"/>
      <c r="H2323" t="s">
        <v>4664</v>
      </c>
      <c r="I2323" t="s">
        <v>4666</v>
      </c>
    </row>
    <row r="2324" spans="1:9" x14ac:dyDescent="0.25">
      <c r="A2324" t="s">
        <v>2480</v>
      </c>
      <c r="B2324" s="26" t="str">
        <f>MID(tbl_forecast[[#This Row],[PACE Job Number]],3,3)</f>
        <v>NTX</v>
      </c>
      <c r="C2324" t="s">
        <v>18</v>
      </c>
      <c r="D2324" s="1">
        <v>43432</v>
      </c>
      <c r="E2324" s="1">
        <v>36524</v>
      </c>
      <c r="F2324" s="1">
        <v>43452</v>
      </c>
      <c r="G2324" s="1"/>
      <c r="H2324" t="s">
        <v>4664</v>
      </c>
      <c r="I2324" t="s">
        <v>4666</v>
      </c>
    </row>
    <row r="2325" spans="1:9" x14ac:dyDescent="0.25">
      <c r="A2325" t="s">
        <v>2481</v>
      </c>
      <c r="B2325" s="26" t="str">
        <f>MID(tbl_forecast[[#This Row],[PACE Job Number]],3,3)</f>
        <v>NTX</v>
      </c>
      <c r="C2325" t="s">
        <v>18</v>
      </c>
      <c r="D2325" s="1">
        <v>43414</v>
      </c>
      <c r="E2325" s="1">
        <v>36524</v>
      </c>
      <c r="F2325" s="1">
        <v>43424</v>
      </c>
      <c r="G2325" s="1">
        <v>43424</v>
      </c>
      <c r="H2325" t="s">
        <v>9</v>
      </c>
      <c r="I2325" t="s">
        <v>10</v>
      </c>
    </row>
    <row r="2326" spans="1:9" x14ac:dyDescent="0.25">
      <c r="A2326" t="s">
        <v>4190</v>
      </c>
      <c r="B2326" s="26" t="str">
        <f>MID(tbl_forecast[[#This Row],[PACE Job Number]],3,3)</f>
        <v>NTX</v>
      </c>
      <c r="C2326" t="s">
        <v>18</v>
      </c>
      <c r="D2326" s="1">
        <v>43434</v>
      </c>
      <c r="E2326" s="1">
        <v>36524</v>
      </c>
      <c r="F2326" s="1">
        <v>43444</v>
      </c>
      <c r="G2326" s="1"/>
      <c r="H2326" t="s">
        <v>9</v>
      </c>
      <c r="I2326" t="s">
        <v>27</v>
      </c>
    </row>
    <row r="2327" spans="1:9" x14ac:dyDescent="0.25">
      <c r="A2327" t="s">
        <v>2163</v>
      </c>
      <c r="B2327" s="26" t="str">
        <f>MID(tbl_forecast[[#This Row],[PACE Job Number]],3,3)</f>
        <v>NTX</v>
      </c>
      <c r="C2327" t="s">
        <v>18</v>
      </c>
      <c r="D2327" s="1">
        <v>43422</v>
      </c>
      <c r="E2327" s="1">
        <v>36524</v>
      </c>
      <c r="F2327" s="1">
        <v>43427</v>
      </c>
      <c r="G2327" s="1">
        <v>43427</v>
      </c>
      <c r="H2327" t="s">
        <v>9</v>
      </c>
      <c r="I2327" t="s">
        <v>10</v>
      </c>
    </row>
    <row r="2328" spans="1:9" x14ac:dyDescent="0.25">
      <c r="A2328" t="s">
        <v>4306</v>
      </c>
      <c r="B2328" s="26" t="str">
        <f>MID(tbl_forecast[[#This Row],[PACE Job Number]],3,3)</f>
        <v>NTX</v>
      </c>
      <c r="C2328" t="s">
        <v>18</v>
      </c>
      <c r="D2328" s="1">
        <v>43423</v>
      </c>
      <c r="E2328" s="1">
        <v>36524</v>
      </c>
      <c r="F2328" s="1">
        <v>43412</v>
      </c>
      <c r="G2328" s="1">
        <v>43412</v>
      </c>
      <c r="H2328" t="s">
        <v>9</v>
      </c>
      <c r="I2328" t="s">
        <v>10</v>
      </c>
    </row>
    <row r="2329" spans="1:9" x14ac:dyDescent="0.25">
      <c r="A2329" t="s">
        <v>4513</v>
      </c>
      <c r="B2329" s="26" t="str">
        <f>MID(tbl_forecast[[#This Row],[PACE Job Number]],3,3)</f>
        <v>NTX</v>
      </c>
      <c r="C2329" t="s">
        <v>18</v>
      </c>
      <c r="D2329" s="1">
        <v>43418</v>
      </c>
      <c r="E2329" s="1">
        <v>36524</v>
      </c>
      <c r="F2329" s="1">
        <v>43433</v>
      </c>
      <c r="G2329" s="1">
        <v>43433</v>
      </c>
      <c r="H2329" t="s">
        <v>4664</v>
      </c>
      <c r="I2329" t="s">
        <v>10</v>
      </c>
    </row>
    <row r="2330" spans="1:9" x14ac:dyDescent="0.25">
      <c r="A2330" t="s">
        <v>4307</v>
      </c>
      <c r="B2330" s="26" t="str">
        <f>MID(tbl_forecast[[#This Row],[PACE Job Number]],3,3)</f>
        <v>NTX</v>
      </c>
      <c r="C2330" t="s">
        <v>18</v>
      </c>
      <c r="D2330" s="1">
        <v>43427</v>
      </c>
      <c r="E2330" s="1">
        <v>43414</v>
      </c>
      <c r="F2330" s="1">
        <v>43445</v>
      </c>
      <c r="G2330" s="1"/>
      <c r="H2330" t="s">
        <v>4664</v>
      </c>
      <c r="I2330" t="s">
        <v>4666</v>
      </c>
    </row>
    <row r="2331" spans="1:9" x14ac:dyDescent="0.25">
      <c r="A2331" t="s">
        <v>4308</v>
      </c>
      <c r="B2331" s="26" t="str">
        <f>MID(tbl_forecast[[#This Row],[PACE Job Number]],3,3)</f>
        <v>NTX</v>
      </c>
      <c r="C2331" t="s">
        <v>18</v>
      </c>
      <c r="D2331" s="1">
        <v>43428</v>
      </c>
      <c r="E2331" s="1">
        <v>36524</v>
      </c>
      <c r="F2331" s="1">
        <v>43434</v>
      </c>
      <c r="G2331" s="1"/>
      <c r="H2331" t="s">
        <v>9</v>
      </c>
      <c r="I2331" t="s">
        <v>27</v>
      </c>
    </row>
    <row r="2332" spans="1:9" x14ac:dyDescent="0.25">
      <c r="A2332" t="s">
        <v>4309</v>
      </c>
      <c r="B2332" s="26" t="str">
        <f>MID(tbl_forecast[[#This Row],[PACE Job Number]],3,3)</f>
        <v>NTX</v>
      </c>
      <c r="C2332" t="s">
        <v>18</v>
      </c>
      <c r="D2332" s="1">
        <v>43429</v>
      </c>
      <c r="E2332" s="1">
        <v>36524</v>
      </c>
      <c r="F2332" s="1">
        <v>43452</v>
      </c>
      <c r="G2332" s="1"/>
      <c r="H2332" t="s">
        <v>4664</v>
      </c>
      <c r="I2332" t="s">
        <v>4666</v>
      </c>
    </row>
    <row r="2333" spans="1:9" x14ac:dyDescent="0.25">
      <c r="A2333" t="s">
        <v>4310</v>
      </c>
      <c r="B2333" s="26" t="str">
        <f>MID(tbl_forecast[[#This Row],[PACE Job Number]],3,3)</f>
        <v>NTX</v>
      </c>
      <c r="C2333" t="s">
        <v>18</v>
      </c>
      <c r="D2333" s="1">
        <v>43414</v>
      </c>
      <c r="E2333" s="1">
        <v>36524</v>
      </c>
      <c r="F2333" s="1">
        <v>43432</v>
      </c>
      <c r="G2333" s="1">
        <v>43432</v>
      </c>
      <c r="H2333" t="s">
        <v>4664</v>
      </c>
      <c r="I2333" t="s">
        <v>10</v>
      </c>
    </row>
    <row r="2334" spans="1:9" x14ac:dyDescent="0.25">
      <c r="A2334" t="s">
        <v>5325</v>
      </c>
      <c r="B2334" s="26" t="str">
        <f>MID(tbl_forecast[[#This Row],[PACE Job Number]],3,3)</f>
        <v>NTX</v>
      </c>
      <c r="C2334" t="s">
        <v>18</v>
      </c>
      <c r="D2334" s="1">
        <v>43433</v>
      </c>
      <c r="E2334" s="1">
        <v>36524</v>
      </c>
      <c r="F2334" s="1">
        <v>43451</v>
      </c>
      <c r="G2334" s="1"/>
      <c r="H2334" t="s">
        <v>4664</v>
      </c>
      <c r="I2334" t="s">
        <v>4666</v>
      </c>
    </row>
    <row r="2335" spans="1:9" x14ac:dyDescent="0.25">
      <c r="A2335" t="s">
        <v>2542</v>
      </c>
      <c r="B2335" s="26" t="str">
        <f>MID(tbl_forecast[[#This Row],[PACE Job Number]],3,3)</f>
        <v>STX</v>
      </c>
      <c r="C2335" t="s">
        <v>18</v>
      </c>
      <c r="D2335" s="1">
        <v>43434</v>
      </c>
      <c r="E2335" s="1">
        <v>43465</v>
      </c>
      <c r="F2335" s="1">
        <v>43465</v>
      </c>
      <c r="G2335" s="1"/>
      <c r="H2335" t="s">
        <v>4664</v>
      </c>
      <c r="I2335" t="s">
        <v>4665</v>
      </c>
    </row>
    <row r="2336" spans="1:9" x14ac:dyDescent="0.25">
      <c r="A2336" t="s">
        <v>1605</v>
      </c>
      <c r="B2336" s="26" t="str">
        <f>MID(tbl_forecast[[#This Row],[PACE Job Number]],3,3)</f>
        <v>STX</v>
      </c>
      <c r="C2336" t="s">
        <v>18</v>
      </c>
      <c r="D2336" s="1">
        <v>43434</v>
      </c>
      <c r="E2336" s="1">
        <v>43434</v>
      </c>
      <c r="F2336" s="1">
        <v>43431</v>
      </c>
      <c r="G2336" s="1">
        <v>43431</v>
      </c>
      <c r="H2336" t="s">
        <v>9</v>
      </c>
      <c r="I2336" t="s">
        <v>10</v>
      </c>
    </row>
    <row r="2337" spans="1:9" x14ac:dyDescent="0.25">
      <c r="A2337" t="s">
        <v>172</v>
      </c>
      <c r="B2337" s="26" t="str">
        <f>MID(tbl_forecast[[#This Row],[PACE Job Number]],3,3)</f>
        <v>STX</v>
      </c>
      <c r="C2337" t="s">
        <v>18</v>
      </c>
      <c r="D2337" s="1">
        <v>43434</v>
      </c>
      <c r="E2337" s="1">
        <v>43434</v>
      </c>
      <c r="F2337" s="1">
        <v>43434</v>
      </c>
      <c r="G2337" s="1"/>
      <c r="H2337" t="s">
        <v>9</v>
      </c>
      <c r="I2337" t="s">
        <v>27</v>
      </c>
    </row>
    <row r="2338" spans="1:9" x14ac:dyDescent="0.25">
      <c r="A2338" t="s">
        <v>1646</v>
      </c>
      <c r="B2338" s="26" t="str">
        <f>MID(tbl_forecast[[#This Row],[PACE Job Number]],3,3)</f>
        <v>STX</v>
      </c>
      <c r="C2338" t="s">
        <v>18</v>
      </c>
      <c r="D2338" s="1">
        <v>43434</v>
      </c>
      <c r="E2338" s="1">
        <v>43434</v>
      </c>
      <c r="F2338" s="1">
        <v>43431</v>
      </c>
      <c r="G2338" s="1">
        <v>43431</v>
      </c>
      <c r="H2338" t="s">
        <v>9</v>
      </c>
      <c r="I2338" t="s">
        <v>10</v>
      </c>
    </row>
    <row r="2339" spans="1:9" x14ac:dyDescent="0.25">
      <c r="A2339" t="s">
        <v>3426</v>
      </c>
      <c r="B2339" s="26" t="str">
        <f>MID(tbl_forecast[[#This Row],[PACE Job Number]],3,3)</f>
        <v>STX</v>
      </c>
      <c r="C2339" t="s">
        <v>18</v>
      </c>
      <c r="D2339" s="1">
        <v>43434</v>
      </c>
      <c r="E2339" s="1">
        <v>43434</v>
      </c>
      <c r="F2339" s="1">
        <v>43431</v>
      </c>
      <c r="G2339" s="1">
        <v>43431</v>
      </c>
      <c r="H2339" t="s">
        <v>9</v>
      </c>
      <c r="I2339" t="s">
        <v>10</v>
      </c>
    </row>
    <row r="2340" spans="1:9" x14ac:dyDescent="0.25">
      <c r="A2340" t="s">
        <v>4314</v>
      </c>
      <c r="B2340" s="26" t="str">
        <f>MID(tbl_forecast[[#This Row],[PACE Job Number]],3,3)</f>
        <v>STX</v>
      </c>
      <c r="C2340" t="s">
        <v>18</v>
      </c>
      <c r="D2340" s="1">
        <v>43419</v>
      </c>
      <c r="E2340" s="1">
        <v>43419</v>
      </c>
      <c r="F2340" s="1">
        <v>43416</v>
      </c>
      <c r="G2340" s="1">
        <v>43416</v>
      </c>
      <c r="H2340" t="s">
        <v>9</v>
      </c>
      <c r="I2340" t="s">
        <v>10</v>
      </c>
    </row>
    <row r="2341" spans="1:9" x14ac:dyDescent="0.25">
      <c r="A2341" t="s">
        <v>4316</v>
      </c>
      <c r="B2341" s="26" t="str">
        <f>MID(tbl_forecast[[#This Row],[PACE Job Number]],3,3)</f>
        <v>STX</v>
      </c>
      <c r="C2341" t="s">
        <v>18</v>
      </c>
      <c r="D2341" s="1">
        <v>43434</v>
      </c>
      <c r="E2341" s="1">
        <v>43465</v>
      </c>
      <c r="F2341" s="1">
        <v>43465</v>
      </c>
      <c r="G2341" s="1"/>
      <c r="H2341" t="s">
        <v>4664</v>
      </c>
      <c r="I2341" t="s">
        <v>4665</v>
      </c>
    </row>
    <row r="2342" spans="1:9" x14ac:dyDescent="0.25">
      <c r="A2342" t="s">
        <v>5326</v>
      </c>
      <c r="B2342" s="26" t="str">
        <f>MID(tbl_forecast[[#This Row],[PACE Job Number]],3,3)</f>
        <v>STX</v>
      </c>
      <c r="C2342" t="s">
        <v>18</v>
      </c>
      <c r="D2342" s="1">
        <v>43434</v>
      </c>
      <c r="E2342" s="1">
        <v>43434</v>
      </c>
      <c r="F2342" s="1">
        <v>43434</v>
      </c>
      <c r="G2342" s="1"/>
      <c r="H2342" t="s">
        <v>9</v>
      </c>
      <c r="I2342" t="s">
        <v>27</v>
      </c>
    </row>
    <row r="2343" spans="1:9" x14ac:dyDescent="0.25">
      <c r="A2343" t="s">
        <v>1650</v>
      </c>
      <c r="B2343" s="26" t="str">
        <f>MID(tbl_forecast[[#This Row],[PACE Job Number]],3,3)</f>
        <v>STX</v>
      </c>
      <c r="C2343" t="s">
        <v>18</v>
      </c>
      <c r="D2343" s="1">
        <v>43434</v>
      </c>
      <c r="E2343" s="1">
        <v>43434</v>
      </c>
      <c r="F2343" s="1">
        <v>43430</v>
      </c>
      <c r="G2343" s="1">
        <v>43430</v>
      </c>
      <c r="H2343" t="s">
        <v>9</v>
      </c>
      <c r="I2343" t="s">
        <v>10</v>
      </c>
    </row>
    <row r="2344" spans="1:9" x14ac:dyDescent="0.25">
      <c r="A2344" t="s">
        <v>1579</v>
      </c>
      <c r="B2344" s="26" t="str">
        <f>MID(tbl_forecast[[#This Row],[PACE Job Number]],3,3)</f>
        <v>STX</v>
      </c>
      <c r="C2344" t="s">
        <v>18</v>
      </c>
      <c r="D2344" s="1">
        <v>43434</v>
      </c>
      <c r="E2344" s="1">
        <v>43434</v>
      </c>
      <c r="F2344" s="1">
        <v>43430</v>
      </c>
      <c r="G2344" s="1">
        <v>43430</v>
      </c>
      <c r="H2344" t="s">
        <v>9</v>
      </c>
      <c r="I2344" t="s">
        <v>10</v>
      </c>
    </row>
    <row r="2345" spans="1:9" x14ac:dyDescent="0.25">
      <c r="A2345" t="s">
        <v>4318</v>
      </c>
      <c r="B2345" s="26" t="str">
        <f>MID(tbl_forecast[[#This Row],[PACE Job Number]],3,3)</f>
        <v>STX</v>
      </c>
      <c r="C2345" t="s">
        <v>18</v>
      </c>
      <c r="D2345" s="1">
        <v>43419</v>
      </c>
      <c r="E2345" s="1">
        <v>43419</v>
      </c>
      <c r="F2345" s="1">
        <v>43418</v>
      </c>
      <c r="G2345" s="1">
        <v>43418</v>
      </c>
      <c r="H2345" t="s">
        <v>9</v>
      </c>
      <c r="I2345" t="s">
        <v>10</v>
      </c>
    </row>
    <row r="2346" spans="1:9" x14ac:dyDescent="0.25">
      <c r="A2346" t="s">
        <v>4319</v>
      </c>
      <c r="B2346" s="26" t="str">
        <f>MID(tbl_forecast[[#This Row],[PACE Job Number]],3,3)</f>
        <v>STX</v>
      </c>
      <c r="C2346" t="s">
        <v>18</v>
      </c>
      <c r="D2346" s="1">
        <v>43432</v>
      </c>
      <c r="E2346" s="1">
        <v>43432</v>
      </c>
      <c r="F2346" s="1">
        <v>43432</v>
      </c>
      <c r="G2346" s="1"/>
      <c r="H2346" t="s">
        <v>9</v>
      </c>
      <c r="I2346" t="s">
        <v>27</v>
      </c>
    </row>
    <row r="2347" spans="1:9" x14ac:dyDescent="0.25">
      <c r="A2347" t="s">
        <v>3463</v>
      </c>
      <c r="B2347" s="26" t="str">
        <f>MID(tbl_forecast[[#This Row],[PACE Job Number]],3,3)</f>
        <v>STX</v>
      </c>
      <c r="C2347" t="s">
        <v>18</v>
      </c>
      <c r="D2347" s="1">
        <v>43432</v>
      </c>
      <c r="E2347" s="1">
        <v>43465</v>
      </c>
      <c r="F2347" s="1">
        <v>43465</v>
      </c>
      <c r="G2347" s="1"/>
      <c r="H2347" t="s">
        <v>4664</v>
      </c>
      <c r="I2347" t="s">
        <v>4665</v>
      </c>
    </row>
    <row r="2348" spans="1:9" x14ac:dyDescent="0.25">
      <c r="A2348" t="s">
        <v>5527</v>
      </c>
      <c r="B2348" s="26" t="str">
        <f>MID(tbl_forecast[[#This Row],[PACE Job Number]],3,3)</f>
        <v>STX</v>
      </c>
      <c r="C2348" t="s">
        <v>18</v>
      </c>
      <c r="D2348" s="1">
        <v>43434</v>
      </c>
      <c r="E2348" s="1">
        <v>43434</v>
      </c>
      <c r="F2348" s="1">
        <v>43404</v>
      </c>
      <c r="G2348" s="1">
        <v>43404</v>
      </c>
      <c r="H2348" t="s">
        <v>9</v>
      </c>
      <c r="I2348" t="s">
        <v>10</v>
      </c>
    </row>
    <row r="2349" spans="1:9" x14ac:dyDescent="0.25">
      <c r="A2349" t="s">
        <v>5464</v>
      </c>
      <c r="B2349" s="26" t="str">
        <f>MID(tbl_forecast[[#This Row],[PACE Job Number]],3,3)</f>
        <v>STX</v>
      </c>
      <c r="C2349" t="s">
        <v>18</v>
      </c>
      <c r="D2349" s="1">
        <v>43434</v>
      </c>
      <c r="E2349" s="1">
        <v>43434</v>
      </c>
      <c r="F2349" s="1">
        <v>43434</v>
      </c>
      <c r="G2349" s="1"/>
      <c r="H2349" t="s">
        <v>9</v>
      </c>
      <c r="I2349" t="s">
        <v>27</v>
      </c>
    </row>
    <row r="2350" spans="1:9" x14ac:dyDescent="0.25">
      <c r="A2350" t="s">
        <v>5197</v>
      </c>
      <c r="B2350" s="26" t="str">
        <f>MID(tbl_forecast[[#This Row],[PACE Job Number]],3,3)</f>
        <v>WSH</v>
      </c>
      <c r="C2350" t="s">
        <v>18</v>
      </c>
      <c r="D2350" s="1">
        <v>43434</v>
      </c>
      <c r="E2350" s="1">
        <v>43311</v>
      </c>
      <c r="F2350" s="1">
        <v>43465</v>
      </c>
      <c r="G2350" s="1"/>
      <c r="H2350" t="s">
        <v>4664</v>
      </c>
      <c r="I2350" t="s">
        <v>4666</v>
      </c>
    </row>
    <row r="2351" spans="1:9" x14ac:dyDescent="0.25">
      <c r="A2351" t="s">
        <v>3902</v>
      </c>
      <c r="B2351" s="26" t="str">
        <f>MID(tbl_forecast[[#This Row],[PACE Job Number]],3,3)</f>
        <v>WSH</v>
      </c>
      <c r="C2351" t="s">
        <v>18</v>
      </c>
      <c r="D2351" s="1">
        <v>43434</v>
      </c>
      <c r="E2351" s="1">
        <v>43465</v>
      </c>
      <c r="F2351" s="1">
        <v>43465</v>
      </c>
      <c r="G2351" s="1"/>
      <c r="H2351" t="s">
        <v>4664</v>
      </c>
      <c r="I2351" t="s">
        <v>4665</v>
      </c>
    </row>
    <row r="2352" spans="1:9" x14ac:dyDescent="0.25">
      <c r="A2352" t="s">
        <v>3903</v>
      </c>
      <c r="B2352" s="26" t="str">
        <f>MID(tbl_forecast[[#This Row],[PACE Job Number]],3,3)</f>
        <v>WSH</v>
      </c>
      <c r="C2352" t="s">
        <v>18</v>
      </c>
      <c r="D2352" s="1">
        <v>43434</v>
      </c>
      <c r="E2352" s="1">
        <v>43406</v>
      </c>
      <c r="F2352" s="1">
        <v>43416</v>
      </c>
      <c r="G2352" s="1">
        <v>43416</v>
      </c>
      <c r="H2352" t="s">
        <v>9</v>
      </c>
      <c r="I2352" t="s">
        <v>10</v>
      </c>
    </row>
    <row r="2353" spans="1:9" x14ac:dyDescent="0.25">
      <c r="A2353" t="s">
        <v>148</v>
      </c>
      <c r="B2353" s="26" t="str">
        <f>MID(tbl_forecast[[#This Row],[PACE Job Number]],3,3)</f>
        <v>WSH</v>
      </c>
      <c r="C2353" t="s">
        <v>18</v>
      </c>
      <c r="D2353" s="1">
        <v>43434</v>
      </c>
      <c r="E2353" s="1">
        <v>43230</v>
      </c>
      <c r="F2353" s="1">
        <v>43424</v>
      </c>
      <c r="G2353" s="1">
        <v>43424</v>
      </c>
      <c r="H2353" t="s">
        <v>9</v>
      </c>
      <c r="I2353" t="s">
        <v>10</v>
      </c>
    </row>
    <row r="2354" spans="1:9" x14ac:dyDescent="0.25">
      <c r="A2354" t="s">
        <v>4206</v>
      </c>
      <c r="B2354" s="26" t="str">
        <f>MID(tbl_forecast[[#This Row],[PACE Job Number]],3,3)</f>
        <v>WSH</v>
      </c>
      <c r="C2354" t="s">
        <v>18</v>
      </c>
      <c r="D2354" s="1">
        <v>43434</v>
      </c>
      <c r="E2354" s="1">
        <v>43344</v>
      </c>
      <c r="F2354" s="1">
        <v>43432</v>
      </c>
      <c r="G2354" s="1">
        <v>43432</v>
      </c>
      <c r="H2354" t="s">
        <v>9</v>
      </c>
      <c r="I2354" t="s">
        <v>10</v>
      </c>
    </row>
    <row r="2355" spans="1:9" x14ac:dyDescent="0.25">
      <c r="A2355" t="s">
        <v>4207</v>
      </c>
      <c r="B2355" s="26" t="str">
        <f>MID(tbl_forecast[[#This Row],[PACE Job Number]],3,3)</f>
        <v>WSH</v>
      </c>
      <c r="C2355" t="s">
        <v>18</v>
      </c>
      <c r="D2355" s="1">
        <v>43434</v>
      </c>
      <c r="E2355" s="1">
        <v>43223</v>
      </c>
      <c r="F2355" s="1">
        <v>43418</v>
      </c>
      <c r="G2355" s="1">
        <v>43418</v>
      </c>
      <c r="H2355" t="s">
        <v>9</v>
      </c>
      <c r="I2355" t="s">
        <v>10</v>
      </c>
    </row>
    <row r="2356" spans="1:9" x14ac:dyDescent="0.25">
      <c r="A2356" t="s">
        <v>254</v>
      </c>
      <c r="B2356" s="26" t="str">
        <f>MID(tbl_forecast[[#This Row],[PACE Job Number]],3,3)</f>
        <v>WSH</v>
      </c>
      <c r="C2356" t="s">
        <v>18</v>
      </c>
      <c r="D2356" s="1">
        <v>43434</v>
      </c>
      <c r="E2356" s="1">
        <v>43465</v>
      </c>
      <c r="F2356" s="1">
        <v>43465</v>
      </c>
      <c r="G2356" s="1"/>
      <c r="H2356" t="s">
        <v>4664</v>
      </c>
      <c r="I2356" t="s">
        <v>4665</v>
      </c>
    </row>
    <row r="2357" spans="1:9" x14ac:dyDescent="0.25">
      <c r="A2357" t="s">
        <v>5199</v>
      </c>
      <c r="B2357" s="26" t="str">
        <f>MID(tbl_forecast[[#This Row],[PACE Job Number]],3,3)</f>
        <v>WSH</v>
      </c>
      <c r="C2357" t="s">
        <v>18</v>
      </c>
      <c r="D2357" s="1">
        <v>43434</v>
      </c>
      <c r="E2357" s="1">
        <v>43465</v>
      </c>
      <c r="F2357" s="1">
        <v>43425</v>
      </c>
      <c r="G2357" s="1">
        <v>43425</v>
      </c>
      <c r="H2357" t="s">
        <v>9</v>
      </c>
      <c r="I2357" t="s">
        <v>10</v>
      </c>
    </row>
    <row r="2358" spans="1:9" x14ac:dyDescent="0.25">
      <c r="A2358" t="s">
        <v>5200</v>
      </c>
      <c r="B2358" s="26" t="str">
        <f>MID(tbl_forecast[[#This Row],[PACE Job Number]],3,3)</f>
        <v>WSH</v>
      </c>
      <c r="C2358" t="s">
        <v>18</v>
      </c>
      <c r="D2358" s="1">
        <v>43434</v>
      </c>
      <c r="E2358" s="1">
        <v>43465</v>
      </c>
      <c r="F2358" s="1">
        <v>43465</v>
      </c>
      <c r="G2358" s="1"/>
      <c r="H2358" t="s">
        <v>4664</v>
      </c>
      <c r="I2358" t="s">
        <v>4665</v>
      </c>
    </row>
    <row r="2359" spans="1:9" x14ac:dyDescent="0.25">
      <c r="A2359" t="s">
        <v>5327</v>
      </c>
      <c r="B2359" s="26" t="str">
        <f>MID(tbl_forecast[[#This Row],[PACE Job Number]],3,3)</f>
        <v>WSH</v>
      </c>
      <c r="C2359" t="s">
        <v>18</v>
      </c>
      <c r="D2359" s="1">
        <v>43434</v>
      </c>
      <c r="E2359" s="1">
        <v>43465</v>
      </c>
      <c r="F2359" s="1">
        <v>43465</v>
      </c>
      <c r="G2359" s="1"/>
      <c r="H2359" t="s">
        <v>4664</v>
      </c>
      <c r="I2359" t="s">
        <v>4665</v>
      </c>
    </row>
    <row r="2360" spans="1:9" x14ac:dyDescent="0.25">
      <c r="A2360" t="s">
        <v>3813</v>
      </c>
      <c r="B2360" s="26" t="str">
        <f>MID(tbl_forecast[[#This Row],[PACE Job Number]],3,3)</f>
        <v>WSH</v>
      </c>
      <c r="C2360" t="s">
        <v>18</v>
      </c>
      <c r="D2360" s="1">
        <v>43434</v>
      </c>
      <c r="E2360" s="1">
        <v>43286</v>
      </c>
      <c r="F2360" s="1">
        <v>43465</v>
      </c>
      <c r="G2360" s="1"/>
      <c r="H2360" t="s">
        <v>4664</v>
      </c>
      <c r="I2360" t="s">
        <v>4666</v>
      </c>
    </row>
    <row r="2361" spans="1:9" x14ac:dyDescent="0.25">
      <c r="A2361" t="s">
        <v>3396</v>
      </c>
      <c r="B2361" s="26" t="str">
        <f>MID(tbl_forecast[[#This Row],[PACE Job Number]],3,3)</f>
        <v>WSH</v>
      </c>
      <c r="C2361" t="s">
        <v>18</v>
      </c>
      <c r="D2361" s="1">
        <v>43434</v>
      </c>
      <c r="E2361" s="1">
        <v>43323</v>
      </c>
      <c r="F2361" s="1">
        <v>43465</v>
      </c>
      <c r="G2361" s="1"/>
      <c r="H2361" t="s">
        <v>4664</v>
      </c>
      <c r="I2361" t="s">
        <v>4666</v>
      </c>
    </row>
    <row r="2362" spans="1:9" x14ac:dyDescent="0.25">
      <c r="A2362" t="s">
        <v>55</v>
      </c>
      <c r="B2362" s="26" t="str">
        <f>MID(tbl_forecast[[#This Row],[PACE Job Number]],3,3)</f>
        <v>WSH</v>
      </c>
      <c r="C2362" t="s">
        <v>18</v>
      </c>
      <c r="D2362" s="1">
        <v>43434</v>
      </c>
      <c r="E2362" s="1">
        <v>43465</v>
      </c>
      <c r="F2362" s="1">
        <v>43409</v>
      </c>
      <c r="G2362" s="1">
        <v>43409</v>
      </c>
      <c r="H2362" t="s">
        <v>9</v>
      </c>
      <c r="I2362" t="s">
        <v>10</v>
      </c>
    </row>
    <row r="2363" spans="1:9" x14ac:dyDescent="0.25">
      <c r="A2363" t="s">
        <v>3410</v>
      </c>
      <c r="B2363" s="26" t="str">
        <f>MID(tbl_forecast[[#This Row],[PACE Job Number]],3,3)</f>
        <v>WSH</v>
      </c>
      <c r="C2363" t="s">
        <v>18</v>
      </c>
      <c r="D2363" s="1">
        <v>43434</v>
      </c>
      <c r="E2363" s="1">
        <v>43459</v>
      </c>
      <c r="F2363" s="1">
        <v>43405</v>
      </c>
      <c r="G2363" s="1">
        <v>43405</v>
      </c>
      <c r="H2363" t="s">
        <v>9</v>
      </c>
      <c r="I2363" t="s">
        <v>10</v>
      </c>
    </row>
    <row r="2364" spans="1:9" x14ac:dyDescent="0.25">
      <c r="A2364" t="s">
        <v>197</v>
      </c>
      <c r="B2364" s="26" t="str">
        <f>MID(tbl_forecast[[#This Row],[PACE Job Number]],3,3)</f>
        <v>WSH</v>
      </c>
      <c r="C2364" t="s">
        <v>18</v>
      </c>
      <c r="D2364" s="1">
        <v>43434</v>
      </c>
      <c r="E2364" s="1">
        <v>43344</v>
      </c>
      <c r="F2364" s="1">
        <v>43434</v>
      </c>
      <c r="G2364" s="1"/>
      <c r="H2364" t="s">
        <v>9</v>
      </c>
      <c r="I2364" t="s">
        <v>27</v>
      </c>
    </row>
    <row r="2365" spans="1:9" x14ac:dyDescent="0.25">
      <c r="A2365" t="s">
        <v>3907</v>
      </c>
      <c r="B2365" s="26" t="str">
        <f>MID(tbl_forecast[[#This Row],[PACE Job Number]],3,3)</f>
        <v>WSH</v>
      </c>
      <c r="C2365" t="s">
        <v>18</v>
      </c>
      <c r="D2365" s="1">
        <v>43434</v>
      </c>
      <c r="E2365" s="1">
        <v>43465</v>
      </c>
      <c r="F2365" s="1">
        <v>43411</v>
      </c>
      <c r="G2365" s="1">
        <v>43411</v>
      </c>
      <c r="H2365" t="s">
        <v>9</v>
      </c>
      <c r="I2365" t="s">
        <v>10</v>
      </c>
    </row>
    <row r="2366" spans="1:9" x14ac:dyDescent="0.25">
      <c r="A2366" t="s">
        <v>4208</v>
      </c>
      <c r="B2366" s="26" t="str">
        <f>MID(tbl_forecast[[#This Row],[PACE Job Number]],3,3)</f>
        <v>WSH</v>
      </c>
      <c r="C2366" t="s">
        <v>18</v>
      </c>
      <c r="D2366" s="1">
        <v>43434</v>
      </c>
      <c r="E2366" s="1" t="s">
        <v>5646</v>
      </c>
      <c r="F2366" s="1" t="s">
        <v>5646</v>
      </c>
      <c r="G2366" s="1" t="s">
        <v>5646</v>
      </c>
      <c r="H2366" t="s">
        <v>5647</v>
      </c>
      <c r="I2366" t="s">
        <v>27</v>
      </c>
    </row>
    <row r="2367" spans="1:9" x14ac:dyDescent="0.25">
      <c r="A2367" t="s">
        <v>5201</v>
      </c>
      <c r="B2367" s="26" t="str">
        <f>MID(tbl_forecast[[#This Row],[PACE Job Number]],3,3)</f>
        <v>WSH</v>
      </c>
      <c r="C2367" t="s">
        <v>18</v>
      </c>
      <c r="D2367" s="1">
        <v>43434</v>
      </c>
      <c r="E2367" s="1">
        <v>36524</v>
      </c>
      <c r="F2367" s="1">
        <v>43434</v>
      </c>
      <c r="G2367" s="1"/>
      <c r="H2367" t="s">
        <v>9</v>
      </c>
      <c r="I2367" t="s">
        <v>27</v>
      </c>
    </row>
    <row r="2368" spans="1:9" x14ac:dyDescent="0.25">
      <c r="A2368" t="s">
        <v>5202</v>
      </c>
      <c r="B2368" s="26" t="str">
        <f>MID(tbl_forecast[[#This Row],[PACE Job Number]],3,3)</f>
        <v>WSH</v>
      </c>
      <c r="C2368" t="s">
        <v>18</v>
      </c>
      <c r="D2368" s="1">
        <v>43434</v>
      </c>
      <c r="E2368" s="1">
        <v>43465</v>
      </c>
      <c r="F2368" s="1">
        <v>43465</v>
      </c>
      <c r="G2368" s="1"/>
      <c r="H2368" t="s">
        <v>4664</v>
      </c>
      <c r="I2368" t="s">
        <v>4665</v>
      </c>
    </row>
    <row r="2369" spans="1:9" x14ac:dyDescent="0.25">
      <c r="A2369" t="s">
        <v>3411</v>
      </c>
      <c r="B2369" s="26" t="str">
        <f>MID(tbl_forecast[[#This Row],[PACE Job Number]],3,3)</f>
        <v>WSH</v>
      </c>
      <c r="C2369" t="s">
        <v>18</v>
      </c>
      <c r="D2369" s="1">
        <v>43434</v>
      </c>
      <c r="E2369" s="1">
        <v>43465</v>
      </c>
      <c r="F2369" s="1">
        <v>43411</v>
      </c>
      <c r="G2369" s="1">
        <v>43411</v>
      </c>
      <c r="H2369" t="s">
        <v>9</v>
      </c>
      <c r="I2369" t="s">
        <v>10</v>
      </c>
    </row>
    <row r="2370" spans="1:9" x14ac:dyDescent="0.25">
      <c r="A2370" t="s">
        <v>63</v>
      </c>
      <c r="B2370" s="26" t="str">
        <f>MID(tbl_forecast[[#This Row],[PACE Job Number]],3,3)</f>
        <v>WSH</v>
      </c>
      <c r="C2370" t="s">
        <v>18</v>
      </c>
      <c r="D2370" s="1">
        <v>43434</v>
      </c>
      <c r="E2370" s="1">
        <v>43244</v>
      </c>
      <c r="F2370" s="1">
        <v>43432</v>
      </c>
      <c r="G2370" s="1">
        <v>43432</v>
      </c>
      <c r="H2370" t="s">
        <v>9</v>
      </c>
      <c r="I2370" t="s">
        <v>10</v>
      </c>
    </row>
    <row r="2371" spans="1:9" x14ac:dyDescent="0.25">
      <c r="A2371" t="s">
        <v>4209</v>
      </c>
      <c r="B2371" s="26" t="str">
        <f>MID(tbl_forecast[[#This Row],[PACE Job Number]],3,3)</f>
        <v>WSH</v>
      </c>
      <c r="C2371" t="s">
        <v>18</v>
      </c>
      <c r="D2371" s="1">
        <v>43434</v>
      </c>
      <c r="E2371" s="1">
        <v>43252</v>
      </c>
      <c r="F2371" s="1">
        <v>43419</v>
      </c>
      <c r="G2371" s="1">
        <v>43419</v>
      </c>
      <c r="H2371" t="s">
        <v>9</v>
      </c>
      <c r="I2371" t="s">
        <v>10</v>
      </c>
    </row>
    <row r="2372" spans="1:9" x14ac:dyDescent="0.25">
      <c r="A2372" t="s">
        <v>3819</v>
      </c>
      <c r="B2372" s="26" t="str">
        <f>MID(tbl_forecast[[#This Row],[PACE Job Number]],3,3)</f>
        <v>WSH</v>
      </c>
      <c r="C2372" t="s">
        <v>18</v>
      </c>
      <c r="D2372" s="1">
        <v>43434</v>
      </c>
      <c r="E2372" s="1">
        <v>43465</v>
      </c>
      <c r="F2372" s="1">
        <v>43430</v>
      </c>
      <c r="G2372" s="1">
        <v>43430</v>
      </c>
      <c r="H2372" t="s">
        <v>9</v>
      </c>
      <c r="I2372" t="s">
        <v>10</v>
      </c>
    </row>
    <row r="2373" spans="1:9" x14ac:dyDescent="0.25">
      <c r="A2373" t="s">
        <v>3820</v>
      </c>
      <c r="B2373" s="26" t="str">
        <f>MID(tbl_forecast[[#This Row],[PACE Job Number]],3,3)</f>
        <v>WSH</v>
      </c>
      <c r="C2373" t="s">
        <v>18</v>
      </c>
      <c r="D2373" s="1">
        <v>43434</v>
      </c>
      <c r="E2373" s="1">
        <v>43465</v>
      </c>
      <c r="F2373" s="1">
        <v>43465</v>
      </c>
      <c r="G2373" s="1"/>
      <c r="H2373" t="s">
        <v>4664</v>
      </c>
      <c r="I2373" t="s">
        <v>4665</v>
      </c>
    </row>
    <row r="2374" spans="1:9" x14ac:dyDescent="0.25">
      <c r="A2374" t="s">
        <v>5329</v>
      </c>
      <c r="B2374" s="26" t="str">
        <f>MID(tbl_forecast[[#This Row],[PACE Job Number]],3,3)</f>
        <v>WSH</v>
      </c>
      <c r="C2374" t="s">
        <v>18</v>
      </c>
      <c r="D2374" s="1">
        <v>43434</v>
      </c>
      <c r="E2374" s="1">
        <v>43465</v>
      </c>
      <c r="F2374" s="1">
        <v>43465</v>
      </c>
      <c r="G2374" s="1"/>
      <c r="H2374" t="s">
        <v>4664</v>
      </c>
      <c r="I2374" t="s">
        <v>4665</v>
      </c>
    </row>
    <row r="2375" spans="1:9" x14ac:dyDescent="0.25">
      <c r="A2375" t="s">
        <v>5330</v>
      </c>
      <c r="B2375" s="26" t="str">
        <f>MID(tbl_forecast[[#This Row],[PACE Job Number]],3,3)</f>
        <v>WSH</v>
      </c>
      <c r="C2375" t="s">
        <v>18</v>
      </c>
      <c r="D2375" s="1">
        <v>43434</v>
      </c>
      <c r="E2375" s="1">
        <v>43465</v>
      </c>
      <c r="F2375" s="1">
        <v>43425</v>
      </c>
      <c r="G2375" s="1">
        <v>43425</v>
      </c>
      <c r="H2375" t="s">
        <v>9</v>
      </c>
      <c r="I2375" t="s">
        <v>10</v>
      </c>
    </row>
    <row r="2376" spans="1:9" x14ac:dyDescent="0.25">
      <c r="A2376" t="s">
        <v>296</v>
      </c>
      <c r="B2376" s="26" t="str">
        <f>MID(tbl_forecast[[#This Row],[PACE Job Number]],3,3)</f>
        <v>WSH</v>
      </c>
      <c r="C2376" t="s">
        <v>18</v>
      </c>
      <c r="D2376" s="1">
        <v>43434</v>
      </c>
      <c r="E2376" s="1">
        <v>43465</v>
      </c>
      <c r="F2376" s="1">
        <v>43412</v>
      </c>
      <c r="G2376" s="1">
        <v>43412</v>
      </c>
      <c r="H2376" t="s">
        <v>9</v>
      </c>
      <c r="I2376" t="s">
        <v>10</v>
      </c>
    </row>
    <row r="2377" spans="1:9" x14ac:dyDescent="0.25">
      <c r="A2377" t="s">
        <v>5465</v>
      </c>
      <c r="B2377" s="26" t="str">
        <f>MID(tbl_forecast[[#This Row],[PACE Job Number]],3,3)</f>
        <v>STX</v>
      </c>
      <c r="C2377" t="s">
        <v>18</v>
      </c>
      <c r="D2377" s="1">
        <v>43434</v>
      </c>
      <c r="E2377" s="1">
        <v>43434</v>
      </c>
      <c r="F2377" s="1">
        <v>43434</v>
      </c>
      <c r="G2377" s="1"/>
      <c r="H2377" t="s">
        <v>9</v>
      </c>
      <c r="I2377" t="s">
        <v>27</v>
      </c>
    </row>
    <row r="2378" spans="1:9" x14ac:dyDescent="0.25">
      <c r="A2378" t="s">
        <v>4327</v>
      </c>
      <c r="B2378" s="26" t="str">
        <f>MID(tbl_forecast[[#This Row],[PACE Job Number]],3,3)</f>
        <v>STX</v>
      </c>
      <c r="C2378" t="s">
        <v>18</v>
      </c>
      <c r="D2378" s="1">
        <v>43434</v>
      </c>
      <c r="E2378" s="1">
        <v>43434</v>
      </c>
      <c r="F2378" s="1">
        <v>43434</v>
      </c>
      <c r="G2378" s="1"/>
      <c r="H2378" t="s">
        <v>9</v>
      </c>
      <c r="I2378" t="s">
        <v>27</v>
      </c>
    </row>
    <row r="2379" spans="1:9" x14ac:dyDescent="0.25">
      <c r="A2379" t="s">
        <v>5331</v>
      </c>
      <c r="B2379" s="26" t="str">
        <f>MID(tbl_forecast[[#This Row],[PACE Job Number]],3,3)</f>
        <v>STX</v>
      </c>
      <c r="C2379" t="s">
        <v>18</v>
      </c>
      <c r="D2379" s="1">
        <v>43432</v>
      </c>
      <c r="E2379" s="1">
        <v>43432</v>
      </c>
      <c r="F2379" s="1">
        <v>43420</v>
      </c>
      <c r="G2379" s="1">
        <v>43420</v>
      </c>
      <c r="H2379" t="s">
        <v>9</v>
      </c>
      <c r="I2379" t="s">
        <v>10</v>
      </c>
    </row>
    <row r="2380" spans="1:9" x14ac:dyDescent="0.25">
      <c r="A2380" t="s">
        <v>5528</v>
      </c>
      <c r="B2380" s="26" t="str">
        <f>MID(tbl_forecast[[#This Row],[PACE Job Number]],3,3)</f>
        <v>STX</v>
      </c>
      <c r="C2380" t="s">
        <v>18</v>
      </c>
      <c r="D2380" s="1">
        <v>43419</v>
      </c>
      <c r="E2380" s="1">
        <v>43419</v>
      </c>
      <c r="F2380" s="1">
        <v>43419</v>
      </c>
      <c r="G2380" s="1">
        <v>43419</v>
      </c>
      <c r="H2380" t="s">
        <v>9</v>
      </c>
      <c r="I2380" t="s">
        <v>10</v>
      </c>
    </row>
    <row r="2381" spans="1:9" x14ac:dyDescent="0.25">
      <c r="A2381" t="s">
        <v>2568</v>
      </c>
      <c r="B2381" s="26" t="str">
        <f>MID(tbl_forecast[[#This Row],[PACE Job Number]],3,3)</f>
        <v>STX</v>
      </c>
      <c r="C2381" t="s">
        <v>18</v>
      </c>
      <c r="D2381" s="1">
        <v>43434</v>
      </c>
      <c r="E2381" s="1">
        <v>43465</v>
      </c>
      <c r="F2381" s="1">
        <v>43465</v>
      </c>
      <c r="G2381" s="1"/>
      <c r="H2381" t="s">
        <v>4664</v>
      </c>
      <c r="I2381" t="s">
        <v>4665</v>
      </c>
    </row>
    <row r="2382" spans="1:9" x14ac:dyDescent="0.25">
      <c r="A2382" t="s">
        <v>4329</v>
      </c>
      <c r="B2382" s="26" t="str">
        <f>MID(tbl_forecast[[#This Row],[PACE Job Number]],3,3)</f>
        <v>STX</v>
      </c>
      <c r="C2382" t="s">
        <v>18</v>
      </c>
      <c r="D2382" s="1">
        <v>43432</v>
      </c>
      <c r="E2382" s="1">
        <v>43432</v>
      </c>
      <c r="F2382" s="1">
        <v>43425</v>
      </c>
      <c r="G2382" s="1">
        <v>43425</v>
      </c>
      <c r="H2382" t="s">
        <v>9</v>
      </c>
      <c r="I2382" t="s">
        <v>10</v>
      </c>
    </row>
    <row r="2383" spans="1:9" x14ac:dyDescent="0.25">
      <c r="A2383" t="s">
        <v>187</v>
      </c>
      <c r="B2383" s="26" t="str">
        <f>MID(tbl_forecast[[#This Row],[PACE Job Number]],3,3)</f>
        <v>STX</v>
      </c>
      <c r="C2383" t="s">
        <v>18</v>
      </c>
      <c r="D2383" s="1">
        <v>43434</v>
      </c>
      <c r="E2383" s="1">
        <v>43404</v>
      </c>
      <c r="F2383" s="1">
        <v>43424</v>
      </c>
      <c r="G2383" s="1">
        <v>43424</v>
      </c>
      <c r="H2383" t="s">
        <v>9</v>
      </c>
      <c r="I2383" t="s">
        <v>10</v>
      </c>
    </row>
    <row r="2384" spans="1:9" x14ac:dyDescent="0.25">
      <c r="A2384" t="s">
        <v>5332</v>
      </c>
      <c r="B2384" s="26" t="str">
        <f>MID(tbl_forecast[[#This Row],[PACE Job Number]],3,3)</f>
        <v>STX</v>
      </c>
      <c r="C2384" t="s">
        <v>18</v>
      </c>
      <c r="D2384" s="1">
        <v>43432</v>
      </c>
      <c r="E2384" s="1">
        <v>43465</v>
      </c>
      <c r="F2384" s="1">
        <v>43465</v>
      </c>
      <c r="G2384" s="1"/>
      <c r="H2384" t="s">
        <v>4664</v>
      </c>
      <c r="I2384" t="s">
        <v>4665</v>
      </c>
    </row>
    <row r="2385" spans="1:9" x14ac:dyDescent="0.25">
      <c r="A2385" t="s">
        <v>2576</v>
      </c>
      <c r="B2385" s="26" t="str">
        <f>MID(tbl_forecast[[#This Row],[PACE Job Number]],3,3)</f>
        <v>STX</v>
      </c>
      <c r="C2385" t="s">
        <v>18</v>
      </c>
      <c r="D2385" s="1">
        <v>43434</v>
      </c>
      <c r="E2385" s="1">
        <v>43465</v>
      </c>
      <c r="F2385" s="1">
        <v>43465</v>
      </c>
      <c r="G2385" s="1"/>
      <c r="H2385" t="s">
        <v>4664</v>
      </c>
      <c r="I2385" t="s">
        <v>4665</v>
      </c>
    </row>
    <row r="2386" spans="1:9" x14ac:dyDescent="0.25">
      <c r="A2386" t="s">
        <v>4330</v>
      </c>
      <c r="B2386" s="26" t="str">
        <f>MID(tbl_forecast[[#This Row],[PACE Job Number]],3,3)</f>
        <v>STX</v>
      </c>
      <c r="C2386" t="s">
        <v>18</v>
      </c>
      <c r="D2386" s="1">
        <v>43434</v>
      </c>
      <c r="E2386" s="1">
        <v>43434</v>
      </c>
      <c r="F2386" s="1">
        <v>43425</v>
      </c>
      <c r="G2386" s="1">
        <v>43425</v>
      </c>
      <c r="H2386" t="s">
        <v>9</v>
      </c>
      <c r="I2386" t="s">
        <v>10</v>
      </c>
    </row>
    <row r="2387" spans="1:9" x14ac:dyDescent="0.25">
      <c r="A2387" t="s">
        <v>4331</v>
      </c>
      <c r="B2387" s="26" t="str">
        <f>MID(tbl_forecast[[#This Row],[PACE Job Number]],3,3)</f>
        <v>STX</v>
      </c>
      <c r="C2387" t="s">
        <v>18</v>
      </c>
      <c r="D2387" s="1">
        <v>43432</v>
      </c>
      <c r="E2387" s="1">
        <v>43432</v>
      </c>
      <c r="F2387" s="1">
        <v>43432</v>
      </c>
      <c r="G2387" s="1"/>
      <c r="H2387" t="s">
        <v>9</v>
      </c>
      <c r="I2387" t="s">
        <v>27</v>
      </c>
    </row>
    <row r="2388" spans="1:9" x14ac:dyDescent="0.25">
      <c r="A2388" t="s">
        <v>3365</v>
      </c>
      <c r="B2388" s="26" t="str">
        <f>MID(tbl_forecast[[#This Row],[PACE Job Number]],3,3)</f>
        <v>STX</v>
      </c>
      <c r="C2388" t="s">
        <v>18</v>
      </c>
      <c r="D2388" s="1">
        <v>43434</v>
      </c>
      <c r="E2388" s="1">
        <v>43434</v>
      </c>
      <c r="F2388" s="1">
        <v>43434</v>
      </c>
      <c r="G2388" s="1"/>
      <c r="H2388" t="s">
        <v>9</v>
      </c>
      <c r="I2388" t="s">
        <v>27</v>
      </c>
    </row>
    <row r="2389" spans="1:9" x14ac:dyDescent="0.25">
      <c r="A2389" t="s">
        <v>2571</v>
      </c>
      <c r="B2389" s="26" t="str">
        <f>MID(tbl_forecast[[#This Row],[PACE Job Number]],3,3)</f>
        <v>STX</v>
      </c>
      <c r="C2389" t="s">
        <v>18</v>
      </c>
      <c r="D2389" s="1">
        <v>43432</v>
      </c>
      <c r="E2389" s="1">
        <v>43465</v>
      </c>
      <c r="F2389" s="1">
        <v>43465</v>
      </c>
      <c r="G2389" s="1"/>
      <c r="H2389" t="s">
        <v>4664</v>
      </c>
      <c r="I2389" t="s">
        <v>4665</v>
      </c>
    </row>
    <row r="2390" spans="1:9" x14ac:dyDescent="0.25">
      <c r="A2390" t="s">
        <v>3285</v>
      </c>
      <c r="B2390" s="26" t="str">
        <f>MID(tbl_forecast[[#This Row],[PACE Job Number]],3,3)</f>
        <v>STX</v>
      </c>
      <c r="C2390" t="s">
        <v>18</v>
      </c>
      <c r="D2390" s="1">
        <v>43434</v>
      </c>
      <c r="E2390" s="1">
        <v>43434</v>
      </c>
      <c r="F2390" s="1">
        <v>43434</v>
      </c>
      <c r="G2390" s="1"/>
      <c r="H2390" t="s">
        <v>9</v>
      </c>
      <c r="I2390" t="s">
        <v>27</v>
      </c>
    </row>
    <row r="2391" spans="1:9" x14ac:dyDescent="0.25">
      <c r="A2391" t="s">
        <v>3279</v>
      </c>
      <c r="B2391" s="26" t="str">
        <f>MID(tbl_forecast[[#This Row],[PACE Job Number]],3,3)</f>
        <v>STX</v>
      </c>
      <c r="C2391" t="s">
        <v>18</v>
      </c>
      <c r="D2391" s="1">
        <v>43434</v>
      </c>
      <c r="E2391" s="1">
        <v>43434</v>
      </c>
      <c r="F2391" s="1">
        <v>43430</v>
      </c>
      <c r="G2391" s="1">
        <v>43430</v>
      </c>
      <c r="H2391" t="s">
        <v>9</v>
      </c>
      <c r="I2391" t="s">
        <v>10</v>
      </c>
    </row>
    <row r="2392" spans="1:9" x14ac:dyDescent="0.25">
      <c r="A2392" t="s">
        <v>4332</v>
      </c>
      <c r="B2392" s="26" t="str">
        <f>MID(tbl_forecast[[#This Row],[PACE Job Number]],3,3)</f>
        <v>STX</v>
      </c>
      <c r="C2392" t="s">
        <v>18</v>
      </c>
      <c r="D2392" s="1">
        <v>43419</v>
      </c>
      <c r="E2392" s="1">
        <v>43419</v>
      </c>
      <c r="F2392" s="1">
        <v>43417</v>
      </c>
      <c r="G2392" s="1">
        <v>43417</v>
      </c>
      <c r="H2392" t="s">
        <v>9</v>
      </c>
      <c r="I2392" t="s">
        <v>10</v>
      </c>
    </row>
    <row r="2393" spans="1:9" x14ac:dyDescent="0.25">
      <c r="A2393" t="s">
        <v>2578</v>
      </c>
      <c r="B2393" s="26" t="str">
        <f>MID(tbl_forecast[[#This Row],[PACE Job Number]],3,3)</f>
        <v>STX</v>
      </c>
      <c r="C2393" t="s">
        <v>18</v>
      </c>
      <c r="D2393" s="1">
        <v>43432</v>
      </c>
      <c r="E2393" s="1">
        <v>43432</v>
      </c>
      <c r="F2393" s="1">
        <v>43425</v>
      </c>
      <c r="G2393" s="1">
        <v>43425</v>
      </c>
      <c r="H2393" t="s">
        <v>9</v>
      </c>
      <c r="I2393" t="s">
        <v>10</v>
      </c>
    </row>
    <row r="2394" spans="1:9" x14ac:dyDescent="0.25">
      <c r="A2394" t="s">
        <v>2581</v>
      </c>
      <c r="B2394" s="26" t="str">
        <f>MID(tbl_forecast[[#This Row],[PACE Job Number]],3,3)</f>
        <v>STX</v>
      </c>
      <c r="C2394" t="s">
        <v>18</v>
      </c>
      <c r="D2394" s="1">
        <v>43434</v>
      </c>
      <c r="E2394" s="1">
        <v>43465</v>
      </c>
      <c r="F2394" s="1">
        <v>43465</v>
      </c>
      <c r="G2394" s="1"/>
      <c r="H2394" t="s">
        <v>4664</v>
      </c>
      <c r="I2394" t="s">
        <v>4665</v>
      </c>
    </row>
    <row r="2395" spans="1:9" x14ac:dyDescent="0.25">
      <c r="A2395" t="s">
        <v>4333</v>
      </c>
      <c r="B2395" s="26" t="str">
        <f>MID(tbl_forecast[[#This Row],[PACE Job Number]],3,3)</f>
        <v>STX</v>
      </c>
      <c r="C2395" t="s">
        <v>18</v>
      </c>
      <c r="D2395" s="1">
        <v>43419</v>
      </c>
      <c r="E2395" s="1">
        <v>43419</v>
      </c>
      <c r="F2395" s="1">
        <v>43416</v>
      </c>
      <c r="G2395" s="1">
        <v>43416</v>
      </c>
      <c r="H2395" t="s">
        <v>9</v>
      </c>
      <c r="I2395" t="s">
        <v>10</v>
      </c>
    </row>
    <row r="2396" spans="1:9" x14ac:dyDescent="0.25">
      <c r="A2396" t="s">
        <v>3362</v>
      </c>
      <c r="B2396" s="26" t="str">
        <f>MID(tbl_forecast[[#This Row],[PACE Job Number]],3,3)</f>
        <v>STX</v>
      </c>
      <c r="C2396" t="s">
        <v>18</v>
      </c>
      <c r="D2396" s="1">
        <v>43432</v>
      </c>
      <c r="E2396" s="1">
        <v>43465</v>
      </c>
      <c r="F2396" s="1">
        <v>43465</v>
      </c>
      <c r="G2396" s="1"/>
      <c r="H2396" t="s">
        <v>4664</v>
      </c>
      <c r="I2396" t="s">
        <v>4665</v>
      </c>
    </row>
    <row r="2397" spans="1:9" x14ac:dyDescent="0.25">
      <c r="A2397" t="s">
        <v>5333</v>
      </c>
      <c r="B2397" s="26" t="str">
        <f>MID(tbl_forecast[[#This Row],[PACE Job Number]],3,3)</f>
        <v>STX</v>
      </c>
      <c r="C2397" t="s">
        <v>18</v>
      </c>
      <c r="D2397" s="1">
        <v>43434</v>
      </c>
      <c r="E2397" s="1">
        <v>43434</v>
      </c>
      <c r="F2397" s="1">
        <v>43434</v>
      </c>
      <c r="G2397" s="1"/>
      <c r="H2397" t="s">
        <v>9</v>
      </c>
      <c r="I2397" t="s">
        <v>27</v>
      </c>
    </row>
    <row r="2398" spans="1:9" x14ac:dyDescent="0.25">
      <c r="A2398" t="s">
        <v>5334</v>
      </c>
      <c r="B2398" s="26" t="str">
        <f>MID(tbl_forecast[[#This Row],[PACE Job Number]],3,3)</f>
        <v>STX</v>
      </c>
      <c r="C2398" t="s">
        <v>18</v>
      </c>
      <c r="D2398" s="1">
        <v>43434</v>
      </c>
      <c r="E2398" s="1">
        <v>43434</v>
      </c>
      <c r="F2398" s="1">
        <v>43434</v>
      </c>
      <c r="G2398" s="1"/>
      <c r="H2398" t="s">
        <v>9</v>
      </c>
      <c r="I2398" t="s">
        <v>27</v>
      </c>
    </row>
    <row r="2399" spans="1:9" x14ac:dyDescent="0.25">
      <c r="A2399" t="s">
        <v>1722</v>
      </c>
      <c r="B2399" s="26" t="str">
        <f>MID(tbl_forecast[[#This Row],[PACE Job Number]],3,3)</f>
        <v>NTX</v>
      </c>
      <c r="C2399" t="s">
        <v>18</v>
      </c>
      <c r="D2399" s="1">
        <v>43431</v>
      </c>
      <c r="E2399" s="1">
        <v>36524</v>
      </c>
      <c r="F2399" s="1">
        <v>43465</v>
      </c>
      <c r="G2399" s="1"/>
      <c r="H2399" t="s">
        <v>4664</v>
      </c>
      <c r="I2399" t="s">
        <v>4666</v>
      </c>
    </row>
    <row r="2400" spans="1:9" x14ac:dyDescent="0.25">
      <c r="A2400" t="s">
        <v>1085</v>
      </c>
      <c r="B2400" s="26" t="str">
        <f>MID(tbl_forecast[[#This Row],[PACE Job Number]],3,3)</f>
        <v>NTX</v>
      </c>
      <c r="C2400" t="s">
        <v>18</v>
      </c>
      <c r="D2400" s="1">
        <v>43434</v>
      </c>
      <c r="E2400" s="1">
        <v>36524</v>
      </c>
      <c r="F2400" s="1">
        <v>43829</v>
      </c>
      <c r="G2400" s="1"/>
      <c r="H2400" t="s">
        <v>4664</v>
      </c>
      <c r="I2400" t="s">
        <v>4666</v>
      </c>
    </row>
    <row r="2401" spans="1:9" x14ac:dyDescent="0.25">
      <c r="A2401" t="s">
        <v>1628</v>
      </c>
      <c r="B2401" s="26" t="str">
        <f>MID(tbl_forecast[[#This Row],[PACE Job Number]],3,3)</f>
        <v>NTX</v>
      </c>
      <c r="C2401" t="s">
        <v>18</v>
      </c>
      <c r="D2401" s="1">
        <v>43419</v>
      </c>
      <c r="E2401" s="1">
        <v>36524</v>
      </c>
      <c r="F2401" s="1">
        <v>43444</v>
      </c>
      <c r="G2401" s="1"/>
      <c r="H2401" t="s">
        <v>4664</v>
      </c>
      <c r="I2401" t="s">
        <v>4666</v>
      </c>
    </row>
    <row r="2402" spans="1:9" x14ac:dyDescent="0.25">
      <c r="A2402" t="s">
        <v>1629</v>
      </c>
      <c r="B2402" s="26" t="str">
        <f>MID(tbl_forecast[[#This Row],[PACE Job Number]],3,3)</f>
        <v>NTX</v>
      </c>
      <c r="C2402" t="s">
        <v>18</v>
      </c>
      <c r="D2402" s="1">
        <v>43419</v>
      </c>
      <c r="E2402" s="1">
        <v>36524</v>
      </c>
      <c r="F2402" s="1">
        <v>43444</v>
      </c>
      <c r="G2402" s="1"/>
      <c r="H2402" t="s">
        <v>4664</v>
      </c>
      <c r="I2402" t="s">
        <v>4666</v>
      </c>
    </row>
    <row r="2403" spans="1:9" x14ac:dyDescent="0.25">
      <c r="A2403" t="s">
        <v>4270</v>
      </c>
      <c r="B2403" s="26" t="str">
        <f>MID(tbl_forecast[[#This Row],[PACE Job Number]],3,3)</f>
        <v>NTX</v>
      </c>
      <c r="C2403" t="s">
        <v>18</v>
      </c>
      <c r="D2403" s="1">
        <v>43430</v>
      </c>
      <c r="E2403" s="1">
        <v>43286</v>
      </c>
      <c r="F2403" s="1">
        <v>43465</v>
      </c>
      <c r="G2403" s="1"/>
      <c r="H2403" t="s">
        <v>4664</v>
      </c>
      <c r="I2403" t="s">
        <v>4666</v>
      </c>
    </row>
    <row r="2404" spans="1:9" x14ac:dyDescent="0.25">
      <c r="A2404" t="s">
        <v>920</v>
      </c>
      <c r="B2404" s="26" t="str">
        <f>MID(tbl_forecast[[#This Row],[PACE Job Number]],3,3)</f>
        <v>NTX</v>
      </c>
      <c r="C2404" t="s">
        <v>18</v>
      </c>
      <c r="D2404" s="1">
        <v>43426</v>
      </c>
      <c r="E2404" s="1">
        <v>36524</v>
      </c>
      <c r="F2404" s="1">
        <v>43452</v>
      </c>
      <c r="G2404" s="1"/>
      <c r="H2404" t="s">
        <v>4664</v>
      </c>
      <c r="I2404" t="s">
        <v>4666</v>
      </c>
    </row>
    <row r="2405" spans="1:9" x14ac:dyDescent="0.25">
      <c r="A2405" t="s">
        <v>4416</v>
      </c>
      <c r="B2405" s="26" t="str">
        <f>MID(tbl_forecast[[#This Row],[PACE Job Number]],3,3)</f>
        <v>NTX</v>
      </c>
      <c r="C2405" t="s">
        <v>18</v>
      </c>
      <c r="D2405" s="1">
        <v>43434</v>
      </c>
      <c r="E2405" s="1">
        <v>36524</v>
      </c>
      <c r="F2405" s="1">
        <v>43451</v>
      </c>
      <c r="G2405" s="1"/>
      <c r="H2405" t="s">
        <v>4664</v>
      </c>
      <c r="I2405" t="s">
        <v>4666</v>
      </c>
    </row>
    <row r="2406" spans="1:9" x14ac:dyDescent="0.25">
      <c r="A2406" t="s">
        <v>921</v>
      </c>
      <c r="B2406" s="26" t="str">
        <f>MID(tbl_forecast[[#This Row],[PACE Job Number]],3,3)</f>
        <v>NTX</v>
      </c>
      <c r="C2406" t="s">
        <v>18</v>
      </c>
      <c r="D2406" s="1">
        <v>43426</v>
      </c>
      <c r="E2406" s="1">
        <v>36524</v>
      </c>
      <c r="F2406" s="1">
        <v>43452</v>
      </c>
      <c r="G2406" s="1"/>
      <c r="H2406" t="s">
        <v>4664</v>
      </c>
      <c r="I2406" t="s">
        <v>4666</v>
      </c>
    </row>
    <row r="2407" spans="1:9" x14ac:dyDescent="0.25">
      <c r="A2407" t="s">
        <v>3421</v>
      </c>
      <c r="B2407" s="26" t="str">
        <f>MID(tbl_forecast[[#This Row],[PACE Job Number]],3,3)</f>
        <v>NTX</v>
      </c>
      <c r="C2407" t="s">
        <v>18</v>
      </c>
      <c r="D2407" s="1">
        <v>43421</v>
      </c>
      <c r="E2407" s="1">
        <v>43286</v>
      </c>
      <c r="F2407" s="1">
        <v>43430</v>
      </c>
      <c r="G2407" s="1">
        <v>43430</v>
      </c>
      <c r="H2407" t="s">
        <v>9</v>
      </c>
      <c r="I2407" t="s">
        <v>10</v>
      </c>
    </row>
    <row r="2408" spans="1:9" x14ac:dyDescent="0.25">
      <c r="A2408" t="s">
        <v>3398</v>
      </c>
      <c r="B2408" s="26" t="str">
        <f>MID(tbl_forecast[[#This Row],[PACE Job Number]],3,3)</f>
        <v>NTX</v>
      </c>
      <c r="C2408" t="s">
        <v>18</v>
      </c>
      <c r="D2408" s="1">
        <v>43416</v>
      </c>
      <c r="E2408" s="1">
        <v>36524</v>
      </c>
      <c r="F2408" s="1">
        <v>43434</v>
      </c>
      <c r="G2408" s="1"/>
      <c r="H2408" t="s">
        <v>4664</v>
      </c>
      <c r="I2408" t="s">
        <v>4666</v>
      </c>
    </row>
    <row r="2409" spans="1:9" x14ac:dyDescent="0.25">
      <c r="A2409" t="s">
        <v>1723</v>
      </c>
      <c r="B2409" s="26" t="str">
        <f>MID(tbl_forecast[[#This Row],[PACE Job Number]],3,3)</f>
        <v>NTX</v>
      </c>
      <c r="C2409" t="s">
        <v>18</v>
      </c>
      <c r="D2409" s="1">
        <v>43432</v>
      </c>
      <c r="E2409" s="1">
        <v>43265</v>
      </c>
      <c r="F2409" s="1">
        <v>43452</v>
      </c>
      <c r="G2409" s="1"/>
      <c r="H2409" t="s">
        <v>4664</v>
      </c>
      <c r="I2409" t="s">
        <v>4666</v>
      </c>
    </row>
    <row r="2410" spans="1:9" x14ac:dyDescent="0.25">
      <c r="A2410" t="s">
        <v>246</v>
      </c>
      <c r="B2410" s="26" t="str">
        <f>MID(tbl_forecast[[#This Row],[PACE Job Number]],3,3)</f>
        <v>NTX</v>
      </c>
      <c r="C2410" t="s">
        <v>18</v>
      </c>
      <c r="D2410" s="1">
        <v>43430</v>
      </c>
      <c r="E2410" s="1">
        <v>43416</v>
      </c>
      <c r="F2410" s="1">
        <v>43452</v>
      </c>
      <c r="G2410" s="1"/>
      <c r="H2410" t="s">
        <v>4664</v>
      </c>
      <c r="I2410" t="s">
        <v>4666</v>
      </c>
    </row>
    <row r="2411" spans="1:9" x14ac:dyDescent="0.25">
      <c r="A2411" t="s">
        <v>3884</v>
      </c>
      <c r="B2411" s="26" t="str">
        <f>MID(tbl_forecast[[#This Row],[PACE Job Number]],3,3)</f>
        <v>NTX</v>
      </c>
      <c r="C2411" t="s">
        <v>18</v>
      </c>
      <c r="D2411" s="1">
        <v>43426</v>
      </c>
      <c r="E2411" s="1">
        <v>36524</v>
      </c>
      <c r="F2411" s="1">
        <v>43460</v>
      </c>
      <c r="G2411" s="1"/>
      <c r="H2411" t="s">
        <v>4664</v>
      </c>
      <c r="I2411" t="s">
        <v>4666</v>
      </c>
    </row>
    <row r="2412" spans="1:9" x14ac:dyDescent="0.25">
      <c r="A2412" t="s">
        <v>3399</v>
      </c>
      <c r="B2412" s="26" t="str">
        <f>MID(tbl_forecast[[#This Row],[PACE Job Number]],3,3)</f>
        <v>NTX</v>
      </c>
      <c r="C2412" t="s">
        <v>18</v>
      </c>
      <c r="D2412" s="1">
        <v>43416</v>
      </c>
      <c r="E2412" s="1">
        <v>36524</v>
      </c>
      <c r="F2412" s="1">
        <v>43434</v>
      </c>
      <c r="G2412" s="1"/>
      <c r="H2412" t="s">
        <v>4664</v>
      </c>
      <c r="I2412" t="s">
        <v>4666</v>
      </c>
    </row>
    <row r="2413" spans="1:9" x14ac:dyDescent="0.25">
      <c r="A2413" t="s">
        <v>4417</v>
      </c>
      <c r="B2413" s="26" t="str">
        <f>MID(tbl_forecast[[#This Row],[PACE Job Number]],3,3)</f>
        <v>NTX</v>
      </c>
      <c r="C2413" t="s">
        <v>18</v>
      </c>
      <c r="D2413" s="1">
        <v>43423</v>
      </c>
      <c r="E2413" s="1">
        <v>36524</v>
      </c>
      <c r="F2413" s="1">
        <v>43433</v>
      </c>
      <c r="G2413" s="1">
        <v>43433</v>
      </c>
      <c r="H2413" t="s">
        <v>9</v>
      </c>
      <c r="I2413" t="s">
        <v>10</v>
      </c>
    </row>
    <row r="2414" spans="1:9" x14ac:dyDescent="0.25">
      <c r="A2414" t="s">
        <v>4383</v>
      </c>
      <c r="B2414" s="26" t="str">
        <f>MID(tbl_forecast[[#This Row],[PACE Job Number]],3,3)</f>
        <v>NTX</v>
      </c>
      <c r="C2414" t="s">
        <v>18</v>
      </c>
      <c r="D2414" s="1">
        <v>43429</v>
      </c>
      <c r="E2414" s="1">
        <v>36524</v>
      </c>
      <c r="F2414" s="1">
        <v>43434</v>
      </c>
      <c r="G2414" s="1"/>
      <c r="H2414" t="s">
        <v>9</v>
      </c>
      <c r="I2414" t="s">
        <v>27</v>
      </c>
    </row>
    <row r="2415" spans="1:9" x14ac:dyDescent="0.25">
      <c r="A2415" t="s">
        <v>35</v>
      </c>
      <c r="B2415" s="26" t="str">
        <f>MID(tbl_forecast[[#This Row],[PACE Job Number]],3,3)</f>
        <v>NTX</v>
      </c>
      <c r="C2415" t="s">
        <v>18</v>
      </c>
      <c r="D2415" s="1">
        <v>43430</v>
      </c>
      <c r="E2415" s="1">
        <v>36524</v>
      </c>
      <c r="F2415" s="1">
        <v>43437</v>
      </c>
      <c r="G2415" s="1"/>
      <c r="H2415" t="s">
        <v>9</v>
      </c>
      <c r="I2415" t="s">
        <v>27</v>
      </c>
    </row>
    <row r="2416" spans="1:9" x14ac:dyDescent="0.25">
      <c r="A2416" t="s">
        <v>497</v>
      </c>
      <c r="B2416" s="26" t="str">
        <f>MID(tbl_forecast[[#This Row],[PACE Job Number]],3,3)</f>
        <v>NTX</v>
      </c>
      <c r="C2416" t="s">
        <v>18</v>
      </c>
      <c r="D2416" s="1">
        <v>43434</v>
      </c>
      <c r="E2416" s="1">
        <v>36524</v>
      </c>
      <c r="F2416" s="1">
        <v>43460</v>
      </c>
      <c r="G2416" s="1"/>
      <c r="H2416" t="s">
        <v>4664</v>
      </c>
      <c r="I2416" t="s">
        <v>4666</v>
      </c>
    </row>
    <row r="2417" spans="1:9" x14ac:dyDescent="0.25">
      <c r="A2417" t="s">
        <v>2405</v>
      </c>
      <c r="B2417" s="26" t="str">
        <f>MID(tbl_forecast[[#This Row],[PACE Job Number]],3,3)</f>
        <v>NTX</v>
      </c>
      <c r="C2417" t="s">
        <v>18</v>
      </c>
      <c r="D2417" s="1">
        <v>43418</v>
      </c>
      <c r="E2417" s="1">
        <v>36524</v>
      </c>
      <c r="F2417" s="1">
        <v>43444</v>
      </c>
      <c r="G2417" s="1"/>
      <c r="H2417" t="s">
        <v>4664</v>
      </c>
      <c r="I2417" t="s">
        <v>4666</v>
      </c>
    </row>
    <row r="2418" spans="1:9" x14ac:dyDescent="0.25">
      <c r="A2418" t="s">
        <v>1043</v>
      </c>
      <c r="B2418" s="26" t="str">
        <f>MID(tbl_forecast[[#This Row],[PACE Job Number]],3,3)</f>
        <v>NTX</v>
      </c>
      <c r="C2418" t="s">
        <v>18</v>
      </c>
      <c r="D2418" s="1">
        <v>43434</v>
      </c>
      <c r="E2418" s="1">
        <v>36524</v>
      </c>
      <c r="F2418" s="1">
        <v>43465</v>
      </c>
      <c r="G2418" s="1"/>
      <c r="H2418" t="s">
        <v>4664</v>
      </c>
      <c r="I2418" t="s">
        <v>4666</v>
      </c>
    </row>
    <row r="2419" spans="1:9" x14ac:dyDescent="0.25">
      <c r="A2419" t="s">
        <v>4384</v>
      </c>
      <c r="B2419" s="26" t="str">
        <f>MID(tbl_forecast[[#This Row],[PACE Job Number]],3,3)</f>
        <v>NTX</v>
      </c>
      <c r="C2419" t="s">
        <v>18</v>
      </c>
      <c r="D2419" s="1">
        <v>43426</v>
      </c>
      <c r="E2419" s="1">
        <v>43293</v>
      </c>
      <c r="F2419" s="1">
        <v>43524</v>
      </c>
      <c r="G2419" s="1"/>
      <c r="H2419" t="s">
        <v>4664</v>
      </c>
      <c r="I2419" t="s">
        <v>4666</v>
      </c>
    </row>
    <row r="2420" spans="1:9" x14ac:dyDescent="0.25">
      <c r="A2420" t="s">
        <v>4385</v>
      </c>
      <c r="B2420" s="26" t="str">
        <f>MID(tbl_forecast[[#This Row],[PACE Job Number]],3,3)</f>
        <v>NTX</v>
      </c>
      <c r="C2420" t="s">
        <v>18</v>
      </c>
      <c r="D2420" s="1">
        <v>43421</v>
      </c>
      <c r="E2420" s="1">
        <v>36524</v>
      </c>
      <c r="F2420" s="1">
        <v>43444</v>
      </c>
      <c r="G2420" s="1"/>
      <c r="H2420" t="s">
        <v>4664</v>
      </c>
      <c r="I2420" t="s">
        <v>4666</v>
      </c>
    </row>
    <row r="2421" spans="1:9" x14ac:dyDescent="0.25">
      <c r="A2421" t="s">
        <v>590</v>
      </c>
      <c r="B2421" s="26" t="str">
        <f>MID(tbl_forecast[[#This Row],[PACE Job Number]],3,3)</f>
        <v>NTX</v>
      </c>
      <c r="C2421" t="s">
        <v>18</v>
      </c>
      <c r="D2421" s="1">
        <v>43426</v>
      </c>
      <c r="E2421" s="1">
        <v>36524</v>
      </c>
      <c r="F2421" s="1">
        <v>43445</v>
      </c>
      <c r="G2421" s="1"/>
      <c r="H2421" t="s">
        <v>4664</v>
      </c>
      <c r="I2421" t="s">
        <v>4666</v>
      </c>
    </row>
    <row r="2422" spans="1:9" x14ac:dyDescent="0.25">
      <c r="A2422" t="s">
        <v>4386</v>
      </c>
      <c r="B2422" s="26" t="str">
        <f>MID(tbl_forecast[[#This Row],[PACE Job Number]],3,3)</f>
        <v>NTX</v>
      </c>
      <c r="C2422" t="s">
        <v>18</v>
      </c>
      <c r="D2422" s="1">
        <v>43418</v>
      </c>
      <c r="E2422" s="1">
        <v>36524</v>
      </c>
      <c r="F2422" s="1">
        <v>43433</v>
      </c>
      <c r="G2422" s="1">
        <v>43433</v>
      </c>
      <c r="H2422" t="s">
        <v>4664</v>
      </c>
      <c r="I2422" t="s">
        <v>10</v>
      </c>
    </row>
    <row r="2423" spans="1:9" x14ac:dyDescent="0.25">
      <c r="A2423" t="s">
        <v>4387</v>
      </c>
      <c r="B2423" s="26" t="str">
        <f>MID(tbl_forecast[[#This Row],[PACE Job Number]],3,3)</f>
        <v>NTX</v>
      </c>
      <c r="C2423" t="s">
        <v>18</v>
      </c>
      <c r="D2423" s="1">
        <v>43426</v>
      </c>
      <c r="E2423" s="1">
        <v>43425</v>
      </c>
      <c r="F2423" s="1">
        <v>43433</v>
      </c>
      <c r="G2423" s="1">
        <v>43433</v>
      </c>
      <c r="H2423" t="s">
        <v>9</v>
      </c>
      <c r="I2423" t="s">
        <v>10</v>
      </c>
    </row>
    <row r="2424" spans="1:9" x14ac:dyDescent="0.25">
      <c r="A2424" t="s">
        <v>2280</v>
      </c>
      <c r="B2424" s="26" t="str">
        <f>MID(tbl_forecast[[#This Row],[PACE Job Number]],3,3)</f>
        <v>NTX</v>
      </c>
      <c r="C2424" t="s">
        <v>18</v>
      </c>
      <c r="D2424" s="1">
        <v>43415</v>
      </c>
      <c r="E2424" s="1">
        <v>36524</v>
      </c>
      <c r="F2424" s="1">
        <v>43406</v>
      </c>
      <c r="G2424" s="1">
        <v>43406</v>
      </c>
      <c r="H2424" t="s">
        <v>9</v>
      </c>
      <c r="I2424" t="s">
        <v>10</v>
      </c>
    </row>
    <row r="2425" spans="1:9" x14ac:dyDescent="0.25">
      <c r="A2425" t="s">
        <v>155</v>
      </c>
      <c r="B2425" s="26" t="str">
        <f>MID(tbl_forecast[[#This Row],[PACE Job Number]],3,3)</f>
        <v>NTX</v>
      </c>
      <c r="C2425" t="s">
        <v>18</v>
      </c>
      <c r="D2425" s="1">
        <v>43419</v>
      </c>
      <c r="E2425" s="1">
        <v>36524</v>
      </c>
      <c r="F2425" s="1">
        <v>43434</v>
      </c>
      <c r="G2425" s="1"/>
      <c r="H2425" t="s">
        <v>4664</v>
      </c>
      <c r="I2425" t="s">
        <v>4666</v>
      </c>
    </row>
    <row r="2426" spans="1:9" x14ac:dyDescent="0.25">
      <c r="A2426" t="s">
        <v>788</v>
      </c>
      <c r="B2426" s="26" t="str">
        <f>MID(tbl_forecast[[#This Row],[PACE Job Number]],3,3)</f>
        <v>NTX</v>
      </c>
      <c r="C2426" t="s">
        <v>18</v>
      </c>
      <c r="D2426" s="1">
        <v>43426</v>
      </c>
      <c r="E2426" s="1">
        <v>36524</v>
      </c>
      <c r="F2426" s="1">
        <v>43445</v>
      </c>
      <c r="G2426" s="1"/>
      <c r="H2426" t="s">
        <v>4664</v>
      </c>
      <c r="I2426" t="s">
        <v>4666</v>
      </c>
    </row>
    <row r="2427" spans="1:9" x14ac:dyDescent="0.25">
      <c r="A2427" t="s">
        <v>437</v>
      </c>
      <c r="B2427" s="26" t="str">
        <f>MID(tbl_forecast[[#This Row],[PACE Job Number]],3,3)</f>
        <v>ANM</v>
      </c>
      <c r="C2427" t="s">
        <v>18</v>
      </c>
      <c r="D2427" s="1">
        <v>43434</v>
      </c>
      <c r="E2427" s="1">
        <v>36524</v>
      </c>
      <c r="F2427" s="1">
        <v>43434</v>
      </c>
      <c r="G2427" s="1"/>
      <c r="H2427" t="s">
        <v>9</v>
      </c>
      <c r="I2427" t="s">
        <v>27</v>
      </c>
    </row>
    <row r="2428" spans="1:9" x14ac:dyDescent="0.25">
      <c r="A2428" t="s">
        <v>5529</v>
      </c>
      <c r="B2428" s="26" t="str">
        <f>MID(tbl_forecast[[#This Row],[PACE Job Number]],3,3)</f>
        <v>ANM</v>
      </c>
      <c r="C2428" t="s">
        <v>18</v>
      </c>
      <c r="D2428" s="1">
        <v>43434</v>
      </c>
      <c r="E2428" s="1">
        <v>36524</v>
      </c>
      <c r="F2428" s="1">
        <v>43411</v>
      </c>
      <c r="G2428" s="1">
        <v>43411</v>
      </c>
      <c r="H2428" t="s">
        <v>9</v>
      </c>
      <c r="I2428" t="s">
        <v>10</v>
      </c>
    </row>
    <row r="2429" spans="1:9" x14ac:dyDescent="0.25">
      <c r="A2429" t="s">
        <v>4388</v>
      </c>
      <c r="B2429" s="26" t="str">
        <f>MID(tbl_forecast[[#This Row],[PACE Job Number]],3,3)</f>
        <v>NTX</v>
      </c>
      <c r="C2429" t="s">
        <v>18</v>
      </c>
      <c r="D2429" s="1">
        <v>43426</v>
      </c>
      <c r="E2429" s="1">
        <v>43293</v>
      </c>
      <c r="F2429" s="1">
        <v>43524</v>
      </c>
      <c r="G2429" s="1"/>
      <c r="H2429" t="s">
        <v>4664</v>
      </c>
      <c r="I2429" t="s">
        <v>4666</v>
      </c>
    </row>
    <row r="2430" spans="1:9" x14ac:dyDescent="0.25">
      <c r="A2430" t="s">
        <v>2409</v>
      </c>
      <c r="B2430" s="26" t="str">
        <f>MID(tbl_forecast[[#This Row],[PACE Job Number]],3,3)</f>
        <v>NTX</v>
      </c>
      <c r="C2430" t="s">
        <v>18</v>
      </c>
      <c r="D2430" s="1">
        <v>43418</v>
      </c>
      <c r="E2430" s="1">
        <v>36524</v>
      </c>
      <c r="F2430" s="1">
        <v>43444</v>
      </c>
      <c r="G2430" s="1"/>
      <c r="H2430" t="s">
        <v>4664</v>
      </c>
      <c r="I2430" t="s">
        <v>4666</v>
      </c>
    </row>
    <row r="2431" spans="1:9" x14ac:dyDescent="0.25">
      <c r="A2431" t="s">
        <v>4389</v>
      </c>
      <c r="B2431" s="26" t="str">
        <f>MID(tbl_forecast[[#This Row],[PACE Job Number]],3,3)</f>
        <v>NTX</v>
      </c>
      <c r="C2431" t="s">
        <v>18</v>
      </c>
      <c r="D2431" s="1">
        <v>43422</v>
      </c>
      <c r="E2431" s="1">
        <v>36524</v>
      </c>
      <c r="F2431" s="1">
        <v>43444</v>
      </c>
      <c r="G2431" s="1"/>
      <c r="H2431" t="s">
        <v>4664</v>
      </c>
      <c r="I2431" t="s">
        <v>4666</v>
      </c>
    </row>
    <row r="2432" spans="1:9" x14ac:dyDescent="0.25">
      <c r="A2432" t="s">
        <v>3369</v>
      </c>
      <c r="B2432" s="26" t="str">
        <f>MID(tbl_forecast[[#This Row],[PACE Job Number]],3,3)</f>
        <v>NTX</v>
      </c>
      <c r="C2432" t="s">
        <v>18</v>
      </c>
      <c r="D2432" s="1">
        <v>43412</v>
      </c>
      <c r="E2432" s="1">
        <v>43396</v>
      </c>
      <c r="F2432" s="1">
        <v>43430</v>
      </c>
      <c r="G2432" s="1">
        <v>43430</v>
      </c>
      <c r="H2432" t="s">
        <v>4664</v>
      </c>
      <c r="I2432" t="s">
        <v>10</v>
      </c>
    </row>
    <row r="2433" spans="1:9" x14ac:dyDescent="0.25">
      <c r="A2433" t="s">
        <v>2132</v>
      </c>
      <c r="B2433" s="26" t="str">
        <f>MID(tbl_forecast[[#This Row],[PACE Job Number]],3,3)</f>
        <v>NTX</v>
      </c>
      <c r="C2433" t="s">
        <v>18</v>
      </c>
      <c r="D2433" s="1">
        <v>43432</v>
      </c>
      <c r="E2433" s="1">
        <v>43429</v>
      </c>
      <c r="F2433" s="1">
        <v>43434</v>
      </c>
      <c r="G2433" s="1"/>
      <c r="H2433" t="s">
        <v>9</v>
      </c>
      <c r="I2433" t="s">
        <v>27</v>
      </c>
    </row>
    <row r="2434" spans="1:9" x14ac:dyDescent="0.25">
      <c r="A2434" t="s">
        <v>3933</v>
      </c>
      <c r="B2434" s="26" t="str">
        <f>MID(tbl_forecast[[#This Row],[PACE Job Number]],3,3)</f>
        <v>STX</v>
      </c>
      <c r="C2434" t="s">
        <v>18</v>
      </c>
      <c r="D2434" s="1">
        <v>43434</v>
      </c>
      <c r="E2434" s="1">
        <v>43434</v>
      </c>
      <c r="F2434" s="1">
        <v>43419</v>
      </c>
      <c r="G2434" s="1">
        <v>43419</v>
      </c>
      <c r="H2434" t="s">
        <v>9</v>
      </c>
      <c r="I2434" t="s">
        <v>10</v>
      </c>
    </row>
    <row r="2435" spans="1:9" x14ac:dyDescent="0.25">
      <c r="A2435" t="s">
        <v>3443</v>
      </c>
      <c r="B2435" s="26" t="str">
        <f>MID(tbl_forecast[[#This Row],[PACE Job Number]],3,3)</f>
        <v>STX</v>
      </c>
      <c r="C2435" t="s">
        <v>18</v>
      </c>
      <c r="D2435" s="1">
        <v>43434</v>
      </c>
      <c r="E2435" s="1">
        <v>43434</v>
      </c>
      <c r="F2435" s="1">
        <v>43431</v>
      </c>
      <c r="G2435" s="1">
        <v>43431</v>
      </c>
      <c r="H2435" t="s">
        <v>9</v>
      </c>
      <c r="I2435" t="s">
        <v>10</v>
      </c>
    </row>
    <row r="2436" spans="1:9" x14ac:dyDescent="0.25">
      <c r="A2436" t="s">
        <v>3934</v>
      </c>
      <c r="B2436" s="26" t="str">
        <f>MID(tbl_forecast[[#This Row],[PACE Job Number]],3,3)</f>
        <v>STX</v>
      </c>
      <c r="C2436" t="s">
        <v>18</v>
      </c>
      <c r="D2436" s="1">
        <v>43434</v>
      </c>
      <c r="E2436" s="1">
        <v>43434</v>
      </c>
      <c r="F2436" s="1">
        <v>43419</v>
      </c>
      <c r="G2436" s="1">
        <v>43419</v>
      </c>
      <c r="H2436" t="s">
        <v>9</v>
      </c>
      <c r="I2436" t="s">
        <v>10</v>
      </c>
    </row>
    <row r="2437" spans="1:9" x14ac:dyDescent="0.25">
      <c r="A2437" t="s">
        <v>2514</v>
      </c>
      <c r="B2437" s="26" t="str">
        <f>MID(tbl_forecast[[#This Row],[PACE Job Number]],3,3)</f>
        <v>STX</v>
      </c>
      <c r="C2437" t="s">
        <v>18</v>
      </c>
      <c r="D2437" s="1">
        <v>43434</v>
      </c>
      <c r="E2437" s="1">
        <v>43434</v>
      </c>
      <c r="F2437" s="1">
        <v>43453</v>
      </c>
      <c r="G2437" s="1"/>
      <c r="H2437" t="s">
        <v>4664</v>
      </c>
      <c r="I2437" t="s">
        <v>4666</v>
      </c>
    </row>
    <row r="2438" spans="1:9" x14ac:dyDescent="0.25">
      <c r="A2438" t="s">
        <v>2518</v>
      </c>
      <c r="B2438" s="26" t="str">
        <f>MID(tbl_forecast[[#This Row],[PACE Job Number]],3,3)</f>
        <v>STX</v>
      </c>
      <c r="C2438" t="s">
        <v>18</v>
      </c>
      <c r="D2438" s="1">
        <v>43434</v>
      </c>
      <c r="E2438" s="1">
        <v>43434</v>
      </c>
      <c r="F2438" s="1">
        <v>43453</v>
      </c>
      <c r="G2438" s="1"/>
      <c r="H2438" t="s">
        <v>4664</v>
      </c>
      <c r="I2438" t="s">
        <v>4666</v>
      </c>
    </row>
    <row r="2439" spans="1:9" x14ac:dyDescent="0.25">
      <c r="A2439" t="s">
        <v>4390</v>
      </c>
      <c r="B2439" s="26" t="str">
        <f>MID(tbl_forecast[[#This Row],[PACE Job Number]],3,3)</f>
        <v>STX</v>
      </c>
      <c r="C2439" t="s">
        <v>18</v>
      </c>
      <c r="D2439" s="1">
        <v>43432</v>
      </c>
      <c r="E2439" s="1">
        <v>43432</v>
      </c>
      <c r="F2439" s="1">
        <v>43419</v>
      </c>
      <c r="G2439" s="1">
        <v>43419</v>
      </c>
      <c r="H2439" t="s">
        <v>9</v>
      </c>
      <c r="I2439" t="s">
        <v>10</v>
      </c>
    </row>
    <row r="2440" spans="1:9" x14ac:dyDescent="0.25">
      <c r="A2440" t="s">
        <v>578</v>
      </c>
      <c r="B2440" s="26" t="str">
        <f>MID(tbl_forecast[[#This Row],[PACE Job Number]],3,3)</f>
        <v>STX</v>
      </c>
      <c r="C2440" t="s">
        <v>18</v>
      </c>
      <c r="D2440" s="1">
        <v>43434</v>
      </c>
      <c r="E2440" s="1">
        <v>43465</v>
      </c>
      <c r="F2440" s="1">
        <v>43465</v>
      </c>
      <c r="G2440" s="1"/>
      <c r="H2440" t="s">
        <v>4664</v>
      </c>
      <c r="I2440" t="s">
        <v>4665</v>
      </c>
    </row>
    <row r="2441" spans="1:9" x14ac:dyDescent="0.25">
      <c r="A2441" t="s">
        <v>1476</v>
      </c>
      <c r="B2441" s="26" t="str">
        <f>MID(tbl_forecast[[#This Row],[PACE Job Number]],3,3)</f>
        <v>ANM</v>
      </c>
      <c r="C2441" t="s">
        <v>18</v>
      </c>
      <c r="D2441" s="1">
        <v>43434</v>
      </c>
      <c r="E2441" s="1">
        <v>36524</v>
      </c>
      <c r="F2441" s="1">
        <v>43434</v>
      </c>
      <c r="G2441" s="1"/>
      <c r="H2441" t="s">
        <v>9</v>
      </c>
      <c r="I2441" t="s">
        <v>27</v>
      </c>
    </row>
    <row r="2442" spans="1:9" x14ac:dyDescent="0.25">
      <c r="A2442" t="s">
        <v>1376</v>
      </c>
      <c r="B2442" s="26" t="str">
        <f>MID(tbl_forecast[[#This Row],[PACE Job Number]],3,3)</f>
        <v>ANM</v>
      </c>
      <c r="C2442" t="s">
        <v>18</v>
      </c>
      <c r="D2442" s="1">
        <v>43434</v>
      </c>
      <c r="E2442" s="1">
        <v>36524</v>
      </c>
      <c r="F2442" s="1">
        <v>43419</v>
      </c>
      <c r="G2442" s="1">
        <v>43419</v>
      </c>
      <c r="H2442" t="s">
        <v>9</v>
      </c>
      <c r="I2442" t="s">
        <v>10</v>
      </c>
    </row>
    <row r="2443" spans="1:9" x14ac:dyDescent="0.25">
      <c r="A2443" t="s">
        <v>1599</v>
      </c>
      <c r="B2443" s="26" t="str">
        <f>MID(tbl_forecast[[#This Row],[PACE Job Number]],3,3)</f>
        <v>NTX</v>
      </c>
      <c r="C2443" t="s">
        <v>18</v>
      </c>
      <c r="D2443" s="1">
        <v>43419</v>
      </c>
      <c r="E2443" s="1">
        <v>36524</v>
      </c>
      <c r="F2443" s="1">
        <v>43444</v>
      </c>
      <c r="G2443" s="1"/>
      <c r="H2443" t="s">
        <v>4664</v>
      </c>
      <c r="I2443" t="s">
        <v>4666</v>
      </c>
    </row>
    <row r="2444" spans="1:9" x14ac:dyDescent="0.25">
      <c r="A2444" t="s">
        <v>308</v>
      </c>
      <c r="B2444" s="26" t="str">
        <f>MID(tbl_forecast[[#This Row],[PACE Job Number]],3,3)</f>
        <v>NTX</v>
      </c>
      <c r="C2444" t="s">
        <v>18</v>
      </c>
      <c r="D2444" s="1">
        <v>43420</v>
      </c>
      <c r="E2444" s="1">
        <v>43293</v>
      </c>
      <c r="F2444" s="1">
        <v>43409</v>
      </c>
      <c r="G2444" s="1">
        <v>43409</v>
      </c>
      <c r="H2444" t="s">
        <v>9</v>
      </c>
      <c r="I2444" t="s">
        <v>10</v>
      </c>
    </row>
    <row r="2445" spans="1:9" x14ac:dyDescent="0.25">
      <c r="A2445" t="s">
        <v>1793</v>
      </c>
      <c r="B2445" s="26" t="str">
        <f>MID(tbl_forecast[[#This Row],[PACE Job Number]],3,3)</f>
        <v>NTX</v>
      </c>
      <c r="C2445" t="s">
        <v>18</v>
      </c>
      <c r="D2445" s="1">
        <v>43430</v>
      </c>
      <c r="E2445" s="1">
        <v>43422</v>
      </c>
      <c r="F2445" s="1">
        <v>43462</v>
      </c>
      <c r="G2445" s="1"/>
      <c r="H2445" t="s">
        <v>4664</v>
      </c>
      <c r="I2445" t="s">
        <v>4666</v>
      </c>
    </row>
    <row r="2446" spans="1:9" x14ac:dyDescent="0.25">
      <c r="A2446" t="s">
        <v>855</v>
      </c>
      <c r="B2446" s="26" t="str">
        <f>MID(tbl_forecast[[#This Row],[PACE Job Number]],3,3)</f>
        <v>NTX</v>
      </c>
      <c r="C2446" t="s">
        <v>18</v>
      </c>
      <c r="D2446" s="1">
        <v>43426</v>
      </c>
      <c r="E2446" s="1">
        <v>43423</v>
      </c>
      <c r="F2446" s="1">
        <v>43462</v>
      </c>
      <c r="G2446" s="1"/>
      <c r="H2446" t="s">
        <v>4664</v>
      </c>
      <c r="I2446" t="s">
        <v>4666</v>
      </c>
    </row>
    <row r="2447" spans="1:9" x14ac:dyDescent="0.25">
      <c r="A2447" t="s">
        <v>3483</v>
      </c>
      <c r="B2447" s="26" t="str">
        <f>MID(tbl_forecast[[#This Row],[PACE Job Number]],3,3)</f>
        <v>NTX</v>
      </c>
      <c r="C2447" t="s">
        <v>18</v>
      </c>
      <c r="D2447" s="1">
        <v>43417</v>
      </c>
      <c r="E2447" s="1">
        <v>43321</v>
      </c>
      <c r="F2447" s="1">
        <v>43432</v>
      </c>
      <c r="G2447" s="1">
        <v>43432</v>
      </c>
      <c r="H2447" t="s">
        <v>4664</v>
      </c>
      <c r="I2447" t="s">
        <v>10</v>
      </c>
    </row>
    <row r="2448" spans="1:9" x14ac:dyDescent="0.25">
      <c r="A2448" t="s">
        <v>3845</v>
      </c>
      <c r="B2448" s="26" t="str">
        <f>MID(tbl_forecast[[#This Row],[PACE Job Number]],3,3)</f>
        <v>NTX</v>
      </c>
      <c r="C2448" t="s">
        <v>18</v>
      </c>
      <c r="D2448" s="1">
        <v>43430</v>
      </c>
      <c r="E2448" s="1">
        <v>36524</v>
      </c>
      <c r="F2448" s="1">
        <v>43441</v>
      </c>
      <c r="G2448" s="1"/>
      <c r="H2448" t="s">
        <v>9</v>
      </c>
      <c r="I2448" t="s">
        <v>27</v>
      </c>
    </row>
    <row r="2449" spans="1:9" x14ac:dyDescent="0.25">
      <c r="A2449" t="s">
        <v>2114</v>
      </c>
      <c r="B2449" s="26" t="str">
        <f>MID(tbl_forecast[[#This Row],[PACE Job Number]],3,3)</f>
        <v>NTX</v>
      </c>
      <c r="C2449" t="s">
        <v>18</v>
      </c>
      <c r="D2449" s="1">
        <v>43418</v>
      </c>
      <c r="E2449" s="1">
        <v>36524</v>
      </c>
      <c r="F2449" s="1">
        <v>43410</v>
      </c>
      <c r="G2449" s="1">
        <v>43410</v>
      </c>
      <c r="H2449" t="s">
        <v>9</v>
      </c>
      <c r="I2449" t="s">
        <v>10</v>
      </c>
    </row>
    <row r="2450" spans="1:9" x14ac:dyDescent="0.25">
      <c r="A2450" t="s">
        <v>3470</v>
      </c>
      <c r="B2450" s="26" t="str">
        <f>MID(tbl_forecast[[#This Row],[PACE Job Number]],3,3)</f>
        <v>NTX</v>
      </c>
      <c r="C2450" t="s">
        <v>18</v>
      </c>
      <c r="D2450" s="1">
        <v>43417</v>
      </c>
      <c r="E2450" s="1">
        <v>43321</v>
      </c>
      <c r="F2450" s="1">
        <v>43432</v>
      </c>
      <c r="G2450" s="1">
        <v>43432</v>
      </c>
      <c r="H2450" t="s">
        <v>4664</v>
      </c>
      <c r="I2450" t="s">
        <v>10</v>
      </c>
    </row>
    <row r="2451" spans="1:9" x14ac:dyDescent="0.25">
      <c r="A2451" t="s">
        <v>4195</v>
      </c>
      <c r="B2451" s="26" t="str">
        <f>MID(tbl_forecast[[#This Row],[PACE Job Number]],3,3)</f>
        <v>NTX</v>
      </c>
      <c r="C2451" t="s">
        <v>18</v>
      </c>
      <c r="D2451" s="1">
        <v>43430</v>
      </c>
      <c r="E2451" s="1">
        <v>36524</v>
      </c>
      <c r="F2451" s="1">
        <v>43439</v>
      </c>
      <c r="G2451" s="1"/>
      <c r="H2451" t="s">
        <v>9</v>
      </c>
      <c r="I2451" t="s">
        <v>27</v>
      </c>
    </row>
    <row r="2452" spans="1:9" x14ac:dyDescent="0.25">
      <c r="A2452" t="s">
        <v>1799</v>
      </c>
      <c r="B2452" s="26" t="str">
        <f>MID(tbl_forecast[[#This Row],[PACE Job Number]],3,3)</f>
        <v>NTX</v>
      </c>
      <c r="C2452" t="s">
        <v>18</v>
      </c>
      <c r="D2452" s="1">
        <v>43417</v>
      </c>
      <c r="E2452" s="1">
        <v>36524</v>
      </c>
      <c r="F2452" s="1">
        <v>43433</v>
      </c>
      <c r="G2452" s="1">
        <v>43433</v>
      </c>
      <c r="H2452" t="s">
        <v>4664</v>
      </c>
      <c r="I2452" t="s">
        <v>10</v>
      </c>
    </row>
    <row r="2453" spans="1:9" x14ac:dyDescent="0.25">
      <c r="A2453" t="s">
        <v>272</v>
      </c>
      <c r="B2453" s="26" t="str">
        <f>MID(tbl_forecast[[#This Row],[PACE Job Number]],3,3)</f>
        <v>NTX</v>
      </c>
      <c r="C2453" t="s">
        <v>18</v>
      </c>
      <c r="D2453" s="1">
        <v>43426</v>
      </c>
      <c r="E2453" s="1">
        <v>43286</v>
      </c>
      <c r="F2453" s="1">
        <v>43444</v>
      </c>
      <c r="G2453" s="1"/>
      <c r="H2453" t="s">
        <v>4664</v>
      </c>
      <c r="I2453" t="s">
        <v>4666</v>
      </c>
    </row>
    <row r="2454" spans="1:9" x14ac:dyDescent="0.25">
      <c r="A2454" t="s">
        <v>2700</v>
      </c>
      <c r="B2454" s="26" t="str">
        <f>MID(tbl_forecast[[#This Row],[PACE Job Number]],3,3)</f>
        <v>STX</v>
      </c>
      <c r="C2454" t="s">
        <v>18</v>
      </c>
      <c r="D2454" s="1">
        <v>43434</v>
      </c>
      <c r="E2454" s="1">
        <v>43465</v>
      </c>
      <c r="F2454" s="1">
        <v>43465</v>
      </c>
      <c r="G2454" s="1"/>
      <c r="H2454" t="s">
        <v>4664</v>
      </c>
      <c r="I2454" t="s">
        <v>4665</v>
      </c>
    </row>
    <row r="2455" spans="1:9" x14ac:dyDescent="0.25">
      <c r="A2455" t="s">
        <v>728</v>
      </c>
      <c r="B2455" s="26" t="str">
        <f>MID(tbl_forecast[[#This Row],[PACE Job Number]],3,3)</f>
        <v>STX</v>
      </c>
      <c r="C2455" t="s">
        <v>18</v>
      </c>
      <c r="D2455" s="1">
        <v>43434</v>
      </c>
      <c r="E2455" s="1">
        <v>43465</v>
      </c>
      <c r="F2455" s="1">
        <v>43465</v>
      </c>
      <c r="G2455" s="1"/>
      <c r="H2455" t="s">
        <v>4664</v>
      </c>
      <c r="I2455" t="s">
        <v>4665</v>
      </c>
    </row>
    <row r="2456" spans="1:9" x14ac:dyDescent="0.25">
      <c r="A2456" t="s">
        <v>3361</v>
      </c>
      <c r="B2456" s="26" t="str">
        <f>MID(tbl_forecast[[#This Row],[PACE Job Number]],3,3)</f>
        <v>STX</v>
      </c>
      <c r="C2456" t="s">
        <v>18</v>
      </c>
      <c r="D2456" s="1">
        <v>43432</v>
      </c>
      <c r="E2456" s="1">
        <v>43465</v>
      </c>
      <c r="F2456" s="1">
        <v>43465</v>
      </c>
      <c r="G2456" s="1"/>
      <c r="H2456" t="s">
        <v>4664</v>
      </c>
      <c r="I2456" t="s">
        <v>4665</v>
      </c>
    </row>
    <row r="2457" spans="1:9" x14ac:dyDescent="0.25">
      <c r="A2457" t="s">
        <v>4397</v>
      </c>
      <c r="B2457" s="26" t="str">
        <f>MID(tbl_forecast[[#This Row],[PACE Job Number]],3,3)</f>
        <v>STX</v>
      </c>
      <c r="C2457" t="s">
        <v>18</v>
      </c>
      <c r="D2457" s="1">
        <v>43432</v>
      </c>
      <c r="E2457" s="1">
        <v>43432</v>
      </c>
      <c r="F2457" s="1">
        <v>43419</v>
      </c>
      <c r="G2457" s="1">
        <v>43419</v>
      </c>
      <c r="H2457" t="s">
        <v>9</v>
      </c>
      <c r="I2457" t="s">
        <v>10</v>
      </c>
    </row>
    <row r="2458" spans="1:9" x14ac:dyDescent="0.25">
      <c r="A2458" t="s">
        <v>5530</v>
      </c>
      <c r="B2458" s="26" t="str">
        <f>MID(tbl_forecast[[#This Row],[PACE Job Number]],3,3)</f>
        <v>WSH</v>
      </c>
      <c r="C2458" t="s">
        <v>18</v>
      </c>
      <c r="D2458" s="1">
        <v>43434</v>
      </c>
      <c r="E2458" s="1">
        <v>36524</v>
      </c>
      <c r="F2458" s="1">
        <v>43430</v>
      </c>
      <c r="G2458" s="1">
        <v>43430</v>
      </c>
      <c r="H2458" t="s">
        <v>9</v>
      </c>
      <c r="I2458" t="s">
        <v>10</v>
      </c>
    </row>
    <row r="2459" spans="1:9" x14ac:dyDescent="0.25">
      <c r="A2459" t="s">
        <v>3911</v>
      </c>
      <c r="B2459" s="26" t="str">
        <f>MID(tbl_forecast[[#This Row],[PACE Job Number]],3,3)</f>
        <v>WSH</v>
      </c>
      <c r="C2459" t="s">
        <v>18</v>
      </c>
      <c r="D2459" s="1">
        <v>43434</v>
      </c>
      <c r="E2459" s="1">
        <v>43406</v>
      </c>
      <c r="F2459" s="1">
        <v>43465</v>
      </c>
      <c r="G2459" s="1"/>
      <c r="H2459" t="s">
        <v>4664</v>
      </c>
      <c r="I2459" t="s">
        <v>4666</v>
      </c>
    </row>
    <row r="2460" spans="1:9" x14ac:dyDescent="0.25">
      <c r="A2460" t="s">
        <v>4210</v>
      </c>
      <c r="B2460" s="26" t="str">
        <f>MID(tbl_forecast[[#This Row],[PACE Job Number]],3,3)</f>
        <v>WSH</v>
      </c>
      <c r="C2460" t="s">
        <v>18</v>
      </c>
      <c r="D2460" s="1">
        <v>43434</v>
      </c>
      <c r="E2460" s="1">
        <v>43465</v>
      </c>
      <c r="F2460" s="1">
        <v>43465</v>
      </c>
      <c r="G2460" s="1"/>
      <c r="H2460" t="s">
        <v>4664</v>
      </c>
      <c r="I2460" t="s">
        <v>4665</v>
      </c>
    </row>
    <row r="2461" spans="1:9" x14ac:dyDescent="0.25">
      <c r="A2461" t="s">
        <v>5468</v>
      </c>
      <c r="B2461" s="26" t="str">
        <f>MID(tbl_forecast[[#This Row],[PACE Job Number]],3,3)</f>
        <v>WSH</v>
      </c>
      <c r="C2461" t="s">
        <v>18</v>
      </c>
      <c r="D2461" s="1">
        <v>43434</v>
      </c>
      <c r="E2461" s="1">
        <v>43436</v>
      </c>
      <c r="F2461" s="1">
        <v>43431</v>
      </c>
      <c r="G2461" s="1">
        <v>43431</v>
      </c>
      <c r="H2461" t="s">
        <v>9</v>
      </c>
      <c r="I2461" t="s">
        <v>10</v>
      </c>
    </row>
    <row r="2462" spans="1:9" x14ac:dyDescent="0.25">
      <c r="A2462" t="s">
        <v>5210</v>
      </c>
      <c r="B2462" s="26" t="str">
        <f>MID(tbl_forecast[[#This Row],[PACE Job Number]],3,3)</f>
        <v>WSH</v>
      </c>
      <c r="C2462" t="s">
        <v>18</v>
      </c>
      <c r="D2462" s="1">
        <v>43434</v>
      </c>
      <c r="E2462" s="1">
        <v>43465</v>
      </c>
      <c r="F2462" s="1">
        <v>43465</v>
      </c>
      <c r="G2462" s="1"/>
      <c r="H2462" t="s">
        <v>4664</v>
      </c>
      <c r="I2462" t="s">
        <v>4665</v>
      </c>
    </row>
    <row r="2463" spans="1:9" x14ac:dyDescent="0.25">
      <c r="A2463" t="s">
        <v>3393</v>
      </c>
      <c r="B2463" s="26" t="str">
        <f>MID(tbl_forecast[[#This Row],[PACE Job Number]],3,3)</f>
        <v>WSH</v>
      </c>
      <c r="C2463" t="s">
        <v>18</v>
      </c>
      <c r="D2463" s="1">
        <v>43434</v>
      </c>
      <c r="E2463" s="1">
        <v>43323</v>
      </c>
      <c r="F2463" s="1">
        <v>43465</v>
      </c>
      <c r="G2463" s="1"/>
      <c r="H2463" t="s">
        <v>4664</v>
      </c>
      <c r="I2463" t="s">
        <v>4666</v>
      </c>
    </row>
    <row r="2464" spans="1:9" x14ac:dyDescent="0.25">
      <c r="A2464" t="s">
        <v>5212</v>
      </c>
      <c r="B2464" s="26" t="str">
        <f>MID(tbl_forecast[[#This Row],[PACE Job Number]],3,3)</f>
        <v>WSH</v>
      </c>
      <c r="C2464" t="s">
        <v>18</v>
      </c>
      <c r="D2464" s="1">
        <v>43434</v>
      </c>
      <c r="E2464" s="1">
        <v>43314</v>
      </c>
      <c r="F2464" s="1">
        <v>43465</v>
      </c>
      <c r="G2464" s="1"/>
      <c r="H2464" t="s">
        <v>4664</v>
      </c>
      <c r="I2464" t="s">
        <v>4666</v>
      </c>
    </row>
    <row r="2465" spans="1:9" x14ac:dyDescent="0.25">
      <c r="A2465" t="s">
        <v>3821</v>
      </c>
      <c r="B2465" s="26" t="str">
        <f>MID(tbl_forecast[[#This Row],[PACE Job Number]],3,3)</f>
        <v>WSH</v>
      </c>
      <c r="C2465" t="s">
        <v>18</v>
      </c>
      <c r="D2465" s="1">
        <v>43434</v>
      </c>
      <c r="E2465" s="1">
        <v>43465</v>
      </c>
      <c r="F2465" s="1">
        <v>43465</v>
      </c>
      <c r="G2465" s="1"/>
      <c r="H2465" t="s">
        <v>4664</v>
      </c>
      <c r="I2465" t="s">
        <v>4665</v>
      </c>
    </row>
    <row r="2466" spans="1:9" x14ac:dyDescent="0.25">
      <c r="A2466" t="s">
        <v>3383</v>
      </c>
      <c r="B2466" s="26" t="str">
        <f>MID(tbl_forecast[[#This Row],[PACE Job Number]],3,3)</f>
        <v>WSH</v>
      </c>
      <c r="C2466" t="s">
        <v>18</v>
      </c>
      <c r="D2466" s="1">
        <v>43434</v>
      </c>
      <c r="E2466" s="1">
        <v>43465</v>
      </c>
      <c r="F2466" s="1">
        <v>43418</v>
      </c>
      <c r="G2466" s="1">
        <v>43418</v>
      </c>
      <c r="H2466" t="s">
        <v>9</v>
      </c>
      <c r="I2466" t="s">
        <v>10</v>
      </c>
    </row>
    <row r="2467" spans="1:9" x14ac:dyDescent="0.25">
      <c r="A2467" t="s">
        <v>4337</v>
      </c>
      <c r="B2467" s="26" t="str">
        <f>MID(tbl_forecast[[#This Row],[PACE Job Number]],3,3)</f>
        <v>NTX</v>
      </c>
      <c r="C2467" t="s">
        <v>18</v>
      </c>
      <c r="D2467" s="1">
        <v>43430</v>
      </c>
      <c r="E2467" s="1">
        <v>36524</v>
      </c>
      <c r="F2467" s="1">
        <v>43524</v>
      </c>
      <c r="G2467" s="1"/>
      <c r="H2467" t="s">
        <v>4664</v>
      </c>
      <c r="I2467" t="s">
        <v>4666</v>
      </c>
    </row>
    <row r="2468" spans="1:9" x14ac:dyDescent="0.25">
      <c r="A2468" t="s">
        <v>4521</v>
      </c>
      <c r="B2468" s="26" t="str">
        <f>MID(tbl_forecast[[#This Row],[PACE Job Number]],3,3)</f>
        <v>NTX</v>
      </c>
      <c r="C2468" t="s">
        <v>18</v>
      </c>
      <c r="D2468" s="1">
        <v>43415</v>
      </c>
      <c r="E2468" s="1">
        <v>43279</v>
      </c>
      <c r="F2468" s="1">
        <v>43423</v>
      </c>
      <c r="G2468" s="1">
        <v>43423</v>
      </c>
      <c r="H2468" t="s">
        <v>9</v>
      </c>
      <c r="I2468" t="s">
        <v>10</v>
      </c>
    </row>
    <row r="2469" spans="1:9" x14ac:dyDescent="0.25">
      <c r="A2469" t="s">
        <v>1808</v>
      </c>
      <c r="B2469" s="26" t="str">
        <f>MID(tbl_forecast[[#This Row],[PACE Job Number]],3,3)</f>
        <v>NTX</v>
      </c>
      <c r="C2469" t="s">
        <v>18</v>
      </c>
      <c r="D2469" s="1">
        <v>43417</v>
      </c>
      <c r="E2469" s="1">
        <v>36524</v>
      </c>
      <c r="F2469" s="1">
        <v>43433</v>
      </c>
      <c r="G2469" s="1">
        <v>43433</v>
      </c>
      <c r="H2469" t="s">
        <v>4664</v>
      </c>
      <c r="I2469" t="s">
        <v>10</v>
      </c>
    </row>
    <row r="2470" spans="1:9" x14ac:dyDescent="0.25">
      <c r="A2470" t="s">
        <v>5531</v>
      </c>
      <c r="B2470" s="26" t="str">
        <f>MID(tbl_forecast[[#This Row],[PACE Job Number]],3,3)</f>
        <v>NTX</v>
      </c>
      <c r="C2470" t="s">
        <v>18</v>
      </c>
      <c r="D2470" s="1">
        <v>43434</v>
      </c>
      <c r="E2470" s="1">
        <v>43286</v>
      </c>
      <c r="F2470" s="1">
        <v>43465</v>
      </c>
      <c r="G2470" s="1"/>
      <c r="H2470" t="s">
        <v>4664</v>
      </c>
      <c r="I2470" t="s">
        <v>4666</v>
      </c>
    </row>
    <row r="2471" spans="1:9" x14ac:dyDescent="0.25">
      <c r="A2471" t="s">
        <v>5345</v>
      </c>
      <c r="B2471" s="26" t="str">
        <f>MID(tbl_forecast[[#This Row],[PACE Job Number]],3,3)</f>
        <v>STX</v>
      </c>
      <c r="C2471" t="s">
        <v>18</v>
      </c>
      <c r="D2471" s="1">
        <v>43434</v>
      </c>
      <c r="E2471" s="1">
        <v>43434</v>
      </c>
      <c r="F2471" s="1">
        <v>43434</v>
      </c>
      <c r="G2471" s="1"/>
      <c r="H2471" t="s">
        <v>9</v>
      </c>
      <c r="I2471" t="s">
        <v>27</v>
      </c>
    </row>
    <row r="2472" spans="1:9" x14ac:dyDescent="0.25">
      <c r="A2472" t="s">
        <v>3822</v>
      </c>
      <c r="B2472" s="26" t="str">
        <f>MID(tbl_forecast[[#This Row],[PACE Job Number]],3,3)</f>
        <v>WSH</v>
      </c>
      <c r="C2472" t="s">
        <v>18</v>
      </c>
      <c r="D2472" s="1">
        <v>43434</v>
      </c>
      <c r="E2472" s="1">
        <v>43286</v>
      </c>
      <c r="F2472" s="1">
        <v>43465</v>
      </c>
      <c r="G2472" s="1"/>
      <c r="H2472" t="s">
        <v>4664</v>
      </c>
      <c r="I2472" t="s">
        <v>4666</v>
      </c>
    </row>
    <row r="2473" spans="1:9" x14ac:dyDescent="0.25">
      <c r="A2473" t="s">
        <v>3823</v>
      </c>
      <c r="B2473" s="26" t="str">
        <f>MID(tbl_forecast[[#This Row],[PACE Job Number]],3,3)</f>
        <v>WSH</v>
      </c>
      <c r="C2473" t="s">
        <v>18</v>
      </c>
      <c r="D2473" s="1">
        <v>43434</v>
      </c>
      <c r="E2473" s="1">
        <v>43465</v>
      </c>
      <c r="F2473" s="1">
        <v>43434</v>
      </c>
      <c r="G2473" s="1"/>
      <c r="H2473" t="s">
        <v>9</v>
      </c>
      <c r="I2473" t="s">
        <v>44</v>
      </c>
    </row>
    <row r="2474" spans="1:9" x14ac:dyDescent="0.25">
      <c r="A2474" t="s">
        <v>5214</v>
      </c>
      <c r="B2474" s="26" t="str">
        <f>MID(tbl_forecast[[#This Row],[PACE Job Number]],3,3)</f>
        <v>WSH</v>
      </c>
      <c r="C2474" t="s">
        <v>18</v>
      </c>
      <c r="D2474" s="1">
        <v>43434</v>
      </c>
      <c r="E2474" s="1">
        <v>43465</v>
      </c>
      <c r="F2474" s="1">
        <v>43434</v>
      </c>
      <c r="G2474" s="1"/>
      <c r="H2474" t="s">
        <v>9</v>
      </c>
      <c r="I2474" t="s">
        <v>44</v>
      </c>
    </row>
    <row r="2475" spans="1:9" x14ac:dyDescent="0.25">
      <c r="A2475" t="s">
        <v>37</v>
      </c>
      <c r="B2475" s="26" t="str">
        <f>MID(tbl_forecast[[#This Row],[PACE Job Number]],3,3)</f>
        <v>WSH</v>
      </c>
      <c r="C2475" t="s">
        <v>18</v>
      </c>
      <c r="D2475" s="1">
        <v>43434</v>
      </c>
      <c r="E2475" s="1">
        <v>43465</v>
      </c>
      <c r="F2475" s="1">
        <v>43427</v>
      </c>
      <c r="G2475" s="1">
        <v>43427</v>
      </c>
      <c r="H2475" t="s">
        <v>9</v>
      </c>
      <c r="I2475" t="s">
        <v>10</v>
      </c>
    </row>
    <row r="2476" spans="1:9" x14ac:dyDescent="0.25">
      <c r="A2476" t="s">
        <v>5215</v>
      </c>
      <c r="B2476" s="26" t="str">
        <f>MID(tbl_forecast[[#This Row],[PACE Job Number]],3,3)</f>
        <v>WSH</v>
      </c>
      <c r="C2476" t="s">
        <v>18</v>
      </c>
      <c r="D2476" s="1">
        <v>43434</v>
      </c>
      <c r="E2476" s="1">
        <v>36524</v>
      </c>
      <c r="F2476" s="1">
        <v>43431</v>
      </c>
      <c r="G2476" s="1">
        <v>43431</v>
      </c>
      <c r="H2476" t="s">
        <v>9</v>
      </c>
      <c r="I2476" t="s">
        <v>10</v>
      </c>
    </row>
    <row r="2477" spans="1:9" x14ac:dyDescent="0.25">
      <c r="A2477" t="s">
        <v>3824</v>
      </c>
      <c r="B2477" s="26" t="str">
        <f>MID(tbl_forecast[[#This Row],[PACE Job Number]],3,3)</f>
        <v>WSH</v>
      </c>
      <c r="C2477" t="s">
        <v>18</v>
      </c>
      <c r="D2477" s="1">
        <v>43434</v>
      </c>
      <c r="E2477" s="1">
        <v>43465</v>
      </c>
      <c r="F2477" s="1">
        <v>43434</v>
      </c>
      <c r="G2477" s="1"/>
      <c r="H2477" t="s">
        <v>9</v>
      </c>
      <c r="I2477" t="s">
        <v>44</v>
      </c>
    </row>
    <row r="2478" spans="1:9" x14ac:dyDescent="0.25">
      <c r="A2478" t="s">
        <v>5216</v>
      </c>
      <c r="B2478" s="26" t="str">
        <f>MID(tbl_forecast[[#This Row],[PACE Job Number]],3,3)</f>
        <v>WSH</v>
      </c>
      <c r="C2478" t="s">
        <v>18</v>
      </c>
      <c r="D2478" s="1">
        <v>43434</v>
      </c>
      <c r="E2478" s="1">
        <v>43465</v>
      </c>
      <c r="F2478" s="1">
        <v>43465</v>
      </c>
      <c r="G2478" s="1"/>
      <c r="H2478" t="s">
        <v>4664</v>
      </c>
      <c r="I2478" t="s">
        <v>4665</v>
      </c>
    </row>
    <row r="2479" spans="1:9" x14ac:dyDescent="0.25">
      <c r="A2479" t="s">
        <v>4242</v>
      </c>
      <c r="B2479" s="26" t="str">
        <f>MID(tbl_forecast[[#This Row],[PACE Job Number]],3,3)</f>
        <v>WSH</v>
      </c>
      <c r="C2479" t="s">
        <v>18</v>
      </c>
      <c r="D2479" s="1">
        <v>43434</v>
      </c>
      <c r="E2479" s="1">
        <v>43344</v>
      </c>
      <c r="F2479" s="1">
        <v>43434</v>
      </c>
      <c r="G2479" s="1"/>
      <c r="H2479" t="s">
        <v>9</v>
      </c>
      <c r="I2479" t="s">
        <v>27</v>
      </c>
    </row>
    <row r="2480" spans="1:9" x14ac:dyDescent="0.25">
      <c r="A2480" t="s">
        <v>3828</v>
      </c>
      <c r="B2480" s="26" t="str">
        <f>MID(tbl_forecast[[#This Row],[PACE Job Number]],3,3)</f>
        <v>WSH</v>
      </c>
      <c r="C2480" t="s">
        <v>18</v>
      </c>
      <c r="D2480" s="1">
        <v>43434</v>
      </c>
      <c r="E2480" s="1">
        <v>43465</v>
      </c>
      <c r="F2480" s="1">
        <v>43434</v>
      </c>
      <c r="G2480" s="1"/>
      <c r="H2480" t="s">
        <v>9</v>
      </c>
      <c r="I2480" t="s">
        <v>44</v>
      </c>
    </row>
    <row r="2481" spans="1:9" x14ac:dyDescent="0.25">
      <c r="A2481" t="s">
        <v>5217</v>
      </c>
      <c r="B2481" s="26" t="str">
        <f>MID(tbl_forecast[[#This Row],[PACE Job Number]],3,3)</f>
        <v>WSH</v>
      </c>
      <c r="C2481" t="s">
        <v>18</v>
      </c>
      <c r="D2481" s="1">
        <v>43434</v>
      </c>
      <c r="E2481" s="1">
        <v>36524</v>
      </c>
      <c r="F2481" s="1">
        <v>43427</v>
      </c>
      <c r="G2481" s="1">
        <v>43427</v>
      </c>
      <c r="H2481" t="s">
        <v>9</v>
      </c>
      <c r="I2481" t="s">
        <v>10</v>
      </c>
    </row>
    <row r="2482" spans="1:9" x14ac:dyDescent="0.25">
      <c r="A2482" t="s">
        <v>4243</v>
      </c>
      <c r="B2482" s="26" t="str">
        <f>MID(tbl_forecast[[#This Row],[PACE Job Number]],3,3)</f>
        <v>WSH</v>
      </c>
      <c r="C2482" t="s">
        <v>18</v>
      </c>
      <c r="D2482" s="1">
        <v>43434</v>
      </c>
      <c r="E2482" s="1">
        <v>43252</v>
      </c>
      <c r="F2482" s="1">
        <v>43424</v>
      </c>
      <c r="G2482" s="1">
        <v>43424</v>
      </c>
      <c r="H2482" t="s">
        <v>9</v>
      </c>
      <c r="I2482" t="s">
        <v>10</v>
      </c>
    </row>
    <row r="2483" spans="1:9" x14ac:dyDescent="0.25">
      <c r="A2483" t="s">
        <v>5471</v>
      </c>
      <c r="B2483" s="26" t="str">
        <f>MID(tbl_forecast[[#This Row],[PACE Job Number]],3,3)</f>
        <v>WSH</v>
      </c>
      <c r="C2483" t="s">
        <v>18</v>
      </c>
      <c r="D2483" s="1">
        <v>43434</v>
      </c>
      <c r="E2483" s="1">
        <v>36524</v>
      </c>
      <c r="F2483" s="1">
        <v>43427</v>
      </c>
      <c r="G2483" s="1">
        <v>43427</v>
      </c>
      <c r="H2483" t="s">
        <v>9</v>
      </c>
      <c r="I2483" t="s">
        <v>10</v>
      </c>
    </row>
    <row r="2484" spans="1:9" x14ac:dyDescent="0.25">
      <c r="A2484" t="s">
        <v>4245</v>
      </c>
      <c r="B2484" s="26" t="str">
        <f>MID(tbl_forecast[[#This Row],[PACE Job Number]],3,3)</f>
        <v>WSH</v>
      </c>
      <c r="C2484" t="s">
        <v>18</v>
      </c>
      <c r="D2484" s="1">
        <v>43434</v>
      </c>
      <c r="E2484" s="1">
        <v>43344</v>
      </c>
      <c r="F2484" s="1">
        <v>43434</v>
      </c>
      <c r="G2484" s="1"/>
      <c r="H2484" t="s">
        <v>9</v>
      </c>
      <c r="I2484" t="s">
        <v>27</v>
      </c>
    </row>
    <row r="2485" spans="1:9" x14ac:dyDescent="0.25">
      <c r="A2485" t="s">
        <v>3830</v>
      </c>
      <c r="B2485" s="26" t="str">
        <f>MID(tbl_forecast[[#This Row],[PACE Job Number]],3,3)</f>
        <v>WSH</v>
      </c>
      <c r="C2485" t="s">
        <v>18</v>
      </c>
      <c r="D2485" s="1">
        <v>43434</v>
      </c>
      <c r="E2485" s="1">
        <v>43465</v>
      </c>
      <c r="F2485" s="1">
        <v>43465</v>
      </c>
      <c r="G2485" s="1"/>
      <c r="H2485" t="s">
        <v>4664</v>
      </c>
      <c r="I2485" t="s">
        <v>4665</v>
      </c>
    </row>
    <row r="2486" spans="1:9" x14ac:dyDescent="0.25">
      <c r="A2486" t="s">
        <v>5219</v>
      </c>
      <c r="B2486" s="26" t="str">
        <f>MID(tbl_forecast[[#This Row],[PACE Job Number]],3,3)</f>
        <v>WSH</v>
      </c>
      <c r="C2486" t="s">
        <v>18</v>
      </c>
      <c r="D2486" s="1">
        <v>43434</v>
      </c>
      <c r="E2486" s="1">
        <v>43465</v>
      </c>
      <c r="F2486" s="1">
        <v>43465</v>
      </c>
      <c r="G2486" s="1"/>
      <c r="H2486" t="s">
        <v>4664</v>
      </c>
      <c r="I2486" t="s">
        <v>4665</v>
      </c>
    </row>
    <row r="2487" spans="1:9" x14ac:dyDescent="0.25">
      <c r="A2487" t="s">
        <v>5220</v>
      </c>
      <c r="B2487" s="26" t="str">
        <f>MID(tbl_forecast[[#This Row],[PACE Job Number]],3,3)</f>
        <v>WSH</v>
      </c>
      <c r="C2487" t="s">
        <v>18</v>
      </c>
      <c r="D2487" s="1">
        <v>43434</v>
      </c>
      <c r="E2487" s="1">
        <v>36524</v>
      </c>
      <c r="F2487" s="1">
        <v>43434</v>
      </c>
      <c r="G2487" s="1"/>
      <c r="H2487" t="s">
        <v>9</v>
      </c>
      <c r="I2487" t="s">
        <v>27</v>
      </c>
    </row>
    <row r="2488" spans="1:9" x14ac:dyDescent="0.25">
      <c r="A2488" t="s">
        <v>3921</v>
      </c>
      <c r="B2488" s="26" t="str">
        <f>MID(tbl_forecast[[#This Row],[PACE Job Number]],3,3)</f>
        <v>WSH</v>
      </c>
      <c r="C2488" t="s">
        <v>18</v>
      </c>
      <c r="D2488" s="1">
        <v>43434</v>
      </c>
      <c r="E2488" s="1">
        <v>36524</v>
      </c>
      <c r="F2488" s="1">
        <v>43434</v>
      </c>
      <c r="G2488" s="1"/>
      <c r="H2488" t="s">
        <v>9</v>
      </c>
      <c r="I2488" t="s">
        <v>27</v>
      </c>
    </row>
    <row r="2489" spans="1:9" x14ac:dyDescent="0.25">
      <c r="A2489" t="s">
        <v>5532</v>
      </c>
      <c r="B2489" s="26" t="str">
        <f>MID(tbl_forecast[[#This Row],[PACE Job Number]],3,3)</f>
        <v>STX</v>
      </c>
      <c r="C2489" t="s">
        <v>18</v>
      </c>
      <c r="D2489" s="1">
        <v>43434</v>
      </c>
      <c r="E2489" s="1">
        <v>43434</v>
      </c>
      <c r="F2489" s="1">
        <v>43434</v>
      </c>
      <c r="G2489" s="1"/>
      <c r="H2489" t="s">
        <v>9</v>
      </c>
      <c r="I2489" t="s">
        <v>27</v>
      </c>
    </row>
    <row r="2490" spans="1:9" x14ac:dyDescent="0.25">
      <c r="A2490" t="s">
        <v>5533</v>
      </c>
      <c r="B2490" s="26" t="str">
        <f>MID(tbl_forecast[[#This Row],[PACE Job Number]],3,3)</f>
        <v>STX</v>
      </c>
      <c r="C2490" t="s">
        <v>18</v>
      </c>
      <c r="D2490" s="1">
        <v>43419</v>
      </c>
      <c r="E2490" s="1">
        <v>43419</v>
      </c>
      <c r="F2490" s="1">
        <v>43417</v>
      </c>
      <c r="G2490" s="1">
        <v>43417</v>
      </c>
      <c r="H2490" t="s">
        <v>9</v>
      </c>
      <c r="I2490" t="s">
        <v>10</v>
      </c>
    </row>
    <row r="2491" spans="1:9" x14ac:dyDescent="0.25">
      <c r="A2491" t="s">
        <v>5350</v>
      </c>
      <c r="B2491" s="26" t="str">
        <f>MID(tbl_forecast[[#This Row],[PACE Job Number]],3,3)</f>
        <v>STX</v>
      </c>
      <c r="C2491" t="s">
        <v>18</v>
      </c>
      <c r="D2491" s="1">
        <v>43434</v>
      </c>
      <c r="E2491" s="1">
        <v>43434</v>
      </c>
      <c r="F2491" s="1">
        <v>43434</v>
      </c>
      <c r="G2491" s="1"/>
      <c r="H2491" t="s">
        <v>9</v>
      </c>
      <c r="I2491" t="s">
        <v>27</v>
      </c>
    </row>
    <row r="2492" spans="1:9" x14ac:dyDescent="0.25">
      <c r="A2492" t="s">
        <v>3293</v>
      </c>
      <c r="B2492" s="26" t="str">
        <f>MID(tbl_forecast[[#This Row],[PACE Job Number]],3,3)</f>
        <v>STX</v>
      </c>
      <c r="C2492" t="s">
        <v>18</v>
      </c>
      <c r="D2492" s="1">
        <v>43432</v>
      </c>
      <c r="E2492" s="1">
        <v>43432</v>
      </c>
      <c r="F2492" s="1">
        <v>43432</v>
      </c>
      <c r="G2492" s="1"/>
      <c r="H2492" t="s">
        <v>9</v>
      </c>
      <c r="I2492" t="s">
        <v>27</v>
      </c>
    </row>
    <row r="2493" spans="1:9" x14ac:dyDescent="0.25">
      <c r="A2493" t="s">
        <v>1702</v>
      </c>
      <c r="B2493" s="26" t="str">
        <f>MID(tbl_forecast[[#This Row],[PACE Job Number]],3,3)</f>
        <v>STX</v>
      </c>
      <c r="C2493" t="s">
        <v>18</v>
      </c>
      <c r="D2493" s="1">
        <v>43434</v>
      </c>
      <c r="E2493" s="1">
        <v>43465</v>
      </c>
      <c r="F2493" s="1">
        <v>43465</v>
      </c>
      <c r="G2493" s="1"/>
      <c r="H2493" t="s">
        <v>4664</v>
      </c>
      <c r="I2493" t="s">
        <v>4665</v>
      </c>
    </row>
    <row r="2494" spans="1:9" x14ac:dyDescent="0.25">
      <c r="A2494" t="s">
        <v>4341</v>
      </c>
      <c r="B2494" s="26" t="str">
        <f>MID(tbl_forecast[[#This Row],[PACE Job Number]],3,3)</f>
        <v>STX</v>
      </c>
      <c r="C2494" t="s">
        <v>18</v>
      </c>
      <c r="D2494" s="1">
        <v>43434</v>
      </c>
      <c r="E2494" s="1">
        <v>43434</v>
      </c>
      <c r="F2494" s="1">
        <v>43434</v>
      </c>
      <c r="G2494" s="1"/>
      <c r="H2494" t="s">
        <v>9</v>
      </c>
      <c r="I2494" t="s">
        <v>27</v>
      </c>
    </row>
    <row r="2495" spans="1:9" x14ac:dyDescent="0.25">
      <c r="A2495" t="s">
        <v>4342</v>
      </c>
      <c r="B2495" s="26" t="str">
        <f>MID(tbl_forecast[[#This Row],[PACE Job Number]],3,3)</f>
        <v>STX</v>
      </c>
      <c r="C2495" t="s">
        <v>18</v>
      </c>
      <c r="D2495" s="1">
        <v>43432</v>
      </c>
      <c r="E2495" s="1">
        <v>43432</v>
      </c>
      <c r="F2495" s="1">
        <v>43432</v>
      </c>
      <c r="G2495" s="1"/>
      <c r="H2495" t="s">
        <v>9</v>
      </c>
      <c r="I2495" t="s">
        <v>27</v>
      </c>
    </row>
    <row r="2496" spans="1:9" x14ac:dyDescent="0.25">
      <c r="A2496" t="s">
        <v>611</v>
      </c>
      <c r="B2496" s="26" t="str">
        <f>MID(tbl_forecast[[#This Row],[PACE Job Number]],3,3)</f>
        <v>STX</v>
      </c>
      <c r="C2496" t="s">
        <v>18</v>
      </c>
      <c r="D2496" s="1">
        <v>43434</v>
      </c>
      <c r="E2496" s="1">
        <v>43465</v>
      </c>
      <c r="F2496" s="1">
        <v>43465</v>
      </c>
      <c r="G2496" s="1"/>
      <c r="H2496" t="s">
        <v>4664</v>
      </c>
      <c r="I2496" t="s">
        <v>4665</v>
      </c>
    </row>
    <row r="2497" spans="1:9" x14ac:dyDescent="0.25">
      <c r="A2497" t="s">
        <v>4343</v>
      </c>
      <c r="B2497" s="26" t="str">
        <f>MID(tbl_forecast[[#This Row],[PACE Job Number]],3,3)</f>
        <v>STX</v>
      </c>
      <c r="C2497" t="s">
        <v>18</v>
      </c>
      <c r="D2497" s="1">
        <v>43432</v>
      </c>
      <c r="E2497" s="1">
        <v>43432</v>
      </c>
      <c r="F2497" s="1">
        <v>43431</v>
      </c>
      <c r="G2497" s="1">
        <v>43431</v>
      </c>
      <c r="H2497" t="s">
        <v>9</v>
      </c>
      <c r="I2497" t="s">
        <v>10</v>
      </c>
    </row>
    <row r="2498" spans="1:9" x14ac:dyDescent="0.25">
      <c r="A2498" t="s">
        <v>3236</v>
      </c>
      <c r="B2498" s="26" t="str">
        <f>MID(tbl_forecast[[#This Row],[PACE Job Number]],3,3)</f>
        <v>STX</v>
      </c>
      <c r="C2498" t="s">
        <v>18</v>
      </c>
      <c r="D2498" s="1">
        <v>43434</v>
      </c>
      <c r="E2498" s="1">
        <v>43434</v>
      </c>
      <c r="F2498" s="1">
        <v>43434</v>
      </c>
      <c r="G2498" s="1"/>
      <c r="H2498" t="s">
        <v>9</v>
      </c>
      <c r="I2498" t="s">
        <v>27</v>
      </c>
    </row>
    <row r="2499" spans="1:9" x14ac:dyDescent="0.25">
      <c r="A2499" t="s">
        <v>3235</v>
      </c>
      <c r="B2499" s="26" t="str">
        <f>MID(tbl_forecast[[#This Row],[PACE Job Number]],3,3)</f>
        <v>STX</v>
      </c>
      <c r="C2499" t="s">
        <v>18</v>
      </c>
      <c r="D2499" s="1">
        <v>43434</v>
      </c>
      <c r="E2499" s="1">
        <v>43465</v>
      </c>
      <c r="F2499" s="1">
        <v>43465</v>
      </c>
      <c r="G2499" s="1"/>
      <c r="H2499" t="s">
        <v>4664</v>
      </c>
      <c r="I2499" t="s">
        <v>4665</v>
      </c>
    </row>
    <row r="2500" spans="1:9" x14ac:dyDescent="0.25">
      <c r="A2500" t="s">
        <v>5534</v>
      </c>
      <c r="B2500" s="26" t="str">
        <f>MID(tbl_forecast[[#This Row],[PACE Job Number]],3,3)</f>
        <v>STX</v>
      </c>
      <c r="C2500" t="s">
        <v>18</v>
      </c>
      <c r="D2500" s="1">
        <v>43419</v>
      </c>
      <c r="E2500" s="1">
        <v>43419</v>
      </c>
      <c r="F2500" s="1">
        <v>43417</v>
      </c>
      <c r="G2500" s="1">
        <v>43417</v>
      </c>
      <c r="H2500" t="s">
        <v>9</v>
      </c>
      <c r="I2500" t="s">
        <v>10</v>
      </c>
    </row>
    <row r="2501" spans="1:9" x14ac:dyDescent="0.25">
      <c r="A2501" t="s">
        <v>65</v>
      </c>
      <c r="B2501" s="26" t="str">
        <f>MID(tbl_forecast[[#This Row],[PACE Job Number]],3,3)</f>
        <v>STX</v>
      </c>
      <c r="C2501" t="s">
        <v>18</v>
      </c>
      <c r="D2501" s="1">
        <v>43434</v>
      </c>
      <c r="E2501" s="1">
        <v>43434</v>
      </c>
      <c r="F2501" s="1">
        <v>43416</v>
      </c>
      <c r="G2501" s="1">
        <v>43416</v>
      </c>
      <c r="H2501" t="s">
        <v>9</v>
      </c>
      <c r="I2501" t="s">
        <v>10</v>
      </c>
    </row>
    <row r="2502" spans="1:9" x14ac:dyDescent="0.25">
      <c r="A2502" t="s">
        <v>4345</v>
      </c>
      <c r="B2502" s="26" t="str">
        <f>MID(tbl_forecast[[#This Row],[PACE Job Number]],3,3)</f>
        <v>STX</v>
      </c>
      <c r="C2502" t="s">
        <v>18</v>
      </c>
      <c r="D2502" s="1">
        <v>43432</v>
      </c>
      <c r="E2502" s="1">
        <v>43465</v>
      </c>
      <c r="F2502" s="1">
        <v>43465</v>
      </c>
      <c r="G2502" s="1"/>
      <c r="H2502" t="s">
        <v>4664</v>
      </c>
      <c r="I2502" t="s">
        <v>4665</v>
      </c>
    </row>
    <row r="2503" spans="1:9" x14ac:dyDescent="0.25">
      <c r="A2503" t="s">
        <v>4134</v>
      </c>
      <c r="B2503" s="26" t="str">
        <f>MID(tbl_forecast[[#This Row],[PACE Job Number]],3,3)</f>
        <v>STX</v>
      </c>
      <c r="C2503" t="s">
        <v>18</v>
      </c>
      <c r="D2503" s="1">
        <v>43434</v>
      </c>
      <c r="E2503" s="1">
        <v>43434</v>
      </c>
      <c r="F2503" s="1">
        <v>43423</v>
      </c>
      <c r="G2503" s="1">
        <v>43423</v>
      </c>
      <c r="H2503" t="s">
        <v>9</v>
      </c>
      <c r="I2503" t="s">
        <v>10</v>
      </c>
    </row>
    <row r="2504" spans="1:9" x14ac:dyDescent="0.25">
      <c r="A2504" t="s">
        <v>3212</v>
      </c>
      <c r="B2504" s="26" t="str">
        <f>MID(tbl_forecast[[#This Row],[PACE Job Number]],3,3)</f>
        <v>STX</v>
      </c>
      <c r="C2504" t="s">
        <v>18</v>
      </c>
      <c r="D2504" s="1">
        <v>43419</v>
      </c>
      <c r="E2504" s="1">
        <v>43419</v>
      </c>
      <c r="F2504" s="1">
        <v>43410</v>
      </c>
      <c r="G2504" s="1">
        <v>43410</v>
      </c>
      <c r="H2504" t="s">
        <v>9</v>
      </c>
      <c r="I2504" t="s">
        <v>10</v>
      </c>
    </row>
    <row r="2505" spans="1:9" x14ac:dyDescent="0.25">
      <c r="A2505" t="s">
        <v>3339</v>
      </c>
      <c r="B2505" s="26" t="str">
        <f>MID(tbl_forecast[[#This Row],[PACE Job Number]],3,3)</f>
        <v>STX</v>
      </c>
      <c r="C2505" t="s">
        <v>18</v>
      </c>
      <c r="D2505" s="1">
        <v>43434</v>
      </c>
      <c r="E2505" s="1">
        <v>43434</v>
      </c>
      <c r="F2505" s="1">
        <v>43434</v>
      </c>
      <c r="G2505" s="1"/>
      <c r="H2505" t="s">
        <v>9</v>
      </c>
      <c r="I2505" t="s">
        <v>27</v>
      </c>
    </row>
    <row r="2506" spans="1:9" x14ac:dyDescent="0.25">
      <c r="A2506" t="s">
        <v>468</v>
      </c>
      <c r="B2506" s="26" t="str">
        <f>MID(tbl_forecast[[#This Row],[PACE Job Number]],3,3)</f>
        <v>STX</v>
      </c>
      <c r="C2506" t="s">
        <v>18</v>
      </c>
      <c r="D2506" s="1">
        <v>43432</v>
      </c>
      <c r="E2506" s="1">
        <v>43432</v>
      </c>
      <c r="F2506" s="1">
        <v>43432</v>
      </c>
      <c r="G2506" s="1"/>
      <c r="H2506" t="s">
        <v>9</v>
      </c>
      <c r="I2506" t="s">
        <v>27</v>
      </c>
    </row>
    <row r="2507" spans="1:9" x14ac:dyDescent="0.25">
      <c r="A2507" t="s">
        <v>4346</v>
      </c>
      <c r="B2507" s="26" t="str">
        <f>MID(tbl_forecast[[#This Row],[PACE Job Number]],3,3)</f>
        <v>STX</v>
      </c>
      <c r="C2507" t="s">
        <v>18</v>
      </c>
      <c r="D2507" s="1">
        <v>43432</v>
      </c>
      <c r="E2507" s="1">
        <v>43432</v>
      </c>
      <c r="F2507" s="1">
        <v>43431</v>
      </c>
      <c r="G2507" s="1">
        <v>43431</v>
      </c>
      <c r="H2507" t="s">
        <v>9</v>
      </c>
      <c r="I2507" t="s">
        <v>10</v>
      </c>
    </row>
    <row r="2508" spans="1:9" x14ac:dyDescent="0.25">
      <c r="A2508" t="s">
        <v>286</v>
      </c>
      <c r="B2508" s="26" t="str">
        <f>MID(tbl_forecast[[#This Row],[PACE Job Number]],3,3)</f>
        <v>STX</v>
      </c>
      <c r="C2508" t="s">
        <v>18</v>
      </c>
      <c r="D2508" s="1">
        <v>43432</v>
      </c>
      <c r="E2508" s="1">
        <v>43432</v>
      </c>
      <c r="F2508" s="1">
        <v>43432</v>
      </c>
      <c r="G2508" s="1"/>
      <c r="H2508" t="s">
        <v>9</v>
      </c>
      <c r="I2508" t="s">
        <v>27</v>
      </c>
    </row>
    <row r="2509" spans="1:9" x14ac:dyDescent="0.25">
      <c r="A2509" t="s">
        <v>2623</v>
      </c>
      <c r="B2509" s="26" t="str">
        <f>MID(tbl_forecast[[#This Row],[PACE Job Number]],3,3)</f>
        <v>STX</v>
      </c>
      <c r="C2509" t="s">
        <v>18</v>
      </c>
      <c r="D2509" s="1">
        <v>43432</v>
      </c>
      <c r="E2509" s="1">
        <v>43432</v>
      </c>
      <c r="F2509" s="1">
        <v>43425</v>
      </c>
      <c r="G2509" s="1">
        <v>43425</v>
      </c>
      <c r="H2509" t="s">
        <v>9</v>
      </c>
      <c r="I2509" t="s">
        <v>10</v>
      </c>
    </row>
    <row r="2510" spans="1:9" x14ac:dyDescent="0.25">
      <c r="A2510" t="s">
        <v>466</v>
      </c>
      <c r="B2510" s="26" t="str">
        <f>MID(tbl_forecast[[#This Row],[PACE Job Number]],3,3)</f>
        <v>STX</v>
      </c>
      <c r="C2510" t="s">
        <v>18</v>
      </c>
      <c r="D2510" s="1">
        <v>43432</v>
      </c>
      <c r="E2510" s="1">
        <v>43432</v>
      </c>
      <c r="F2510" s="1">
        <v>43432</v>
      </c>
      <c r="G2510" s="1"/>
      <c r="H2510" t="s">
        <v>9</v>
      </c>
      <c r="I2510" t="s">
        <v>27</v>
      </c>
    </row>
    <row r="2511" spans="1:9" x14ac:dyDescent="0.25">
      <c r="A2511" t="s">
        <v>3118</v>
      </c>
      <c r="B2511" s="26" t="str">
        <f>MID(tbl_forecast[[#This Row],[PACE Job Number]],3,3)</f>
        <v>STX</v>
      </c>
      <c r="C2511" t="s">
        <v>18</v>
      </c>
      <c r="D2511" s="1">
        <v>43434</v>
      </c>
      <c r="E2511" s="1">
        <v>43434</v>
      </c>
      <c r="F2511" s="1">
        <v>43434</v>
      </c>
      <c r="G2511" s="1"/>
      <c r="H2511" t="s">
        <v>9</v>
      </c>
      <c r="I2511" t="s">
        <v>27</v>
      </c>
    </row>
    <row r="2512" spans="1:9" x14ac:dyDescent="0.25">
      <c r="A2512" t="s">
        <v>2092</v>
      </c>
      <c r="B2512" s="26" t="str">
        <f>MID(tbl_forecast[[#This Row],[PACE Job Number]],3,3)</f>
        <v>NTX</v>
      </c>
      <c r="C2512" t="s">
        <v>18</v>
      </c>
      <c r="D2512" s="1">
        <v>43418</v>
      </c>
      <c r="E2512" s="1">
        <v>36524</v>
      </c>
      <c r="F2512" s="1">
        <v>43412</v>
      </c>
      <c r="G2512" s="1">
        <v>43412</v>
      </c>
      <c r="H2512" t="s">
        <v>9</v>
      </c>
      <c r="I2512" t="s">
        <v>10</v>
      </c>
    </row>
    <row r="2513" spans="1:9" x14ac:dyDescent="0.25">
      <c r="A2513" t="s">
        <v>4555</v>
      </c>
      <c r="B2513" s="26" t="str">
        <f>MID(tbl_forecast[[#This Row],[PACE Job Number]],3,3)</f>
        <v>NTX</v>
      </c>
      <c r="C2513" t="s">
        <v>18</v>
      </c>
      <c r="D2513" s="1">
        <v>43412</v>
      </c>
      <c r="E2513" s="1">
        <v>43396</v>
      </c>
      <c r="F2513" s="1">
        <v>43426</v>
      </c>
      <c r="G2513" s="1">
        <v>43426</v>
      </c>
      <c r="H2513" t="s">
        <v>9</v>
      </c>
      <c r="I2513" t="s">
        <v>10</v>
      </c>
    </row>
    <row r="2514" spans="1:9" x14ac:dyDescent="0.25">
      <c r="A2514" t="s">
        <v>354</v>
      </c>
      <c r="B2514" s="26" t="str">
        <f>MID(tbl_forecast[[#This Row],[PACE Job Number]],3,3)</f>
        <v>NTX</v>
      </c>
      <c r="C2514" t="s">
        <v>18</v>
      </c>
      <c r="D2514" s="1">
        <v>43426</v>
      </c>
      <c r="E2514" s="1">
        <v>43286</v>
      </c>
      <c r="F2514" s="1">
        <v>43444</v>
      </c>
      <c r="G2514" s="1"/>
      <c r="H2514" t="s">
        <v>4664</v>
      </c>
      <c r="I2514" t="s">
        <v>4666</v>
      </c>
    </row>
    <row r="2515" spans="1:9" x14ac:dyDescent="0.25">
      <c r="A2515" t="s">
        <v>3428</v>
      </c>
      <c r="B2515" s="26" t="str">
        <f>MID(tbl_forecast[[#This Row],[PACE Job Number]],3,3)</f>
        <v>NTX</v>
      </c>
      <c r="C2515" t="s">
        <v>18</v>
      </c>
      <c r="D2515" s="1">
        <v>43430</v>
      </c>
      <c r="E2515" s="1">
        <v>43416</v>
      </c>
      <c r="F2515" s="1">
        <v>43441</v>
      </c>
      <c r="G2515" s="1"/>
      <c r="H2515" t="s">
        <v>9</v>
      </c>
      <c r="I2515" t="s">
        <v>27</v>
      </c>
    </row>
    <row r="2516" spans="1:9" x14ac:dyDescent="0.25">
      <c r="A2516" t="s">
        <v>1737</v>
      </c>
      <c r="B2516" s="26" t="str">
        <f>MID(tbl_forecast[[#This Row],[PACE Job Number]],3,3)</f>
        <v>NTX</v>
      </c>
      <c r="C2516" t="s">
        <v>18</v>
      </c>
      <c r="D2516" s="1">
        <v>43416</v>
      </c>
      <c r="E2516" s="1">
        <v>36524</v>
      </c>
      <c r="F2516" s="1">
        <v>43444</v>
      </c>
      <c r="G2516" s="1"/>
      <c r="H2516" t="s">
        <v>4664</v>
      </c>
      <c r="I2516" t="s">
        <v>4666</v>
      </c>
    </row>
    <row r="2517" spans="1:9" x14ac:dyDescent="0.25">
      <c r="A2517" t="s">
        <v>4475</v>
      </c>
      <c r="B2517" s="26" t="str">
        <f>MID(tbl_forecast[[#This Row],[PACE Job Number]],3,3)</f>
        <v>NTX</v>
      </c>
      <c r="C2517" t="s">
        <v>18</v>
      </c>
      <c r="D2517" s="1">
        <v>43430</v>
      </c>
      <c r="E2517" s="1">
        <v>36524</v>
      </c>
      <c r="F2517" s="1">
        <v>43524</v>
      </c>
      <c r="G2517" s="1"/>
      <c r="H2517" t="s">
        <v>4664</v>
      </c>
      <c r="I2517" t="s">
        <v>4666</v>
      </c>
    </row>
    <row r="2518" spans="1:9" x14ac:dyDescent="0.25">
      <c r="A2518" t="s">
        <v>1744</v>
      </c>
      <c r="B2518" s="26" t="str">
        <f>MID(tbl_forecast[[#This Row],[PACE Job Number]],3,3)</f>
        <v>NTX</v>
      </c>
      <c r="C2518" t="s">
        <v>18</v>
      </c>
      <c r="D2518" s="1">
        <v>43417</v>
      </c>
      <c r="E2518" s="1">
        <v>36524</v>
      </c>
      <c r="F2518" s="1">
        <v>43433</v>
      </c>
      <c r="G2518" s="1">
        <v>43433</v>
      </c>
      <c r="H2518" t="s">
        <v>4664</v>
      </c>
      <c r="I2518" t="s">
        <v>10</v>
      </c>
    </row>
    <row r="2519" spans="1:9" x14ac:dyDescent="0.25">
      <c r="A2519" t="s">
        <v>1089</v>
      </c>
      <c r="B2519" s="26" t="str">
        <f>MID(tbl_forecast[[#This Row],[PACE Job Number]],3,3)</f>
        <v>NTX</v>
      </c>
      <c r="C2519" t="s">
        <v>18</v>
      </c>
      <c r="D2519" s="1">
        <v>43430</v>
      </c>
      <c r="E2519" s="1">
        <v>36524</v>
      </c>
      <c r="F2519" s="1">
        <v>43444</v>
      </c>
      <c r="G2519" s="1"/>
      <c r="H2519" t="s">
        <v>9</v>
      </c>
      <c r="I2519" t="s">
        <v>27</v>
      </c>
    </row>
    <row r="2520" spans="1:9" x14ac:dyDescent="0.25">
      <c r="A2520" t="s">
        <v>404</v>
      </c>
      <c r="B2520" s="26" t="str">
        <f>MID(tbl_forecast[[#This Row],[PACE Job Number]],3,3)</f>
        <v>NTX</v>
      </c>
      <c r="C2520" t="s">
        <v>18</v>
      </c>
      <c r="D2520" s="1">
        <v>43434</v>
      </c>
      <c r="E2520" s="1">
        <v>36524</v>
      </c>
      <c r="F2520" s="1">
        <v>43460</v>
      </c>
      <c r="G2520" s="1"/>
      <c r="H2520" t="s">
        <v>4664</v>
      </c>
      <c r="I2520" t="s">
        <v>4666</v>
      </c>
    </row>
    <row r="2521" spans="1:9" x14ac:dyDescent="0.25">
      <c r="A2521" t="s">
        <v>2153</v>
      </c>
      <c r="B2521" s="26" t="str">
        <f>MID(tbl_forecast[[#This Row],[PACE Job Number]],3,3)</f>
        <v>NTX</v>
      </c>
      <c r="C2521" t="s">
        <v>18</v>
      </c>
      <c r="D2521" s="1">
        <v>43434</v>
      </c>
      <c r="E2521" s="1">
        <v>43396</v>
      </c>
      <c r="F2521" s="1">
        <v>43423</v>
      </c>
      <c r="G2521" s="1">
        <v>43423</v>
      </c>
      <c r="H2521" t="s">
        <v>9</v>
      </c>
      <c r="I2521" t="s">
        <v>10</v>
      </c>
    </row>
    <row r="2522" spans="1:9" x14ac:dyDescent="0.25">
      <c r="A2522" t="s">
        <v>4547</v>
      </c>
      <c r="B2522" s="26" t="str">
        <f>MID(tbl_forecast[[#This Row],[PACE Job Number]],3,3)</f>
        <v>NTX</v>
      </c>
      <c r="C2522" t="s">
        <v>18</v>
      </c>
      <c r="D2522" s="1">
        <v>43415</v>
      </c>
      <c r="E2522" s="1">
        <v>36524</v>
      </c>
      <c r="F2522" s="1">
        <v>43409</v>
      </c>
      <c r="G2522" s="1">
        <v>43409</v>
      </c>
      <c r="H2522" t="s">
        <v>9</v>
      </c>
      <c r="I2522" t="s">
        <v>10</v>
      </c>
    </row>
    <row r="2523" spans="1:9" x14ac:dyDescent="0.25">
      <c r="A2523" t="s">
        <v>4420</v>
      </c>
      <c r="B2523" s="26" t="str">
        <f>MID(tbl_forecast[[#This Row],[PACE Job Number]],3,3)</f>
        <v>NTX</v>
      </c>
      <c r="C2523" t="s">
        <v>18</v>
      </c>
      <c r="D2523" s="1">
        <v>43418</v>
      </c>
      <c r="E2523" s="1">
        <v>36524</v>
      </c>
      <c r="F2523" s="1">
        <v>43433</v>
      </c>
      <c r="G2523" s="1">
        <v>43433</v>
      </c>
      <c r="H2523" t="s">
        <v>4664</v>
      </c>
      <c r="I2523" t="s">
        <v>10</v>
      </c>
    </row>
    <row r="2524" spans="1:9" x14ac:dyDescent="0.25">
      <c r="A2524" t="s">
        <v>4421</v>
      </c>
      <c r="B2524" s="26" t="str">
        <f>MID(tbl_forecast[[#This Row],[PACE Job Number]],3,3)</f>
        <v>NTX</v>
      </c>
      <c r="C2524" t="s">
        <v>18</v>
      </c>
      <c r="D2524" s="1">
        <v>43426</v>
      </c>
      <c r="E2524" s="1">
        <v>43293</v>
      </c>
      <c r="F2524" s="1">
        <v>43524</v>
      </c>
      <c r="G2524" s="1"/>
      <c r="H2524" t="s">
        <v>4664</v>
      </c>
      <c r="I2524" t="s">
        <v>4666</v>
      </c>
    </row>
    <row r="2525" spans="1:9" x14ac:dyDescent="0.25">
      <c r="A2525" t="s">
        <v>2427</v>
      </c>
      <c r="B2525" s="26" t="str">
        <f>MID(tbl_forecast[[#This Row],[PACE Job Number]],3,3)</f>
        <v>NTX</v>
      </c>
      <c r="C2525" t="s">
        <v>18</v>
      </c>
      <c r="D2525" s="1">
        <v>43418</v>
      </c>
      <c r="E2525" s="1">
        <v>36524</v>
      </c>
      <c r="F2525" s="1">
        <v>43444</v>
      </c>
      <c r="G2525" s="1"/>
      <c r="H2525" t="s">
        <v>4664</v>
      </c>
      <c r="I2525" t="s">
        <v>4666</v>
      </c>
    </row>
    <row r="2526" spans="1:9" x14ac:dyDescent="0.25">
      <c r="A2526" t="s">
        <v>4549</v>
      </c>
      <c r="B2526" s="26" t="str">
        <f>MID(tbl_forecast[[#This Row],[PACE Job Number]],3,3)</f>
        <v>NTX</v>
      </c>
      <c r="C2526" t="s">
        <v>18</v>
      </c>
      <c r="D2526" s="1">
        <v>43434</v>
      </c>
      <c r="E2526" s="1">
        <v>36524</v>
      </c>
      <c r="F2526" s="1">
        <v>43413</v>
      </c>
      <c r="G2526" s="1">
        <v>43413</v>
      </c>
      <c r="H2526" t="s">
        <v>9</v>
      </c>
      <c r="I2526" t="s">
        <v>10</v>
      </c>
    </row>
    <row r="2527" spans="1:9" x14ac:dyDescent="0.25">
      <c r="A2527" t="s">
        <v>647</v>
      </c>
      <c r="B2527" s="26" t="str">
        <f>MID(tbl_forecast[[#This Row],[PACE Job Number]],3,3)</f>
        <v>NTX</v>
      </c>
      <c r="C2527" t="s">
        <v>18</v>
      </c>
      <c r="D2527" s="1">
        <v>43426</v>
      </c>
      <c r="E2527" s="1">
        <v>36524</v>
      </c>
      <c r="F2527" s="1">
        <v>43445</v>
      </c>
      <c r="G2527" s="1"/>
      <c r="H2527" t="s">
        <v>4664</v>
      </c>
      <c r="I2527" t="s">
        <v>4666</v>
      </c>
    </row>
    <row r="2528" spans="1:9" x14ac:dyDescent="0.25">
      <c r="A2528" t="s">
        <v>4422</v>
      </c>
      <c r="B2528" s="26" t="str">
        <f>MID(tbl_forecast[[#This Row],[PACE Job Number]],3,3)</f>
        <v>NTX</v>
      </c>
      <c r="C2528" t="s">
        <v>18</v>
      </c>
      <c r="D2528" s="1">
        <v>43421</v>
      </c>
      <c r="E2528" s="1">
        <v>36524</v>
      </c>
      <c r="F2528" s="1">
        <v>43444</v>
      </c>
      <c r="G2528" s="1"/>
      <c r="H2528" t="s">
        <v>4664</v>
      </c>
      <c r="I2528" t="s">
        <v>4666</v>
      </c>
    </row>
    <row r="2529" spans="1:9" x14ac:dyDescent="0.25">
      <c r="A2529" t="s">
        <v>3403</v>
      </c>
      <c r="B2529" s="26" t="str">
        <f>MID(tbl_forecast[[#This Row],[PACE Job Number]],3,3)</f>
        <v>NTX</v>
      </c>
      <c r="C2529" t="s">
        <v>18</v>
      </c>
      <c r="D2529" s="1">
        <v>43412</v>
      </c>
      <c r="E2529" s="1">
        <v>43396</v>
      </c>
      <c r="F2529" s="1">
        <v>43430</v>
      </c>
      <c r="G2529" s="1">
        <v>43430</v>
      </c>
      <c r="H2529" t="s">
        <v>4664</v>
      </c>
      <c r="I2529" t="s">
        <v>10</v>
      </c>
    </row>
    <row r="2530" spans="1:9" x14ac:dyDescent="0.25">
      <c r="A2530" t="s">
        <v>241</v>
      </c>
      <c r="B2530" s="26" t="str">
        <f>MID(tbl_forecast[[#This Row],[PACE Job Number]],3,3)</f>
        <v>NTX</v>
      </c>
      <c r="C2530" t="s">
        <v>18</v>
      </c>
      <c r="D2530" s="1">
        <v>43419</v>
      </c>
      <c r="E2530" s="1">
        <v>36524</v>
      </c>
      <c r="F2530" s="1">
        <v>43434</v>
      </c>
      <c r="G2530" s="1"/>
      <c r="H2530" t="s">
        <v>4664</v>
      </c>
      <c r="I2530" t="s">
        <v>4666</v>
      </c>
    </row>
    <row r="2531" spans="1:9" x14ac:dyDescent="0.25">
      <c r="A2531" t="s">
        <v>3971</v>
      </c>
      <c r="B2531" s="26" t="str">
        <f>MID(tbl_forecast[[#This Row],[PACE Job Number]],3,3)</f>
        <v>NTX</v>
      </c>
      <c r="C2531" t="s">
        <v>18</v>
      </c>
      <c r="D2531" s="1">
        <v>43421</v>
      </c>
      <c r="E2531" s="1">
        <v>43307</v>
      </c>
      <c r="F2531" s="1">
        <v>43444</v>
      </c>
      <c r="G2531" s="1"/>
      <c r="H2531" t="s">
        <v>4664</v>
      </c>
      <c r="I2531" t="s">
        <v>4666</v>
      </c>
    </row>
    <row r="2532" spans="1:9" x14ac:dyDescent="0.25">
      <c r="A2532" t="s">
        <v>3972</v>
      </c>
      <c r="B2532" s="26" t="str">
        <f>MID(tbl_forecast[[#This Row],[PACE Job Number]],3,3)</f>
        <v>NTX</v>
      </c>
      <c r="C2532" t="s">
        <v>18</v>
      </c>
      <c r="D2532" s="1">
        <v>43421</v>
      </c>
      <c r="E2532" s="1">
        <v>43307</v>
      </c>
      <c r="F2532" s="1">
        <v>43444</v>
      </c>
      <c r="G2532" s="1"/>
      <c r="H2532" t="s">
        <v>4664</v>
      </c>
      <c r="I2532" t="s">
        <v>4666</v>
      </c>
    </row>
    <row r="2533" spans="1:9" x14ac:dyDescent="0.25">
      <c r="A2533" t="s">
        <v>3973</v>
      </c>
      <c r="B2533" s="26" t="str">
        <f>MID(tbl_forecast[[#This Row],[PACE Job Number]],3,3)</f>
        <v>NTX</v>
      </c>
      <c r="C2533" t="s">
        <v>18</v>
      </c>
      <c r="D2533" s="1">
        <v>43421</v>
      </c>
      <c r="E2533" s="1">
        <v>43307</v>
      </c>
      <c r="F2533" s="1">
        <v>43444</v>
      </c>
      <c r="G2533" s="1"/>
      <c r="H2533" t="s">
        <v>4664</v>
      </c>
      <c r="I2533" t="s">
        <v>4666</v>
      </c>
    </row>
    <row r="2534" spans="1:9" x14ac:dyDescent="0.25">
      <c r="A2534" t="s">
        <v>1874</v>
      </c>
      <c r="B2534" s="26" t="str">
        <f>MID(tbl_forecast[[#This Row],[PACE Job Number]],3,3)</f>
        <v>NTX</v>
      </c>
      <c r="C2534" t="s">
        <v>18</v>
      </c>
      <c r="D2534" s="1">
        <v>43426</v>
      </c>
      <c r="E2534" s="1">
        <v>36524</v>
      </c>
      <c r="F2534" s="1">
        <v>43458</v>
      </c>
      <c r="G2534" s="1"/>
      <c r="H2534" t="s">
        <v>4664</v>
      </c>
      <c r="I2534" t="s">
        <v>4666</v>
      </c>
    </row>
    <row r="2535" spans="1:9" x14ac:dyDescent="0.25">
      <c r="A2535" t="s">
        <v>4570</v>
      </c>
      <c r="B2535" s="26" t="str">
        <f>MID(tbl_forecast[[#This Row],[PACE Job Number]],3,3)</f>
        <v>WSH</v>
      </c>
      <c r="C2535" t="s">
        <v>18</v>
      </c>
      <c r="D2535" s="1">
        <v>43434</v>
      </c>
      <c r="E2535" s="1">
        <v>36524</v>
      </c>
      <c r="F2535" s="1">
        <v>43465</v>
      </c>
      <c r="G2535" s="1"/>
      <c r="H2535" t="s">
        <v>4664</v>
      </c>
      <c r="I2535" t="s">
        <v>4666</v>
      </c>
    </row>
    <row r="2536" spans="1:9" x14ac:dyDescent="0.25">
      <c r="A2536" t="s">
        <v>91</v>
      </c>
      <c r="B2536" s="26" t="str">
        <f>MID(tbl_forecast[[#This Row],[PACE Job Number]],3,3)</f>
        <v>WSH</v>
      </c>
      <c r="C2536" t="s">
        <v>18</v>
      </c>
      <c r="D2536" s="1">
        <v>43434</v>
      </c>
      <c r="E2536" s="1">
        <v>43170</v>
      </c>
      <c r="F2536" s="1">
        <v>43414</v>
      </c>
      <c r="G2536" s="1">
        <v>43414</v>
      </c>
      <c r="H2536" t="s">
        <v>9</v>
      </c>
      <c r="I2536" t="s">
        <v>10</v>
      </c>
    </row>
    <row r="2537" spans="1:9" x14ac:dyDescent="0.25">
      <c r="A2537" t="s">
        <v>4194</v>
      </c>
      <c r="B2537" s="26" t="str">
        <f>MID(tbl_forecast[[#This Row],[PACE Job Number]],3,3)</f>
        <v>WSH</v>
      </c>
      <c r="C2537" t="s">
        <v>18</v>
      </c>
      <c r="D2537" s="1">
        <v>43434</v>
      </c>
      <c r="E2537" s="1">
        <v>43436</v>
      </c>
      <c r="F2537" s="1">
        <v>43434</v>
      </c>
      <c r="G2537" s="1"/>
      <c r="H2537" t="s">
        <v>9</v>
      </c>
      <c r="I2537" t="s">
        <v>27</v>
      </c>
    </row>
    <row r="2538" spans="1:9" x14ac:dyDescent="0.25">
      <c r="A2538" t="s">
        <v>5535</v>
      </c>
      <c r="B2538" s="26" t="str">
        <f>MID(tbl_forecast[[#This Row],[PACE Job Number]],3,3)</f>
        <v>ANM</v>
      </c>
      <c r="C2538" t="s">
        <v>18</v>
      </c>
      <c r="D2538" s="1">
        <v>43434</v>
      </c>
      <c r="E2538" s="1">
        <v>36524</v>
      </c>
      <c r="F2538" s="1">
        <v>43465</v>
      </c>
      <c r="G2538" s="1"/>
      <c r="H2538" t="s">
        <v>4664</v>
      </c>
      <c r="I2538" t="s">
        <v>4666</v>
      </c>
    </row>
    <row r="2539" spans="1:9" x14ac:dyDescent="0.25">
      <c r="A2539" t="s">
        <v>1455</v>
      </c>
      <c r="B2539" s="26" t="str">
        <f>MID(tbl_forecast[[#This Row],[PACE Job Number]],3,3)</f>
        <v>ANM</v>
      </c>
      <c r="C2539" t="s">
        <v>18</v>
      </c>
      <c r="D2539" s="1">
        <v>43434</v>
      </c>
      <c r="E2539" s="1">
        <v>36524</v>
      </c>
      <c r="F2539" s="1">
        <v>43409</v>
      </c>
      <c r="G2539" s="1">
        <v>43409</v>
      </c>
      <c r="H2539" t="s">
        <v>9</v>
      </c>
      <c r="I2539" t="s">
        <v>10</v>
      </c>
    </row>
    <row r="2540" spans="1:9" x14ac:dyDescent="0.25">
      <c r="A2540" t="s">
        <v>839</v>
      </c>
      <c r="B2540" s="26" t="str">
        <f>MID(tbl_forecast[[#This Row],[PACE Job Number]],3,3)</f>
        <v>ANM</v>
      </c>
      <c r="C2540" t="s">
        <v>18</v>
      </c>
      <c r="D2540" s="1">
        <v>43434</v>
      </c>
      <c r="E2540" s="1">
        <v>36524</v>
      </c>
      <c r="F2540" s="1">
        <v>43434</v>
      </c>
      <c r="G2540" s="1"/>
      <c r="H2540" t="s">
        <v>9</v>
      </c>
      <c r="I2540" t="s">
        <v>27</v>
      </c>
    </row>
    <row r="2541" spans="1:9" x14ac:dyDescent="0.25">
      <c r="A2541" t="s">
        <v>1513</v>
      </c>
      <c r="B2541" s="26" t="str">
        <f>MID(tbl_forecast[[#This Row],[PACE Job Number]],3,3)</f>
        <v>ANM</v>
      </c>
      <c r="C2541" t="s">
        <v>18</v>
      </c>
      <c r="D2541" s="1">
        <v>43405</v>
      </c>
      <c r="E2541" s="1">
        <v>36524</v>
      </c>
      <c r="F2541" s="1">
        <v>43405</v>
      </c>
      <c r="G2541" s="1">
        <v>43405</v>
      </c>
      <c r="H2541" t="s">
        <v>9</v>
      </c>
      <c r="I2541" t="s">
        <v>10</v>
      </c>
    </row>
    <row r="2542" spans="1:9" x14ac:dyDescent="0.25">
      <c r="A2542" t="s">
        <v>273</v>
      </c>
      <c r="B2542" s="26" t="str">
        <f>MID(tbl_forecast[[#This Row],[PACE Job Number]],3,3)</f>
        <v>ANM</v>
      </c>
      <c r="C2542" t="s">
        <v>18</v>
      </c>
      <c r="D2542" s="1">
        <v>43434</v>
      </c>
      <c r="E2542" s="1">
        <v>36524</v>
      </c>
      <c r="F2542" s="1">
        <v>43410</v>
      </c>
      <c r="G2542" s="1">
        <v>43410</v>
      </c>
      <c r="H2542" t="s">
        <v>9</v>
      </c>
      <c r="I2542" t="s">
        <v>10</v>
      </c>
    </row>
    <row r="2543" spans="1:9" x14ac:dyDescent="0.25">
      <c r="A2543" t="s">
        <v>5536</v>
      </c>
      <c r="B2543" s="26" t="str">
        <f>MID(tbl_forecast[[#This Row],[PACE Job Number]],3,3)</f>
        <v>ANM</v>
      </c>
      <c r="C2543" t="s">
        <v>18</v>
      </c>
      <c r="D2543" s="1">
        <v>43405</v>
      </c>
      <c r="E2543" s="1">
        <v>36524</v>
      </c>
      <c r="F2543" s="1">
        <v>43405</v>
      </c>
      <c r="G2543" s="1">
        <v>43405</v>
      </c>
      <c r="H2543" t="s">
        <v>9</v>
      </c>
      <c r="I2543" t="s">
        <v>10</v>
      </c>
    </row>
    <row r="2544" spans="1:9" x14ac:dyDescent="0.25">
      <c r="A2544" t="s">
        <v>1427</v>
      </c>
      <c r="B2544" s="26" t="str">
        <f>MID(tbl_forecast[[#This Row],[PACE Job Number]],3,3)</f>
        <v>ANM</v>
      </c>
      <c r="C2544" t="s">
        <v>18</v>
      </c>
      <c r="D2544" s="1">
        <v>43434</v>
      </c>
      <c r="E2544" s="1">
        <v>36524</v>
      </c>
      <c r="F2544" s="1">
        <v>43410</v>
      </c>
      <c r="G2544" s="1">
        <v>43410</v>
      </c>
      <c r="H2544" t="s">
        <v>9</v>
      </c>
      <c r="I2544" t="s">
        <v>10</v>
      </c>
    </row>
    <row r="2545" spans="1:9" x14ac:dyDescent="0.25">
      <c r="A2545" t="s">
        <v>4212</v>
      </c>
      <c r="B2545" s="26" t="str">
        <f>MID(tbl_forecast[[#This Row],[PACE Job Number]],3,3)</f>
        <v>ANM</v>
      </c>
      <c r="C2545" t="s">
        <v>18</v>
      </c>
      <c r="D2545" s="1">
        <v>43434</v>
      </c>
      <c r="E2545" s="1">
        <v>36524</v>
      </c>
      <c r="F2545" s="1">
        <v>43410</v>
      </c>
      <c r="G2545" s="1">
        <v>43410</v>
      </c>
      <c r="H2545" t="s">
        <v>9</v>
      </c>
      <c r="I2545" t="s">
        <v>10</v>
      </c>
    </row>
    <row r="2546" spans="1:9" x14ac:dyDescent="0.25">
      <c r="A2546" t="s">
        <v>4572</v>
      </c>
      <c r="B2546" s="26" t="str">
        <f>MID(tbl_forecast[[#This Row],[PACE Job Number]],3,3)</f>
        <v>ANM</v>
      </c>
      <c r="C2546" t="s">
        <v>18</v>
      </c>
      <c r="D2546" s="1">
        <v>43434</v>
      </c>
      <c r="E2546" s="1">
        <v>36524</v>
      </c>
      <c r="F2546" s="1">
        <v>43434</v>
      </c>
      <c r="G2546" s="1"/>
      <c r="H2546" t="s">
        <v>9</v>
      </c>
      <c r="I2546" t="s">
        <v>27</v>
      </c>
    </row>
    <row r="2547" spans="1:9" x14ac:dyDescent="0.25">
      <c r="A2547" t="s">
        <v>4213</v>
      </c>
      <c r="B2547" s="26" t="str">
        <f>MID(tbl_forecast[[#This Row],[PACE Job Number]],3,3)</f>
        <v>ANM</v>
      </c>
      <c r="C2547" t="s">
        <v>18</v>
      </c>
      <c r="D2547" s="1">
        <v>43434</v>
      </c>
      <c r="E2547" s="1">
        <v>36524</v>
      </c>
      <c r="F2547" s="1">
        <v>43410</v>
      </c>
      <c r="G2547" s="1">
        <v>43410</v>
      </c>
      <c r="H2547" t="s">
        <v>9</v>
      </c>
      <c r="I2547" t="s">
        <v>10</v>
      </c>
    </row>
    <row r="2548" spans="1:9" x14ac:dyDescent="0.25">
      <c r="A2548" t="s">
        <v>1460</v>
      </c>
      <c r="B2548" s="26" t="str">
        <f>MID(tbl_forecast[[#This Row],[PACE Job Number]],3,3)</f>
        <v>ANM</v>
      </c>
      <c r="C2548" t="s">
        <v>18</v>
      </c>
      <c r="D2548" s="1">
        <v>43434</v>
      </c>
      <c r="E2548" s="1">
        <v>36524</v>
      </c>
      <c r="F2548" s="1">
        <v>43434</v>
      </c>
      <c r="G2548" s="1"/>
      <c r="H2548" t="s">
        <v>9</v>
      </c>
      <c r="I2548" t="s">
        <v>27</v>
      </c>
    </row>
    <row r="2549" spans="1:9" x14ac:dyDescent="0.25">
      <c r="A2549" t="s">
        <v>4214</v>
      </c>
      <c r="B2549" s="26" t="str">
        <f>MID(tbl_forecast[[#This Row],[PACE Job Number]],3,3)</f>
        <v>ANM</v>
      </c>
      <c r="C2549" t="s">
        <v>18</v>
      </c>
      <c r="D2549" s="1">
        <v>43405</v>
      </c>
      <c r="E2549" s="1">
        <v>36524</v>
      </c>
      <c r="F2549" s="1">
        <v>43405</v>
      </c>
      <c r="G2549" s="1">
        <v>43405</v>
      </c>
      <c r="H2549" t="s">
        <v>9</v>
      </c>
      <c r="I2549" t="s">
        <v>10</v>
      </c>
    </row>
    <row r="2550" spans="1:9" x14ac:dyDescent="0.25">
      <c r="A2550" t="s">
        <v>5537</v>
      </c>
      <c r="B2550" s="26" t="str">
        <f>MID(tbl_forecast[[#This Row],[PACE Job Number]],3,3)</f>
        <v>ANM</v>
      </c>
      <c r="C2550" t="s">
        <v>18</v>
      </c>
      <c r="D2550" s="1">
        <v>43405</v>
      </c>
      <c r="E2550" s="1">
        <v>36524</v>
      </c>
      <c r="F2550" s="1">
        <v>43405</v>
      </c>
      <c r="G2550" s="1">
        <v>43405</v>
      </c>
      <c r="H2550" t="s">
        <v>9</v>
      </c>
      <c r="I2550" t="s">
        <v>10</v>
      </c>
    </row>
    <row r="2551" spans="1:9" x14ac:dyDescent="0.25">
      <c r="A2551" t="s">
        <v>489</v>
      </c>
      <c r="B2551" s="26" t="str">
        <f>MID(tbl_forecast[[#This Row],[PACE Job Number]],3,3)</f>
        <v>ANM</v>
      </c>
      <c r="C2551" t="s">
        <v>18</v>
      </c>
      <c r="D2551" s="1">
        <v>43434</v>
      </c>
      <c r="E2551" s="1">
        <v>36524</v>
      </c>
      <c r="F2551" s="1">
        <v>43410</v>
      </c>
      <c r="G2551" s="1">
        <v>43410</v>
      </c>
      <c r="H2551" t="s">
        <v>9</v>
      </c>
      <c r="I2551" t="s">
        <v>10</v>
      </c>
    </row>
    <row r="2552" spans="1:9" x14ac:dyDescent="0.25">
      <c r="A2552" t="s">
        <v>43</v>
      </c>
      <c r="B2552" s="26" t="str">
        <f>MID(tbl_forecast[[#This Row],[PACE Job Number]],3,3)</f>
        <v>ANM</v>
      </c>
      <c r="C2552" t="s">
        <v>18</v>
      </c>
      <c r="D2552" s="1">
        <v>43434</v>
      </c>
      <c r="E2552" s="1">
        <v>36524</v>
      </c>
      <c r="F2552" s="1">
        <v>43420</v>
      </c>
      <c r="G2552" s="1">
        <v>43420</v>
      </c>
      <c r="H2552" t="s">
        <v>9</v>
      </c>
      <c r="I2552" t="s">
        <v>10</v>
      </c>
    </row>
    <row r="2553" spans="1:9" x14ac:dyDescent="0.25">
      <c r="A2553" t="s">
        <v>1508</v>
      </c>
      <c r="B2553" s="26" t="str">
        <f>MID(tbl_forecast[[#This Row],[PACE Job Number]],3,3)</f>
        <v>ANM</v>
      </c>
      <c r="C2553" t="s">
        <v>18</v>
      </c>
      <c r="D2553" s="1">
        <v>43405</v>
      </c>
      <c r="E2553" s="1">
        <v>36524</v>
      </c>
      <c r="F2553" s="1">
        <v>43405</v>
      </c>
      <c r="G2553" s="1">
        <v>43405</v>
      </c>
      <c r="H2553" t="s">
        <v>9</v>
      </c>
      <c r="I2553" t="s">
        <v>10</v>
      </c>
    </row>
    <row r="2554" spans="1:9" x14ac:dyDescent="0.25">
      <c r="A2554" t="s">
        <v>1505</v>
      </c>
      <c r="B2554" s="26" t="str">
        <f>MID(tbl_forecast[[#This Row],[PACE Job Number]],3,3)</f>
        <v>ANM</v>
      </c>
      <c r="C2554" t="s">
        <v>18</v>
      </c>
      <c r="D2554" s="1">
        <v>43405</v>
      </c>
      <c r="E2554" s="1">
        <v>36524</v>
      </c>
      <c r="F2554" s="1">
        <v>43405</v>
      </c>
      <c r="G2554" s="1">
        <v>43405</v>
      </c>
      <c r="H2554" t="s">
        <v>9</v>
      </c>
      <c r="I2554" t="s">
        <v>10</v>
      </c>
    </row>
    <row r="2555" spans="1:9" x14ac:dyDescent="0.25">
      <c r="A2555" t="s">
        <v>3974</v>
      </c>
      <c r="B2555" s="26" t="str">
        <f>MID(tbl_forecast[[#This Row],[PACE Job Number]],3,3)</f>
        <v>NTX</v>
      </c>
      <c r="C2555" t="s">
        <v>18</v>
      </c>
      <c r="D2555" s="1">
        <v>43430</v>
      </c>
      <c r="E2555" s="1">
        <v>43272</v>
      </c>
      <c r="F2555" s="1">
        <v>43452</v>
      </c>
      <c r="G2555" s="1"/>
      <c r="H2555" t="s">
        <v>4664</v>
      </c>
      <c r="I2555" t="s">
        <v>4666</v>
      </c>
    </row>
    <row r="2556" spans="1:9" x14ac:dyDescent="0.25">
      <c r="A2556" t="s">
        <v>3975</v>
      </c>
      <c r="B2556" s="26" t="str">
        <f>MID(tbl_forecast[[#This Row],[PACE Job Number]],3,3)</f>
        <v>NTX</v>
      </c>
      <c r="C2556" t="s">
        <v>18</v>
      </c>
      <c r="D2556" s="1">
        <v>43421</v>
      </c>
      <c r="E2556" s="1">
        <v>43307</v>
      </c>
      <c r="F2556" s="1">
        <v>43444</v>
      </c>
      <c r="G2556" s="1"/>
      <c r="H2556" t="s">
        <v>4664</v>
      </c>
      <c r="I2556" t="s">
        <v>4666</v>
      </c>
    </row>
    <row r="2557" spans="1:9" x14ac:dyDescent="0.25">
      <c r="A2557" t="s">
        <v>4415</v>
      </c>
      <c r="B2557" s="26" t="str">
        <f>MID(tbl_forecast[[#This Row],[PACE Job Number]],3,3)</f>
        <v>STX</v>
      </c>
      <c r="C2557" t="s">
        <v>18</v>
      </c>
      <c r="D2557" s="1">
        <v>43432</v>
      </c>
      <c r="E2557" s="1">
        <v>43465</v>
      </c>
      <c r="F2557" s="1">
        <v>43465</v>
      </c>
      <c r="G2557" s="1"/>
      <c r="H2557" t="s">
        <v>4664</v>
      </c>
      <c r="I2557" t="s">
        <v>4665</v>
      </c>
    </row>
    <row r="2558" spans="1:9" x14ac:dyDescent="0.25">
      <c r="A2558" t="s">
        <v>5357</v>
      </c>
      <c r="B2558" s="26" t="str">
        <f>MID(tbl_forecast[[#This Row],[PACE Job Number]],3,3)</f>
        <v>STX</v>
      </c>
      <c r="C2558" t="s">
        <v>18</v>
      </c>
      <c r="D2558" s="1">
        <v>43434</v>
      </c>
      <c r="E2558" s="1">
        <v>43434</v>
      </c>
      <c r="F2558" s="1">
        <v>43434</v>
      </c>
      <c r="G2558" s="1"/>
      <c r="H2558" t="s">
        <v>9</v>
      </c>
      <c r="I2558" t="s">
        <v>27</v>
      </c>
    </row>
    <row r="2559" spans="1:9" x14ac:dyDescent="0.25">
      <c r="A2559" t="s">
        <v>5358</v>
      </c>
      <c r="B2559" s="26" t="str">
        <f>MID(tbl_forecast[[#This Row],[PACE Job Number]],3,3)</f>
        <v>STX</v>
      </c>
      <c r="C2559" t="s">
        <v>18</v>
      </c>
      <c r="D2559" s="1">
        <v>43434</v>
      </c>
      <c r="E2559" s="1">
        <v>43465</v>
      </c>
      <c r="F2559" s="1">
        <v>43465</v>
      </c>
      <c r="G2559" s="1"/>
      <c r="H2559" t="s">
        <v>4664</v>
      </c>
      <c r="I2559" t="s">
        <v>4665</v>
      </c>
    </row>
    <row r="2560" spans="1:9" x14ac:dyDescent="0.25">
      <c r="A2560" t="s">
        <v>5359</v>
      </c>
      <c r="B2560" s="26" t="str">
        <f>MID(tbl_forecast[[#This Row],[PACE Job Number]],3,3)</f>
        <v>STX</v>
      </c>
      <c r="C2560" t="s">
        <v>18</v>
      </c>
      <c r="D2560" s="1">
        <v>43434</v>
      </c>
      <c r="E2560" s="1">
        <v>43434</v>
      </c>
      <c r="F2560" s="1">
        <v>43434</v>
      </c>
      <c r="G2560" s="1"/>
      <c r="H2560" t="s">
        <v>9</v>
      </c>
      <c r="I2560" t="s">
        <v>27</v>
      </c>
    </row>
    <row r="2561" spans="1:9" x14ac:dyDescent="0.25">
      <c r="A2561" t="s">
        <v>40</v>
      </c>
      <c r="B2561" s="26" t="str">
        <f>MID(tbl_forecast[[#This Row],[PACE Job Number]],3,3)</f>
        <v>STX</v>
      </c>
      <c r="C2561" t="s">
        <v>18</v>
      </c>
      <c r="D2561" s="1">
        <v>43434</v>
      </c>
      <c r="E2561" s="1">
        <v>43434</v>
      </c>
      <c r="F2561" s="1">
        <v>43434</v>
      </c>
      <c r="G2561" s="1"/>
      <c r="H2561" t="s">
        <v>9</v>
      </c>
      <c r="I2561" t="s">
        <v>27</v>
      </c>
    </row>
    <row r="2562" spans="1:9" x14ac:dyDescent="0.25">
      <c r="A2562" t="s">
        <v>82</v>
      </c>
      <c r="B2562" s="26" t="str">
        <f>MID(tbl_forecast[[#This Row],[PACE Job Number]],3,3)</f>
        <v>STX</v>
      </c>
      <c r="C2562" t="s">
        <v>18</v>
      </c>
      <c r="D2562" s="1">
        <v>43434</v>
      </c>
      <c r="E2562" s="1">
        <v>43434</v>
      </c>
      <c r="F2562" s="1">
        <v>43430</v>
      </c>
      <c r="G2562" s="1">
        <v>43430</v>
      </c>
      <c r="H2562" t="s">
        <v>9</v>
      </c>
      <c r="I2562" t="s">
        <v>10</v>
      </c>
    </row>
    <row r="2563" spans="1:9" x14ac:dyDescent="0.25">
      <c r="A2563" t="s">
        <v>4426</v>
      </c>
      <c r="B2563" s="26" t="str">
        <f>MID(tbl_forecast[[#This Row],[PACE Job Number]],3,3)</f>
        <v>STX</v>
      </c>
      <c r="C2563" t="s">
        <v>18</v>
      </c>
      <c r="D2563" s="1">
        <v>43434</v>
      </c>
      <c r="E2563" s="1">
        <v>43434</v>
      </c>
      <c r="F2563" s="1">
        <v>43434</v>
      </c>
      <c r="G2563" s="1"/>
      <c r="H2563" t="s">
        <v>9</v>
      </c>
      <c r="I2563" t="s">
        <v>27</v>
      </c>
    </row>
    <row r="2564" spans="1:9" x14ac:dyDescent="0.25">
      <c r="A2564" t="s">
        <v>4428</v>
      </c>
      <c r="B2564" s="26" t="str">
        <f>MID(tbl_forecast[[#This Row],[PACE Job Number]],3,3)</f>
        <v>STX</v>
      </c>
      <c r="C2564" t="s">
        <v>18</v>
      </c>
      <c r="D2564" s="1">
        <v>43419</v>
      </c>
      <c r="E2564" s="1">
        <v>43419</v>
      </c>
      <c r="F2564" s="1">
        <v>43417</v>
      </c>
      <c r="G2564" s="1">
        <v>43417</v>
      </c>
      <c r="H2564" t="s">
        <v>9</v>
      </c>
      <c r="I2564" t="s">
        <v>10</v>
      </c>
    </row>
    <row r="2565" spans="1:9" x14ac:dyDescent="0.25">
      <c r="A2565" t="s">
        <v>4215</v>
      </c>
      <c r="B2565" s="26" t="str">
        <f>MID(tbl_forecast[[#This Row],[PACE Job Number]],3,3)</f>
        <v>ANM</v>
      </c>
      <c r="C2565" t="s">
        <v>18</v>
      </c>
      <c r="D2565" s="1">
        <v>43434</v>
      </c>
      <c r="E2565" s="1">
        <v>36524</v>
      </c>
      <c r="F2565" s="1">
        <v>43434</v>
      </c>
      <c r="G2565" s="1"/>
      <c r="H2565" t="s">
        <v>9</v>
      </c>
      <c r="I2565" t="s">
        <v>27</v>
      </c>
    </row>
    <row r="2566" spans="1:9" x14ac:dyDescent="0.25">
      <c r="A2566" t="s">
        <v>5538</v>
      </c>
      <c r="B2566" s="26" t="str">
        <f>MID(tbl_forecast[[#This Row],[PACE Job Number]],3,3)</f>
        <v>ANM</v>
      </c>
      <c r="C2566" t="s">
        <v>18</v>
      </c>
      <c r="D2566" s="1">
        <v>43434</v>
      </c>
      <c r="E2566" s="1">
        <v>36524</v>
      </c>
      <c r="F2566" s="1">
        <v>43411</v>
      </c>
      <c r="G2566" s="1">
        <v>43411</v>
      </c>
      <c r="H2566" t="s">
        <v>9</v>
      </c>
      <c r="I2566" t="s">
        <v>10</v>
      </c>
    </row>
    <row r="2567" spans="1:9" x14ac:dyDescent="0.25">
      <c r="A2567" t="s">
        <v>5539</v>
      </c>
      <c r="B2567" s="26" t="str">
        <f>MID(tbl_forecast[[#This Row],[PACE Job Number]],3,3)</f>
        <v>ANM</v>
      </c>
      <c r="C2567" t="s">
        <v>18</v>
      </c>
      <c r="D2567" s="1">
        <v>43405</v>
      </c>
      <c r="E2567" s="1">
        <v>36524</v>
      </c>
      <c r="F2567" s="1">
        <v>43405</v>
      </c>
      <c r="G2567" s="1">
        <v>43405</v>
      </c>
      <c r="H2567" t="s">
        <v>9</v>
      </c>
      <c r="I2567" t="s">
        <v>10</v>
      </c>
    </row>
    <row r="2568" spans="1:9" x14ac:dyDescent="0.25">
      <c r="A2568" t="s">
        <v>1467</v>
      </c>
      <c r="B2568" s="26" t="str">
        <f>MID(tbl_forecast[[#This Row],[PACE Job Number]],3,3)</f>
        <v>ANM</v>
      </c>
      <c r="C2568" t="s">
        <v>18</v>
      </c>
      <c r="D2568" s="1">
        <v>43405</v>
      </c>
      <c r="E2568" s="1">
        <v>36524</v>
      </c>
      <c r="F2568" s="1">
        <v>43405</v>
      </c>
      <c r="G2568" s="1">
        <v>43405</v>
      </c>
      <c r="H2568" t="s">
        <v>9</v>
      </c>
      <c r="I2568" t="s">
        <v>10</v>
      </c>
    </row>
    <row r="2569" spans="1:9" x14ac:dyDescent="0.25">
      <c r="A2569" t="s">
        <v>378</v>
      </c>
      <c r="B2569" s="26" t="str">
        <f>MID(tbl_forecast[[#This Row],[PACE Job Number]],3,3)</f>
        <v>ANM</v>
      </c>
      <c r="C2569" t="s">
        <v>18</v>
      </c>
      <c r="D2569" s="1">
        <v>43434</v>
      </c>
      <c r="E2569" s="1">
        <v>36524</v>
      </c>
      <c r="F2569" s="1">
        <v>43410</v>
      </c>
      <c r="G2569" s="1">
        <v>43410</v>
      </c>
      <c r="H2569" t="s">
        <v>9</v>
      </c>
      <c r="I2569" t="s">
        <v>10</v>
      </c>
    </row>
    <row r="2570" spans="1:9" x14ac:dyDescent="0.25">
      <c r="A2570" t="s">
        <v>1504</v>
      </c>
      <c r="B2570" s="26" t="str">
        <f>MID(tbl_forecast[[#This Row],[PACE Job Number]],3,3)</f>
        <v>ANM</v>
      </c>
      <c r="C2570" t="s">
        <v>18</v>
      </c>
      <c r="D2570" s="1">
        <v>43434</v>
      </c>
      <c r="E2570" s="1">
        <v>36524</v>
      </c>
      <c r="F2570" s="1">
        <v>43465</v>
      </c>
      <c r="G2570" s="1"/>
      <c r="H2570" t="s">
        <v>4664</v>
      </c>
      <c r="I2570" t="s">
        <v>4666</v>
      </c>
    </row>
    <row r="2571" spans="1:9" x14ac:dyDescent="0.25">
      <c r="A2571" t="s">
        <v>4573</v>
      </c>
      <c r="B2571" s="26" t="str">
        <f>MID(tbl_forecast[[#This Row],[PACE Job Number]],3,3)</f>
        <v>ANM</v>
      </c>
      <c r="C2571" t="s">
        <v>18</v>
      </c>
      <c r="D2571" s="1">
        <v>43405</v>
      </c>
      <c r="E2571" s="1">
        <v>36524</v>
      </c>
      <c r="F2571" s="1">
        <v>43405</v>
      </c>
      <c r="G2571" s="1">
        <v>43405</v>
      </c>
      <c r="H2571" t="s">
        <v>9</v>
      </c>
      <c r="I2571" t="s">
        <v>10</v>
      </c>
    </row>
    <row r="2572" spans="1:9" x14ac:dyDescent="0.25">
      <c r="A2572" t="s">
        <v>1434</v>
      </c>
      <c r="B2572" s="26" t="str">
        <f>MID(tbl_forecast[[#This Row],[PACE Job Number]],3,3)</f>
        <v>ANM</v>
      </c>
      <c r="C2572" t="s">
        <v>18</v>
      </c>
      <c r="D2572" s="1">
        <v>43405</v>
      </c>
      <c r="E2572" s="1">
        <v>36524</v>
      </c>
      <c r="F2572" s="1">
        <v>43405</v>
      </c>
      <c r="G2572" s="1">
        <v>43405</v>
      </c>
      <c r="H2572" t="s">
        <v>9</v>
      </c>
      <c r="I2572" t="s">
        <v>10</v>
      </c>
    </row>
    <row r="2573" spans="1:9" x14ac:dyDescent="0.25">
      <c r="A2573" t="s">
        <v>1380</v>
      </c>
      <c r="B2573" s="26" t="str">
        <f>MID(tbl_forecast[[#This Row],[PACE Job Number]],3,3)</f>
        <v>ANM</v>
      </c>
      <c r="C2573" t="s">
        <v>18</v>
      </c>
      <c r="D2573" s="1">
        <v>43434</v>
      </c>
      <c r="E2573" s="1">
        <v>36524</v>
      </c>
      <c r="F2573" s="1">
        <v>43465</v>
      </c>
      <c r="G2573" s="1"/>
      <c r="H2573" t="s">
        <v>4664</v>
      </c>
      <c r="I2573" t="s">
        <v>4666</v>
      </c>
    </row>
    <row r="2574" spans="1:9" x14ac:dyDescent="0.25">
      <c r="A2574" t="s">
        <v>387</v>
      </c>
      <c r="B2574" s="26" t="str">
        <f>MID(tbl_forecast[[#This Row],[PACE Job Number]],3,3)</f>
        <v>ANM</v>
      </c>
      <c r="C2574" t="s">
        <v>18</v>
      </c>
      <c r="D2574" s="1">
        <v>43434</v>
      </c>
      <c r="E2574" s="1">
        <v>36524</v>
      </c>
      <c r="F2574" s="1">
        <v>43420</v>
      </c>
      <c r="G2574" s="1">
        <v>43420</v>
      </c>
      <c r="H2574" t="s">
        <v>9</v>
      </c>
      <c r="I2574" t="s">
        <v>10</v>
      </c>
    </row>
    <row r="2575" spans="1:9" x14ac:dyDescent="0.25">
      <c r="A2575" t="s">
        <v>4222</v>
      </c>
      <c r="B2575" s="26" t="str">
        <f>MID(tbl_forecast[[#This Row],[PACE Job Number]],3,3)</f>
        <v>ANM</v>
      </c>
      <c r="C2575" t="s">
        <v>18</v>
      </c>
      <c r="D2575" s="1">
        <v>43434</v>
      </c>
      <c r="E2575" s="1">
        <v>36524</v>
      </c>
      <c r="F2575" s="1">
        <v>43434</v>
      </c>
      <c r="G2575" s="1"/>
      <c r="H2575" t="s">
        <v>9</v>
      </c>
      <c r="I2575" t="s">
        <v>27</v>
      </c>
    </row>
    <row r="2576" spans="1:9" x14ac:dyDescent="0.25">
      <c r="A2576" t="s">
        <v>4223</v>
      </c>
      <c r="B2576" s="26" t="str">
        <f>MID(tbl_forecast[[#This Row],[PACE Job Number]],3,3)</f>
        <v>ANM</v>
      </c>
      <c r="C2576" t="s">
        <v>18</v>
      </c>
      <c r="D2576" s="1">
        <v>43434</v>
      </c>
      <c r="E2576" s="1">
        <v>36524</v>
      </c>
      <c r="F2576" s="1">
        <v>43410</v>
      </c>
      <c r="G2576" s="1">
        <v>43410</v>
      </c>
      <c r="H2576" t="s">
        <v>9</v>
      </c>
      <c r="I2576" t="s">
        <v>10</v>
      </c>
    </row>
    <row r="2577" spans="1:9" x14ac:dyDescent="0.25">
      <c r="A2577" t="s">
        <v>4574</v>
      </c>
      <c r="B2577" s="26" t="str">
        <f>MID(tbl_forecast[[#This Row],[PACE Job Number]],3,3)</f>
        <v>NTX</v>
      </c>
      <c r="C2577" t="s">
        <v>18</v>
      </c>
      <c r="D2577" s="1">
        <v>43434</v>
      </c>
      <c r="E2577" s="1">
        <v>36524</v>
      </c>
      <c r="F2577" s="1">
        <v>43609</v>
      </c>
      <c r="G2577" s="1"/>
      <c r="H2577" t="s">
        <v>4664</v>
      </c>
      <c r="I2577" t="s">
        <v>4666</v>
      </c>
    </row>
    <row r="2578" spans="1:9" x14ac:dyDescent="0.25">
      <c r="A2578" t="s">
        <v>4575</v>
      </c>
      <c r="B2578" s="26" t="str">
        <f>MID(tbl_forecast[[#This Row],[PACE Job Number]],3,3)</f>
        <v>NTX</v>
      </c>
      <c r="C2578" t="s">
        <v>18</v>
      </c>
      <c r="D2578" s="1">
        <v>43434</v>
      </c>
      <c r="E2578" s="1">
        <v>36524</v>
      </c>
      <c r="F2578" s="1">
        <v>43430</v>
      </c>
      <c r="G2578" s="1">
        <v>43430</v>
      </c>
      <c r="H2578" t="s">
        <v>9</v>
      </c>
      <c r="I2578" t="s">
        <v>10</v>
      </c>
    </row>
    <row r="2579" spans="1:9" x14ac:dyDescent="0.25">
      <c r="A2579" t="s">
        <v>4338</v>
      </c>
      <c r="B2579" s="26" t="str">
        <f>MID(tbl_forecast[[#This Row],[PACE Job Number]],3,3)</f>
        <v>NTX</v>
      </c>
      <c r="C2579" t="s">
        <v>18</v>
      </c>
      <c r="D2579" s="1">
        <v>43433</v>
      </c>
      <c r="E2579" s="1">
        <v>36524</v>
      </c>
      <c r="F2579" s="1">
        <v>43439</v>
      </c>
      <c r="G2579" s="1"/>
      <c r="H2579" t="s">
        <v>9</v>
      </c>
      <c r="I2579" t="s">
        <v>27</v>
      </c>
    </row>
    <row r="2580" spans="1:9" x14ac:dyDescent="0.25">
      <c r="A2580" t="s">
        <v>4339</v>
      </c>
      <c r="B2580" s="26" t="str">
        <f>MID(tbl_forecast[[#This Row],[PACE Job Number]],3,3)</f>
        <v>NTX</v>
      </c>
      <c r="C2580" t="s">
        <v>18</v>
      </c>
      <c r="D2580" s="1">
        <v>43423</v>
      </c>
      <c r="E2580" s="1">
        <v>36524</v>
      </c>
      <c r="F2580" s="1">
        <v>43444</v>
      </c>
      <c r="G2580" s="1"/>
      <c r="H2580" t="s">
        <v>4664</v>
      </c>
      <c r="I2580" t="s">
        <v>4666</v>
      </c>
    </row>
    <row r="2581" spans="1:9" x14ac:dyDescent="0.25">
      <c r="A2581" t="s">
        <v>621</v>
      </c>
      <c r="B2581" s="26" t="str">
        <f>MID(tbl_forecast[[#This Row],[PACE Job Number]],3,3)</f>
        <v>NTX</v>
      </c>
      <c r="C2581" t="s">
        <v>18</v>
      </c>
      <c r="D2581" s="1">
        <v>43425</v>
      </c>
      <c r="E2581" s="1">
        <v>36524</v>
      </c>
      <c r="F2581" s="1">
        <v>43434</v>
      </c>
      <c r="G2581" s="1"/>
      <c r="H2581" t="s">
        <v>9</v>
      </c>
      <c r="I2581" t="s">
        <v>27</v>
      </c>
    </row>
    <row r="2582" spans="1:9" x14ac:dyDescent="0.25">
      <c r="A2582" t="s">
        <v>127</v>
      </c>
      <c r="B2582" s="26" t="str">
        <f>MID(tbl_forecast[[#This Row],[PACE Job Number]],3,3)</f>
        <v>NTX</v>
      </c>
      <c r="C2582" t="s">
        <v>18</v>
      </c>
      <c r="D2582" s="1">
        <v>43431</v>
      </c>
      <c r="E2582" s="1">
        <v>43293</v>
      </c>
      <c r="F2582" s="1">
        <v>43437</v>
      </c>
      <c r="G2582" s="1"/>
      <c r="H2582" t="s">
        <v>9</v>
      </c>
      <c r="I2582" t="s">
        <v>27</v>
      </c>
    </row>
    <row r="2583" spans="1:9" x14ac:dyDescent="0.25">
      <c r="A2583" t="s">
        <v>4524</v>
      </c>
      <c r="B2583" s="26" t="str">
        <f>MID(tbl_forecast[[#This Row],[PACE Job Number]],3,3)</f>
        <v>NTX</v>
      </c>
      <c r="C2583" t="s">
        <v>18</v>
      </c>
      <c r="D2583" s="1">
        <v>43418</v>
      </c>
      <c r="E2583" s="1">
        <v>43396</v>
      </c>
      <c r="F2583" s="1">
        <v>43417</v>
      </c>
      <c r="G2583" s="1">
        <v>43417</v>
      </c>
      <c r="H2583" t="s">
        <v>9</v>
      </c>
      <c r="I2583" t="s">
        <v>10</v>
      </c>
    </row>
    <row r="2584" spans="1:9" x14ac:dyDescent="0.25">
      <c r="A2584" t="s">
        <v>1814</v>
      </c>
      <c r="B2584" s="26" t="str">
        <f>MID(tbl_forecast[[#This Row],[PACE Job Number]],3,3)</f>
        <v>NTX</v>
      </c>
      <c r="C2584" t="s">
        <v>18</v>
      </c>
      <c r="D2584" s="1">
        <v>43417</v>
      </c>
      <c r="E2584" s="1">
        <v>36524</v>
      </c>
      <c r="F2584" s="1">
        <v>43433</v>
      </c>
      <c r="G2584" s="1">
        <v>43433</v>
      </c>
      <c r="H2584" t="s">
        <v>4664</v>
      </c>
      <c r="I2584" t="s">
        <v>10</v>
      </c>
    </row>
    <row r="2585" spans="1:9" x14ac:dyDescent="0.25">
      <c r="A2585" t="s">
        <v>2717</v>
      </c>
      <c r="B2585" s="26" t="str">
        <f>MID(tbl_forecast[[#This Row],[PACE Job Number]],3,3)</f>
        <v>STX</v>
      </c>
      <c r="C2585" t="s">
        <v>18</v>
      </c>
      <c r="D2585" s="1">
        <v>43432</v>
      </c>
      <c r="E2585" s="1">
        <v>43465</v>
      </c>
      <c r="F2585" s="1">
        <v>43465</v>
      </c>
      <c r="G2585" s="1"/>
      <c r="H2585" t="s">
        <v>4664</v>
      </c>
      <c r="I2585" t="s">
        <v>4665</v>
      </c>
    </row>
    <row r="2586" spans="1:9" x14ac:dyDescent="0.25">
      <c r="A2586" t="s">
        <v>5363</v>
      </c>
      <c r="B2586" s="26" t="str">
        <f>MID(tbl_forecast[[#This Row],[PACE Job Number]],3,3)</f>
        <v>STX</v>
      </c>
      <c r="C2586" t="s">
        <v>18</v>
      </c>
      <c r="D2586" s="1">
        <v>43434</v>
      </c>
      <c r="E2586" s="1">
        <v>43465</v>
      </c>
      <c r="F2586" s="1">
        <v>43465</v>
      </c>
      <c r="G2586" s="1"/>
      <c r="H2586" t="s">
        <v>4664</v>
      </c>
      <c r="I2586" t="s">
        <v>4665</v>
      </c>
    </row>
    <row r="2587" spans="1:9" x14ac:dyDescent="0.25">
      <c r="A2587" t="s">
        <v>5540</v>
      </c>
      <c r="B2587" s="26" t="str">
        <f>MID(tbl_forecast[[#This Row],[PACE Job Number]],3,3)</f>
        <v>STX</v>
      </c>
      <c r="C2587" t="s">
        <v>18</v>
      </c>
      <c r="D2587" s="1">
        <v>43432</v>
      </c>
      <c r="E2587" s="1">
        <v>43432</v>
      </c>
      <c r="F2587" s="1">
        <v>43419</v>
      </c>
      <c r="G2587" s="1">
        <v>43419</v>
      </c>
      <c r="H2587" t="s">
        <v>9</v>
      </c>
      <c r="I2587" t="s">
        <v>10</v>
      </c>
    </row>
    <row r="2588" spans="1:9" x14ac:dyDescent="0.25">
      <c r="A2588" t="s">
        <v>5364</v>
      </c>
      <c r="B2588" s="26" t="str">
        <f>MID(tbl_forecast[[#This Row],[PACE Job Number]],3,3)</f>
        <v>STX</v>
      </c>
      <c r="C2588" t="s">
        <v>18</v>
      </c>
      <c r="D2588" s="1">
        <v>43434</v>
      </c>
      <c r="E2588" s="1">
        <v>43465</v>
      </c>
      <c r="F2588" s="1">
        <v>43465</v>
      </c>
      <c r="G2588" s="1"/>
      <c r="H2588" t="s">
        <v>4664</v>
      </c>
      <c r="I2588" t="s">
        <v>4665</v>
      </c>
    </row>
    <row r="2589" spans="1:9" x14ac:dyDescent="0.25">
      <c r="A2589" t="s">
        <v>5541</v>
      </c>
      <c r="B2589" s="26" t="str">
        <f>MID(tbl_forecast[[#This Row],[PACE Job Number]],3,3)</f>
        <v>STX</v>
      </c>
      <c r="C2589" t="s">
        <v>18</v>
      </c>
      <c r="D2589" s="1">
        <v>43432</v>
      </c>
      <c r="E2589" s="1">
        <v>43432</v>
      </c>
      <c r="F2589" s="1">
        <v>43419</v>
      </c>
      <c r="G2589" s="1">
        <v>43419</v>
      </c>
      <c r="H2589" t="s">
        <v>9</v>
      </c>
      <c r="I2589" t="s">
        <v>10</v>
      </c>
    </row>
    <row r="2590" spans="1:9" x14ac:dyDescent="0.25">
      <c r="A2590" t="s">
        <v>3269</v>
      </c>
      <c r="B2590" s="26" t="str">
        <f>MID(tbl_forecast[[#This Row],[PACE Job Number]],3,3)</f>
        <v>STX</v>
      </c>
      <c r="C2590" t="s">
        <v>18</v>
      </c>
      <c r="D2590" s="1">
        <v>43432</v>
      </c>
      <c r="E2590" s="1">
        <v>43465</v>
      </c>
      <c r="F2590" s="1">
        <v>43465</v>
      </c>
      <c r="G2590" s="1"/>
      <c r="H2590" t="s">
        <v>4664</v>
      </c>
      <c r="I2590" t="s">
        <v>4665</v>
      </c>
    </row>
    <row r="2591" spans="1:9" x14ac:dyDescent="0.25">
      <c r="A2591" t="s">
        <v>5228</v>
      </c>
      <c r="B2591" s="26" t="str">
        <f>MID(tbl_forecast[[#This Row],[PACE Job Number]],3,3)</f>
        <v>WSH</v>
      </c>
      <c r="C2591" t="s">
        <v>18</v>
      </c>
      <c r="D2591" s="1">
        <v>43434</v>
      </c>
      <c r="E2591" s="1">
        <v>43465</v>
      </c>
      <c r="F2591" s="1">
        <v>43427</v>
      </c>
      <c r="G2591" s="1">
        <v>43427</v>
      </c>
      <c r="H2591" t="s">
        <v>9</v>
      </c>
      <c r="I2591" t="s">
        <v>10</v>
      </c>
    </row>
    <row r="2592" spans="1:9" x14ac:dyDescent="0.25">
      <c r="A2592" t="s">
        <v>5231</v>
      </c>
      <c r="B2592" s="26" t="str">
        <f>MID(tbl_forecast[[#This Row],[PACE Job Number]],3,3)</f>
        <v>WSH</v>
      </c>
      <c r="C2592" t="s">
        <v>18</v>
      </c>
      <c r="D2592" s="1">
        <v>43434</v>
      </c>
      <c r="E2592" s="1">
        <v>43465</v>
      </c>
      <c r="F2592" s="1">
        <v>43430</v>
      </c>
      <c r="G2592" s="1">
        <v>43430</v>
      </c>
      <c r="H2592" t="s">
        <v>9</v>
      </c>
      <c r="I2592" t="s">
        <v>10</v>
      </c>
    </row>
    <row r="2593" spans="1:9" x14ac:dyDescent="0.25">
      <c r="A2593" t="s">
        <v>4259</v>
      </c>
      <c r="B2593" s="26" t="str">
        <f>MID(tbl_forecast[[#This Row],[PACE Job Number]],3,3)</f>
        <v>WSH</v>
      </c>
      <c r="C2593" t="s">
        <v>18</v>
      </c>
      <c r="D2593" s="1">
        <v>43434</v>
      </c>
      <c r="E2593" s="1">
        <v>43465</v>
      </c>
      <c r="F2593" s="1">
        <v>43417</v>
      </c>
      <c r="G2593" s="1">
        <v>43417</v>
      </c>
      <c r="H2593" t="s">
        <v>9</v>
      </c>
      <c r="I2593" t="s">
        <v>10</v>
      </c>
    </row>
    <row r="2594" spans="1:9" x14ac:dyDescent="0.25">
      <c r="A2594" t="s">
        <v>4260</v>
      </c>
      <c r="B2594" s="26" t="str">
        <f>MID(tbl_forecast[[#This Row],[PACE Job Number]],3,3)</f>
        <v>WSH</v>
      </c>
      <c r="C2594" t="s">
        <v>18</v>
      </c>
      <c r="D2594" s="1">
        <v>43434</v>
      </c>
      <c r="E2594" s="1">
        <v>43276</v>
      </c>
      <c r="F2594" s="1">
        <v>43465</v>
      </c>
      <c r="G2594" s="1"/>
      <c r="H2594" t="s">
        <v>4664</v>
      </c>
      <c r="I2594" t="s">
        <v>4666</v>
      </c>
    </row>
    <row r="2595" spans="1:9" x14ac:dyDescent="0.25">
      <c r="A2595" t="s">
        <v>4261</v>
      </c>
      <c r="B2595" s="26" t="str">
        <f>MID(tbl_forecast[[#This Row],[PACE Job Number]],3,3)</f>
        <v>WSH</v>
      </c>
      <c r="C2595" t="s">
        <v>18</v>
      </c>
      <c r="D2595" s="1">
        <v>43434</v>
      </c>
      <c r="E2595" s="1">
        <v>43223</v>
      </c>
      <c r="F2595" s="1">
        <v>43465</v>
      </c>
      <c r="G2595" s="1"/>
      <c r="H2595" t="s">
        <v>4664</v>
      </c>
      <c r="I2595" t="s">
        <v>4666</v>
      </c>
    </row>
    <row r="2596" spans="1:9" x14ac:dyDescent="0.25">
      <c r="A2596" t="s">
        <v>157</v>
      </c>
      <c r="B2596" s="26" t="str">
        <f>MID(tbl_forecast[[#This Row],[PACE Job Number]],3,3)</f>
        <v>WSH</v>
      </c>
      <c r="C2596" t="s">
        <v>18</v>
      </c>
      <c r="D2596" s="1">
        <v>43434</v>
      </c>
      <c r="E2596" s="1">
        <v>43465</v>
      </c>
      <c r="F2596" s="1">
        <v>43465</v>
      </c>
      <c r="G2596" s="1"/>
      <c r="H2596" t="s">
        <v>4664</v>
      </c>
      <c r="I2596" t="s">
        <v>4665</v>
      </c>
    </row>
    <row r="2597" spans="1:9" x14ac:dyDescent="0.25">
      <c r="A2597" t="s">
        <v>4580</v>
      </c>
      <c r="B2597" s="26" t="str">
        <f>MID(tbl_forecast[[#This Row],[PACE Job Number]],3,3)</f>
        <v>WSH</v>
      </c>
      <c r="C2597" t="s">
        <v>18</v>
      </c>
      <c r="D2597" s="1">
        <v>43434</v>
      </c>
      <c r="E2597" s="1">
        <v>43288</v>
      </c>
      <c r="F2597" s="1">
        <v>43409</v>
      </c>
      <c r="G2597" s="1">
        <v>43409</v>
      </c>
      <c r="H2597" t="s">
        <v>9</v>
      </c>
      <c r="I2597" t="s">
        <v>10</v>
      </c>
    </row>
    <row r="2598" spans="1:9" x14ac:dyDescent="0.25">
      <c r="A2598" t="s">
        <v>4581</v>
      </c>
      <c r="B2598" s="26" t="str">
        <f>MID(tbl_forecast[[#This Row],[PACE Job Number]],3,3)</f>
        <v>WSH</v>
      </c>
      <c r="C2598" t="s">
        <v>18</v>
      </c>
      <c r="D2598" s="1">
        <v>43434</v>
      </c>
      <c r="E2598" s="1">
        <v>43375</v>
      </c>
      <c r="F2598" s="1">
        <v>43410</v>
      </c>
      <c r="G2598" s="1">
        <v>43410</v>
      </c>
      <c r="H2598" t="s">
        <v>9</v>
      </c>
      <c r="I2598" t="s">
        <v>10</v>
      </c>
    </row>
    <row r="2599" spans="1:9" x14ac:dyDescent="0.25">
      <c r="A2599" t="s">
        <v>5232</v>
      </c>
      <c r="B2599" s="26" t="str">
        <f>MID(tbl_forecast[[#This Row],[PACE Job Number]],3,3)</f>
        <v>WSH</v>
      </c>
      <c r="C2599" t="s">
        <v>18</v>
      </c>
      <c r="D2599" s="1">
        <v>43434</v>
      </c>
      <c r="E2599" s="1">
        <v>43465</v>
      </c>
      <c r="F2599" s="1">
        <v>43431</v>
      </c>
      <c r="G2599" s="1">
        <v>43431</v>
      </c>
      <c r="H2599" t="s">
        <v>9</v>
      </c>
      <c r="I2599" t="s">
        <v>10</v>
      </c>
    </row>
    <row r="2600" spans="1:9" x14ac:dyDescent="0.25">
      <c r="A2600" t="s">
        <v>323</v>
      </c>
      <c r="B2600" s="26" t="str">
        <f>MID(tbl_forecast[[#This Row],[PACE Job Number]],3,3)</f>
        <v>WSH</v>
      </c>
      <c r="C2600" t="s">
        <v>18</v>
      </c>
      <c r="D2600" s="1">
        <v>43434</v>
      </c>
      <c r="E2600" s="1">
        <v>43244</v>
      </c>
      <c r="F2600" s="1">
        <v>43434</v>
      </c>
      <c r="G2600" s="1"/>
      <c r="H2600" t="s">
        <v>9</v>
      </c>
      <c r="I2600" t="s">
        <v>27</v>
      </c>
    </row>
    <row r="2601" spans="1:9" x14ac:dyDescent="0.25">
      <c r="A2601" t="s">
        <v>5233</v>
      </c>
      <c r="B2601" s="26" t="str">
        <f>MID(tbl_forecast[[#This Row],[PACE Job Number]],3,3)</f>
        <v>WSH</v>
      </c>
      <c r="C2601" t="s">
        <v>18</v>
      </c>
      <c r="D2601" s="1">
        <v>43434</v>
      </c>
      <c r="E2601" s="1">
        <v>43465</v>
      </c>
      <c r="F2601" s="1">
        <v>43430</v>
      </c>
      <c r="G2601" s="1">
        <v>43430</v>
      </c>
      <c r="H2601" t="s">
        <v>9</v>
      </c>
      <c r="I2601" t="s">
        <v>10</v>
      </c>
    </row>
    <row r="2602" spans="1:9" x14ac:dyDescent="0.25">
      <c r="A2602" t="s">
        <v>3928</v>
      </c>
      <c r="B2602" s="26" t="str">
        <f>MID(tbl_forecast[[#This Row],[PACE Job Number]],3,3)</f>
        <v>WSH</v>
      </c>
      <c r="C2602" t="s">
        <v>18</v>
      </c>
      <c r="D2602" s="1">
        <v>43434</v>
      </c>
      <c r="E2602" s="1">
        <v>43288</v>
      </c>
      <c r="F2602" s="1">
        <v>43430</v>
      </c>
      <c r="G2602" s="1">
        <v>43430</v>
      </c>
      <c r="H2602" t="s">
        <v>9</v>
      </c>
      <c r="I2602" t="s">
        <v>10</v>
      </c>
    </row>
    <row r="2603" spans="1:9" x14ac:dyDescent="0.25">
      <c r="A2603" t="s">
        <v>2211</v>
      </c>
      <c r="B2603" s="26" t="str">
        <f>MID(tbl_forecast[[#This Row],[PACE Job Number]],3,3)</f>
        <v>NTX</v>
      </c>
      <c r="C2603" t="s">
        <v>18</v>
      </c>
      <c r="D2603" s="1">
        <v>43422</v>
      </c>
      <c r="E2603" s="1">
        <v>43421</v>
      </c>
      <c r="F2603" s="1">
        <v>43434</v>
      </c>
      <c r="G2603" s="1"/>
      <c r="H2603" t="s">
        <v>9</v>
      </c>
      <c r="I2603" t="s">
        <v>27</v>
      </c>
    </row>
    <row r="2604" spans="1:9" x14ac:dyDescent="0.25">
      <c r="A2604" t="s">
        <v>5542</v>
      </c>
      <c r="B2604" s="26" t="str">
        <f>MID(tbl_forecast[[#This Row],[PACE Job Number]],3,3)</f>
        <v>NTX</v>
      </c>
      <c r="C2604" t="s">
        <v>18</v>
      </c>
      <c r="D2604" s="1">
        <v>43434</v>
      </c>
      <c r="E2604" s="1">
        <v>43286</v>
      </c>
      <c r="F2604" s="1">
        <v>43465</v>
      </c>
      <c r="G2604" s="1"/>
      <c r="H2604" t="s">
        <v>4664</v>
      </c>
      <c r="I2604" t="s">
        <v>4666</v>
      </c>
    </row>
    <row r="2605" spans="1:9" x14ac:dyDescent="0.25">
      <c r="A2605" t="s">
        <v>4348</v>
      </c>
      <c r="B2605" s="26" t="str">
        <f>MID(tbl_forecast[[#This Row],[PACE Job Number]],3,3)</f>
        <v>NTX</v>
      </c>
      <c r="C2605" t="s">
        <v>18</v>
      </c>
      <c r="D2605" s="1">
        <v>43433</v>
      </c>
      <c r="E2605" s="1">
        <v>36524</v>
      </c>
      <c r="F2605" s="1">
        <v>43439</v>
      </c>
      <c r="G2605" s="1"/>
      <c r="H2605" t="s">
        <v>9</v>
      </c>
      <c r="I2605" t="s">
        <v>27</v>
      </c>
    </row>
    <row r="2606" spans="1:9" x14ac:dyDescent="0.25">
      <c r="A2606" t="s">
        <v>3930</v>
      </c>
      <c r="B2606" s="26" t="str">
        <f>MID(tbl_forecast[[#This Row],[PACE Job Number]],3,3)</f>
        <v>NTX</v>
      </c>
      <c r="C2606" t="s">
        <v>18</v>
      </c>
      <c r="D2606" s="1">
        <v>43434</v>
      </c>
      <c r="E2606" s="1">
        <v>43396</v>
      </c>
      <c r="F2606" s="1">
        <v>43409</v>
      </c>
      <c r="G2606" s="1">
        <v>43409</v>
      </c>
      <c r="H2606" t="s">
        <v>9</v>
      </c>
      <c r="I2606" t="s">
        <v>10</v>
      </c>
    </row>
    <row r="2607" spans="1:9" x14ac:dyDescent="0.25">
      <c r="A2607" t="s">
        <v>2124</v>
      </c>
      <c r="B2607" s="26" t="str">
        <f>MID(tbl_forecast[[#This Row],[PACE Job Number]],3,3)</f>
        <v>NTX</v>
      </c>
      <c r="C2607" t="s">
        <v>18</v>
      </c>
      <c r="D2607" s="1">
        <v>43418</v>
      </c>
      <c r="E2607" s="1">
        <v>36524</v>
      </c>
      <c r="F2607" s="1">
        <v>43424</v>
      </c>
      <c r="G2607" s="1">
        <v>43424</v>
      </c>
      <c r="H2607" t="s">
        <v>9</v>
      </c>
      <c r="I2607" t="s">
        <v>10</v>
      </c>
    </row>
    <row r="2608" spans="1:9" x14ac:dyDescent="0.25">
      <c r="A2608" t="s">
        <v>1815</v>
      </c>
      <c r="B2608" s="26" t="str">
        <f>MID(tbl_forecast[[#This Row],[PACE Job Number]],3,3)</f>
        <v>NTX</v>
      </c>
      <c r="C2608" t="s">
        <v>18</v>
      </c>
      <c r="D2608" s="1">
        <v>43433</v>
      </c>
      <c r="E2608" s="1">
        <v>36524</v>
      </c>
      <c r="F2608" s="1">
        <v>43444</v>
      </c>
      <c r="G2608" s="1"/>
      <c r="H2608" t="s">
        <v>9</v>
      </c>
      <c r="I2608" t="s">
        <v>27</v>
      </c>
    </row>
    <row r="2609" spans="1:9" x14ac:dyDescent="0.25">
      <c r="A2609" t="s">
        <v>1816</v>
      </c>
      <c r="B2609" s="26" t="str">
        <f>MID(tbl_forecast[[#This Row],[PACE Job Number]],3,3)</f>
        <v>NTX</v>
      </c>
      <c r="C2609" t="s">
        <v>18</v>
      </c>
      <c r="D2609" s="1">
        <v>43433</v>
      </c>
      <c r="E2609" s="1">
        <v>36524</v>
      </c>
      <c r="F2609" s="1">
        <v>43444</v>
      </c>
      <c r="G2609" s="1"/>
      <c r="H2609" t="s">
        <v>9</v>
      </c>
      <c r="I2609" t="s">
        <v>27</v>
      </c>
    </row>
    <row r="2610" spans="1:9" x14ac:dyDescent="0.25">
      <c r="A2610" t="s">
        <v>2374</v>
      </c>
      <c r="B2610" s="26" t="str">
        <f>MID(tbl_forecast[[#This Row],[PACE Job Number]],3,3)</f>
        <v>NTX</v>
      </c>
      <c r="C2610" t="s">
        <v>18</v>
      </c>
      <c r="D2610" s="1">
        <v>43427</v>
      </c>
      <c r="E2610" s="1">
        <v>36524</v>
      </c>
      <c r="F2610" s="1">
        <v>43445</v>
      </c>
      <c r="G2610" s="1"/>
      <c r="H2610" t="s">
        <v>4664</v>
      </c>
      <c r="I2610" t="s">
        <v>4666</v>
      </c>
    </row>
    <row r="2611" spans="1:9" x14ac:dyDescent="0.25">
      <c r="A2611" t="s">
        <v>4349</v>
      </c>
      <c r="B2611" s="26" t="str">
        <f>MID(tbl_forecast[[#This Row],[PACE Job Number]],3,3)</f>
        <v>NTX</v>
      </c>
      <c r="C2611" t="s">
        <v>18</v>
      </c>
      <c r="D2611" s="1">
        <v>43432</v>
      </c>
      <c r="E2611" s="1">
        <v>43286</v>
      </c>
      <c r="F2611" s="1">
        <v>43441</v>
      </c>
      <c r="G2611" s="1"/>
      <c r="H2611" t="s">
        <v>9</v>
      </c>
      <c r="I2611" t="s">
        <v>27</v>
      </c>
    </row>
    <row r="2612" spans="1:9" x14ac:dyDescent="0.25">
      <c r="A2612" t="s">
        <v>2375</v>
      </c>
      <c r="B2612" s="26" t="str">
        <f>MID(tbl_forecast[[#This Row],[PACE Job Number]],3,3)</f>
        <v>NTX</v>
      </c>
      <c r="C2612" t="s">
        <v>18</v>
      </c>
      <c r="D2612" s="1">
        <v>43428</v>
      </c>
      <c r="E2612" s="1">
        <v>36524</v>
      </c>
      <c r="F2612" s="1">
        <v>43445</v>
      </c>
      <c r="G2612" s="1"/>
      <c r="H2612" t="s">
        <v>4664</v>
      </c>
      <c r="I2612" t="s">
        <v>4666</v>
      </c>
    </row>
    <row r="2613" spans="1:9" x14ac:dyDescent="0.25">
      <c r="A2613" t="s">
        <v>3839</v>
      </c>
      <c r="B2613" s="26" t="str">
        <f>MID(tbl_forecast[[#This Row],[PACE Job Number]],3,3)</f>
        <v>NTX</v>
      </c>
      <c r="C2613" t="s">
        <v>18</v>
      </c>
      <c r="D2613" s="1">
        <v>43429</v>
      </c>
      <c r="E2613" s="1">
        <v>43416</v>
      </c>
      <c r="F2613" s="1">
        <v>43460</v>
      </c>
      <c r="G2613" s="1"/>
      <c r="H2613" t="s">
        <v>4664</v>
      </c>
      <c r="I2613" t="s">
        <v>4666</v>
      </c>
    </row>
    <row r="2614" spans="1:9" x14ac:dyDescent="0.25">
      <c r="A2614" t="s">
        <v>1202</v>
      </c>
      <c r="B2614" s="26" t="str">
        <f>MID(tbl_forecast[[#This Row],[PACE Job Number]],3,3)</f>
        <v>NTX</v>
      </c>
      <c r="C2614" t="s">
        <v>18</v>
      </c>
      <c r="D2614" s="1">
        <v>43434</v>
      </c>
      <c r="E2614" s="1">
        <v>36524</v>
      </c>
      <c r="F2614" s="1">
        <v>43829</v>
      </c>
      <c r="G2614" s="1"/>
      <c r="H2614" t="s">
        <v>4664</v>
      </c>
      <c r="I2614" t="s">
        <v>4666</v>
      </c>
    </row>
    <row r="2615" spans="1:9" x14ac:dyDescent="0.25">
      <c r="A2615" t="s">
        <v>4350</v>
      </c>
      <c r="B2615" s="26" t="str">
        <f>MID(tbl_forecast[[#This Row],[PACE Job Number]],3,3)</f>
        <v>NTX</v>
      </c>
      <c r="C2615" t="s">
        <v>18</v>
      </c>
      <c r="D2615" s="1">
        <v>43432</v>
      </c>
      <c r="E2615" s="1">
        <v>43286</v>
      </c>
      <c r="F2615" s="1">
        <v>43441</v>
      </c>
      <c r="G2615" s="1"/>
      <c r="H2615" t="s">
        <v>9</v>
      </c>
      <c r="I2615" t="s">
        <v>27</v>
      </c>
    </row>
    <row r="2616" spans="1:9" x14ac:dyDescent="0.25">
      <c r="A2616" t="s">
        <v>4351</v>
      </c>
      <c r="B2616" s="26" t="str">
        <f>MID(tbl_forecast[[#This Row],[PACE Job Number]],3,3)</f>
        <v>NTX</v>
      </c>
      <c r="C2616" t="s">
        <v>18</v>
      </c>
      <c r="D2616" s="1">
        <v>43427</v>
      </c>
      <c r="E2616" s="1">
        <v>36524</v>
      </c>
      <c r="F2616" s="1">
        <v>43445</v>
      </c>
      <c r="G2616" s="1"/>
      <c r="H2616" t="s">
        <v>4664</v>
      </c>
      <c r="I2616" t="s">
        <v>4666</v>
      </c>
    </row>
    <row r="2617" spans="1:9" x14ac:dyDescent="0.25">
      <c r="A2617" t="s">
        <v>3931</v>
      </c>
      <c r="B2617" s="26" t="str">
        <f>MID(tbl_forecast[[#This Row],[PACE Job Number]],3,3)</f>
        <v>NTX</v>
      </c>
      <c r="C2617" t="s">
        <v>18</v>
      </c>
      <c r="D2617" s="1">
        <v>43430</v>
      </c>
      <c r="E2617" s="1">
        <v>43272</v>
      </c>
      <c r="F2617" s="1">
        <v>43452</v>
      </c>
      <c r="G2617" s="1"/>
      <c r="H2617" t="s">
        <v>4664</v>
      </c>
      <c r="I2617" t="s">
        <v>4666</v>
      </c>
    </row>
    <row r="2618" spans="1:9" x14ac:dyDescent="0.25">
      <c r="A2618" t="s">
        <v>4352</v>
      </c>
      <c r="B2618" s="26" t="str">
        <f>MID(tbl_forecast[[#This Row],[PACE Job Number]],3,3)</f>
        <v>NTX</v>
      </c>
      <c r="C2618" t="s">
        <v>18</v>
      </c>
      <c r="D2618" s="1">
        <v>43427</v>
      </c>
      <c r="E2618" s="1">
        <v>36524</v>
      </c>
      <c r="F2618" s="1">
        <v>43445</v>
      </c>
      <c r="G2618" s="1"/>
      <c r="H2618" t="s">
        <v>4664</v>
      </c>
      <c r="I2618" t="s">
        <v>4666</v>
      </c>
    </row>
    <row r="2619" spans="1:9" x14ac:dyDescent="0.25">
      <c r="A2619" t="s">
        <v>2625</v>
      </c>
      <c r="B2619" s="26" t="str">
        <f>MID(tbl_forecast[[#This Row],[PACE Job Number]],3,3)</f>
        <v>STX</v>
      </c>
      <c r="C2619" t="s">
        <v>18</v>
      </c>
      <c r="D2619" s="1">
        <v>43434</v>
      </c>
      <c r="E2619" s="1">
        <v>43434</v>
      </c>
      <c r="F2619" s="1">
        <v>43434</v>
      </c>
      <c r="G2619" s="1"/>
      <c r="H2619" t="s">
        <v>9</v>
      </c>
      <c r="I2619" t="s">
        <v>27</v>
      </c>
    </row>
    <row r="2620" spans="1:9" x14ac:dyDescent="0.25">
      <c r="A2620" t="s">
        <v>4347</v>
      </c>
      <c r="B2620" s="26" t="str">
        <f>MID(tbl_forecast[[#This Row],[PACE Job Number]],3,3)</f>
        <v>STX</v>
      </c>
      <c r="C2620" t="s">
        <v>18</v>
      </c>
      <c r="D2620" s="1">
        <v>43434</v>
      </c>
      <c r="E2620" s="1">
        <v>43434</v>
      </c>
      <c r="F2620" s="1">
        <v>43434</v>
      </c>
      <c r="G2620" s="1"/>
      <c r="H2620" t="s">
        <v>9</v>
      </c>
      <c r="I2620" t="s">
        <v>27</v>
      </c>
    </row>
    <row r="2621" spans="1:9" x14ac:dyDescent="0.25">
      <c r="A2621" t="s">
        <v>4135</v>
      </c>
      <c r="B2621" s="26" t="str">
        <f>MID(tbl_forecast[[#This Row],[PACE Job Number]],3,3)</f>
        <v>STX</v>
      </c>
      <c r="C2621" t="s">
        <v>18</v>
      </c>
      <c r="D2621" s="1">
        <v>43434</v>
      </c>
      <c r="E2621" s="1">
        <v>43434</v>
      </c>
      <c r="F2621" s="1">
        <v>43423</v>
      </c>
      <c r="G2621" s="1">
        <v>43423</v>
      </c>
      <c r="H2621" t="s">
        <v>9</v>
      </c>
      <c r="I2621" t="s">
        <v>10</v>
      </c>
    </row>
    <row r="2622" spans="1:9" x14ac:dyDescent="0.25">
      <c r="A2622" t="s">
        <v>4136</v>
      </c>
      <c r="B2622" s="26" t="str">
        <f>MID(tbl_forecast[[#This Row],[PACE Job Number]],3,3)</f>
        <v>STX</v>
      </c>
      <c r="C2622" t="s">
        <v>18</v>
      </c>
      <c r="D2622" s="1">
        <v>43434</v>
      </c>
      <c r="E2622" s="1">
        <v>43434</v>
      </c>
      <c r="F2622" s="1">
        <v>43420</v>
      </c>
      <c r="G2622" s="1">
        <v>43420</v>
      </c>
      <c r="H2622" t="s">
        <v>9</v>
      </c>
      <c r="I2622" t="s">
        <v>10</v>
      </c>
    </row>
    <row r="2623" spans="1:9" x14ac:dyDescent="0.25">
      <c r="A2623" t="s">
        <v>566</v>
      </c>
      <c r="B2623" s="26" t="str">
        <f>MID(tbl_forecast[[#This Row],[PACE Job Number]],3,3)</f>
        <v>STX</v>
      </c>
      <c r="C2623" t="s">
        <v>18</v>
      </c>
      <c r="D2623" s="1">
        <v>43434</v>
      </c>
      <c r="E2623" s="1">
        <v>43465</v>
      </c>
      <c r="F2623" s="1">
        <v>43465</v>
      </c>
      <c r="G2623" s="1"/>
      <c r="H2623" t="s">
        <v>4664</v>
      </c>
      <c r="I2623" t="s">
        <v>4665</v>
      </c>
    </row>
    <row r="2624" spans="1:9" x14ac:dyDescent="0.25">
      <c r="A2624" t="s">
        <v>5234</v>
      </c>
      <c r="B2624" s="26" t="str">
        <f>MID(tbl_forecast[[#This Row],[PACE Job Number]],3,3)</f>
        <v>WSH</v>
      </c>
      <c r="C2624" t="s">
        <v>18</v>
      </c>
      <c r="D2624" s="1">
        <v>43434</v>
      </c>
      <c r="E2624" s="1">
        <v>43465</v>
      </c>
      <c r="F2624" s="1">
        <v>43430</v>
      </c>
      <c r="G2624" s="1">
        <v>43430</v>
      </c>
      <c r="H2624" t="s">
        <v>9</v>
      </c>
      <c r="I2624" t="s">
        <v>10</v>
      </c>
    </row>
    <row r="2625" spans="1:9" x14ac:dyDescent="0.25">
      <c r="A2625" t="s">
        <v>5235</v>
      </c>
      <c r="B2625" s="26" t="str">
        <f>MID(tbl_forecast[[#This Row],[PACE Job Number]],3,3)</f>
        <v>WSH</v>
      </c>
      <c r="C2625" t="s">
        <v>18</v>
      </c>
      <c r="D2625" s="1">
        <v>43434</v>
      </c>
      <c r="E2625" s="1">
        <v>43465</v>
      </c>
      <c r="F2625" s="1">
        <v>43431</v>
      </c>
      <c r="G2625" s="1">
        <v>43431</v>
      </c>
      <c r="H2625" t="s">
        <v>9</v>
      </c>
      <c r="I2625" t="s">
        <v>10</v>
      </c>
    </row>
    <row r="2626" spans="1:9" x14ac:dyDescent="0.25">
      <c r="A2626" t="s">
        <v>3929</v>
      </c>
      <c r="B2626" s="26" t="str">
        <f>MID(tbl_forecast[[#This Row],[PACE Job Number]],3,3)</f>
        <v>WSH</v>
      </c>
      <c r="C2626" t="s">
        <v>18</v>
      </c>
      <c r="D2626" s="1">
        <v>43434</v>
      </c>
      <c r="E2626" s="1">
        <v>43288</v>
      </c>
      <c r="F2626" s="1">
        <v>43416</v>
      </c>
      <c r="G2626" s="1">
        <v>43416</v>
      </c>
      <c r="H2626" t="s">
        <v>9</v>
      </c>
      <c r="I2626" t="s">
        <v>10</v>
      </c>
    </row>
    <row r="2627" spans="1:9" x14ac:dyDescent="0.25">
      <c r="A2627" t="s">
        <v>5237</v>
      </c>
      <c r="B2627" s="26" t="str">
        <f>MID(tbl_forecast[[#This Row],[PACE Job Number]],3,3)</f>
        <v>WSH</v>
      </c>
      <c r="C2627" t="s">
        <v>18</v>
      </c>
      <c r="D2627" s="1">
        <v>43434</v>
      </c>
      <c r="E2627" s="1">
        <v>43375</v>
      </c>
      <c r="F2627" s="1">
        <v>43465</v>
      </c>
      <c r="G2627" s="1"/>
      <c r="H2627" t="s">
        <v>4664</v>
      </c>
      <c r="I2627" t="s">
        <v>4666</v>
      </c>
    </row>
    <row r="2628" spans="1:9" x14ac:dyDescent="0.25">
      <c r="A2628" t="s">
        <v>3848</v>
      </c>
      <c r="B2628" s="26" t="str">
        <f>MID(tbl_forecast[[#This Row],[PACE Job Number]],3,3)</f>
        <v>WSH</v>
      </c>
      <c r="C2628" t="s">
        <v>18</v>
      </c>
      <c r="D2628" s="1">
        <v>43434</v>
      </c>
      <c r="E2628" s="1">
        <v>43288</v>
      </c>
      <c r="F2628" s="1">
        <v>43416</v>
      </c>
      <c r="G2628" s="1">
        <v>43416</v>
      </c>
      <c r="H2628" t="s">
        <v>9</v>
      </c>
      <c r="I2628" t="s">
        <v>10</v>
      </c>
    </row>
    <row r="2629" spans="1:9" x14ac:dyDescent="0.25">
      <c r="A2629" t="s">
        <v>3849</v>
      </c>
      <c r="B2629" s="26" t="str">
        <f>MID(tbl_forecast[[#This Row],[PACE Job Number]],3,3)</f>
        <v>WSH</v>
      </c>
      <c r="C2629" t="s">
        <v>18</v>
      </c>
      <c r="D2629" s="1">
        <v>43434</v>
      </c>
      <c r="E2629" s="1">
        <v>43406</v>
      </c>
      <c r="F2629" s="1">
        <v>43430</v>
      </c>
      <c r="G2629" s="1">
        <v>43430</v>
      </c>
      <c r="H2629" t="s">
        <v>9</v>
      </c>
      <c r="I2629" t="s">
        <v>10</v>
      </c>
    </row>
    <row r="2630" spans="1:9" x14ac:dyDescent="0.25">
      <c r="A2630" t="s">
        <v>255</v>
      </c>
      <c r="B2630" s="26" t="str">
        <f>MID(tbl_forecast[[#This Row],[PACE Job Number]],3,3)</f>
        <v>WSH</v>
      </c>
      <c r="C2630" t="s">
        <v>18</v>
      </c>
      <c r="D2630" s="1">
        <v>43434</v>
      </c>
      <c r="E2630" s="1">
        <v>43301</v>
      </c>
      <c r="F2630" s="1">
        <v>43465</v>
      </c>
      <c r="G2630" s="1"/>
      <c r="H2630" t="s">
        <v>4664</v>
      </c>
      <c r="I2630" t="s">
        <v>4666</v>
      </c>
    </row>
    <row r="2631" spans="1:9" x14ac:dyDescent="0.25">
      <c r="A2631" t="s">
        <v>5243</v>
      </c>
      <c r="B2631" s="26" t="str">
        <f>MID(tbl_forecast[[#This Row],[PACE Job Number]],3,3)</f>
        <v>WSH</v>
      </c>
      <c r="C2631" t="s">
        <v>18</v>
      </c>
      <c r="D2631" s="1">
        <v>43434</v>
      </c>
      <c r="E2631" s="1">
        <v>43406</v>
      </c>
      <c r="F2631" s="1">
        <v>43465</v>
      </c>
      <c r="G2631" s="1"/>
      <c r="H2631" t="s">
        <v>4664</v>
      </c>
      <c r="I2631" t="s">
        <v>4666</v>
      </c>
    </row>
    <row r="2632" spans="1:9" x14ac:dyDescent="0.25">
      <c r="A2632" t="s">
        <v>5485</v>
      </c>
      <c r="B2632" s="26" t="str">
        <f>MID(tbl_forecast[[#This Row],[PACE Job Number]],3,3)</f>
        <v>WSH</v>
      </c>
      <c r="C2632" t="s">
        <v>18</v>
      </c>
      <c r="D2632" s="1">
        <v>43434</v>
      </c>
      <c r="E2632" s="1">
        <v>43301</v>
      </c>
      <c r="F2632" s="1">
        <v>43430</v>
      </c>
      <c r="G2632" s="1">
        <v>43430</v>
      </c>
      <c r="H2632" t="s">
        <v>9</v>
      </c>
      <c r="I2632" t="s">
        <v>10</v>
      </c>
    </row>
    <row r="2633" spans="1:9" x14ac:dyDescent="0.25">
      <c r="A2633" t="s">
        <v>3851</v>
      </c>
      <c r="B2633" s="26" t="str">
        <f>MID(tbl_forecast[[#This Row],[PACE Job Number]],3,3)</f>
        <v>WSH</v>
      </c>
      <c r="C2633" t="s">
        <v>18</v>
      </c>
      <c r="D2633" s="1">
        <v>43434</v>
      </c>
      <c r="E2633" s="1">
        <v>43406</v>
      </c>
      <c r="F2633" s="1">
        <v>43432</v>
      </c>
      <c r="G2633" s="1">
        <v>43432</v>
      </c>
      <c r="H2633" t="s">
        <v>9</v>
      </c>
      <c r="I2633" t="s">
        <v>10</v>
      </c>
    </row>
    <row r="2634" spans="1:9" x14ac:dyDescent="0.25">
      <c r="A2634" t="s">
        <v>5245</v>
      </c>
      <c r="B2634" s="26" t="str">
        <f>MID(tbl_forecast[[#This Row],[PACE Job Number]],3,3)</f>
        <v>WSH</v>
      </c>
      <c r="C2634" t="s">
        <v>18</v>
      </c>
      <c r="D2634" s="1">
        <v>43434</v>
      </c>
      <c r="E2634" s="1">
        <v>43375</v>
      </c>
      <c r="F2634" s="1">
        <v>43465</v>
      </c>
      <c r="G2634" s="1"/>
      <c r="H2634" t="s">
        <v>4664</v>
      </c>
      <c r="I2634" t="s">
        <v>4666</v>
      </c>
    </row>
    <row r="2635" spans="1:9" x14ac:dyDescent="0.25">
      <c r="A2635" t="s">
        <v>3853</v>
      </c>
      <c r="B2635" s="26" t="str">
        <f>MID(tbl_forecast[[#This Row],[PACE Job Number]],3,3)</f>
        <v>WSH</v>
      </c>
      <c r="C2635" t="s">
        <v>18</v>
      </c>
      <c r="D2635" s="1">
        <v>43434</v>
      </c>
      <c r="E2635" s="1">
        <v>43288</v>
      </c>
      <c r="F2635" s="1">
        <v>43465</v>
      </c>
      <c r="G2635" s="1"/>
      <c r="H2635" t="s">
        <v>4664</v>
      </c>
      <c r="I2635" t="s">
        <v>4666</v>
      </c>
    </row>
    <row r="2636" spans="1:9" x14ac:dyDescent="0.25">
      <c r="A2636" t="s">
        <v>3854</v>
      </c>
      <c r="B2636" s="26" t="str">
        <f>MID(tbl_forecast[[#This Row],[PACE Job Number]],3,3)</f>
        <v>WSH</v>
      </c>
      <c r="C2636" t="s">
        <v>18</v>
      </c>
      <c r="D2636" s="1">
        <v>43434</v>
      </c>
      <c r="E2636" s="1">
        <v>43277</v>
      </c>
      <c r="F2636" s="1">
        <v>43465</v>
      </c>
      <c r="G2636" s="1"/>
      <c r="H2636" t="s">
        <v>4664</v>
      </c>
      <c r="I2636" t="s">
        <v>4666</v>
      </c>
    </row>
    <row r="2637" spans="1:9" x14ac:dyDescent="0.25">
      <c r="A2637" t="s">
        <v>5486</v>
      </c>
      <c r="B2637" s="26" t="str">
        <f>MID(tbl_forecast[[#This Row],[PACE Job Number]],3,3)</f>
        <v>WSH</v>
      </c>
      <c r="C2637" t="s">
        <v>18</v>
      </c>
      <c r="D2637" s="1">
        <v>43434</v>
      </c>
      <c r="E2637" s="1">
        <v>43301</v>
      </c>
      <c r="F2637" s="1">
        <v>43430</v>
      </c>
      <c r="G2637" s="1">
        <v>43430</v>
      </c>
      <c r="H2637" t="s">
        <v>9</v>
      </c>
      <c r="I2637" t="s">
        <v>10</v>
      </c>
    </row>
    <row r="2638" spans="1:9" x14ac:dyDescent="0.25">
      <c r="A2638" t="s">
        <v>3776</v>
      </c>
      <c r="B2638" s="26" t="str">
        <f>MID(tbl_forecast[[#This Row],[PACE Job Number]],3,3)</f>
        <v>WSH</v>
      </c>
      <c r="C2638" t="s">
        <v>18</v>
      </c>
      <c r="D2638" s="1">
        <v>43434</v>
      </c>
      <c r="E2638" s="1">
        <v>43311</v>
      </c>
      <c r="F2638" s="1">
        <v>43465</v>
      </c>
      <c r="G2638" s="1"/>
      <c r="H2638" t="s">
        <v>4664</v>
      </c>
      <c r="I2638" t="s">
        <v>4666</v>
      </c>
    </row>
    <row r="2639" spans="1:9" x14ac:dyDescent="0.25">
      <c r="A2639" t="s">
        <v>5246</v>
      </c>
      <c r="B2639" s="26" t="str">
        <f>MID(tbl_forecast[[#This Row],[PACE Job Number]],3,3)</f>
        <v>WSH</v>
      </c>
      <c r="C2639" t="s">
        <v>18</v>
      </c>
      <c r="D2639" s="1">
        <v>43434</v>
      </c>
      <c r="E2639" s="1">
        <v>43311</v>
      </c>
      <c r="F2639" s="1">
        <v>43465</v>
      </c>
      <c r="G2639" s="1"/>
      <c r="H2639" t="s">
        <v>4664</v>
      </c>
      <c r="I2639" t="s">
        <v>4666</v>
      </c>
    </row>
    <row r="2640" spans="1:9" x14ac:dyDescent="0.25">
      <c r="A2640" t="s">
        <v>3856</v>
      </c>
      <c r="B2640" s="26" t="str">
        <f>MID(tbl_forecast[[#This Row],[PACE Job Number]],3,3)</f>
        <v>WSH</v>
      </c>
      <c r="C2640" t="s">
        <v>18</v>
      </c>
      <c r="D2640" s="1">
        <v>43434</v>
      </c>
      <c r="E2640" s="1">
        <v>43374</v>
      </c>
      <c r="F2640" s="1">
        <v>43430</v>
      </c>
      <c r="G2640" s="1">
        <v>43430</v>
      </c>
      <c r="H2640" t="s">
        <v>9</v>
      </c>
      <c r="I2640" t="s">
        <v>10</v>
      </c>
    </row>
    <row r="2641" spans="1:9" x14ac:dyDescent="0.25">
      <c r="A2641" t="s">
        <v>3857</v>
      </c>
      <c r="B2641" s="26" t="str">
        <f>MID(tbl_forecast[[#This Row],[PACE Job Number]],3,3)</f>
        <v>WSH</v>
      </c>
      <c r="C2641" t="s">
        <v>18</v>
      </c>
      <c r="D2641" s="1">
        <v>43434</v>
      </c>
      <c r="E2641" s="1">
        <v>43406</v>
      </c>
      <c r="F2641" s="1">
        <v>43465</v>
      </c>
      <c r="G2641" s="1"/>
      <c r="H2641" t="s">
        <v>4664</v>
      </c>
      <c r="I2641" t="s">
        <v>4666</v>
      </c>
    </row>
    <row r="2642" spans="1:9" x14ac:dyDescent="0.25">
      <c r="A2642" t="s">
        <v>143</v>
      </c>
      <c r="B2642" s="26" t="str">
        <f>MID(tbl_forecast[[#This Row],[PACE Job Number]],3,3)</f>
        <v>WSH</v>
      </c>
      <c r="C2642" t="s">
        <v>18</v>
      </c>
      <c r="D2642" s="1">
        <v>43434</v>
      </c>
      <c r="E2642" s="1">
        <v>43459</v>
      </c>
      <c r="F2642" s="1">
        <v>43409</v>
      </c>
      <c r="G2642" s="1">
        <v>43409</v>
      </c>
      <c r="H2642" t="s">
        <v>9</v>
      </c>
      <c r="I2642" t="s">
        <v>10</v>
      </c>
    </row>
    <row r="2643" spans="1:9" x14ac:dyDescent="0.25">
      <c r="A2643" t="s">
        <v>3777</v>
      </c>
      <c r="B2643" s="26" t="str">
        <f>MID(tbl_forecast[[#This Row],[PACE Job Number]],3,3)</f>
        <v>WSH</v>
      </c>
      <c r="C2643" t="s">
        <v>18</v>
      </c>
      <c r="D2643" s="1">
        <v>43434</v>
      </c>
      <c r="E2643" s="1">
        <v>43294</v>
      </c>
      <c r="F2643" s="1">
        <v>43434</v>
      </c>
      <c r="G2643" s="1"/>
      <c r="H2643" t="s">
        <v>9</v>
      </c>
      <c r="I2643" t="s">
        <v>27</v>
      </c>
    </row>
    <row r="2644" spans="1:9" x14ac:dyDescent="0.25">
      <c r="A2644" t="s">
        <v>3858</v>
      </c>
      <c r="B2644" s="26" t="str">
        <f>MID(tbl_forecast[[#This Row],[PACE Job Number]],3,3)</f>
        <v>WSH</v>
      </c>
      <c r="C2644" t="s">
        <v>18</v>
      </c>
      <c r="D2644" s="1">
        <v>43434</v>
      </c>
      <c r="E2644" s="1">
        <v>43288</v>
      </c>
      <c r="F2644" s="1">
        <v>43427</v>
      </c>
      <c r="G2644" s="1">
        <v>43427</v>
      </c>
      <c r="H2644" t="s">
        <v>9</v>
      </c>
      <c r="I2644" t="s">
        <v>10</v>
      </c>
    </row>
    <row r="2645" spans="1:9" x14ac:dyDescent="0.25">
      <c r="A2645" t="s">
        <v>3859</v>
      </c>
      <c r="B2645" s="26" t="str">
        <f>MID(tbl_forecast[[#This Row],[PACE Job Number]],3,3)</f>
        <v>WSH</v>
      </c>
      <c r="C2645" t="s">
        <v>18</v>
      </c>
      <c r="D2645" s="1">
        <v>43434</v>
      </c>
      <c r="E2645" s="1">
        <v>43406</v>
      </c>
      <c r="F2645" s="1">
        <v>43430</v>
      </c>
      <c r="G2645" s="1">
        <v>43430</v>
      </c>
      <c r="H2645" t="s">
        <v>9</v>
      </c>
      <c r="I2645" t="s">
        <v>10</v>
      </c>
    </row>
    <row r="2646" spans="1:9" x14ac:dyDescent="0.25">
      <c r="A2646" t="s">
        <v>3861</v>
      </c>
      <c r="B2646" s="26" t="str">
        <f>MID(tbl_forecast[[#This Row],[PACE Job Number]],3,3)</f>
        <v>WSH</v>
      </c>
      <c r="C2646" t="s">
        <v>18</v>
      </c>
      <c r="D2646" s="1">
        <v>43434</v>
      </c>
      <c r="E2646" s="1">
        <v>43406</v>
      </c>
      <c r="F2646" s="1">
        <v>43465</v>
      </c>
      <c r="G2646" s="1"/>
      <c r="H2646" t="s">
        <v>4664</v>
      </c>
      <c r="I2646" t="s">
        <v>4666</v>
      </c>
    </row>
    <row r="2647" spans="1:9" x14ac:dyDescent="0.25">
      <c r="A2647" t="s">
        <v>3778</v>
      </c>
      <c r="B2647" s="26" t="str">
        <f>MID(tbl_forecast[[#This Row],[PACE Job Number]],3,3)</f>
        <v>WSH</v>
      </c>
      <c r="C2647" t="s">
        <v>18</v>
      </c>
      <c r="D2647" s="1">
        <v>43434</v>
      </c>
      <c r="E2647" s="1">
        <v>43294</v>
      </c>
      <c r="F2647" s="1">
        <v>43413</v>
      </c>
      <c r="G2647" s="1">
        <v>43413</v>
      </c>
      <c r="H2647" t="s">
        <v>9</v>
      </c>
      <c r="I2647" t="s">
        <v>10</v>
      </c>
    </row>
    <row r="2648" spans="1:9" x14ac:dyDescent="0.25">
      <c r="A2648" t="s">
        <v>3862</v>
      </c>
      <c r="B2648" s="26" t="str">
        <f>MID(tbl_forecast[[#This Row],[PACE Job Number]],3,3)</f>
        <v>WSH</v>
      </c>
      <c r="C2648" t="s">
        <v>18</v>
      </c>
      <c r="D2648" s="1">
        <v>43434</v>
      </c>
      <c r="E2648" s="1">
        <v>43374</v>
      </c>
      <c r="F2648" s="1">
        <v>43430</v>
      </c>
      <c r="G2648" s="1">
        <v>43430</v>
      </c>
      <c r="H2648" t="s">
        <v>9</v>
      </c>
      <c r="I2648" t="s">
        <v>10</v>
      </c>
    </row>
    <row r="2649" spans="1:9" x14ac:dyDescent="0.25">
      <c r="A2649" t="s">
        <v>4061</v>
      </c>
      <c r="B2649" s="26" t="str">
        <f>MID(tbl_forecast[[#This Row],[PACE Job Number]],3,3)</f>
        <v>NTX</v>
      </c>
      <c r="C2649" t="s">
        <v>18</v>
      </c>
      <c r="D2649" s="1">
        <v>43434</v>
      </c>
      <c r="E2649" s="1">
        <v>36524</v>
      </c>
      <c r="F2649" s="1">
        <v>43829</v>
      </c>
      <c r="G2649" s="1"/>
      <c r="H2649" t="s">
        <v>4664</v>
      </c>
      <c r="I2649" t="s">
        <v>4666</v>
      </c>
    </row>
    <row r="2650" spans="1:9" x14ac:dyDescent="0.25">
      <c r="A2650" t="s">
        <v>4290</v>
      </c>
      <c r="B2650" s="26" t="str">
        <f>MID(tbl_forecast[[#This Row],[PACE Job Number]],3,3)</f>
        <v>NTX</v>
      </c>
      <c r="C2650" t="s">
        <v>18</v>
      </c>
      <c r="D2650" s="1">
        <v>43430</v>
      </c>
      <c r="E2650" s="1">
        <v>36524</v>
      </c>
      <c r="F2650" s="1">
        <v>43439</v>
      </c>
      <c r="G2650" s="1"/>
      <c r="H2650" t="s">
        <v>9</v>
      </c>
      <c r="I2650" t="s">
        <v>27</v>
      </c>
    </row>
    <row r="2651" spans="1:9" x14ac:dyDescent="0.25">
      <c r="A2651" t="s">
        <v>268</v>
      </c>
      <c r="B2651" s="26" t="str">
        <f>MID(tbl_forecast[[#This Row],[PACE Job Number]],3,3)</f>
        <v>ANM</v>
      </c>
      <c r="C2651" t="s">
        <v>18</v>
      </c>
      <c r="D2651" s="1">
        <v>43434</v>
      </c>
      <c r="E2651" s="1">
        <v>42582</v>
      </c>
      <c r="F2651" s="1">
        <v>43411</v>
      </c>
      <c r="G2651" s="1">
        <v>43411</v>
      </c>
      <c r="H2651" t="s">
        <v>9</v>
      </c>
      <c r="I2651" t="s">
        <v>10</v>
      </c>
    </row>
    <row r="2652" spans="1:9" x14ac:dyDescent="0.25">
      <c r="A2652" t="s">
        <v>5543</v>
      </c>
      <c r="B2652" s="26" t="str">
        <f>MID(tbl_forecast[[#This Row],[PACE Job Number]],3,3)</f>
        <v>STX</v>
      </c>
      <c r="C2652" t="s">
        <v>18</v>
      </c>
      <c r="D2652" s="1">
        <v>43419</v>
      </c>
      <c r="E2652" s="1">
        <v>43419</v>
      </c>
      <c r="F2652" s="1">
        <v>43423</v>
      </c>
      <c r="G2652" s="1">
        <v>43423</v>
      </c>
      <c r="H2652" t="s">
        <v>9</v>
      </c>
      <c r="I2652" t="s">
        <v>10</v>
      </c>
    </row>
    <row r="2653" spans="1:9" x14ac:dyDescent="0.25">
      <c r="A2653" t="s">
        <v>5544</v>
      </c>
      <c r="B2653" s="26" t="str">
        <f>MID(tbl_forecast[[#This Row],[PACE Job Number]],3,3)</f>
        <v>STX</v>
      </c>
      <c r="C2653" t="s">
        <v>18</v>
      </c>
      <c r="D2653" s="1">
        <v>43419</v>
      </c>
      <c r="E2653" s="1">
        <v>43419</v>
      </c>
      <c r="F2653" s="1">
        <v>43416</v>
      </c>
      <c r="G2653" s="1">
        <v>43416</v>
      </c>
      <c r="H2653" t="s">
        <v>9</v>
      </c>
      <c r="I2653" t="s">
        <v>10</v>
      </c>
    </row>
    <row r="2654" spans="1:9" x14ac:dyDescent="0.25">
      <c r="A2654" t="s">
        <v>33</v>
      </c>
      <c r="B2654" s="26" t="str">
        <f>MID(tbl_forecast[[#This Row],[PACE Job Number]],3,3)</f>
        <v>STX</v>
      </c>
      <c r="C2654" t="s">
        <v>18</v>
      </c>
      <c r="D2654" s="1">
        <v>43432</v>
      </c>
      <c r="E2654" s="1">
        <v>43432</v>
      </c>
      <c r="F2654" s="1">
        <v>43432</v>
      </c>
      <c r="G2654" s="1"/>
      <c r="H2654" t="s">
        <v>9</v>
      </c>
      <c r="I2654" t="s">
        <v>27</v>
      </c>
    </row>
    <row r="2655" spans="1:9" x14ac:dyDescent="0.25">
      <c r="A2655" t="s">
        <v>30</v>
      </c>
      <c r="B2655" s="26" t="str">
        <f>MID(tbl_forecast[[#This Row],[PACE Job Number]],3,3)</f>
        <v>STX</v>
      </c>
      <c r="C2655" t="s">
        <v>18</v>
      </c>
      <c r="D2655" s="1">
        <v>43432</v>
      </c>
      <c r="E2655" s="1">
        <v>43432</v>
      </c>
      <c r="F2655" s="1">
        <v>43432</v>
      </c>
      <c r="G2655" s="1"/>
      <c r="H2655" t="s">
        <v>9</v>
      </c>
      <c r="I2655" t="s">
        <v>27</v>
      </c>
    </row>
    <row r="2656" spans="1:9" x14ac:dyDescent="0.25">
      <c r="A2656" t="s">
        <v>253</v>
      </c>
      <c r="B2656" s="26" t="str">
        <f>MID(tbl_forecast[[#This Row],[PACE Job Number]],3,3)</f>
        <v>STX</v>
      </c>
      <c r="C2656" t="s">
        <v>18</v>
      </c>
      <c r="D2656" s="1">
        <v>43434</v>
      </c>
      <c r="E2656" s="1">
        <v>43404</v>
      </c>
      <c r="F2656" s="1">
        <v>43424</v>
      </c>
      <c r="G2656" s="1">
        <v>43424</v>
      </c>
      <c r="H2656" t="s">
        <v>9</v>
      </c>
      <c r="I2656" t="s">
        <v>10</v>
      </c>
    </row>
    <row r="2657" spans="1:9" x14ac:dyDescent="0.25">
      <c r="A2657" t="s">
        <v>4354</v>
      </c>
      <c r="B2657" s="26" t="str">
        <f>MID(tbl_forecast[[#This Row],[PACE Job Number]],3,3)</f>
        <v>STX</v>
      </c>
      <c r="C2657" t="s">
        <v>18</v>
      </c>
      <c r="D2657" s="1">
        <v>43432</v>
      </c>
      <c r="E2657" s="1">
        <v>43465</v>
      </c>
      <c r="F2657" s="1">
        <v>43465</v>
      </c>
      <c r="G2657" s="1"/>
      <c r="H2657" t="s">
        <v>4664</v>
      </c>
      <c r="I2657" t="s">
        <v>4665</v>
      </c>
    </row>
    <row r="2658" spans="1:9" x14ac:dyDescent="0.25">
      <c r="A2658" t="s">
        <v>573</v>
      </c>
      <c r="B2658" s="26" t="str">
        <f>MID(tbl_forecast[[#This Row],[PACE Job Number]],3,3)</f>
        <v>STX</v>
      </c>
      <c r="C2658" t="s">
        <v>18</v>
      </c>
      <c r="D2658" s="1">
        <v>43434</v>
      </c>
      <c r="E2658" s="1">
        <v>43465</v>
      </c>
      <c r="F2658" s="1">
        <v>43465</v>
      </c>
      <c r="G2658" s="1"/>
      <c r="H2658" t="s">
        <v>4664</v>
      </c>
      <c r="I2658" t="s">
        <v>4665</v>
      </c>
    </row>
    <row r="2659" spans="1:9" x14ac:dyDescent="0.25">
      <c r="A2659" t="s">
        <v>3114</v>
      </c>
      <c r="B2659" s="26" t="str">
        <f>MID(tbl_forecast[[#This Row],[PACE Job Number]],3,3)</f>
        <v>STX</v>
      </c>
      <c r="C2659" t="s">
        <v>18</v>
      </c>
      <c r="D2659" s="1">
        <v>43434</v>
      </c>
      <c r="E2659" s="1">
        <v>43434</v>
      </c>
      <c r="F2659" s="1">
        <v>43434</v>
      </c>
      <c r="G2659" s="1"/>
      <c r="H2659" t="s">
        <v>9</v>
      </c>
      <c r="I2659" t="s">
        <v>27</v>
      </c>
    </row>
    <row r="2660" spans="1:9" x14ac:dyDescent="0.25">
      <c r="A2660" t="s">
        <v>723</v>
      </c>
      <c r="B2660" s="26" t="str">
        <f>MID(tbl_forecast[[#This Row],[PACE Job Number]],3,3)</f>
        <v>STX</v>
      </c>
      <c r="C2660" t="s">
        <v>18</v>
      </c>
      <c r="D2660" s="1">
        <v>43434</v>
      </c>
      <c r="E2660" s="1">
        <v>43465</v>
      </c>
      <c r="F2660" s="1">
        <v>43465</v>
      </c>
      <c r="G2660" s="1"/>
      <c r="H2660" t="s">
        <v>4664</v>
      </c>
      <c r="I2660" t="s">
        <v>4665</v>
      </c>
    </row>
    <row r="2661" spans="1:9" x14ac:dyDescent="0.25">
      <c r="A2661" t="s">
        <v>3104</v>
      </c>
      <c r="B2661" s="26" t="str">
        <f>MID(tbl_forecast[[#This Row],[PACE Job Number]],3,3)</f>
        <v>STX</v>
      </c>
      <c r="C2661" t="s">
        <v>18</v>
      </c>
      <c r="D2661" s="1">
        <v>43434</v>
      </c>
      <c r="E2661" s="1">
        <v>43434</v>
      </c>
      <c r="F2661" s="1">
        <v>43434</v>
      </c>
      <c r="G2661" s="1"/>
      <c r="H2661" t="s">
        <v>9</v>
      </c>
      <c r="I2661" t="s">
        <v>27</v>
      </c>
    </row>
    <row r="2662" spans="1:9" x14ac:dyDescent="0.25">
      <c r="A2662" t="s">
        <v>1705</v>
      </c>
      <c r="B2662" s="26" t="str">
        <f>MID(tbl_forecast[[#This Row],[PACE Job Number]],3,3)</f>
        <v>STX</v>
      </c>
      <c r="C2662" t="s">
        <v>18</v>
      </c>
      <c r="D2662" s="1">
        <v>43434</v>
      </c>
      <c r="E2662" s="1">
        <v>43465</v>
      </c>
      <c r="F2662" s="1">
        <v>43465</v>
      </c>
      <c r="G2662" s="1"/>
      <c r="H2662" t="s">
        <v>4664</v>
      </c>
      <c r="I2662" t="s">
        <v>4665</v>
      </c>
    </row>
    <row r="2663" spans="1:9" x14ac:dyDescent="0.25">
      <c r="A2663" t="s">
        <v>5366</v>
      </c>
      <c r="B2663" s="26" t="str">
        <f>MID(tbl_forecast[[#This Row],[PACE Job Number]],3,3)</f>
        <v>STX</v>
      </c>
      <c r="C2663" t="s">
        <v>18</v>
      </c>
      <c r="D2663" s="1">
        <v>43432</v>
      </c>
      <c r="E2663" s="1">
        <v>43465</v>
      </c>
      <c r="F2663" s="1">
        <v>43465</v>
      </c>
      <c r="G2663" s="1"/>
      <c r="H2663" t="s">
        <v>4664</v>
      </c>
      <c r="I2663" t="s">
        <v>4665</v>
      </c>
    </row>
    <row r="2664" spans="1:9" x14ac:dyDescent="0.25">
      <c r="A2664" t="s">
        <v>5545</v>
      </c>
      <c r="B2664" s="26" t="str">
        <f>MID(tbl_forecast[[#This Row],[PACE Job Number]],3,3)</f>
        <v>STX</v>
      </c>
      <c r="C2664" t="s">
        <v>18</v>
      </c>
      <c r="D2664" s="1">
        <v>43434</v>
      </c>
      <c r="E2664" s="1">
        <v>43434</v>
      </c>
      <c r="F2664" s="1">
        <v>43434</v>
      </c>
      <c r="G2664" s="1"/>
      <c r="H2664" t="s">
        <v>9</v>
      </c>
      <c r="I2664" t="s">
        <v>27</v>
      </c>
    </row>
    <row r="2665" spans="1:9" x14ac:dyDescent="0.25">
      <c r="A2665" t="s">
        <v>4356</v>
      </c>
      <c r="B2665" s="26" t="str">
        <f>MID(tbl_forecast[[#This Row],[PACE Job Number]],3,3)</f>
        <v>STX</v>
      </c>
      <c r="C2665" t="s">
        <v>18</v>
      </c>
      <c r="D2665" s="1">
        <v>43432</v>
      </c>
      <c r="E2665" s="1">
        <v>43432</v>
      </c>
      <c r="F2665" s="1">
        <v>43430</v>
      </c>
      <c r="G2665" s="1">
        <v>43430</v>
      </c>
      <c r="H2665" t="s">
        <v>9</v>
      </c>
      <c r="I2665" t="s">
        <v>10</v>
      </c>
    </row>
    <row r="2666" spans="1:9" x14ac:dyDescent="0.25">
      <c r="A2666" t="s">
        <v>4357</v>
      </c>
      <c r="B2666" s="26" t="str">
        <f>MID(tbl_forecast[[#This Row],[PACE Job Number]],3,3)</f>
        <v>STX</v>
      </c>
      <c r="C2666" t="s">
        <v>18</v>
      </c>
      <c r="D2666" s="1">
        <v>43434</v>
      </c>
      <c r="E2666" s="1">
        <v>43434</v>
      </c>
      <c r="F2666" s="1">
        <v>43425</v>
      </c>
      <c r="G2666" s="1">
        <v>43425</v>
      </c>
      <c r="H2666" t="s">
        <v>9</v>
      </c>
      <c r="I2666" t="s">
        <v>10</v>
      </c>
    </row>
    <row r="2667" spans="1:9" x14ac:dyDescent="0.25">
      <c r="A2667" t="s">
        <v>312</v>
      </c>
      <c r="B2667" s="26" t="str">
        <f>MID(tbl_forecast[[#This Row],[PACE Job Number]],3,3)</f>
        <v>STX</v>
      </c>
      <c r="C2667" t="s">
        <v>18</v>
      </c>
      <c r="D2667" s="1">
        <v>43434</v>
      </c>
      <c r="E2667" s="1">
        <v>43434</v>
      </c>
      <c r="F2667" s="1">
        <v>43416</v>
      </c>
      <c r="G2667" s="1">
        <v>43416</v>
      </c>
      <c r="H2667" t="s">
        <v>9</v>
      </c>
      <c r="I2667" t="s">
        <v>10</v>
      </c>
    </row>
    <row r="2668" spans="1:9" x14ac:dyDescent="0.25">
      <c r="A2668" t="s">
        <v>287</v>
      </c>
      <c r="B2668" s="26" t="str">
        <f>MID(tbl_forecast[[#This Row],[PACE Job Number]],3,3)</f>
        <v>WSH</v>
      </c>
      <c r="C2668" t="s">
        <v>18</v>
      </c>
      <c r="D2668" s="1">
        <v>43434</v>
      </c>
      <c r="E2668" s="1">
        <v>43255</v>
      </c>
      <c r="F2668" s="1">
        <v>43419</v>
      </c>
      <c r="G2668" s="1">
        <v>43419</v>
      </c>
      <c r="H2668" t="s">
        <v>9</v>
      </c>
      <c r="I2668" t="s">
        <v>10</v>
      </c>
    </row>
    <row r="2669" spans="1:9" x14ac:dyDescent="0.25">
      <c r="A2669" t="s">
        <v>4563</v>
      </c>
      <c r="B2669" s="26" t="str">
        <f>MID(tbl_forecast[[#This Row],[PACE Job Number]],3,3)</f>
        <v>NTX</v>
      </c>
      <c r="C2669" t="s">
        <v>18</v>
      </c>
      <c r="D2669" s="1">
        <v>43434</v>
      </c>
      <c r="E2669" s="1">
        <v>36524</v>
      </c>
      <c r="F2669" s="1">
        <v>43829</v>
      </c>
      <c r="G2669" s="1"/>
      <c r="H2669" t="s">
        <v>4664</v>
      </c>
      <c r="I2669" t="s">
        <v>4666</v>
      </c>
    </row>
    <row r="2670" spans="1:9" x14ac:dyDescent="0.25">
      <c r="A2670" t="s">
        <v>1611</v>
      </c>
      <c r="B2670" s="26" t="str">
        <f>MID(tbl_forecast[[#This Row],[PACE Job Number]],3,3)</f>
        <v>NTX</v>
      </c>
      <c r="C2670" t="s">
        <v>18</v>
      </c>
      <c r="D2670" s="1">
        <v>43434</v>
      </c>
      <c r="E2670" s="1">
        <v>36524</v>
      </c>
      <c r="F2670" s="1">
        <v>43829</v>
      </c>
      <c r="G2670" s="1"/>
      <c r="H2670" t="s">
        <v>4664</v>
      </c>
      <c r="I2670" t="s">
        <v>4666</v>
      </c>
    </row>
    <row r="2671" spans="1:9" x14ac:dyDescent="0.25">
      <c r="A2671" t="s">
        <v>3422</v>
      </c>
      <c r="B2671" s="26" t="str">
        <f>MID(tbl_forecast[[#This Row],[PACE Job Number]],3,3)</f>
        <v>NTX</v>
      </c>
      <c r="C2671" t="s">
        <v>18</v>
      </c>
      <c r="D2671" s="1">
        <v>43421</v>
      </c>
      <c r="E2671" s="1">
        <v>43293</v>
      </c>
      <c r="F2671" s="1">
        <v>43433</v>
      </c>
      <c r="G2671" s="1">
        <v>43433</v>
      </c>
      <c r="H2671" t="s">
        <v>9</v>
      </c>
      <c r="I2671" t="s">
        <v>10</v>
      </c>
    </row>
    <row r="2672" spans="1:9" x14ac:dyDescent="0.25">
      <c r="A2672" t="s">
        <v>3498</v>
      </c>
      <c r="B2672" s="26" t="str">
        <f>MID(tbl_forecast[[#This Row],[PACE Job Number]],3,3)</f>
        <v>NTX</v>
      </c>
      <c r="C2672" t="s">
        <v>18</v>
      </c>
      <c r="D2672" s="1">
        <v>43423</v>
      </c>
      <c r="E2672" s="1">
        <v>36524</v>
      </c>
      <c r="F2672" s="1">
        <v>43444</v>
      </c>
      <c r="G2672" s="1"/>
      <c r="H2672" t="s">
        <v>4664</v>
      </c>
      <c r="I2672" t="s">
        <v>4666</v>
      </c>
    </row>
    <row r="2673" spans="1:9" x14ac:dyDescent="0.25">
      <c r="A2673" t="s">
        <v>2347</v>
      </c>
      <c r="B2673" s="26" t="str">
        <f>MID(tbl_forecast[[#This Row],[PACE Job Number]],3,3)</f>
        <v>NTX</v>
      </c>
      <c r="C2673" t="s">
        <v>18</v>
      </c>
      <c r="D2673" s="1">
        <v>43430</v>
      </c>
      <c r="E2673" s="1">
        <v>36524</v>
      </c>
      <c r="F2673" s="1">
        <v>43444</v>
      </c>
      <c r="G2673" s="1"/>
      <c r="H2673" t="s">
        <v>9</v>
      </c>
      <c r="I2673" t="s">
        <v>27</v>
      </c>
    </row>
    <row r="2674" spans="1:9" x14ac:dyDescent="0.25">
      <c r="A2674" t="s">
        <v>516</v>
      </c>
      <c r="B2674" s="26" t="str">
        <f>MID(tbl_forecast[[#This Row],[PACE Job Number]],3,3)</f>
        <v>NTX</v>
      </c>
      <c r="C2674" t="s">
        <v>18</v>
      </c>
      <c r="D2674" s="1">
        <v>43416</v>
      </c>
      <c r="E2674" s="1">
        <v>43396</v>
      </c>
      <c r="F2674" s="1">
        <v>43433</v>
      </c>
      <c r="G2674" s="1">
        <v>43433</v>
      </c>
      <c r="H2674" t="s">
        <v>4664</v>
      </c>
      <c r="I2674" t="s">
        <v>10</v>
      </c>
    </row>
    <row r="2675" spans="1:9" x14ac:dyDescent="0.25">
      <c r="A2675" t="s">
        <v>781</v>
      </c>
      <c r="B2675" s="26" t="str">
        <f>MID(tbl_forecast[[#This Row],[PACE Job Number]],3,3)</f>
        <v>NTX</v>
      </c>
      <c r="C2675" t="s">
        <v>18</v>
      </c>
      <c r="D2675" s="1">
        <v>43430</v>
      </c>
      <c r="E2675" s="1">
        <v>43430</v>
      </c>
      <c r="F2675" s="1">
        <v>43462</v>
      </c>
      <c r="G2675" s="1"/>
      <c r="H2675" t="s">
        <v>4664</v>
      </c>
      <c r="I2675" t="s">
        <v>4666</v>
      </c>
    </row>
    <row r="2676" spans="1:9" x14ac:dyDescent="0.25">
      <c r="A2676" t="s">
        <v>4296</v>
      </c>
      <c r="B2676" s="26" t="str">
        <f>MID(tbl_forecast[[#This Row],[PACE Job Number]],3,3)</f>
        <v>NTX</v>
      </c>
      <c r="C2676" t="s">
        <v>18</v>
      </c>
      <c r="D2676" s="1">
        <v>43424</v>
      </c>
      <c r="E2676" s="1">
        <v>43431</v>
      </c>
      <c r="F2676" s="1">
        <v>43411</v>
      </c>
      <c r="G2676" s="1">
        <v>43411</v>
      </c>
      <c r="H2676" t="s">
        <v>9</v>
      </c>
      <c r="I2676" t="s">
        <v>10</v>
      </c>
    </row>
    <row r="2677" spans="1:9" x14ac:dyDescent="0.25">
      <c r="A2677" t="s">
        <v>1757</v>
      </c>
      <c r="B2677" s="26" t="str">
        <f>MID(tbl_forecast[[#This Row],[PACE Job Number]],3,3)</f>
        <v>NTX</v>
      </c>
      <c r="C2677" t="s">
        <v>18</v>
      </c>
      <c r="D2677" s="1">
        <v>43434</v>
      </c>
      <c r="E2677" s="1">
        <v>43396</v>
      </c>
      <c r="F2677" s="1">
        <v>43465</v>
      </c>
      <c r="G2677" s="1"/>
      <c r="H2677" t="s">
        <v>4664</v>
      </c>
      <c r="I2677" t="s">
        <v>4666</v>
      </c>
    </row>
    <row r="2678" spans="1:9" x14ac:dyDescent="0.25">
      <c r="A2678" t="s">
        <v>530</v>
      </c>
      <c r="B2678" s="26" t="str">
        <f>MID(tbl_forecast[[#This Row],[PACE Job Number]],3,3)</f>
        <v>NTX</v>
      </c>
      <c r="C2678" t="s">
        <v>18</v>
      </c>
      <c r="D2678" s="1">
        <v>43430</v>
      </c>
      <c r="E2678" s="1">
        <v>43432</v>
      </c>
      <c r="F2678" s="1">
        <v>43430</v>
      </c>
      <c r="G2678" s="1">
        <v>43430</v>
      </c>
      <c r="H2678" t="s">
        <v>9</v>
      </c>
      <c r="I2678" t="s">
        <v>10</v>
      </c>
    </row>
    <row r="2679" spans="1:9" x14ac:dyDescent="0.25">
      <c r="A2679" t="s">
        <v>4189</v>
      </c>
      <c r="B2679" s="26" t="str">
        <f>MID(tbl_forecast[[#This Row],[PACE Job Number]],3,3)</f>
        <v>NTX</v>
      </c>
      <c r="C2679" t="s">
        <v>18</v>
      </c>
      <c r="D2679" s="1">
        <v>43430</v>
      </c>
      <c r="E2679" s="1">
        <v>36524</v>
      </c>
      <c r="F2679" s="1">
        <v>43439</v>
      </c>
      <c r="G2679" s="1"/>
      <c r="H2679" t="s">
        <v>9</v>
      </c>
      <c r="I2679" t="s">
        <v>27</v>
      </c>
    </row>
    <row r="2680" spans="1:9" x14ac:dyDescent="0.25">
      <c r="A2680" t="s">
        <v>2152</v>
      </c>
      <c r="B2680" s="26" t="str">
        <f>MID(tbl_forecast[[#This Row],[PACE Job Number]],3,3)</f>
        <v>NTX</v>
      </c>
      <c r="C2680" t="s">
        <v>18</v>
      </c>
      <c r="D2680" s="1">
        <v>43418</v>
      </c>
      <c r="E2680" s="1">
        <v>36524</v>
      </c>
      <c r="F2680" s="1">
        <v>43419</v>
      </c>
      <c r="G2680" s="1">
        <v>43419</v>
      </c>
      <c r="H2680" t="s">
        <v>9</v>
      </c>
      <c r="I2680" t="s">
        <v>10</v>
      </c>
    </row>
    <row r="2681" spans="1:9" x14ac:dyDescent="0.25">
      <c r="A2681" t="s">
        <v>572</v>
      </c>
      <c r="B2681" s="26" t="str">
        <f>MID(tbl_forecast[[#This Row],[PACE Job Number]],3,3)</f>
        <v>NTX</v>
      </c>
      <c r="C2681" t="s">
        <v>18</v>
      </c>
      <c r="D2681" s="1">
        <v>43431</v>
      </c>
      <c r="E2681" s="1">
        <v>43433</v>
      </c>
      <c r="F2681" s="1">
        <v>43432</v>
      </c>
      <c r="G2681" s="1">
        <v>43432</v>
      </c>
      <c r="H2681" t="s">
        <v>9</v>
      </c>
      <c r="I2681" t="s">
        <v>10</v>
      </c>
    </row>
    <row r="2682" spans="1:9" x14ac:dyDescent="0.25">
      <c r="A2682" t="s">
        <v>3434</v>
      </c>
      <c r="B2682" s="26" t="str">
        <f>MID(tbl_forecast[[#This Row],[PACE Job Number]],3,3)</f>
        <v>NTX</v>
      </c>
      <c r="C2682" t="s">
        <v>18</v>
      </c>
      <c r="D2682" s="1">
        <v>43421</v>
      </c>
      <c r="E2682" s="1">
        <v>43293</v>
      </c>
      <c r="F2682" s="1">
        <v>43433</v>
      </c>
      <c r="G2682" s="1">
        <v>43433</v>
      </c>
      <c r="H2682" t="s">
        <v>9</v>
      </c>
      <c r="I2682" t="s">
        <v>10</v>
      </c>
    </row>
    <row r="2683" spans="1:9" x14ac:dyDescent="0.25">
      <c r="A2683" t="s">
        <v>3480</v>
      </c>
      <c r="B2683" s="26" t="str">
        <f>MID(tbl_forecast[[#This Row],[PACE Job Number]],3,3)</f>
        <v>NTX</v>
      </c>
      <c r="C2683" t="s">
        <v>18</v>
      </c>
      <c r="D2683" s="1">
        <v>43417</v>
      </c>
      <c r="E2683" s="1">
        <v>43321</v>
      </c>
      <c r="F2683" s="1">
        <v>43432</v>
      </c>
      <c r="G2683" s="1">
        <v>43432</v>
      </c>
      <c r="H2683" t="s">
        <v>4664</v>
      </c>
      <c r="I2683" t="s">
        <v>10</v>
      </c>
    </row>
    <row r="2684" spans="1:9" x14ac:dyDescent="0.25">
      <c r="A2684" t="s">
        <v>1879</v>
      </c>
      <c r="B2684" s="26" t="str">
        <f>MID(tbl_forecast[[#This Row],[PACE Job Number]],3,3)</f>
        <v>NTX</v>
      </c>
      <c r="C2684" t="s">
        <v>18</v>
      </c>
      <c r="D2684" s="1">
        <v>43426</v>
      </c>
      <c r="E2684" s="1">
        <v>36524</v>
      </c>
      <c r="F2684" s="1">
        <v>43458</v>
      </c>
      <c r="G2684" s="1"/>
      <c r="H2684" t="s">
        <v>4664</v>
      </c>
      <c r="I2684" t="s">
        <v>4666</v>
      </c>
    </row>
    <row r="2685" spans="1:9" x14ac:dyDescent="0.25">
      <c r="A2685" t="s">
        <v>4423</v>
      </c>
      <c r="B2685" s="26" t="str">
        <f>MID(tbl_forecast[[#This Row],[PACE Job Number]],3,3)</f>
        <v>NTX</v>
      </c>
      <c r="C2685" t="s">
        <v>18</v>
      </c>
      <c r="D2685" s="1">
        <v>43429</v>
      </c>
      <c r="E2685" s="1">
        <v>36524</v>
      </c>
      <c r="F2685" s="1">
        <v>43434</v>
      </c>
      <c r="G2685" s="1"/>
      <c r="H2685" t="s">
        <v>9</v>
      </c>
      <c r="I2685" t="s">
        <v>27</v>
      </c>
    </row>
    <row r="2686" spans="1:9" x14ac:dyDescent="0.25">
      <c r="A2686" t="s">
        <v>2494</v>
      </c>
      <c r="B2686" s="26" t="str">
        <f>MID(tbl_forecast[[#This Row],[PACE Job Number]],3,3)</f>
        <v>NTX</v>
      </c>
      <c r="C2686" t="s">
        <v>18</v>
      </c>
      <c r="D2686" s="1">
        <v>43433</v>
      </c>
      <c r="E2686" s="1">
        <v>36524</v>
      </c>
      <c r="F2686" s="1">
        <v>43465</v>
      </c>
      <c r="G2686" s="1"/>
      <c r="H2686" t="s">
        <v>4664</v>
      </c>
      <c r="I2686" t="s">
        <v>4666</v>
      </c>
    </row>
    <row r="2687" spans="1:9" x14ac:dyDescent="0.25">
      <c r="A2687" t="s">
        <v>446</v>
      </c>
      <c r="B2687" s="26" t="str">
        <f>MID(tbl_forecast[[#This Row],[PACE Job Number]],3,3)</f>
        <v>NTX</v>
      </c>
      <c r="C2687" t="s">
        <v>18</v>
      </c>
      <c r="D2687" s="1">
        <v>43428</v>
      </c>
      <c r="E2687" s="1">
        <v>36524</v>
      </c>
      <c r="F2687" s="1">
        <v>43424</v>
      </c>
      <c r="G2687" s="1">
        <v>43424</v>
      </c>
      <c r="H2687" t="s">
        <v>9</v>
      </c>
      <c r="I2687" t="s">
        <v>10</v>
      </c>
    </row>
    <row r="2688" spans="1:9" x14ac:dyDescent="0.25">
      <c r="A2688" t="s">
        <v>4441</v>
      </c>
      <c r="B2688" s="26" t="str">
        <f>MID(tbl_forecast[[#This Row],[PACE Job Number]],3,3)</f>
        <v>NTX</v>
      </c>
      <c r="C2688" t="s">
        <v>18</v>
      </c>
      <c r="D2688" s="1">
        <v>43430</v>
      </c>
      <c r="E2688" s="1">
        <v>43286</v>
      </c>
      <c r="F2688" s="1">
        <v>43452</v>
      </c>
      <c r="G2688" s="1"/>
      <c r="H2688" t="s">
        <v>4664</v>
      </c>
      <c r="I2688" t="s">
        <v>4666</v>
      </c>
    </row>
    <row r="2689" spans="1:9" x14ac:dyDescent="0.25">
      <c r="A2689" t="s">
        <v>4442</v>
      </c>
      <c r="B2689" s="26" t="str">
        <f>MID(tbl_forecast[[#This Row],[PACE Job Number]],3,3)</f>
        <v>NTX</v>
      </c>
      <c r="C2689" t="s">
        <v>18</v>
      </c>
      <c r="D2689" s="1">
        <v>43426</v>
      </c>
      <c r="E2689" s="1">
        <v>36524</v>
      </c>
      <c r="F2689" s="1">
        <v>43434</v>
      </c>
      <c r="G2689" s="1"/>
      <c r="H2689" t="s">
        <v>9</v>
      </c>
      <c r="I2689" t="s">
        <v>27</v>
      </c>
    </row>
    <row r="2690" spans="1:9" x14ac:dyDescent="0.25">
      <c r="A2690" t="s">
        <v>4443</v>
      </c>
      <c r="B2690" s="26" t="str">
        <f>MID(tbl_forecast[[#This Row],[PACE Job Number]],3,3)</f>
        <v>NTX</v>
      </c>
      <c r="C2690" t="s">
        <v>18</v>
      </c>
      <c r="D2690" s="1">
        <v>43430</v>
      </c>
      <c r="E2690" s="1">
        <v>43286</v>
      </c>
      <c r="F2690" s="1">
        <v>43439</v>
      </c>
      <c r="G2690" s="1"/>
      <c r="H2690" t="s">
        <v>9</v>
      </c>
      <c r="I2690" t="s">
        <v>27</v>
      </c>
    </row>
    <row r="2691" spans="1:9" x14ac:dyDescent="0.25">
      <c r="A2691" t="s">
        <v>4444</v>
      </c>
      <c r="B2691" s="26" t="str">
        <f>MID(tbl_forecast[[#This Row],[PACE Job Number]],3,3)</f>
        <v>NTX</v>
      </c>
      <c r="C2691" t="s">
        <v>18</v>
      </c>
      <c r="D2691" s="1">
        <v>43427</v>
      </c>
      <c r="E2691" s="1">
        <v>43286</v>
      </c>
      <c r="F2691" s="1">
        <v>43434</v>
      </c>
      <c r="G2691" s="1"/>
      <c r="H2691" t="s">
        <v>9</v>
      </c>
      <c r="I2691" t="s">
        <v>27</v>
      </c>
    </row>
    <row r="2692" spans="1:9" x14ac:dyDescent="0.25">
      <c r="A2692" t="s">
        <v>2437</v>
      </c>
      <c r="B2692" s="26" t="str">
        <f>MID(tbl_forecast[[#This Row],[PACE Job Number]],3,3)</f>
        <v>NTX</v>
      </c>
      <c r="C2692" t="s">
        <v>18</v>
      </c>
      <c r="D2692" s="1">
        <v>43433</v>
      </c>
      <c r="E2692" s="1">
        <v>36524</v>
      </c>
      <c r="F2692" s="1">
        <v>43430</v>
      </c>
      <c r="G2692" s="1">
        <v>43430</v>
      </c>
      <c r="H2692" t="s">
        <v>9</v>
      </c>
      <c r="I2692" t="s">
        <v>10</v>
      </c>
    </row>
    <row r="2693" spans="1:9" x14ac:dyDescent="0.25">
      <c r="A2693" t="s">
        <v>4445</v>
      </c>
      <c r="B2693" s="26" t="str">
        <f>MID(tbl_forecast[[#This Row],[PACE Job Number]],3,3)</f>
        <v>NTX</v>
      </c>
      <c r="C2693" t="s">
        <v>18</v>
      </c>
      <c r="D2693" s="1">
        <v>43428</v>
      </c>
      <c r="E2693" s="1">
        <v>36524</v>
      </c>
      <c r="F2693" s="1">
        <v>43433</v>
      </c>
      <c r="G2693" s="1">
        <v>43433</v>
      </c>
      <c r="H2693" t="s">
        <v>9</v>
      </c>
      <c r="I2693" t="s">
        <v>10</v>
      </c>
    </row>
    <row r="2694" spans="1:9" x14ac:dyDescent="0.25">
      <c r="A2694" t="s">
        <v>4446</v>
      </c>
      <c r="B2694" s="26" t="str">
        <f>MID(tbl_forecast[[#This Row],[PACE Job Number]],3,3)</f>
        <v>NTX</v>
      </c>
      <c r="C2694" t="s">
        <v>18</v>
      </c>
      <c r="D2694" s="1">
        <v>43430</v>
      </c>
      <c r="E2694" s="1">
        <v>36524</v>
      </c>
      <c r="F2694" s="1">
        <v>43445</v>
      </c>
      <c r="G2694" s="1"/>
      <c r="H2694" t="s">
        <v>4664</v>
      </c>
      <c r="I2694" t="s">
        <v>4666</v>
      </c>
    </row>
    <row r="2695" spans="1:9" x14ac:dyDescent="0.25">
      <c r="A2695" t="s">
        <v>783</v>
      </c>
      <c r="B2695" s="26" t="str">
        <f>MID(tbl_forecast[[#This Row],[PACE Job Number]],3,3)</f>
        <v>NTX</v>
      </c>
      <c r="C2695" t="s">
        <v>18</v>
      </c>
      <c r="D2695" s="1">
        <v>43429</v>
      </c>
      <c r="E2695" s="1">
        <v>36524</v>
      </c>
      <c r="F2695" s="1">
        <v>43424</v>
      </c>
      <c r="G2695" s="1">
        <v>43424</v>
      </c>
      <c r="H2695" t="s">
        <v>9</v>
      </c>
      <c r="I2695" t="s">
        <v>10</v>
      </c>
    </row>
    <row r="2696" spans="1:9" x14ac:dyDescent="0.25">
      <c r="A2696" t="s">
        <v>4448</v>
      </c>
      <c r="B2696" s="26" t="str">
        <f>MID(tbl_forecast[[#This Row],[PACE Job Number]],3,3)</f>
        <v>NTX</v>
      </c>
      <c r="C2696" t="s">
        <v>18</v>
      </c>
      <c r="D2696" s="1">
        <v>43430</v>
      </c>
      <c r="E2696" s="1">
        <v>36524</v>
      </c>
      <c r="F2696" s="1">
        <v>43465</v>
      </c>
      <c r="G2696" s="1"/>
      <c r="H2696" t="s">
        <v>4664</v>
      </c>
      <c r="I2696" t="s">
        <v>4666</v>
      </c>
    </row>
    <row r="2697" spans="1:9" x14ac:dyDescent="0.25">
      <c r="A2697" t="s">
        <v>4449</v>
      </c>
      <c r="B2697" s="26" t="str">
        <f>MID(tbl_forecast[[#This Row],[PACE Job Number]],3,3)</f>
        <v>NTX</v>
      </c>
      <c r="C2697" t="s">
        <v>18</v>
      </c>
      <c r="D2697" s="1">
        <v>43426</v>
      </c>
      <c r="E2697" s="1">
        <v>36524</v>
      </c>
      <c r="F2697" s="1">
        <v>43433</v>
      </c>
      <c r="G2697" s="1">
        <v>43433</v>
      </c>
      <c r="H2697" t="s">
        <v>9</v>
      </c>
      <c r="I2697" t="s">
        <v>10</v>
      </c>
    </row>
    <row r="2698" spans="1:9" x14ac:dyDescent="0.25">
      <c r="A2698" t="s">
        <v>4451</v>
      </c>
      <c r="B2698" s="26" t="str">
        <f>MID(tbl_forecast[[#This Row],[PACE Job Number]],3,3)</f>
        <v>NTX</v>
      </c>
      <c r="C2698" t="s">
        <v>18</v>
      </c>
      <c r="D2698" s="1">
        <v>43430</v>
      </c>
      <c r="E2698" s="1">
        <v>43258</v>
      </c>
      <c r="F2698" s="1">
        <v>43445</v>
      </c>
      <c r="G2698" s="1"/>
      <c r="H2698" t="s">
        <v>4664</v>
      </c>
      <c r="I2698" t="s">
        <v>4666</v>
      </c>
    </row>
    <row r="2699" spans="1:9" x14ac:dyDescent="0.25">
      <c r="A2699" t="s">
        <v>5374</v>
      </c>
      <c r="B2699" s="26" t="str">
        <f>MID(tbl_forecast[[#This Row],[PACE Job Number]],3,3)</f>
        <v>NTX</v>
      </c>
      <c r="C2699" t="s">
        <v>18</v>
      </c>
      <c r="D2699" s="1">
        <v>43433</v>
      </c>
      <c r="E2699" s="1">
        <v>36524</v>
      </c>
      <c r="F2699" s="1">
        <v>43424</v>
      </c>
      <c r="G2699" s="1">
        <v>43424</v>
      </c>
      <c r="H2699" t="s">
        <v>9</v>
      </c>
      <c r="I2699" t="s">
        <v>10</v>
      </c>
    </row>
    <row r="2700" spans="1:9" x14ac:dyDescent="0.25">
      <c r="A2700" t="s">
        <v>230</v>
      </c>
      <c r="B2700" s="26" t="str">
        <f>MID(tbl_forecast[[#This Row],[PACE Job Number]],3,3)</f>
        <v>NTX</v>
      </c>
      <c r="C2700" t="s">
        <v>18</v>
      </c>
      <c r="D2700" s="1">
        <v>43418</v>
      </c>
      <c r="E2700" s="1">
        <v>43286</v>
      </c>
      <c r="F2700" s="1">
        <v>43424</v>
      </c>
      <c r="G2700" s="1">
        <v>43424</v>
      </c>
      <c r="H2700" t="s">
        <v>9</v>
      </c>
      <c r="I2700" t="s">
        <v>10</v>
      </c>
    </row>
    <row r="2701" spans="1:9" x14ac:dyDescent="0.25">
      <c r="A2701" t="s">
        <v>4276</v>
      </c>
      <c r="B2701" s="26" t="str">
        <f>MID(tbl_forecast[[#This Row],[PACE Job Number]],3,3)</f>
        <v>NTX</v>
      </c>
      <c r="C2701" t="s">
        <v>18</v>
      </c>
      <c r="D2701" s="1">
        <v>43427</v>
      </c>
      <c r="E2701" s="1">
        <v>43321</v>
      </c>
      <c r="F2701" s="1">
        <v>43465</v>
      </c>
      <c r="G2701" s="1"/>
      <c r="H2701" t="s">
        <v>4664</v>
      </c>
      <c r="I2701" t="s">
        <v>4666</v>
      </c>
    </row>
    <row r="2702" spans="1:9" x14ac:dyDescent="0.25">
      <c r="A2702" t="s">
        <v>5490</v>
      </c>
      <c r="B2702" s="26" t="str">
        <f>MID(tbl_forecast[[#This Row],[PACE Job Number]],3,3)</f>
        <v>NTX</v>
      </c>
      <c r="C2702" t="s">
        <v>18</v>
      </c>
      <c r="D2702" s="1">
        <v>43433</v>
      </c>
      <c r="E2702" s="1">
        <v>43300</v>
      </c>
      <c r="F2702" s="1">
        <v>43434</v>
      </c>
      <c r="G2702" s="1"/>
      <c r="H2702" t="s">
        <v>9</v>
      </c>
      <c r="I2702" t="s">
        <v>27</v>
      </c>
    </row>
    <row r="2703" spans="1:9" x14ac:dyDescent="0.25">
      <c r="A2703" t="s">
        <v>5375</v>
      </c>
      <c r="B2703" s="26" t="str">
        <f>MID(tbl_forecast[[#This Row],[PACE Job Number]],3,3)</f>
        <v>NTX</v>
      </c>
      <c r="C2703" t="s">
        <v>18</v>
      </c>
      <c r="D2703" s="1">
        <v>43433</v>
      </c>
      <c r="E2703" s="1">
        <v>36524</v>
      </c>
      <c r="F2703" s="1">
        <v>43451</v>
      </c>
      <c r="G2703" s="1"/>
      <c r="H2703" t="s">
        <v>4664</v>
      </c>
      <c r="I2703" t="s">
        <v>4666</v>
      </c>
    </row>
    <row r="2704" spans="1:9" x14ac:dyDescent="0.25">
      <c r="A2704" t="s">
        <v>4587</v>
      </c>
      <c r="B2704" s="26" t="str">
        <f>MID(tbl_forecast[[#This Row],[PACE Job Number]],3,3)</f>
        <v>NTX</v>
      </c>
      <c r="C2704" t="s">
        <v>18</v>
      </c>
      <c r="D2704" s="1">
        <v>43434</v>
      </c>
      <c r="E2704" s="1">
        <v>36524</v>
      </c>
      <c r="F2704" s="1">
        <v>43829</v>
      </c>
      <c r="G2704" s="1"/>
      <c r="H2704" t="s">
        <v>4664</v>
      </c>
      <c r="I2704" t="s">
        <v>4666</v>
      </c>
    </row>
    <row r="2705" spans="1:9" x14ac:dyDescent="0.25">
      <c r="A2705" t="s">
        <v>392</v>
      </c>
      <c r="B2705" s="26" t="str">
        <f>MID(tbl_forecast[[#This Row],[PACE Job Number]],3,3)</f>
        <v>NTX</v>
      </c>
      <c r="C2705" t="s">
        <v>18</v>
      </c>
      <c r="D2705" s="1">
        <v>43414</v>
      </c>
      <c r="E2705" s="1">
        <v>36524</v>
      </c>
      <c r="F2705" s="1">
        <v>43434</v>
      </c>
      <c r="G2705" s="1"/>
      <c r="H2705" t="s">
        <v>4664</v>
      </c>
      <c r="I2705" t="s">
        <v>4666</v>
      </c>
    </row>
    <row r="2706" spans="1:9" x14ac:dyDescent="0.25">
      <c r="A2706" t="s">
        <v>5376</v>
      </c>
      <c r="B2706" s="26" t="str">
        <f>MID(tbl_forecast[[#This Row],[PACE Job Number]],3,3)</f>
        <v>NTX</v>
      </c>
      <c r="C2706" t="s">
        <v>18</v>
      </c>
      <c r="D2706" s="1">
        <v>43433</v>
      </c>
      <c r="E2706" s="1">
        <v>36524</v>
      </c>
      <c r="F2706" s="1">
        <v>43451</v>
      </c>
      <c r="G2706" s="1"/>
      <c r="H2706" t="s">
        <v>4664</v>
      </c>
      <c r="I2706" t="s">
        <v>4666</v>
      </c>
    </row>
    <row r="2707" spans="1:9" x14ac:dyDescent="0.25">
      <c r="A2707" t="s">
        <v>4588</v>
      </c>
      <c r="B2707" s="26" t="str">
        <f>MID(tbl_forecast[[#This Row],[PACE Job Number]],3,3)</f>
        <v>NTX</v>
      </c>
      <c r="C2707" t="s">
        <v>18</v>
      </c>
      <c r="D2707" s="1">
        <v>43434</v>
      </c>
      <c r="E2707" s="1">
        <v>36524</v>
      </c>
      <c r="F2707" s="1">
        <v>43829</v>
      </c>
      <c r="G2707" s="1"/>
      <c r="H2707" t="s">
        <v>4664</v>
      </c>
      <c r="I2707" t="s">
        <v>4666</v>
      </c>
    </row>
    <row r="2708" spans="1:9" x14ac:dyDescent="0.25">
      <c r="A2708" t="s">
        <v>5492</v>
      </c>
      <c r="B2708" s="26" t="str">
        <f>MID(tbl_forecast[[#This Row],[PACE Job Number]],3,3)</f>
        <v>NTX</v>
      </c>
      <c r="C2708" t="s">
        <v>18</v>
      </c>
      <c r="D2708" s="1">
        <v>43433</v>
      </c>
      <c r="E2708" s="1">
        <v>43300</v>
      </c>
      <c r="F2708" s="1">
        <v>43434</v>
      </c>
      <c r="G2708" s="1"/>
      <c r="H2708" t="s">
        <v>9</v>
      </c>
      <c r="I2708" t="s">
        <v>27</v>
      </c>
    </row>
    <row r="2709" spans="1:9" x14ac:dyDescent="0.25">
      <c r="A2709" t="s">
        <v>4277</v>
      </c>
      <c r="B2709" s="26" t="str">
        <f>MID(tbl_forecast[[#This Row],[PACE Job Number]],3,3)</f>
        <v>NTX</v>
      </c>
      <c r="C2709" t="s">
        <v>18</v>
      </c>
      <c r="D2709" s="1">
        <v>43427</v>
      </c>
      <c r="E2709" s="1">
        <v>43321</v>
      </c>
      <c r="F2709" s="1">
        <v>43465</v>
      </c>
      <c r="G2709" s="1"/>
      <c r="H2709" t="s">
        <v>4664</v>
      </c>
      <c r="I2709" t="s">
        <v>4666</v>
      </c>
    </row>
    <row r="2710" spans="1:9" x14ac:dyDescent="0.25">
      <c r="A2710" t="s">
        <v>4452</v>
      </c>
      <c r="B2710" s="26" t="str">
        <f>MID(tbl_forecast[[#This Row],[PACE Job Number]],3,3)</f>
        <v>NTX</v>
      </c>
      <c r="C2710" t="s">
        <v>18</v>
      </c>
      <c r="D2710" s="1">
        <v>43433</v>
      </c>
      <c r="E2710" s="1">
        <v>36524</v>
      </c>
      <c r="F2710" s="1">
        <v>43444</v>
      </c>
      <c r="G2710" s="1"/>
      <c r="H2710" t="s">
        <v>9</v>
      </c>
      <c r="I2710" t="s">
        <v>27</v>
      </c>
    </row>
    <row r="2711" spans="1:9" x14ac:dyDescent="0.25">
      <c r="A2711" t="s">
        <v>5378</v>
      </c>
      <c r="B2711" s="26" t="str">
        <f>MID(tbl_forecast[[#This Row],[PACE Job Number]],3,3)</f>
        <v>NTX</v>
      </c>
      <c r="C2711" t="s">
        <v>18</v>
      </c>
      <c r="D2711" s="1">
        <v>43433</v>
      </c>
      <c r="E2711" s="1">
        <v>36524</v>
      </c>
      <c r="F2711" s="1">
        <v>43451</v>
      </c>
      <c r="G2711" s="1"/>
      <c r="H2711" t="s">
        <v>4664</v>
      </c>
      <c r="I2711" t="s">
        <v>4666</v>
      </c>
    </row>
    <row r="2712" spans="1:9" x14ac:dyDescent="0.25">
      <c r="A2712" t="s">
        <v>4453</v>
      </c>
      <c r="B2712" s="26" t="str">
        <f>MID(tbl_forecast[[#This Row],[PACE Job Number]],3,3)</f>
        <v>NTX</v>
      </c>
      <c r="C2712" t="s">
        <v>18</v>
      </c>
      <c r="D2712" s="1">
        <v>43430</v>
      </c>
      <c r="E2712" s="1">
        <v>36524</v>
      </c>
      <c r="F2712" s="1">
        <v>43465</v>
      </c>
      <c r="G2712" s="1"/>
      <c r="H2712" t="s">
        <v>4664</v>
      </c>
      <c r="I2712" t="s">
        <v>4666</v>
      </c>
    </row>
    <row r="2713" spans="1:9" x14ac:dyDescent="0.25">
      <c r="A2713" t="s">
        <v>4454</v>
      </c>
      <c r="B2713" s="26" t="str">
        <f>MID(tbl_forecast[[#This Row],[PACE Job Number]],3,3)</f>
        <v>NTX</v>
      </c>
      <c r="C2713" t="s">
        <v>18</v>
      </c>
      <c r="D2713" s="1">
        <v>43427</v>
      </c>
      <c r="E2713" s="1">
        <v>36524</v>
      </c>
      <c r="F2713" s="1">
        <v>43412</v>
      </c>
      <c r="G2713" s="1">
        <v>43412</v>
      </c>
      <c r="H2713" t="s">
        <v>9</v>
      </c>
      <c r="I2713" t="s">
        <v>10</v>
      </c>
    </row>
    <row r="2714" spans="1:9" x14ac:dyDescent="0.25">
      <c r="A2714" t="s">
        <v>3896</v>
      </c>
      <c r="B2714" s="26" t="str">
        <f>MID(tbl_forecast[[#This Row],[PACE Job Number]],3,3)</f>
        <v>NTX</v>
      </c>
      <c r="C2714" t="s">
        <v>18</v>
      </c>
      <c r="D2714" s="1">
        <v>43434</v>
      </c>
      <c r="E2714" s="1">
        <v>43286</v>
      </c>
      <c r="F2714" s="1">
        <v>43406</v>
      </c>
      <c r="G2714" s="1">
        <v>43406</v>
      </c>
      <c r="H2714" t="s">
        <v>9</v>
      </c>
      <c r="I2714" t="s">
        <v>10</v>
      </c>
    </row>
    <row r="2715" spans="1:9" x14ac:dyDescent="0.25">
      <c r="A2715" t="s">
        <v>4455</v>
      </c>
      <c r="B2715" s="26" t="str">
        <f>MID(tbl_forecast[[#This Row],[PACE Job Number]],3,3)</f>
        <v>NTX</v>
      </c>
      <c r="C2715" t="s">
        <v>18</v>
      </c>
      <c r="D2715" s="1">
        <v>43433</v>
      </c>
      <c r="E2715" s="1">
        <v>36524</v>
      </c>
      <c r="F2715" s="1">
        <v>43444</v>
      </c>
      <c r="G2715" s="1"/>
      <c r="H2715" t="s">
        <v>9</v>
      </c>
      <c r="I2715" t="s">
        <v>27</v>
      </c>
    </row>
    <row r="2716" spans="1:9" x14ac:dyDescent="0.25">
      <c r="A2716" t="s">
        <v>435</v>
      </c>
      <c r="B2716" s="26" t="str">
        <f>MID(tbl_forecast[[#This Row],[PACE Job Number]],3,3)</f>
        <v>NTX</v>
      </c>
      <c r="C2716" t="s">
        <v>18</v>
      </c>
      <c r="D2716" s="1">
        <v>43414</v>
      </c>
      <c r="E2716" s="1">
        <v>36524</v>
      </c>
      <c r="F2716" s="1">
        <v>43434</v>
      </c>
      <c r="G2716" s="1"/>
      <c r="H2716" t="s">
        <v>4664</v>
      </c>
      <c r="I2716" t="s">
        <v>4666</v>
      </c>
    </row>
    <row r="2717" spans="1:9" x14ac:dyDescent="0.25">
      <c r="A2717" t="s">
        <v>4456</v>
      </c>
      <c r="B2717" s="26" t="str">
        <f>MID(tbl_forecast[[#This Row],[PACE Job Number]],3,3)</f>
        <v>NTX</v>
      </c>
      <c r="C2717" t="s">
        <v>18</v>
      </c>
      <c r="D2717" s="1">
        <v>43427</v>
      </c>
      <c r="E2717" s="1">
        <v>36524</v>
      </c>
      <c r="F2717" s="1">
        <v>43412</v>
      </c>
      <c r="G2717" s="1">
        <v>43412</v>
      </c>
      <c r="H2717" t="s">
        <v>9</v>
      </c>
      <c r="I2717" t="s">
        <v>10</v>
      </c>
    </row>
    <row r="2718" spans="1:9" x14ac:dyDescent="0.25">
      <c r="A2718" t="s">
        <v>5384</v>
      </c>
      <c r="B2718" s="26" t="str">
        <f>MID(tbl_forecast[[#This Row],[PACE Job Number]],3,3)</f>
        <v>NTX</v>
      </c>
      <c r="C2718" t="s">
        <v>18</v>
      </c>
      <c r="D2718" s="1">
        <v>43433</v>
      </c>
      <c r="E2718" s="1">
        <v>36524</v>
      </c>
      <c r="F2718" s="1">
        <v>43451</v>
      </c>
      <c r="G2718" s="1"/>
      <c r="H2718" t="s">
        <v>4664</v>
      </c>
      <c r="I2718" t="s">
        <v>4666</v>
      </c>
    </row>
    <row r="2719" spans="1:9" x14ac:dyDescent="0.25">
      <c r="A2719" t="s">
        <v>3459</v>
      </c>
      <c r="B2719" s="26" t="str">
        <f>MID(tbl_forecast[[#This Row],[PACE Job Number]],3,3)</f>
        <v>NTX</v>
      </c>
      <c r="C2719" t="s">
        <v>18</v>
      </c>
      <c r="D2719" s="1">
        <v>43414</v>
      </c>
      <c r="E2719" s="1">
        <v>36524</v>
      </c>
      <c r="F2719" s="1">
        <v>43412</v>
      </c>
      <c r="G2719" s="1">
        <v>43412</v>
      </c>
      <c r="H2719" t="s">
        <v>9</v>
      </c>
      <c r="I2719" t="s">
        <v>10</v>
      </c>
    </row>
    <row r="2720" spans="1:9" x14ac:dyDescent="0.25">
      <c r="A2720" t="s">
        <v>3473</v>
      </c>
      <c r="B2720" s="26" t="str">
        <f>MID(tbl_forecast[[#This Row],[PACE Job Number]],3,3)</f>
        <v>NTX</v>
      </c>
      <c r="C2720" t="s">
        <v>18</v>
      </c>
      <c r="D2720" s="1">
        <v>43431</v>
      </c>
      <c r="E2720" s="1">
        <v>36524</v>
      </c>
      <c r="F2720" s="1">
        <v>43452</v>
      </c>
      <c r="G2720" s="1"/>
      <c r="H2720" t="s">
        <v>4664</v>
      </c>
      <c r="I2720" t="s">
        <v>4666</v>
      </c>
    </row>
    <row r="2721" spans="1:9" x14ac:dyDescent="0.25">
      <c r="A2721" t="s">
        <v>4457</v>
      </c>
      <c r="B2721" s="26" t="str">
        <f>MID(tbl_forecast[[#This Row],[PACE Job Number]],3,3)</f>
        <v>NTX</v>
      </c>
      <c r="C2721" t="s">
        <v>18</v>
      </c>
      <c r="D2721" s="1">
        <v>43427</v>
      </c>
      <c r="E2721" s="1">
        <v>36524</v>
      </c>
      <c r="F2721" s="1">
        <v>43445</v>
      </c>
      <c r="G2721" s="1"/>
      <c r="H2721" t="s">
        <v>4664</v>
      </c>
      <c r="I2721" t="s">
        <v>4666</v>
      </c>
    </row>
    <row r="2722" spans="1:9" x14ac:dyDescent="0.25">
      <c r="A2722" t="s">
        <v>3897</v>
      </c>
      <c r="B2722" s="26" t="str">
        <f>MID(tbl_forecast[[#This Row],[PACE Job Number]],3,3)</f>
        <v>NTX</v>
      </c>
      <c r="C2722" t="s">
        <v>18</v>
      </c>
      <c r="D2722" s="1">
        <v>43426</v>
      </c>
      <c r="E2722" s="1">
        <v>36524</v>
      </c>
      <c r="F2722" s="1">
        <v>43460</v>
      </c>
      <c r="G2722" s="1"/>
      <c r="H2722" t="s">
        <v>4664</v>
      </c>
      <c r="I2722" t="s">
        <v>4666</v>
      </c>
    </row>
    <row r="2723" spans="1:9" x14ac:dyDescent="0.25">
      <c r="A2723" t="s">
        <v>4458</v>
      </c>
      <c r="B2723" s="26" t="str">
        <f>MID(tbl_forecast[[#This Row],[PACE Job Number]],3,3)</f>
        <v>NTX</v>
      </c>
      <c r="C2723" t="s">
        <v>18</v>
      </c>
      <c r="D2723" s="1">
        <v>43432</v>
      </c>
      <c r="E2723" s="1">
        <v>43286</v>
      </c>
      <c r="F2723" s="1">
        <v>43441</v>
      </c>
      <c r="G2723" s="1"/>
      <c r="H2723" t="s">
        <v>9</v>
      </c>
      <c r="I2723" t="s">
        <v>27</v>
      </c>
    </row>
    <row r="2724" spans="1:9" x14ac:dyDescent="0.25">
      <c r="A2724" t="s">
        <v>4459</v>
      </c>
      <c r="B2724" s="26" t="str">
        <f>MID(tbl_forecast[[#This Row],[PACE Job Number]],3,3)</f>
        <v>NTX</v>
      </c>
      <c r="C2724" t="s">
        <v>18</v>
      </c>
      <c r="D2724" s="1">
        <v>43426</v>
      </c>
      <c r="E2724" s="1">
        <v>36524</v>
      </c>
      <c r="F2724" s="1">
        <v>43445</v>
      </c>
      <c r="G2724" s="1"/>
      <c r="H2724" t="s">
        <v>4664</v>
      </c>
      <c r="I2724" t="s">
        <v>4666</v>
      </c>
    </row>
    <row r="2725" spans="1:9" x14ac:dyDescent="0.25">
      <c r="A2725" t="s">
        <v>3375</v>
      </c>
      <c r="B2725" s="26" t="str">
        <f>MID(tbl_forecast[[#This Row],[PACE Job Number]],3,3)</f>
        <v>NTX</v>
      </c>
      <c r="C2725" t="s">
        <v>18</v>
      </c>
      <c r="D2725" s="1">
        <v>43416</v>
      </c>
      <c r="E2725" s="1">
        <v>36524</v>
      </c>
      <c r="F2725" s="1">
        <v>43434</v>
      </c>
      <c r="G2725" s="1"/>
      <c r="H2725" t="s">
        <v>4664</v>
      </c>
      <c r="I2725" t="s">
        <v>4666</v>
      </c>
    </row>
    <row r="2726" spans="1:9" x14ac:dyDescent="0.25">
      <c r="A2726" t="s">
        <v>338</v>
      </c>
      <c r="B2726" s="26" t="str">
        <f>MID(tbl_forecast[[#This Row],[PACE Job Number]],3,3)</f>
        <v>NTX</v>
      </c>
      <c r="C2726" t="s">
        <v>18</v>
      </c>
      <c r="D2726" s="1">
        <v>43429</v>
      </c>
      <c r="E2726" s="1">
        <v>43416</v>
      </c>
      <c r="F2726" s="1">
        <v>43460</v>
      </c>
      <c r="G2726" s="1"/>
      <c r="H2726" t="s">
        <v>4664</v>
      </c>
      <c r="I2726" t="s">
        <v>4666</v>
      </c>
    </row>
    <row r="2727" spans="1:9" x14ac:dyDescent="0.25">
      <c r="A2727" t="s">
        <v>4461</v>
      </c>
      <c r="B2727" s="26" t="str">
        <f>MID(tbl_forecast[[#This Row],[PACE Job Number]],3,3)</f>
        <v>NTX</v>
      </c>
      <c r="C2727" t="s">
        <v>18</v>
      </c>
      <c r="D2727" s="1">
        <v>43426</v>
      </c>
      <c r="E2727" s="1">
        <v>43269</v>
      </c>
      <c r="F2727" s="1">
        <v>43441</v>
      </c>
      <c r="G2727" s="1"/>
      <c r="H2727" t="s">
        <v>4664</v>
      </c>
      <c r="I2727" t="s">
        <v>4666</v>
      </c>
    </row>
    <row r="2728" spans="1:9" x14ac:dyDescent="0.25">
      <c r="A2728" t="s">
        <v>342</v>
      </c>
      <c r="B2728" s="26" t="str">
        <f>MID(tbl_forecast[[#This Row],[PACE Job Number]],3,3)</f>
        <v>NTX</v>
      </c>
      <c r="C2728" t="s">
        <v>18</v>
      </c>
      <c r="D2728" s="1">
        <v>43430</v>
      </c>
      <c r="E2728" s="1">
        <v>43416</v>
      </c>
      <c r="F2728" s="1">
        <v>43452</v>
      </c>
      <c r="G2728" s="1"/>
      <c r="H2728" t="s">
        <v>4664</v>
      </c>
      <c r="I2728" t="s">
        <v>4666</v>
      </c>
    </row>
    <row r="2729" spans="1:9" x14ac:dyDescent="0.25">
      <c r="A2729" t="s">
        <v>4168</v>
      </c>
      <c r="B2729" s="26" t="str">
        <f>MID(tbl_forecast[[#This Row],[PACE Job Number]],3,3)</f>
        <v>NTX</v>
      </c>
      <c r="C2729" t="s">
        <v>18</v>
      </c>
      <c r="D2729" s="1">
        <v>43433</v>
      </c>
      <c r="E2729" s="1">
        <v>43307</v>
      </c>
      <c r="F2729" s="1">
        <v>43465</v>
      </c>
      <c r="G2729" s="1"/>
      <c r="H2729" t="s">
        <v>4664</v>
      </c>
      <c r="I2729" t="s">
        <v>4666</v>
      </c>
    </row>
    <row r="2730" spans="1:9" x14ac:dyDescent="0.25">
      <c r="A2730" t="s">
        <v>2448</v>
      </c>
      <c r="B2730" s="26" t="str">
        <f>MID(tbl_forecast[[#This Row],[PACE Job Number]],3,3)</f>
        <v>NTX</v>
      </c>
      <c r="C2730" t="s">
        <v>18</v>
      </c>
      <c r="D2730" s="1">
        <v>43426</v>
      </c>
      <c r="E2730" s="1">
        <v>36524</v>
      </c>
      <c r="F2730" s="1">
        <v>43460</v>
      </c>
      <c r="G2730" s="1"/>
      <c r="H2730" t="s">
        <v>4664</v>
      </c>
      <c r="I2730" t="s">
        <v>4666</v>
      </c>
    </row>
    <row r="2731" spans="1:9" x14ac:dyDescent="0.25">
      <c r="A2731" t="s">
        <v>471</v>
      </c>
      <c r="B2731" s="26" t="str">
        <f>MID(tbl_forecast[[#This Row],[PACE Job Number]],3,3)</f>
        <v>NTX</v>
      </c>
      <c r="C2731" t="s">
        <v>18</v>
      </c>
      <c r="D2731" s="1">
        <v>43430</v>
      </c>
      <c r="E2731" s="1">
        <v>36524</v>
      </c>
      <c r="F2731" s="1">
        <v>43452</v>
      </c>
      <c r="G2731" s="1"/>
      <c r="H2731" t="s">
        <v>4664</v>
      </c>
      <c r="I2731" t="s">
        <v>4666</v>
      </c>
    </row>
    <row r="2732" spans="1:9" x14ac:dyDescent="0.25">
      <c r="A2732" t="s">
        <v>4418</v>
      </c>
      <c r="B2732" s="26" t="str">
        <f>MID(tbl_forecast[[#This Row],[PACE Job Number]],3,3)</f>
        <v>NTX</v>
      </c>
      <c r="C2732" t="s">
        <v>18</v>
      </c>
      <c r="D2732" s="1">
        <v>43434</v>
      </c>
      <c r="E2732" s="1">
        <v>36524</v>
      </c>
      <c r="F2732" s="1">
        <v>43451</v>
      </c>
      <c r="G2732" s="1"/>
      <c r="H2732" t="s">
        <v>4664</v>
      </c>
      <c r="I2732" t="s">
        <v>4666</v>
      </c>
    </row>
    <row r="2733" spans="1:9" x14ac:dyDescent="0.25">
      <c r="A2733" t="s">
        <v>768</v>
      </c>
      <c r="B2733" s="26" t="str">
        <f>MID(tbl_forecast[[#This Row],[PACE Job Number]],3,3)</f>
        <v>NTX</v>
      </c>
      <c r="C2733" t="s">
        <v>18</v>
      </c>
      <c r="D2733" s="1">
        <v>43434</v>
      </c>
      <c r="E2733" s="1">
        <v>36524</v>
      </c>
      <c r="F2733" s="1">
        <v>43451</v>
      </c>
      <c r="G2733" s="1"/>
      <c r="H2733" t="s">
        <v>4664</v>
      </c>
      <c r="I2733" t="s">
        <v>4666</v>
      </c>
    </row>
    <row r="2734" spans="1:9" x14ac:dyDescent="0.25">
      <c r="A2734" t="s">
        <v>5389</v>
      </c>
      <c r="B2734" s="26" t="str">
        <f>MID(tbl_forecast[[#This Row],[PACE Job Number]],3,3)</f>
        <v>NTX</v>
      </c>
      <c r="C2734" t="s">
        <v>18</v>
      </c>
      <c r="D2734" s="1">
        <v>43433</v>
      </c>
      <c r="E2734" s="1">
        <v>36524</v>
      </c>
      <c r="F2734" s="1">
        <v>43451</v>
      </c>
      <c r="G2734" s="1"/>
      <c r="H2734" t="s">
        <v>4664</v>
      </c>
      <c r="I2734" t="s">
        <v>4666</v>
      </c>
    </row>
    <row r="2735" spans="1:9" x14ac:dyDescent="0.25">
      <c r="A2735" t="s">
        <v>4419</v>
      </c>
      <c r="B2735" s="26" t="str">
        <f>MID(tbl_forecast[[#This Row],[PACE Job Number]],3,3)</f>
        <v>NTX</v>
      </c>
      <c r="C2735" t="s">
        <v>18</v>
      </c>
      <c r="D2735" s="1">
        <v>43427</v>
      </c>
      <c r="E2735" s="1">
        <v>36524</v>
      </c>
      <c r="F2735" s="1">
        <v>43445</v>
      </c>
      <c r="G2735" s="1"/>
      <c r="H2735" t="s">
        <v>4664</v>
      </c>
      <c r="I2735" t="s">
        <v>4666</v>
      </c>
    </row>
    <row r="2736" spans="1:9" x14ac:dyDescent="0.25">
      <c r="A2736" t="s">
        <v>3969</v>
      </c>
      <c r="B2736" s="26" t="str">
        <f>MID(tbl_forecast[[#This Row],[PACE Job Number]],3,3)</f>
        <v>NTX</v>
      </c>
      <c r="C2736" t="s">
        <v>18</v>
      </c>
      <c r="D2736" s="1">
        <v>43426</v>
      </c>
      <c r="E2736" s="1">
        <v>36524</v>
      </c>
      <c r="F2736" s="1">
        <v>43430</v>
      </c>
      <c r="G2736" s="1">
        <v>43430</v>
      </c>
      <c r="H2736" t="s">
        <v>9</v>
      </c>
      <c r="I2736" t="s">
        <v>10</v>
      </c>
    </row>
    <row r="2737" spans="1:9" x14ac:dyDescent="0.25">
      <c r="A2737" t="s">
        <v>1891</v>
      </c>
      <c r="B2737" s="26" t="str">
        <f>MID(tbl_forecast[[#This Row],[PACE Job Number]],3,3)</f>
        <v>NTX</v>
      </c>
      <c r="C2737" t="s">
        <v>18</v>
      </c>
      <c r="D2737" s="1">
        <v>43428</v>
      </c>
      <c r="E2737" s="1">
        <v>36524</v>
      </c>
      <c r="F2737" s="1">
        <v>43439</v>
      </c>
      <c r="G2737" s="1"/>
      <c r="H2737" t="s">
        <v>9</v>
      </c>
      <c r="I2737" t="s">
        <v>27</v>
      </c>
    </row>
    <row r="2738" spans="1:9" x14ac:dyDescent="0.25">
      <c r="A2738" t="s">
        <v>3506</v>
      </c>
      <c r="B2738" s="26" t="str">
        <f>MID(tbl_forecast[[#This Row],[PACE Job Number]],3,3)</f>
        <v>NTX</v>
      </c>
      <c r="C2738" t="s">
        <v>18</v>
      </c>
      <c r="D2738" s="1">
        <v>43431</v>
      </c>
      <c r="E2738" s="1">
        <v>36524</v>
      </c>
      <c r="F2738" s="1">
        <v>43452</v>
      </c>
      <c r="G2738" s="1"/>
      <c r="H2738" t="s">
        <v>4664</v>
      </c>
      <c r="I2738" t="s">
        <v>4666</v>
      </c>
    </row>
    <row r="2739" spans="1:9" x14ac:dyDescent="0.25">
      <c r="A2739" t="s">
        <v>4433</v>
      </c>
      <c r="B2739" s="26" t="str">
        <f>MID(tbl_forecast[[#This Row],[PACE Job Number]],3,3)</f>
        <v>NTX</v>
      </c>
      <c r="C2739" t="s">
        <v>18</v>
      </c>
      <c r="D2739" s="1">
        <v>43418</v>
      </c>
      <c r="E2739" s="1">
        <v>43321</v>
      </c>
      <c r="F2739" s="1">
        <v>43416</v>
      </c>
      <c r="G2739" s="1">
        <v>43416</v>
      </c>
      <c r="H2739" t="s">
        <v>9</v>
      </c>
      <c r="I2739" t="s">
        <v>10</v>
      </c>
    </row>
    <row r="2740" spans="1:9" x14ac:dyDescent="0.25">
      <c r="A2740" t="s">
        <v>2146</v>
      </c>
      <c r="B2740" s="26" t="str">
        <f>MID(tbl_forecast[[#This Row],[PACE Job Number]],3,3)</f>
        <v>NTX</v>
      </c>
      <c r="C2740" t="s">
        <v>18</v>
      </c>
      <c r="D2740" s="1">
        <v>43426</v>
      </c>
      <c r="E2740" s="1">
        <v>43293</v>
      </c>
      <c r="F2740" s="1">
        <v>43460</v>
      </c>
      <c r="G2740" s="1"/>
      <c r="H2740" t="s">
        <v>4664</v>
      </c>
      <c r="I2740" t="s">
        <v>4666</v>
      </c>
    </row>
    <row r="2741" spans="1:9" x14ac:dyDescent="0.25">
      <c r="A2741" t="s">
        <v>3886</v>
      </c>
      <c r="B2741" s="26" t="str">
        <f>MID(tbl_forecast[[#This Row],[PACE Job Number]],3,3)</f>
        <v>NTX</v>
      </c>
      <c r="C2741" t="s">
        <v>18</v>
      </c>
      <c r="D2741" s="1">
        <v>43415</v>
      </c>
      <c r="E2741" s="1">
        <v>43396</v>
      </c>
      <c r="F2741" s="1">
        <v>43417</v>
      </c>
      <c r="G2741" s="1">
        <v>43417</v>
      </c>
      <c r="H2741" t="s">
        <v>9</v>
      </c>
      <c r="I2741" t="s">
        <v>10</v>
      </c>
    </row>
    <row r="2742" spans="1:9" x14ac:dyDescent="0.25">
      <c r="A2742" t="s">
        <v>4434</v>
      </c>
      <c r="B2742" s="26" t="str">
        <f>MID(tbl_forecast[[#This Row],[PACE Job Number]],3,3)</f>
        <v>NTX</v>
      </c>
      <c r="C2742" t="s">
        <v>18</v>
      </c>
      <c r="D2742" s="1">
        <v>43418</v>
      </c>
      <c r="E2742" s="1">
        <v>43321</v>
      </c>
      <c r="F2742" s="1">
        <v>43412</v>
      </c>
      <c r="G2742" s="1">
        <v>43412</v>
      </c>
      <c r="H2742" t="s">
        <v>9</v>
      </c>
      <c r="I2742" t="s">
        <v>10</v>
      </c>
    </row>
    <row r="2743" spans="1:9" x14ac:dyDescent="0.25">
      <c r="A2743" t="s">
        <v>3376</v>
      </c>
      <c r="B2743" s="26" t="str">
        <f>MID(tbl_forecast[[#This Row],[PACE Job Number]],3,3)</f>
        <v>NTX</v>
      </c>
      <c r="C2743" t="s">
        <v>18</v>
      </c>
      <c r="D2743" s="1">
        <v>43426</v>
      </c>
      <c r="E2743" s="1">
        <v>43322</v>
      </c>
      <c r="F2743" s="1">
        <v>43437</v>
      </c>
      <c r="G2743" s="1"/>
      <c r="H2743" t="s">
        <v>9</v>
      </c>
      <c r="I2743" t="s">
        <v>27</v>
      </c>
    </row>
    <row r="2744" spans="1:9" x14ac:dyDescent="0.25">
      <c r="A2744" t="s">
        <v>2147</v>
      </c>
      <c r="B2744" s="26" t="str">
        <f>MID(tbl_forecast[[#This Row],[PACE Job Number]],3,3)</f>
        <v>NTX</v>
      </c>
      <c r="C2744" t="s">
        <v>18</v>
      </c>
      <c r="D2744" s="1">
        <v>43427</v>
      </c>
      <c r="E2744" s="1">
        <v>36524</v>
      </c>
      <c r="F2744" s="1">
        <v>43427</v>
      </c>
      <c r="G2744" s="1">
        <v>43427</v>
      </c>
      <c r="H2744" t="s">
        <v>9</v>
      </c>
      <c r="I2744" t="s">
        <v>10</v>
      </c>
    </row>
    <row r="2745" spans="1:9" x14ac:dyDescent="0.25">
      <c r="A2745" t="s">
        <v>231</v>
      </c>
      <c r="B2745" s="26" t="str">
        <f>MID(tbl_forecast[[#This Row],[PACE Job Number]],3,3)</f>
        <v>NTX</v>
      </c>
      <c r="C2745" t="s">
        <v>18</v>
      </c>
      <c r="D2745" s="1">
        <v>43412</v>
      </c>
      <c r="E2745" s="1">
        <v>43311</v>
      </c>
      <c r="F2745" s="1">
        <v>43423</v>
      </c>
      <c r="G2745" s="1">
        <v>43423</v>
      </c>
      <c r="H2745" t="s">
        <v>9</v>
      </c>
      <c r="I2745" t="s">
        <v>10</v>
      </c>
    </row>
    <row r="2746" spans="1:9" x14ac:dyDescent="0.25">
      <c r="A2746" t="s">
        <v>3378</v>
      </c>
      <c r="B2746" s="26" t="str">
        <f>MID(tbl_forecast[[#This Row],[PACE Job Number]],3,3)</f>
        <v>NTX</v>
      </c>
      <c r="C2746" t="s">
        <v>18</v>
      </c>
      <c r="D2746" s="1">
        <v>43426</v>
      </c>
      <c r="E2746" s="1">
        <v>43322</v>
      </c>
      <c r="F2746" s="1">
        <v>43437</v>
      </c>
      <c r="G2746" s="1"/>
      <c r="H2746" t="s">
        <v>9</v>
      </c>
      <c r="I2746" t="s">
        <v>27</v>
      </c>
    </row>
    <row r="2747" spans="1:9" x14ac:dyDescent="0.25">
      <c r="A2747" t="s">
        <v>4435</v>
      </c>
      <c r="B2747" s="26" t="str">
        <f>MID(tbl_forecast[[#This Row],[PACE Job Number]],3,3)</f>
        <v>NTX</v>
      </c>
      <c r="C2747" t="s">
        <v>18</v>
      </c>
      <c r="D2747" s="1">
        <v>43426</v>
      </c>
      <c r="E2747" s="1">
        <v>36524</v>
      </c>
      <c r="F2747" s="1">
        <v>43439</v>
      </c>
      <c r="G2747" s="1"/>
      <c r="H2747" t="s">
        <v>9</v>
      </c>
      <c r="I2747" t="s">
        <v>27</v>
      </c>
    </row>
    <row r="2748" spans="1:9" x14ac:dyDescent="0.25">
      <c r="A2748" t="s">
        <v>3486</v>
      </c>
      <c r="B2748" s="26" t="str">
        <f>MID(tbl_forecast[[#This Row],[PACE Job Number]],3,3)</f>
        <v>NTX</v>
      </c>
      <c r="C2748" t="s">
        <v>18</v>
      </c>
      <c r="D2748" s="1">
        <v>43412</v>
      </c>
      <c r="E2748" s="1">
        <v>43414</v>
      </c>
      <c r="F2748" s="1">
        <v>43423</v>
      </c>
      <c r="G2748" s="1">
        <v>43423</v>
      </c>
      <c r="H2748" t="s">
        <v>9</v>
      </c>
      <c r="I2748" t="s">
        <v>10</v>
      </c>
    </row>
    <row r="2749" spans="1:9" x14ac:dyDescent="0.25">
      <c r="A2749" t="s">
        <v>4551</v>
      </c>
      <c r="B2749" s="26" t="str">
        <f>MID(tbl_forecast[[#This Row],[PACE Job Number]],3,3)</f>
        <v>NTX</v>
      </c>
      <c r="C2749" t="s">
        <v>18</v>
      </c>
      <c r="D2749" s="1">
        <v>43416</v>
      </c>
      <c r="E2749" s="1">
        <v>36524</v>
      </c>
      <c r="F2749" s="1">
        <v>43434</v>
      </c>
      <c r="G2749" s="1"/>
      <c r="H2749" t="s">
        <v>4664</v>
      </c>
      <c r="I2749" t="s">
        <v>4666</v>
      </c>
    </row>
    <row r="2750" spans="1:9" x14ac:dyDescent="0.25">
      <c r="A2750" t="s">
        <v>3970</v>
      </c>
      <c r="B2750" s="26" t="str">
        <f>MID(tbl_forecast[[#This Row],[PACE Job Number]],3,3)</f>
        <v>NTX</v>
      </c>
      <c r="C2750" t="s">
        <v>18</v>
      </c>
      <c r="D2750" s="1">
        <v>43427</v>
      </c>
      <c r="E2750" s="1">
        <v>36524</v>
      </c>
      <c r="F2750" s="1">
        <v>43430</v>
      </c>
      <c r="G2750" s="1">
        <v>43430</v>
      </c>
      <c r="H2750" t="s">
        <v>9</v>
      </c>
      <c r="I2750" t="s">
        <v>10</v>
      </c>
    </row>
    <row r="2751" spans="1:9" x14ac:dyDescent="0.25">
      <c r="A2751" t="s">
        <v>4436</v>
      </c>
      <c r="B2751" s="26" t="str">
        <f>MID(tbl_forecast[[#This Row],[PACE Job Number]],3,3)</f>
        <v>NTX</v>
      </c>
      <c r="C2751" t="s">
        <v>18</v>
      </c>
      <c r="D2751" s="1">
        <v>43433</v>
      </c>
      <c r="E2751" s="1">
        <v>36524</v>
      </c>
      <c r="F2751" s="1">
        <v>43452</v>
      </c>
      <c r="G2751" s="1"/>
      <c r="H2751" t="s">
        <v>4664</v>
      </c>
      <c r="I2751" t="s">
        <v>4666</v>
      </c>
    </row>
    <row r="2752" spans="1:9" x14ac:dyDescent="0.25">
      <c r="A2752" t="s">
        <v>132</v>
      </c>
      <c r="B2752" s="26" t="str">
        <f>MID(tbl_forecast[[#This Row],[PACE Job Number]],3,3)</f>
        <v>NTX</v>
      </c>
      <c r="C2752" t="s">
        <v>18</v>
      </c>
      <c r="D2752" s="1">
        <v>43428</v>
      </c>
      <c r="E2752" s="1">
        <v>43265</v>
      </c>
      <c r="F2752" s="1">
        <v>43437</v>
      </c>
      <c r="G2752" s="1"/>
      <c r="H2752" t="s">
        <v>9</v>
      </c>
      <c r="I2752" t="s">
        <v>27</v>
      </c>
    </row>
    <row r="2753" spans="1:9" x14ac:dyDescent="0.25">
      <c r="A2753" t="s">
        <v>2148</v>
      </c>
      <c r="B2753" s="26" t="str">
        <f>MID(tbl_forecast[[#This Row],[PACE Job Number]],3,3)</f>
        <v>NTX</v>
      </c>
      <c r="C2753" t="s">
        <v>18</v>
      </c>
      <c r="D2753" s="1">
        <v>43426</v>
      </c>
      <c r="E2753" s="1">
        <v>43293</v>
      </c>
      <c r="F2753" s="1">
        <v>43460</v>
      </c>
      <c r="G2753" s="1"/>
      <c r="H2753" t="s">
        <v>4664</v>
      </c>
      <c r="I2753" t="s">
        <v>4666</v>
      </c>
    </row>
    <row r="2754" spans="1:9" x14ac:dyDescent="0.25">
      <c r="A2754" t="s">
        <v>3503</v>
      </c>
      <c r="B2754" s="26" t="str">
        <f>MID(tbl_forecast[[#This Row],[PACE Job Number]],3,3)</f>
        <v>NTX</v>
      </c>
      <c r="C2754" t="s">
        <v>18</v>
      </c>
      <c r="D2754" s="1">
        <v>43426</v>
      </c>
      <c r="E2754" s="1">
        <v>36524</v>
      </c>
      <c r="F2754" s="1">
        <v>43437</v>
      </c>
      <c r="G2754" s="1"/>
      <c r="H2754" t="s">
        <v>9</v>
      </c>
      <c r="I2754" t="s">
        <v>27</v>
      </c>
    </row>
    <row r="2755" spans="1:9" x14ac:dyDescent="0.25">
      <c r="A2755" t="s">
        <v>1892</v>
      </c>
      <c r="B2755" s="26" t="str">
        <f>MID(tbl_forecast[[#This Row],[PACE Job Number]],3,3)</f>
        <v>NTX</v>
      </c>
      <c r="C2755" t="s">
        <v>18</v>
      </c>
      <c r="D2755" s="1">
        <v>43428</v>
      </c>
      <c r="E2755" s="1">
        <v>36524</v>
      </c>
      <c r="F2755" s="1">
        <v>43439</v>
      </c>
      <c r="G2755" s="1"/>
      <c r="H2755" t="s">
        <v>9</v>
      </c>
      <c r="I2755" t="s">
        <v>27</v>
      </c>
    </row>
    <row r="2756" spans="1:9" x14ac:dyDescent="0.25">
      <c r="A2756" t="s">
        <v>3501</v>
      </c>
      <c r="B2756" s="26" t="str">
        <f>MID(tbl_forecast[[#This Row],[PACE Job Number]],3,3)</f>
        <v>NTX</v>
      </c>
      <c r="C2756" t="s">
        <v>18</v>
      </c>
      <c r="D2756" s="1">
        <v>43426</v>
      </c>
      <c r="E2756" s="1">
        <v>36524</v>
      </c>
      <c r="F2756" s="1">
        <v>43452</v>
      </c>
      <c r="G2756" s="1"/>
      <c r="H2756" t="s">
        <v>4664</v>
      </c>
      <c r="I2756" t="s">
        <v>4666</v>
      </c>
    </row>
    <row r="2757" spans="1:9" x14ac:dyDescent="0.25">
      <c r="A2757" t="s">
        <v>3481</v>
      </c>
      <c r="B2757" s="26" t="str">
        <f>MID(tbl_forecast[[#This Row],[PACE Job Number]],3,3)</f>
        <v>NTX</v>
      </c>
      <c r="C2757" t="s">
        <v>18</v>
      </c>
      <c r="D2757" s="1">
        <v>43426</v>
      </c>
      <c r="E2757" s="1">
        <v>36524</v>
      </c>
      <c r="F2757" s="1">
        <v>43437</v>
      </c>
      <c r="G2757" s="1"/>
      <c r="H2757" t="s">
        <v>9</v>
      </c>
      <c r="I2757" t="s">
        <v>27</v>
      </c>
    </row>
    <row r="2758" spans="1:9" x14ac:dyDescent="0.25">
      <c r="A2758" t="s">
        <v>4437</v>
      </c>
      <c r="B2758" s="26" t="str">
        <f>MID(tbl_forecast[[#This Row],[PACE Job Number]],3,3)</f>
        <v>NTX</v>
      </c>
      <c r="C2758" t="s">
        <v>18</v>
      </c>
      <c r="D2758" s="1">
        <v>43426</v>
      </c>
      <c r="E2758" s="1">
        <v>36524</v>
      </c>
      <c r="F2758" s="1">
        <v>43434</v>
      </c>
      <c r="G2758" s="1"/>
      <c r="H2758" t="s">
        <v>9</v>
      </c>
      <c r="I2758" t="s">
        <v>27</v>
      </c>
    </row>
    <row r="2759" spans="1:9" x14ac:dyDescent="0.25">
      <c r="A2759" t="s">
        <v>3489</v>
      </c>
      <c r="B2759" s="26" t="str">
        <f>MID(tbl_forecast[[#This Row],[PACE Job Number]],3,3)</f>
        <v>NTX</v>
      </c>
      <c r="C2759" t="s">
        <v>18</v>
      </c>
      <c r="D2759" s="1">
        <v>43412</v>
      </c>
      <c r="E2759" s="1">
        <v>43414</v>
      </c>
      <c r="F2759" s="1">
        <v>43423</v>
      </c>
      <c r="G2759" s="1">
        <v>43423</v>
      </c>
      <c r="H2759" t="s">
        <v>9</v>
      </c>
      <c r="I2759" t="s">
        <v>10</v>
      </c>
    </row>
    <row r="2760" spans="1:9" x14ac:dyDescent="0.25">
      <c r="A2760" t="s">
        <v>4438</v>
      </c>
      <c r="B2760" s="26" t="str">
        <f>MID(tbl_forecast[[#This Row],[PACE Job Number]],3,3)</f>
        <v>NTX</v>
      </c>
      <c r="C2760" t="s">
        <v>18</v>
      </c>
      <c r="D2760" s="1">
        <v>43426</v>
      </c>
      <c r="E2760" s="1">
        <v>36524</v>
      </c>
      <c r="F2760" s="1">
        <v>43439</v>
      </c>
      <c r="G2760" s="1"/>
      <c r="H2760" t="s">
        <v>9</v>
      </c>
      <c r="I2760" t="s">
        <v>27</v>
      </c>
    </row>
    <row r="2761" spans="1:9" x14ac:dyDescent="0.25">
      <c r="A2761" t="s">
        <v>4439</v>
      </c>
      <c r="B2761" s="26" t="str">
        <f>MID(tbl_forecast[[#This Row],[PACE Job Number]],3,3)</f>
        <v>NTX</v>
      </c>
      <c r="C2761" t="s">
        <v>18</v>
      </c>
      <c r="D2761" s="1">
        <v>43423</v>
      </c>
      <c r="E2761" s="1">
        <v>36524</v>
      </c>
      <c r="F2761" s="1">
        <v>43433</v>
      </c>
      <c r="G2761" s="1">
        <v>43433</v>
      </c>
      <c r="H2761" t="s">
        <v>9</v>
      </c>
      <c r="I2761" t="s">
        <v>10</v>
      </c>
    </row>
    <row r="2762" spans="1:9" x14ac:dyDescent="0.25">
      <c r="A2762" t="s">
        <v>124</v>
      </c>
      <c r="B2762" s="26" t="str">
        <f>MID(tbl_forecast[[#This Row],[PACE Job Number]],3,3)</f>
        <v>NTX</v>
      </c>
      <c r="C2762" t="s">
        <v>18</v>
      </c>
      <c r="D2762" s="1">
        <v>43430</v>
      </c>
      <c r="E2762" s="1">
        <v>43265</v>
      </c>
      <c r="F2762" s="1">
        <v>43437</v>
      </c>
      <c r="G2762" s="1"/>
      <c r="H2762" t="s">
        <v>9</v>
      </c>
      <c r="I2762" t="s">
        <v>27</v>
      </c>
    </row>
    <row r="2763" spans="1:9" x14ac:dyDescent="0.25">
      <c r="A2763" t="s">
        <v>3451</v>
      </c>
      <c r="B2763" s="26" t="str">
        <f>MID(tbl_forecast[[#This Row],[PACE Job Number]],3,3)</f>
        <v>NTX</v>
      </c>
      <c r="C2763" t="s">
        <v>18</v>
      </c>
      <c r="D2763" s="1">
        <v>43421</v>
      </c>
      <c r="E2763" s="1">
        <v>43286</v>
      </c>
      <c r="F2763" s="1">
        <v>43424</v>
      </c>
      <c r="G2763" s="1">
        <v>43424</v>
      </c>
      <c r="H2763" t="s">
        <v>9</v>
      </c>
      <c r="I2763" t="s">
        <v>10</v>
      </c>
    </row>
    <row r="2764" spans="1:9" x14ac:dyDescent="0.25">
      <c r="A2764" t="s">
        <v>3892</v>
      </c>
      <c r="B2764" s="26" t="str">
        <f>MID(tbl_forecast[[#This Row],[PACE Job Number]],3,3)</f>
        <v>NTX</v>
      </c>
      <c r="C2764" t="s">
        <v>18</v>
      </c>
      <c r="D2764" s="1">
        <v>43415</v>
      </c>
      <c r="E2764" s="1">
        <v>43396</v>
      </c>
      <c r="F2764" s="1">
        <v>43433</v>
      </c>
      <c r="G2764" s="1">
        <v>43433</v>
      </c>
      <c r="H2764" t="s">
        <v>4664</v>
      </c>
      <c r="I2764" t="s">
        <v>10</v>
      </c>
    </row>
    <row r="2765" spans="1:9" x14ac:dyDescent="0.25">
      <c r="A2765" t="s">
        <v>281</v>
      </c>
      <c r="B2765" s="26" t="str">
        <f>MID(tbl_forecast[[#This Row],[PACE Job Number]],3,3)</f>
        <v>NTX</v>
      </c>
      <c r="C2765" t="s">
        <v>18</v>
      </c>
      <c r="D2765" s="1">
        <v>43412</v>
      </c>
      <c r="E2765" s="1">
        <v>43265</v>
      </c>
      <c r="F2765" s="1">
        <v>43409</v>
      </c>
      <c r="G2765" s="1">
        <v>43409</v>
      </c>
      <c r="H2765" t="s">
        <v>9</v>
      </c>
      <c r="I2765" t="s">
        <v>10</v>
      </c>
    </row>
    <row r="2766" spans="1:9" x14ac:dyDescent="0.25">
      <c r="A2766" t="s">
        <v>1731</v>
      </c>
      <c r="B2766" s="26" t="str">
        <f>MID(tbl_forecast[[#This Row],[PACE Job Number]],3,3)</f>
        <v>NTX</v>
      </c>
      <c r="C2766" t="s">
        <v>18</v>
      </c>
      <c r="D2766" s="1">
        <v>43432</v>
      </c>
      <c r="E2766" s="1">
        <v>43265</v>
      </c>
      <c r="F2766" s="1">
        <v>43452</v>
      </c>
      <c r="G2766" s="1"/>
      <c r="H2766" t="s">
        <v>4664</v>
      </c>
      <c r="I2766" t="s">
        <v>4666</v>
      </c>
    </row>
    <row r="2767" spans="1:9" x14ac:dyDescent="0.25">
      <c r="A2767" t="s">
        <v>3499</v>
      </c>
      <c r="B2767" s="26" t="str">
        <f>MID(tbl_forecast[[#This Row],[PACE Job Number]],3,3)</f>
        <v>NTX</v>
      </c>
      <c r="C2767" t="s">
        <v>18</v>
      </c>
      <c r="D2767" s="1">
        <v>43426</v>
      </c>
      <c r="E2767" s="1">
        <v>36524</v>
      </c>
      <c r="F2767" s="1">
        <v>43433</v>
      </c>
      <c r="G2767" s="1">
        <v>43433</v>
      </c>
      <c r="H2767" t="s">
        <v>9</v>
      </c>
      <c r="I2767" t="s">
        <v>10</v>
      </c>
    </row>
    <row r="2768" spans="1:9" x14ac:dyDescent="0.25">
      <c r="A2768" t="s">
        <v>3389</v>
      </c>
      <c r="B2768" s="26" t="str">
        <f>MID(tbl_forecast[[#This Row],[PACE Job Number]],3,3)</f>
        <v>NTX</v>
      </c>
      <c r="C2768" t="s">
        <v>18</v>
      </c>
      <c r="D2768" s="1">
        <v>43426</v>
      </c>
      <c r="E2768" s="1">
        <v>43322</v>
      </c>
      <c r="F2768" s="1">
        <v>43437</v>
      </c>
      <c r="G2768" s="1"/>
      <c r="H2768" t="s">
        <v>9</v>
      </c>
      <c r="I2768" t="s">
        <v>27</v>
      </c>
    </row>
    <row r="2769" spans="1:9" x14ac:dyDescent="0.25">
      <c r="A2769" t="s">
        <v>1893</v>
      </c>
      <c r="B2769" s="26" t="str">
        <f>MID(tbl_forecast[[#This Row],[PACE Job Number]],3,3)</f>
        <v>NTX</v>
      </c>
      <c r="C2769" t="s">
        <v>18</v>
      </c>
      <c r="D2769" s="1">
        <v>43428</v>
      </c>
      <c r="E2769" s="1">
        <v>36524</v>
      </c>
      <c r="F2769" s="1">
        <v>43439</v>
      </c>
      <c r="G2769" s="1"/>
      <c r="H2769" t="s">
        <v>9</v>
      </c>
      <c r="I2769" t="s">
        <v>27</v>
      </c>
    </row>
    <row r="2770" spans="1:9" x14ac:dyDescent="0.25">
      <c r="A2770" t="s">
        <v>1894</v>
      </c>
      <c r="B2770" s="26" t="str">
        <f>MID(tbl_forecast[[#This Row],[PACE Job Number]],3,3)</f>
        <v>NTX</v>
      </c>
      <c r="C2770" t="s">
        <v>18</v>
      </c>
      <c r="D2770" s="1">
        <v>43428</v>
      </c>
      <c r="E2770" s="1">
        <v>36524</v>
      </c>
      <c r="F2770" s="1">
        <v>43439</v>
      </c>
      <c r="G2770" s="1"/>
      <c r="H2770" t="s">
        <v>9</v>
      </c>
      <c r="I2770" t="s">
        <v>27</v>
      </c>
    </row>
    <row r="2771" spans="1:9" x14ac:dyDescent="0.25">
      <c r="A2771" t="s">
        <v>4440</v>
      </c>
      <c r="B2771" s="26" t="str">
        <f>MID(tbl_forecast[[#This Row],[PACE Job Number]],3,3)</f>
        <v>NTX</v>
      </c>
      <c r="C2771" t="s">
        <v>18</v>
      </c>
      <c r="D2771" s="1">
        <v>43426</v>
      </c>
      <c r="E2771" s="1">
        <v>36524</v>
      </c>
      <c r="F2771" s="1">
        <v>43419</v>
      </c>
      <c r="G2771" s="1">
        <v>43419</v>
      </c>
      <c r="H2771" t="s">
        <v>9</v>
      </c>
      <c r="I2771" t="s">
        <v>10</v>
      </c>
    </row>
    <row r="2772" spans="1:9" x14ac:dyDescent="0.25">
      <c r="A2772" t="s">
        <v>5399</v>
      </c>
      <c r="B2772" s="26" t="str">
        <f>MID(tbl_forecast[[#This Row],[PACE Job Number]],3,3)</f>
        <v>NTX</v>
      </c>
      <c r="C2772" t="s">
        <v>18</v>
      </c>
      <c r="D2772" s="1">
        <v>43433</v>
      </c>
      <c r="E2772" s="1">
        <v>36524</v>
      </c>
      <c r="F2772" s="1">
        <v>43451</v>
      </c>
      <c r="G2772" s="1"/>
      <c r="H2772" t="s">
        <v>4664</v>
      </c>
      <c r="I2772" t="s">
        <v>4666</v>
      </c>
    </row>
    <row r="2773" spans="1:9" x14ac:dyDescent="0.25">
      <c r="A2773" t="s">
        <v>2150</v>
      </c>
      <c r="B2773" s="26" t="str">
        <f>MID(tbl_forecast[[#This Row],[PACE Job Number]],3,3)</f>
        <v>NTX</v>
      </c>
      <c r="C2773" t="s">
        <v>18</v>
      </c>
      <c r="D2773" s="1">
        <v>43422</v>
      </c>
      <c r="E2773" s="1">
        <v>36524</v>
      </c>
      <c r="F2773" s="1">
        <v>43427</v>
      </c>
      <c r="G2773" s="1">
        <v>43427</v>
      </c>
      <c r="H2773" t="s">
        <v>9</v>
      </c>
      <c r="I2773" t="s">
        <v>10</v>
      </c>
    </row>
    <row r="2774" spans="1:9" x14ac:dyDescent="0.25">
      <c r="A2774" t="s">
        <v>2151</v>
      </c>
      <c r="B2774" s="26" t="str">
        <f>MID(tbl_forecast[[#This Row],[PACE Job Number]],3,3)</f>
        <v>NTX</v>
      </c>
      <c r="C2774" t="s">
        <v>18</v>
      </c>
      <c r="D2774" s="1">
        <v>43422</v>
      </c>
      <c r="E2774" s="1">
        <v>36524</v>
      </c>
      <c r="F2774" s="1">
        <v>43427</v>
      </c>
      <c r="G2774" s="1">
        <v>43427</v>
      </c>
      <c r="H2774" t="s">
        <v>9</v>
      </c>
      <c r="I2774" t="s">
        <v>10</v>
      </c>
    </row>
    <row r="2775" spans="1:9" x14ac:dyDescent="0.25">
      <c r="A2775" t="s">
        <v>47</v>
      </c>
      <c r="B2775" s="26" t="str">
        <f>MID(tbl_forecast[[#This Row],[PACE Job Number]],3,3)</f>
        <v>NTX</v>
      </c>
      <c r="C2775" t="s">
        <v>18</v>
      </c>
      <c r="D2775" s="1">
        <v>43414</v>
      </c>
      <c r="E2775" s="1">
        <v>43311</v>
      </c>
      <c r="F2775" s="1">
        <v>43423</v>
      </c>
      <c r="G2775" s="1">
        <v>43423</v>
      </c>
      <c r="H2775" t="s">
        <v>9</v>
      </c>
      <c r="I2775" t="s">
        <v>10</v>
      </c>
    </row>
    <row r="2776" spans="1:9" x14ac:dyDescent="0.25">
      <c r="A2776" t="s">
        <v>3497</v>
      </c>
      <c r="B2776" s="26" t="str">
        <f>MID(tbl_forecast[[#This Row],[PACE Job Number]],3,3)</f>
        <v>NTX</v>
      </c>
      <c r="C2776" t="s">
        <v>18</v>
      </c>
      <c r="D2776" s="1">
        <v>43426</v>
      </c>
      <c r="E2776" s="1">
        <v>36524</v>
      </c>
      <c r="F2776" s="1">
        <v>43437</v>
      </c>
      <c r="G2776" s="1"/>
      <c r="H2776" t="s">
        <v>9</v>
      </c>
      <c r="I2776" t="s">
        <v>27</v>
      </c>
    </row>
    <row r="2777" spans="1:9" x14ac:dyDescent="0.25">
      <c r="A2777" t="s">
        <v>3507</v>
      </c>
      <c r="B2777" s="26" t="str">
        <f>MID(tbl_forecast[[#This Row],[PACE Job Number]],3,3)</f>
        <v>NTX</v>
      </c>
      <c r="C2777" t="s">
        <v>18</v>
      </c>
      <c r="D2777" s="1">
        <v>43426</v>
      </c>
      <c r="E2777" s="1">
        <v>36524</v>
      </c>
      <c r="F2777" s="1">
        <v>43452</v>
      </c>
      <c r="G2777" s="1"/>
      <c r="H2777" t="s">
        <v>4664</v>
      </c>
      <c r="I2777" t="s">
        <v>4666</v>
      </c>
    </row>
    <row r="2778" spans="1:9" x14ac:dyDescent="0.25">
      <c r="A2778" t="s">
        <v>3893</v>
      </c>
      <c r="B2778" s="26" t="str">
        <f>MID(tbl_forecast[[#This Row],[PACE Job Number]],3,3)</f>
        <v>NTX</v>
      </c>
      <c r="C2778" t="s">
        <v>18</v>
      </c>
      <c r="D2778" s="1">
        <v>43415</v>
      </c>
      <c r="E2778" s="1">
        <v>43396</v>
      </c>
      <c r="F2778" s="1">
        <v>43433</v>
      </c>
      <c r="G2778" s="1">
        <v>43433</v>
      </c>
      <c r="H2778" t="s">
        <v>4664</v>
      </c>
      <c r="I2778" t="s">
        <v>10</v>
      </c>
    </row>
    <row r="2779" spans="1:9" x14ac:dyDescent="0.25">
      <c r="A2779" t="s">
        <v>229</v>
      </c>
      <c r="B2779" s="26" t="str">
        <f>MID(tbl_forecast[[#This Row],[PACE Job Number]],3,3)</f>
        <v>NTX</v>
      </c>
      <c r="C2779" t="s">
        <v>18</v>
      </c>
      <c r="D2779" s="1">
        <v>43414</v>
      </c>
      <c r="E2779" s="1">
        <v>43311</v>
      </c>
      <c r="F2779" s="1">
        <v>43423</v>
      </c>
      <c r="G2779" s="1">
        <v>43423</v>
      </c>
      <c r="H2779" t="s">
        <v>9</v>
      </c>
      <c r="I2779" t="s">
        <v>10</v>
      </c>
    </row>
    <row r="2780" spans="1:9" x14ac:dyDescent="0.25">
      <c r="A2780" t="s">
        <v>1903</v>
      </c>
      <c r="B2780" s="26" t="str">
        <f>MID(tbl_forecast[[#This Row],[PACE Job Number]],3,3)</f>
        <v>NTX</v>
      </c>
      <c r="C2780" t="s">
        <v>18</v>
      </c>
      <c r="D2780" s="1">
        <v>43434</v>
      </c>
      <c r="E2780" s="1">
        <v>36524</v>
      </c>
      <c r="F2780" s="1">
        <v>43406</v>
      </c>
      <c r="G2780" s="1">
        <v>43406</v>
      </c>
      <c r="H2780" t="s">
        <v>9</v>
      </c>
      <c r="I2780" t="s">
        <v>10</v>
      </c>
    </row>
    <row r="2781" spans="1:9" x14ac:dyDescent="0.25">
      <c r="A2781" t="s">
        <v>2413</v>
      </c>
      <c r="B2781" s="26" t="str">
        <f>MID(tbl_forecast[[#This Row],[PACE Job Number]],3,3)</f>
        <v>NTX</v>
      </c>
      <c r="C2781" t="s">
        <v>18</v>
      </c>
      <c r="D2781" s="1">
        <v>43418</v>
      </c>
      <c r="E2781" s="1">
        <v>36524</v>
      </c>
      <c r="F2781" s="1">
        <v>43444</v>
      </c>
      <c r="G2781" s="1"/>
      <c r="H2781" t="s">
        <v>4664</v>
      </c>
      <c r="I2781" t="s">
        <v>4666</v>
      </c>
    </row>
    <row r="2782" spans="1:9" x14ac:dyDescent="0.25">
      <c r="A2782" t="s">
        <v>2281</v>
      </c>
      <c r="B2782" s="26" t="str">
        <f>MID(tbl_forecast[[#This Row],[PACE Job Number]],3,3)</f>
        <v>NTX</v>
      </c>
      <c r="C2782" t="s">
        <v>18</v>
      </c>
      <c r="D2782" s="1">
        <v>43415</v>
      </c>
      <c r="E2782" s="1">
        <v>36524</v>
      </c>
      <c r="F2782" s="1">
        <v>43406</v>
      </c>
      <c r="G2782" s="1">
        <v>43406</v>
      </c>
      <c r="H2782" t="s">
        <v>9</v>
      </c>
      <c r="I2782" t="s">
        <v>10</v>
      </c>
    </row>
    <row r="2783" spans="1:9" x14ac:dyDescent="0.25">
      <c r="A2783" t="s">
        <v>4402</v>
      </c>
      <c r="B2783" s="26" t="str">
        <f>MID(tbl_forecast[[#This Row],[PACE Job Number]],3,3)</f>
        <v>NTX</v>
      </c>
      <c r="C2783" t="s">
        <v>18</v>
      </c>
      <c r="D2783" s="1">
        <v>43418</v>
      </c>
      <c r="E2783" s="1">
        <v>36524</v>
      </c>
      <c r="F2783" s="1">
        <v>43433</v>
      </c>
      <c r="G2783" s="1">
        <v>43433</v>
      </c>
      <c r="H2783" t="s">
        <v>4664</v>
      </c>
      <c r="I2783" t="s">
        <v>10</v>
      </c>
    </row>
    <row r="2784" spans="1:9" x14ac:dyDescent="0.25">
      <c r="A2784" t="s">
        <v>4403</v>
      </c>
      <c r="B2784" s="26" t="str">
        <f>MID(tbl_forecast[[#This Row],[PACE Job Number]],3,3)</f>
        <v>NTX</v>
      </c>
      <c r="C2784" t="s">
        <v>18</v>
      </c>
      <c r="D2784" s="1">
        <v>43426</v>
      </c>
      <c r="E2784" s="1">
        <v>43293</v>
      </c>
      <c r="F2784" s="1">
        <v>43524</v>
      </c>
      <c r="G2784" s="1"/>
      <c r="H2784" t="s">
        <v>4664</v>
      </c>
      <c r="I2784" t="s">
        <v>4666</v>
      </c>
    </row>
    <row r="2785" spans="1:9" x14ac:dyDescent="0.25">
      <c r="A2785" t="s">
        <v>619</v>
      </c>
      <c r="B2785" s="26" t="str">
        <f>MID(tbl_forecast[[#This Row],[PACE Job Number]],3,3)</f>
        <v>NTX</v>
      </c>
      <c r="C2785" t="s">
        <v>18</v>
      </c>
      <c r="D2785" s="1">
        <v>43425</v>
      </c>
      <c r="E2785" s="1">
        <v>36524</v>
      </c>
      <c r="F2785" s="1">
        <v>43434</v>
      </c>
      <c r="G2785" s="1"/>
      <c r="H2785" t="s">
        <v>9</v>
      </c>
      <c r="I2785" t="s">
        <v>27</v>
      </c>
    </row>
    <row r="2786" spans="1:9" x14ac:dyDescent="0.25">
      <c r="A2786" t="s">
        <v>164</v>
      </c>
      <c r="B2786" s="26" t="str">
        <f>MID(tbl_forecast[[#This Row],[PACE Job Number]],3,3)</f>
        <v>NTX</v>
      </c>
      <c r="C2786" t="s">
        <v>18</v>
      </c>
      <c r="D2786" s="1">
        <v>43430</v>
      </c>
      <c r="E2786" s="1">
        <v>36524</v>
      </c>
      <c r="F2786" s="1">
        <v>43433</v>
      </c>
      <c r="G2786" s="1">
        <v>43433</v>
      </c>
      <c r="H2786" t="s">
        <v>9</v>
      </c>
      <c r="I2786" t="s">
        <v>10</v>
      </c>
    </row>
    <row r="2787" spans="1:9" x14ac:dyDescent="0.25">
      <c r="A2787" t="s">
        <v>400</v>
      </c>
      <c r="B2787" s="26" t="str">
        <f>MID(tbl_forecast[[#This Row],[PACE Job Number]],3,3)</f>
        <v>NTX</v>
      </c>
      <c r="C2787" t="s">
        <v>18</v>
      </c>
      <c r="D2787" s="1">
        <v>43434</v>
      </c>
      <c r="E2787" s="1">
        <v>36524</v>
      </c>
      <c r="F2787" s="1">
        <v>43460</v>
      </c>
      <c r="G2787" s="1"/>
      <c r="H2787" t="s">
        <v>4664</v>
      </c>
      <c r="I2787" t="s">
        <v>4666</v>
      </c>
    </row>
    <row r="2788" spans="1:9" x14ac:dyDescent="0.25">
      <c r="A2788" t="s">
        <v>1904</v>
      </c>
      <c r="B2788" s="26" t="str">
        <f>MID(tbl_forecast[[#This Row],[PACE Job Number]],3,3)</f>
        <v>NTX</v>
      </c>
      <c r="C2788" t="s">
        <v>18</v>
      </c>
      <c r="D2788" s="1">
        <v>43434</v>
      </c>
      <c r="E2788" s="1">
        <v>36524</v>
      </c>
      <c r="F2788" s="1">
        <v>43406</v>
      </c>
      <c r="G2788" s="1">
        <v>43406</v>
      </c>
      <c r="H2788" t="s">
        <v>9</v>
      </c>
      <c r="I2788" t="s">
        <v>10</v>
      </c>
    </row>
    <row r="2789" spans="1:9" x14ac:dyDescent="0.25">
      <c r="A2789" t="s">
        <v>4264</v>
      </c>
      <c r="B2789" s="26" t="str">
        <f>MID(tbl_forecast[[#This Row],[PACE Job Number]],3,3)</f>
        <v>NTX</v>
      </c>
      <c r="C2789" t="s">
        <v>18</v>
      </c>
      <c r="D2789" s="1">
        <v>43434</v>
      </c>
      <c r="E2789" s="1">
        <v>36524</v>
      </c>
      <c r="F2789" s="1">
        <v>43444</v>
      </c>
      <c r="G2789" s="1"/>
      <c r="H2789" t="s">
        <v>9</v>
      </c>
      <c r="I2789" t="s">
        <v>27</v>
      </c>
    </row>
    <row r="2790" spans="1:9" x14ac:dyDescent="0.25">
      <c r="A2790" t="s">
        <v>4265</v>
      </c>
      <c r="B2790" s="26" t="str">
        <f>MID(tbl_forecast[[#This Row],[PACE Job Number]],3,3)</f>
        <v>NTX</v>
      </c>
      <c r="C2790" t="s">
        <v>18</v>
      </c>
      <c r="D2790" s="1">
        <v>43434</v>
      </c>
      <c r="E2790" s="1">
        <v>36524</v>
      </c>
      <c r="F2790" s="1">
        <v>43444</v>
      </c>
      <c r="G2790" s="1"/>
      <c r="H2790" t="s">
        <v>9</v>
      </c>
      <c r="I2790" t="s">
        <v>27</v>
      </c>
    </row>
    <row r="2791" spans="1:9" x14ac:dyDescent="0.25">
      <c r="A2791" t="s">
        <v>4404</v>
      </c>
      <c r="B2791" s="26" t="str">
        <f>MID(tbl_forecast[[#This Row],[PACE Job Number]],3,3)</f>
        <v>NTX</v>
      </c>
      <c r="C2791" t="s">
        <v>18</v>
      </c>
      <c r="D2791" s="1">
        <v>43421</v>
      </c>
      <c r="E2791" s="1">
        <v>36524</v>
      </c>
      <c r="F2791" s="1">
        <v>43444</v>
      </c>
      <c r="G2791" s="1"/>
      <c r="H2791" t="s">
        <v>4664</v>
      </c>
      <c r="I2791" t="s">
        <v>4666</v>
      </c>
    </row>
    <row r="2792" spans="1:9" x14ac:dyDescent="0.25">
      <c r="A2792" t="s">
        <v>3386</v>
      </c>
      <c r="B2792" s="26" t="str">
        <f>MID(tbl_forecast[[#This Row],[PACE Job Number]],3,3)</f>
        <v>NTX</v>
      </c>
      <c r="C2792" t="s">
        <v>18</v>
      </c>
      <c r="D2792" s="1">
        <v>43412</v>
      </c>
      <c r="E2792" s="1">
        <v>43396</v>
      </c>
      <c r="F2792" s="1">
        <v>43430</v>
      </c>
      <c r="G2792" s="1">
        <v>43430</v>
      </c>
      <c r="H2792" t="s">
        <v>4664</v>
      </c>
      <c r="I2792" t="s">
        <v>10</v>
      </c>
    </row>
    <row r="2793" spans="1:9" x14ac:dyDescent="0.25">
      <c r="A2793" t="s">
        <v>1905</v>
      </c>
      <c r="B2793" s="26" t="str">
        <f>MID(tbl_forecast[[#This Row],[PACE Job Number]],3,3)</f>
        <v>NTX</v>
      </c>
      <c r="C2793" t="s">
        <v>18</v>
      </c>
      <c r="D2793" s="1">
        <v>43434</v>
      </c>
      <c r="E2793" s="1">
        <v>36524</v>
      </c>
      <c r="F2793" s="1">
        <v>43410</v>
      </c>
      <c r="G2793" s="1">
        <v>43410</v>
      </c>
      <c r="H2793" t="s">
        <v>9</v>
      </c>
      <c r="I2793" t="s">
        <v>10</v>
      </c>
    </row>
    <row r="2794" spans="1:9" x14ac:dyDescent="0.25">
      <c r="A2794" t="s">
        <v>2283</v>
      </c>
      <c r="B2794" s="26" t="str">
        <f>MID(tbl_forecast[[#This Row],[PACE Job Number]],3,3)</f>
        <v>NTX</v>
      </c>
      <c r="C2794" t="s">
        <v>18</v>
      </c>
      <c r="D2794" s="1">
        <v>43415</v>
      </c>
      <c r="E2794" s="1">
        <v>36524</v>
      </c>
      <c r="F2794" s="1">
        <v>43410</v>
      </c>
      <c r="G2794" s="1">
        <v>43410</v>
      </c>
      <c r="H2794" t="s">
        <v>9</v>
      </c>
      <c r="I2794" t="s">
        <v>10</v>
      </c>
    </row>
    <row r="2795" spans="1:9" x14ac:dyDescent="0.25">
      <c r="A2795" t="s">
        <v>136</v>
      </c>
      <c r="B2795" s="26" t="str">
        <f>MID(tbl_forecast[[#This Row],[PACE Job Number]],3,3)</f>
        <v>WSH</v>
      </c>
      <c r="C2795" t="s">
        <v>18</v>
      </c>
      <c r="D2795" s="1">
        <v>43434</v>
      </c>
      <c r="E2795" s="1">
        <v>43297</v>
      </c>
      <c r="F2795" s="1">
        <v>43419</v>
      </c>
      <c r="G2795" s="1">
        <v>43419</v>
      </c>
      <c r="H2795" t="s">
        <v>9</v>
      </c>
      <c r="I2795" t="s">
        <v>10</v>
      </c>
    </row>
    <row r="2796" spans="1:9" x14ac:dyDescent="0.25">
      <c r="A2796" t="s">
        <v>3889</v>
      </c>
      <c r="B2796" s="26" t="str">
        <f>MID(tbl_forecast[[#This Row],[PACE Job Number]],3,3)</f>
        <v>WSH</v>
      </c>
      <c r="C2796" t="s">
        <v>18</v>
      </c>
      <c r="D2796" s="1">
        <v>43434</v>
      </c>
      <c r="E2796" s="1">
        <v>43406</v>
      </c>
      <c r="F2796" s="1">
        <v>43430</v>
      </c>
      <c r="G2796" s="1">
        <v>43430</v>
      </c>
      <c r="H2796" t="s">
        <v>9</v>
      </c>
      <c r="I2796" t="s">
        <v>10</v>
      </c>
    </row>
    <row r="2797" spans="1:9" x14ac:dyDescent="0.25">
      <c r="A2797" t="s">
        <v>3890</v>
      </c>
      <c r="B2797" s="26" t="str">
        <f>MID(tbl_forecast[[#This Row],[PACE Job Number]],3,3)</f>
        <v>WSH</v>
      </c>
      <c r="C2797" t="s">
        <v>18</v>
      </c>
      <c r="D2797" s="1">
        <v>43434</v>
      </c>
      <c r="E2797" s="1">
        <v>43465</v>
      </c>
      <c r="F2797" s="1">
        <v>43465</v>
      </c>
      <c r="G2797" s="1"/>
      <c r="H2797" t="s">
        <v>4664</v>
      </c>
      <c r="I2797" t="s">
        <v>4665</v>
      </c>
    </row>
    <row r="2798" spans="1:9" x14ac:dyDescent="0.25">
      <c r="A2798" t="s">
        <v>5404</v>
      </c>
      <c r="B2798" s="26" t="str">
        <f>MID(tbl_forecast[[#This Row],[PACE Job Number]],3,3)</f>
        <v>WSH</v>
      </c>
      <c r="C2798" t="s">
        <v>18</v>
      </c>
      <c r="D2798" s="1">
        <v>43434</v>
      </c>
      <c r="E2798" s="1">
        <v>43465</v>
      </c>
      <c r="F2798" s="1">
        <v>43465</v>
      </c>
      <c r="G2798" s="1"/>
      <c r="H2798" t="s">
        <v>4664</v>
      </c>
      <c r="I2798" t="s">
        <v>4665</v>
      </c>
    </row>
    <row r="2799" spans="1:9" x14ac:dyDescent="0.25">
      <c r="A2799" t="s">
        <v>5252</v>
      </c>
      <c r="B2799" s="26" t="str">
        <f>MID(tbl_forecast[[#This Row],[PACE Job Number]],3,3)</f>
        <v>WSH</v>
      </c>
      <c r="C2799" t="s">
        <v>18</v>
      </c>
      <c r="D2799" s="1">
        <v>43434</v>
      </c>
      <c r="E2799" s="1">
        <v>43406</v>
      </c>
      <c r="F2799" s="1">
        <v>43465</v>
      </c>
      <c r="G2799" s="1"/>
      <c r="H2799" t="s">
        <v>4664</v>
      </c>
      <c r="I2799" t="s">
        <v>4666</v>
      </c>
    </row>
    <row r="2800" spans="1:9" x14ac:dyDescent="0.25">
      <c r="A2800" t="s">
        <v>62</v>
      </c>
      <c r="B2800" s="26" t="str">
        <f>MID(tbl_forecast[[#This Row],[PACE Job Number]],3,3)</f>
        <v>WSH</v>
      </c>
      <c r="C2800" t="s">
        <v>18</v>
      </c>
      <c r="D2800" s="1">
        <v>43434</v>
      </c>
      <c r="E2800" s="1">
        <v>43465</v>
      </c>
      <c r="F2800" s="1">
        <v>43427</v>
      </c>
      <c r="G2800" s="1">
        <v>43427</v>
      </c>
      <c r="H2800" t="s">
        <v>9</v>
      </c>
      <c r="I2800" t="s">
        <v>10</v>
      </c>
    </row>
    <row r="2801" spans="1:9" x14ac:dyDescent="0.25">
      <c r="A2801" t="s">
        <v>3799</v>
      </c>
      <c r="B2801" s="26" t="str">
        <f>MID(tbl_forecast[[#This Row],[PACE Job Number]],3,3)</f>
        <v>WSH</v>
      </c>
      <c r="C2801" t="s">
        <v>18</v>
      </c>
      <c r="D2801" s="1">
        <v>43434</v>
      </c>
      <c r="E2801" s="1">
        <v>43286</v>
      </c>
      <c r="F2801" s="1">
        <v>43465</v>
      </c>
      <c r="G2801" s="1"/>
      <c r="H2801" t="s">
        <v>4664</v>
      </c>
      <c r="I2801" t="s">
        <v>4666</v>
      </c>
    </row>
    <row r="2802" spans="1:9" x14ac:dyDescent="0.25">
      <c r="A2802" t="s">
        <v>4464</v>
      </c>
      <c r="B2802" s="26" t="str">
        <f>MID(tbl_forecast[[#This Row],[PACE Job Number]],3,3)</f>
        <v>STX</v>
      </c>
      <c r="C2802" t="s">
        <v>18</v>
      </c>
      <c r="D2802" s="1">
        <v>43432</v>
      </c>
      <c r="E2802" s="1">
        <v>43465</v>
      </c>
      <c r="F2802" s="1">
        <v>43465</v>
      </c>
      <c r="G2802" s="1"/>
      <c r="H2802" t="s">
        <v>4664</v>
      </c>
      <c r="I2802" t="s">
        <v>4665</v>
      </c>
    </row>
    <row r="2803" spans="1:9" x14ac:dyDescent="0.25">
      <c r="A2803" t="s">
        <v>4465</v>
      </c>
      <c r="B2803" s="26" t="str">
        <f>MID(tbl_forecast[[#This Row],[PACE Job Number]],3,3)</f>
        <v>STX</v>
      </c>
      <c r="C2803" t="s">
        <v>18</v>
      </c>
      <c r="D2803" s="1">
        <v>43432</v>
      </c>
      <c r="E2803" s="1">
        <v>43465</v>
      </c>
      <c r="F2803" s="1">
        <v>43465</v>
      </c>
      <c r="G2803" s="1"/>
      <c r="H2803" t="s">
        <v>4664</v>
      </c>
      <c r="I2803" t="s">
        <v>4665</v>
      </c>
    </row>
    <row r="2804" spans="1:9" x14ac:dyDescent="0.25">
      <c r="A2804" t="s">
        <v>3259</v>
      </c>
      <c r="B2804" s="26" t="str">
        <f>MID(tbl_forecast[[#This Row],[PACE Job Number]],3,3)</f>
        <v>STX</v>
      </c>
      <c r="C2804" t="s">
        <v>18</v>
      </c>
      <c r="D2804" s="1">
        <v>43432</v>
      </c>
      <c r="E2804" s="1">
        <v>43465</v>
      </c>
      <c r="F2804" s="1">
        <v>43465</v>
      </c>
      <c r="G2804" s="1"/>
      <c r="H2804" t="s">
        <v>4664</v>
      </c>
      <c r="I2804" t="s">
        <v>4665</v>
      </c>
    </row>
    <row r="2805" spans="1:9" x14ac:dyDescent="0.25">
      <c r="A2805" t="s">
        <v>1205</v>
      </c>
      <c r="B2805" s="26" t="str">
        <f>MID(tbl_forecast[[#This Row],[PACE Job Number]],3,3)</f>
        <v>STX</v>
      </c>
      <c r="C2805" t="s">
        <v>18</v>
      </c>
      <c r="D2805" s="1">
        <v>43432</v>
      </c>
      <c r="E2805" s="1">
        <v>43465</v>
      </c>
      <c r="F2805" s="1">
        <v>43465</v>
      </c>
      <c r="G2805" s="1"/>
      <c r="H2805" t="s">
        <v>4664</v>
      </c>
      <c r="I2805" t="s">
        <v>4665</v>
      </c>
    </row>
    <row r="2806" spans="1:9" x14ac:dyDescent="0.25">
      <c r="A2806" t="s">
        <v>4467</v>
      </c>
      <c r="B2806" s="26" t="str">
        <f>MID(tbl_forecast[[#This Row],[PACE Job Number]],3,3)</f>
        <v>STX</v>
      </c>
      <c r="C2806" t="s">
        <v>18</v>
      </c>
      <c r="D2806" s="1">
        <v>43434</v>
      </c>
      <c r="E2806" s="1">
        <v>43434</v>
      </c>
      <c r="F2806" s="1">
        <v>43424</v>
      </c>
      <c r="G2806" s="1">
        <v>43424</v>
      </c>
      <c r="H2806" t="s">
        <v>9</v>
      </c>
      <c r="I2806" t="s">
        <v>10</v>
      </c>
    </row>
    <row r="2807" spans="1:9" x14ac:dyDescent="0.25">
      <c r="A2807" t="s">
        <v>4468</v>
      </c>
      <c r="B2807" s="26" t="str">
        <f>MID(tbl_forecast[[#This Row],[PACE Job Number]],3,3)</f>
        <v>STX</v>
      </c>
      <c r="C2807" t="s">
        <v>18</v>
      </c>
      <c r="D2807" s="1">
        <v>43434</v>
      </c>
      <c r="E2807" s="1">
        <v>43434</v>
      </c>
      <c r="F2807" s="1">
        <v>43430</v>
      </c>
      <c r="G2807" s="1">
        <v>43430</v>
      </c>
      <c r="H2807" t="s">
        <v>9</v>
      </c>
      <c r="I2807" t="s">
        <v>10</v>
      </c>
    </row>
    <row r="2808" spans="1:9" x14ac:dyDescent="0.25">
      <c r="A2808" t="s">
        <v>4469</v>
      </c>
      <c r="B2808" s="26" t="str">
        <f>MID(tbl_forecast[[#This Row],[PACE Job Number]],3,3)</f>
        <v>STX</v>
      </c>
      <c r="C2808" t="s">
        <v>18</v>
      </c>
      <c r="D2808" s="1">
        <v>43434</v>
      </c>
      <c r="E2808" s="1">
        <v>43434</v>
      </c>
      <c r="F2808" s="1">
        <v>43413</v>
      </c>
      <c r="G2808" s="1">
        <v>43413</v>
      </c>
      <c r="H2808" t="s">
        <v>9</v>
      </c>
      <c r="I2808" t="s">
        <v>10</v>
      </c>
    </row>
    <row r="2809" spans="1:9" x14ac:dyDescent="0.25">
      <c r="A2809" t="s">
        <v>3294</v>
      </c>
      <c r="B2809" s="26" t="str">
        <f>MID(tbl_forecast[[#This Row],[PACE Job Number]],3,3)</f>
        <v>STX</v>
      </c>
      <c r="C2809" t="s">
        <v>18</v>
      </c>
      <c r="D2809" s="1">
        <v>43432</v>
      </c>
      <c r="E2809" s="1">
        <v>43465</v>
      </c>
      <c r="F2809" s="1">
        <v>43465</v>
      </c>
      <c r="G2809" s="1"/>
      <c r="H2809" t="s">
        <v>4664</v>
      </c>
      <c r="I2809" t="s">
        <v>4665</v>
      </c>
    </row>
    <row r="2810" spans="1:9" x14ac:dyDescent="0.25">
      <c r="A2810" t="s">
        <v>2726</v>
      </c>
      <c r="B2810" s="26" t="str">
        <f>MID(tbl_forecast[[#This Row],[PACE Job Number]],3,3)</f>
        <v>STX</v>
      </c>
      <c r="C2810" t="s">
        <v>18</v>
      </c>
      <c r="D2810" s="1">
        <v>43434</v>
      </c>
      <c r="E2810" s="1">
        <v>43434</v>
      </c>
      <c r="F2810" s="1">
        <v>43420</v>
      </c>
      <c r="G2810" s="1">
        <v>43420</v>
      </c>
      <c r="H2810" t="s">
        <v>9</v>
      </c>
      <c r="I2810" t="s">
        <v>10</v>
      </c>
    </row>
    <row r="2811" spans="1:9" x14ac:dyDescent="0.25">
      <c r="A2811" t="s">
        <v>2731</v>
      </c>
      <c r="B2811" s="26" t="str">
        <f>MID(tbl_forecast[[#This Row],[PACE Job Number]],3,3)</f>
        <v>STX</v>
      </c>
      <c r="C2811" t="s">
        <v>18</v>
      </c>
      <c r="D2811" s="1">
        <v>43434</v>
      </c>
      <c r="E2811" s="1">
        <v>43434</v>
      </c>
      <c r="F2811" s="1">
        <v>43420</v>
      </c>
      <c r="G2811" s="1">
        <v>43420</v>
      </c>
      <c r="H2811" t="s">
        <v>9</v>
      </c>
      <c r="I2811" t="s">
        <v>10</v>
      </c>
    </row>
    <row r="2812" spans="1:9" x14ac:dyDescent="0.25">
      <c r="A2812" t="s">
        <v>2729</v>
      </c>
      <c r="B2812" s="26" t="str">
        <f>MID(tbl_forecast[[#This Row],[PACE Job Number]],3,3)</f>
        <v>STX</v>
      </c>
      <c r="C2812" t="s">
        <v>18</v>
      </c>
      <c r="D2812" s="1">
        <v>43434</v>
      </c>
      <c r="E2812" s="1">
        <v>43434</v>
      </c>
      <c r="F2812" s="1">
        <v>43423</v>
      </c>
      <c r="G2812" s="1">
        <v>43423</v>
      </c>
      <c r="H2812" t="s">
        <v>9</v>
      </c>
      <c r="I2812" t="s">
        <v>10</v>
      </c>
    </row>
    <row r="2813" spans="1:9" x14ac:dyDescent="0.25">
      <c r="A2813" t="s">
        <v>3128</v>
      </c>
      <c r="B2813" s="26" t="str">
        <f>MID(tbl_forecast[[#This Row],[PACE Job Number]],3,3)</f>
        <v>STX</v>
      </c>
      <c r="C2813" t="s">
        <v>18</v>
      </c>
      <c r="D2813" s="1">
        <v>43432</v>
      </c>
      <c r="E2813" s="1">
        <v>43465</v>
      </c>
      <c r="F2813" s="1">
        <v>43465</v>
      </c>
      <c r="G2813" s="1"/>
      <c r="H2813" t="s">
        <v>4664</v>
      </c>
      <c r="I2813" t="s">
        <v>4665</v>
      </c>
    </row>
    <row r="2814" spans="1:9" x14ac:dyDescent="0.25">
      <c r="A2814" t="s">
        <v>2739</v>
      </c>
      <c r="B2814" s="26" t="str">
        <f>MID(tbl_forecast[[#This Row],[PACE Job Number]],3,3)</f>
        <v>STX</v>
      </c>
      <c r="C2814" t="s">
        <v>18</v>
      </c>
      <c r="D2814" s="1">
        <v>43434</v>
      </c>
      <c r="E2814" s="1">
        <v>43434</v>
      </c>
      <c r="F2814" s="1">
        <v>43418</v>
      </c>
      <c r="G2814" s="1">
        <v>43418</v>
      </c>
      <c r="H2814" t="s">
        <v>9</v>
      </c>
      <c r="I2814" t="s">
        <v>10</v>
      </c>
    </row>
    <row r="2815" spans="1:9" x14ac:dyDescent="0.25">
      <c r="A2815" t="s">
        <v>5405</v>
      </c>
      <c r="B2815" s="26" t="str">
        <f>MID(tbl_forecast[[#This Row],[PACE Job Number]],3,3)</f>
        <v>STX</v>
      </c>
      <c r="C2815" t="s">
        <v>18</v>
      </c>
      <c r="D2815" s="1">
        <v>43434</v>
      </c>
      <c r="E2815" s="1">
        <v>43465</v>
      </c>
      <c r="F2815" s="1">
        <v>43465</v>
      </c>
      <c r="G2815" s="1"/>
      <c r="H2815" t="s">
        <v>4664</v>
      </c>
      <c r="I2815" t="s">
        <v>4665</v>
      </c>
    </row>
    <row r="2816" spans="1:9" x14ac:dyDescent="0.25">
      <c r="A2816" t="s">
        <v>4279</v>
      </c>
      <c r="B2816" s="26" t="str">
        <f>MID(tbl_forecast[[#This Row],[PACE Job Number]],3,3)</f>
        <v>STX</v>
      </c>
      <c r="C2816" t="s">
        <v>18</v>
      </c>
      <c r="D2816" s="1">
        <v>43432</v>
      </c>
      <c r="E2816" s="1">
        <v>43432</v>
      </c>
      <c r="F2816" s="1">
        <v>43432</v>
      </c>
      <c r="G2816" s="1"/>
      <c r="H2816" t="s">
        <v>9</v>
      </c>
      <c r="I2816" t="s">
        <v>27</v>
      </c>
    </row>
    <row r="2817" spans="1:9" x14ac:dyDescent="0.25">
      <c r="A2817" t="s">
        <v>1270</v>
      </c>
      <c r="B2817" s="26" t="str">
        <f>MID(tbl_forecast[[#This Row],[PACE Job Number]],3,3)</f>
        <v>STX</v>
      </c>
      <c r="C2817" t="s">
        <v>18</v>
      </c>
      <c r="D2817" s="1">
        <v>43432</v>
      </c>
      <c r="E2817" s="1">
        <v>43465</v>
      </c>
      <c r="F2817" s="1">
        <v>43465</v>
      </c>
      <c r="G2817" s="1"/>
      <c r="H2817" t="s">
        <v>4664</v>
      </c>
      <c r="I2817" t="s">
        <v>4665</v>
      </c>
    </row>
    <row r="2818" spans="1:9" x14ac:dyDescent="0.25">
      <c r="A2818" t="s">
        <v>584</v>
      </c>
      <c r="B2818" s="26" t="str">
        <f>MID(tbl_forecast[[#This Row],[PACE Job Number]],3,3)</f>
        <v>NTX</v>
      </c>
      <c r="C2818" t="s">
        <v>18</v>
      </c>
      <c r="D2818" s="1">
        <v>43425</v>
      </c>
      <c r="E2818" s="1">
        <v>36524</v>
      </c>
      <c r="F2818" s="1">
        <v>43434</v>
      </c>
      <c r="G2818" s="1"/>
      <c r="H2818" t="s">
        <v>9</v>
      </c>
      <c r="I2818" t="s">
        <v>27</v>
      </c>
    </row>
    <row r="2819" spans="1:9" x14ac:dyDescent="0.25">
      <c r="A2819" t="s">
        <v>4405</v>
      </c>
      <c r="B2819" s="26" t="str">
        <f>MID(tbl_forecast[[#This Row],[PACE Job Number]],3,3)</f>
        <v>NTX</v>
      </c>
      <c r="C2819" t="s">
        <v>18</v>
      </c>
      <c r="D2819" s="1">
        <v>43418</v>
      </c>
      <c r="E2819" s="1">
        <v>36524</v>
      </c>
      <c r="F2819" s="1">
        <v>43433</v>
      </c>
      <c r="G2819" s="1">
        <v>43433</v>
      </c>
      <c r="H2819" t="s">
        <v>4664</v>
      </c>
      <c r="I2819" t="s">
        <v>10</v>
      </c>
    </row>
    <row r="2820" spans="1:9" x14ac:dyDescent="0.25">
      <c r="A2820" t="s">
        <v>3371</v>
      </c>
      <c r="B2820" s="26" t="str">
        <f>MID(tbl_forecast[[#This Row],[PACE Job Number]],3,3)</f>
        <v>NTX</v>
      </c>
      <c r="C2820" t="s">
        <v>18</v>
      </c>
      <c r="D2820" s="1">
        <v>43412</v>
      </c>
      <c r="E2820" s="1">
        <v>43396</v>
      </c>
      <c r="F2820" s="1">
        <v>43430</v>
      </c>
      <c r="G2820" s="1">
        <v>43430</v>
      </c>
      <c r="H2820" t="s">
        <v>4664</v>
      </c>
      <c r="I2820" t="s">
        <v>10</v>
      </c>
    </row>
    <row r="2821" spans="1:9" x14ac:dyDescent="0.25">
      <c r="A2821" t="s">
        <v>235</v>
      </c>
      <c r="B2821" s="26" t="str">
        <f>MID(tbl_forecast[[#This Row],[PACE Job Number]],3,3)</f>
        <v>NTX</v>
      </c>
      <c r="C2821" t="s">
        <v>18</v>
      </c>
      <c r="D2821" s="1">
        <v>43419</v>
      </c>
      <c r="E2821" s="1">
        <v>36524</v>
      </c>
      <c r="F2821" s="1">
        <v>43434</v>
      </c>
      <c r="G2821" s="1"/>
      <c r="H2821" t="s">
        <v>4664</v>
      </c>
      <c r="I2821" t="s">
        <v>4666</v>
      </c>
    </row>
    <row r="2822" spans="1:9" x14ac:dyDescent="0.25">
      <c r="A2822" t="s">
        <v>677</v>
      </c>
      <c r="B2822" s="26" t="str">
        <f>MID(tbl_forecast[[#This Row],[PACE Job Number]],3,3)</f>
        <v>STX</v>
      </c>
      <c r="C2822" t="s">
        <v>18</v>
      </c>
      <c r="D2822" s="1">
        <v>43434</v>
      </c>
      <c r="E2822" s="1">
        <v>43465</v>
      </c>
      <c r="F2822" s="1">
        <v>43465</v>
      </c>
      <c r="G2822" s="1"/>
      <c r="H2822" t="s">
        <v>4664</v>
      </c>
      <c r="I2822" t="s">
        <v>4665</v>
      </c>
    </row>
    <row r="2823" spans="1:9" x14ac:dyDescent="0.25">
      <c r="A2823" t="s">
        <v>3472</v>
      </c>
      <c r="B2823" s="26" t="str">
        <f>MID(tbl_forecast[[#This Row],[PACE Job Number]],3,3)</f>
        <v>STX</v>
      </c>
      <c r="C2823" t="s">
        <v>18</v>
      </c>
      <c r="D2823" s="1">
        <v>43413</v>
      </c>
      <c r="E2823" s="1">
        <v>43404</v>
      </c>
      <c r="F2823" s="1">
        <v>43425</v>
      </c>
      <c r="G2823" s="1">
        <v>43425</v>
      </c>
      <c r="H2823" t="s">
        <v>9</v>
      </c>
      <c r="I2823" t="s">
        <v>10</v>
      </c>
    </row>
    <row r="2824" spans="1:9" x14ac:dyDescent="0.25">
      <c r="A2824" t="s">
        <v>261</v>
      </c>
      <c r="B2824" s="26" t="str">
        <f>MID(tbl_forecast[[#This Row],[PACE Job Number]],3,3)</f>
        <v>STX</v>
      </c>
      <c r="C2824" t="s">
        <v>18</v>
      </c>
      <c r="D2824" s="1">
        <v>43434</v>
      </c>
      <c r="E2824" s="1">
        <v>43434</v>
      </c>
      <c r="F2824" s="1">
        <v>43434</v>
      </c>
      <c r="G2824" s="1"/>
      <c r="H2824" t="s">
        <v>9</v>
      </c>
      <c r="I2824" t="s">
        <v>27</v>
      </c>
    </row>
    <row r="2825" spans="1:9" x14ac:dyDescent="0.25">
      <c r="A2825" t="s">
        <v>53</v>
      </c>
      <c r="B2825" s="26" t="str">
        <f>MID(tbl_forecast[[#This Row],[PACE Job Number]],3,3)</f>
        <v>STX</v>
      </c>
      <c r="C2825" t="s">
        <v>18</v>
      </c>
      <c r="D2825" s="1">
        <v>43434</v>
      </c>
      <c r="E2825" s="1">
        <v>43465</v>
      </c>
      <c r="F2825" s="1">
        <v>43465</v>
      </c>
      <c r="G2825" s="1"/>
      <c r="H2825" t="s">
        <v>4664</v>
      </c>
      <c r="I2825" t="s">
        <v>4665</v>
      </c>
    </row>
    <row r="2826" spans="1:9" x14ac:dyDescent="0.25">
      <c r="A2826" t="s">
        <v>5407</v>
      </c>
      <c r="B2826" s="26" t="str">
        <f>MID(tbl_forecast[[#This Row],[PACE Job Number]],3,3)</f>
        <v>STX</v>
      </c>
      <c r="C2826" t="s">
        <v>18</v>
      </c>
      <c r="D2826" s="1">
        <v>43434</v>
      </c>
      <c r="E2826" s="1">
        <v>43434</v>
      </c>
      <c r="F2826" s="1">
        <v>43434</v>
      </c>
      <c r="G2826" s="1"/>
      <c r="H2826" t="s">
        <v>9</v>
      </c>
      <c r="I2826" t="s">
        <v>27</v>
      </c>
    </row>
    <row r="2827" spans="1:9" x14ac:dyDescent="0.25">
      <c r="A2827" t="s">
        <v>1612</v>
      </c>
      <c r="B2827" s="26" t="str">
        <f>MID(tbl_forecast[[#This Row],[PACE Job Number]],3,3)</f>
        <v>STX</v>
      </c>
      <c r="C2827" t="s">
        <v>18</v>
      </c>
      <c r="D2827" s="1">
        <v>43434</v>
      </c>
      <c r="E2827" s="1">
        <v>43434</v>
      </c>
      <c r="F2827" s="1">
        <v>43434</v>
      </c>
      <c r="G2827" s="1"/>
      <c r="H2827" t="s">
        <v>9</v>
      </c>
      <c r="I2827" t="s">
        <v>27</v>
      </c>
    </row>
    <row r="2828" spans="1:9" x14ac:dyDescent="0.25">
      <c r="A2828" t="s">
        <v>1594</v>
      </c>
      <c r="B2828" s="26" t="str">
        <f>MID(tbl_forecast[[#This Row],[PACE Job Number]],3,3)</f>
        <v>NTX</v>
      </c>
      <c r="C2828" t="s">
        <v>18</v>
      </c>
      <c r="D2828" s="1">
        <v>43419</v>
      </c>
      <c r="E2828" s="1">
        <v>36524</v>
      </c>
      <c r="F2828" s="1">
        <v>43444</v>
      </c>
      <c r="G2828" s="1"/>
      <c r="H2828" t="s">
        <v>4664</v>
      </c>
      <c r="I2828" t="s">
        <v>4666</v>
      </c>
    </row>
    <row r="2829" spans="1:9" x14ac:dyDescent="0.25">
      <c r="A2829" t="s">
        <v>3958</v>
      </c>
      <c r="B2829" s="26" t="str">
        <f>MID(tbl_forecast[[#This Row],[PACE Job Number]],3,3)</f>
        <v>NTX</v>
      </c>
      <c r="C2829" t="s">
        <v>18</v>
      </c>
      <c r="D2829" s="1">
        <v>43432</v>
      </c>
      <c r="E2829" s="1">
        <v>36524</v>
      </c>
      <c r="F2829" s="1">
        <v>43452</v>
      </c>
      <c r="G2829" s="1"/>
      <c r="H2829" t="s">
        <v>4664</v>
      </c>
      <c r="I2829" t="s">
        <v>4666</v>
      </c>
    </row>
    <row r="2830" spans="1:9" x14ac:dyDescent="0.25">
      <c r="A2830" t="s">
        <v>4382</v>
      </c>
      <c r="B2830" s="26" t="str">
        <f>MID(tbl_forecast[[#This Row],[PACE Job Number]],3,3)</f>
        <v>NTX</v>
      </c>
      <c r="C2830" t="s">
        <v>18</v>
      </c>
      <c r="D2830" s="1">
        <v>43430</v>
      </c>
      <c r="E2830" s="1">
        <v>36524</v>
      </c>
      <c r="F2830" s="1">
        <v>43460</v>
      </c>
      <c r="G2830" s="1"/>
      <c r="H2830" t="s">
        <v>4664</v>
      </c>
      <c r="I2830" t="s">
        <v>4666</v>
      </c>
    </row>
    <row r="2831" spans="1:9" x14ac:dyDescent="0.25">
      <c r="A2831" t="s">
        <v>369</v>
      </c>
      <c r="B2831" s="26" t="str">
        <f>MID(tbl_forecast[[#This Row],[PACE Job Number]],3,3)</f>
        <v>NTX</v>
      </c>
      <c r="C2831" t="s">
        <v>18</v>
      </c>
      <c r="D2831" s="1">
        <v>43426</v>
      </c>
      <c r="E2831" s="1">
        <v>43286</v>
      </c>
      <c r="F2831" s="1">
        <v>43444</v>
      </c>
      <c r="G2831" s="1"/>
      <c r="H2831" t="s">
        <v>4664</v>
      </c>
      <c r="I2831" t="s">
        <v>4666</v>
      </c>
    </row>
    <row r="2832" spans="1:9" x14ac:dyDescent="0.25">
      <c r="A2832" t="s">
        <v>4200</v>
      </c>
      <c r="B2832" s="26" t="str">
        <f>MID(tbl_forecast[[#This Row],[PACE Job Number]],3,3)</f>
        <v>NTX</v>
      </c>
      <c r="C2832" t="s">
        <v>18</v>
      </c>
      <c r="D2832" s="1">
        <v>43430</v>
      </c>
      <c r="E2832" s="1">
        <v>36524</v>
      </c>
      <c r="F2832" s="1">
        <v>43439</v>
      </c>
      <c r="G2832" s="1"/>
      <c r="H2832" t="s">
        <v>9</v>
      </c>
      <c r="I2832" t="s">
        <v>27</v>
      </c>
    </row>
    <row r="2833" spans="1:9" x14ac:dyDescent="0.25">
      <c r="A2833" t="s">
        <v>3420</v>
      </c>
      <c r="B2833" s="26" t="str">
        <f>MID(tbl_forecast[[#This Row],[PACE Job Number]],3,3)</f>
        <v>NTX</v>
      </c>
      <c r="C2833" t="s">
        <v>18</v>
      </c>
      <c r="D2833" s="1">
        <v>43421</v>
      </c>
      <c r="E2833" s="1">
        <v>43293</v>
      </c>
      <c r="F2833" s="1">
        <v>43433</v>
      </c>
      <c r="G2833" s="1">
        <v>43433</v>
      </c>
      <c r="H2833" t="s">
        <v>9</v>
      </c>
      <c r="I2833" t="s">
        <v>10</v>
      </c>
    </row>
    <row r="2834" spans="1:9" x14ac:dyDescent="0.25">
      <c r="A2834" t="s">
        <v>1821</v>
      </c>
      <c r="B2834" s="26" t="str">
        <f>MID(tbl_forecast[[#This Row],[PACE Job Number]],3,3)</f>
        <v>NTX</v>
      </c>
      <c r="C2834" t="s">
        <v>18</v>
      </c>
      <c r="D2834" s="1">
        <v>43417</v>
      </c>
      <c r="E2834" s="1">
        <v>36524</v>
      </c>
      <c r="F2834" s="1">
        <v>43433</v>
      </c>
      <c r="G2834" s="1">
        <v>43433</v>
      </c>
      <c r="H2834" t="s">
        <v>4664</v>
      </c>
      <c r="I2834" t="s">
        <v>10</v>
      </c>
    </row>
    <row r="2835" spans="1:9" x14ac:dyDescent="0.25">
      <c r="A2835" t="s">
        <v>3373</v>
      </c>
      <c r="B2835" s="26" t="str">
        <f>MID(tbl_forecast[[#This Row],[PACE Job Number]],3,3)</f>
        <v>NTX</v>
      </c>
      <c r="C2835" t="s">
        <v>18</v>
      </c>
      <c r="D2835" s="1">
        <v>43418</v>
      </c>
      <c r="E2835" s="1">
        <v>43396</v>
      </c>
      <c r="F2835" s="1">
        <v>43412</v>
      </c>
      <c r="G2835" s="1">
        <v>43412</v>
      </c>
      <c r="H2835" t="s">
        <v>9</v>
      </c>
      <c r="I2835" t="s">
        <v>10</v>
      </c>
    </row>
    <row r="2836" spans="1:9" x14ac:dyDescent="0.25">
      <c r="A2836" t="s">
        <v>1826</v>
      </c>
      <c r="B2836" s="26" t="str">
        <f>MID(tbl_forecast[[#This Row],[PACE Job Number]],3,3)</f>
        <v>NTX</v>
      </c>
      <c r="C2836" t="s">
        <v>18</v>
      </c>
      <c r="D2836" s="1">
        <v>43416</v>
      </c>
      <c r="E2836" s="1">
        <v>36524</v>
      </c>
      <c r="F2836" s="1">
        <v>43444</v>
      </c>
      <c r="G2836" s="1"/>
      <c r="H2836" t="s">
        <v>4664</v>
      </c>
      <c r="I2836" t="s">
        <v>4666</v>
      </c>
    </row>
    <row r="2837" spans="1:9" x14ac:dyDescent="0.25">
      <c r="A2837" t="s">
        <v>583</v>
      </c>
      <c r="B2837" s="26" t="str">
        <f>MID(tbl_forecast[[#This Row],[PACE Job Number]],3,3)</f>
        <v>NTX</v>
      </c>
      <c r="C2837" t="s">
        <v>18</v>
      </c>
      <c r="D2837" s="1">
        <v>43416</v>
      </c>
      <c r="E2837" s="1">
        <v>43396</v>
      </c>
      <c r="F2837" s="1">
        <v>43433</v>
      </c>
      <c r="G2837" s="1">
        <v>43433</v>
      </c>
      <c r="H2837" t="s">
        <v>4664</v>
      </c>
      <c r="I2837" t="s">
        <v>10</v>
      </c>
    </row>
    <row r="2838" spans="1:9" x14ac:dyDescent="0.25">
      <c r="A2838" t="s">
        <v>1013</v>
      </c>
      <c r="B2838" s="26" t="str">
        <f>MID(tbl_forecast[[#This Row],[PACE Job Number]],3,3)</f>
        <v>NTX</v>
      </c>
      <c r="C2838" t="s">
        <v>18</v>
      </c>
      <c r="D2838" s="1">
        <v>43432</v>
      </c>
      <c r="E2838" s="1">
        <v>43434</v>
      </c>
      <c r="F2838" s="1">
        <v>43432</v>
      </c>
      <c r="G2838" s="1">
        <v>43432</v>
      </c>
      <c r="H2838" t="s">
        <v>9</v>
      </c>
      <c r="I2838" t="s">
        <v>10</v>
      </c>
    </row>
    <row r="2839" spans="1:9" x14ac:dyDescent="0.25">
      <c r="A2839" t="s">
        <v>5502</v>
      </c>
      <c r="B2839" s="26" t="str">
        <f>MID(tbl_forecast[[#This Row],[PACE Job Number]],3,3)</f>
        <v>WSH</v>
      </c>
      <c r="C2839" t="s">
        <v>18</v>
      </c>
      <c r="D2839" s="1">
        <v>43434</v>
      </c>
      <c r="E2839" s="1">
        <v>43301</v>
      </c>
      <c r="F2839" s="1">
        <v>43430</v>
      </c>
      <c r="G2839" s="1">
        <v>43430</v>
      </c>
      <c r="H2839" t="s">
        <v>9</v>
      </c>
      <c r="I2839" t="s">
        <v>10</v>
      </c>
    </row>
    <row r="2840" spans="1:9" x14ac:dyDescent="0.25">
      <c r="A2840" t="s">
        <v>242</v>
      </c>
      <c r="B2840" s="26" t="str">
        <f>MID(tbl_forecast[[#This Row],[PACE Job Number]],3,3)</f>
        <v>WSH</v>
      </c>
      <c r="C2840" t="s">
        <v>18</v>
      </c>
      <c r="D2840" s="1">
        <v>43434</v>
      </c>
      <c r="E2840" s="1">
        <v>43301</v>
      </c>
      <c r="F2840" s="1">
        <v>43465</v>
      </c>
      <c r="G2840" s="1"/>
      <c r="H2840" t="s">
        <v>4664</v>
      </c>
      <c r="I2840" t="s">
        <v>4666</v>
      </c>
    </row>
    <row r="2841" spans="1:9" x14ac:dyDescent="0.25">
      <c r="A2841" t="s">
        <v>3863</v>
      </c>
      <c r="B2841" s="26" t="str">
        <f>MID(tbl_forecast[[#This Row],[PACE Job Number]],3,3)</f>
        <v>WSH</v>
      </c>
      <c r="C2841" t="s">
        <v>18</v>
      </c>
      <c r="D2841" s="1">
        <v>43434</v>
      </c>
      <c r="E2841" s="1">
        <v>43459</v>
      </c>
      <c r="F2841" s="1">
        <v>43430</v>
      </c>
      <c r="G2841" s="1">
        <v>43430</v>
      </c>
      <c r="H2841" t="s">
        <v>9</v>
      </c>
      <c r="I2841" t="s">
        <v>10</v>
      </c>
    </row>
    <row r="2842" spans="1:9" x14ac:dyDescent="0.25">
      <c r="A2842" t="s">
        <v>5259</v>
      </c>
      <c r="B2842" s="26" t="str">
        <f>MID(tbl_forecast[[#This Row],[PACE Job Number]],3,3)</f>
        <v>WSH</v>
      </c>
      <c r="C2842" t="s">
        <v>18</v>
      </c>
      <c r="D2842" s="1">
        <v>43434</v>
      </c>
      <c r="E2842" s="1">
        <v>43459</v>
      </c>
      <c r="F2842" s="1">
        <v>43434</v>
      </c>
      <c r="G2842" s="1"/>
      <c r="H2842" t="s">
        <v>9</v>
      </c>
      <c r="I2842" t="s">
        <v>44</v>
      </c>
    </row>
    <row r="2843" spans="1:9" x14ac:dyDescent="0.25">
      <c r="A2843" t="s">
        <v>3416</v>
      </c>
      <c r="B2843" s="26" t="str">
        <f>MID(tbl_forecast[[#This Row],[PACE Job Number]],3,3)</f>
        <v>WSH</v>
      </c>
      <c r="C2843" t="s">
        <v>18</v>
      </c>
      <c r="D2843" s="1">
        <v>43434</v>
      </c>
      <c r="E2843" s="1">
        <v>43375</v>
      </c>
      <c r="F2843" s="1">
        <v>43418</v>
      </c>
      <c r="G2843" s="1">
        <v>43418</v>
      </c>
      <c r="H2843" t="s">
        <v>9</v>
      </c>
      <c r="I2843" t="s">
        <v>10</v>
      </c>
    </row>
    <row r="2844" spans="1:9" x14ac:dyDescent="0.25">
      <c r="A2844" t="s">
        <v>121</v>
      </c>
      <c r="B2844" s="26" t="str">
        <f>MID(tbl_forecast[[#This Row],[PACE Job Number]],3,3)</f>
        <v>WSH</v>
      </c>
      <c r="C2844" t="s">
        <v>18</v>
      </c>
      <c r="D2844" s="1">
        <v>43434</v>
      </c>
      <c r="E2844" s="1">
        <v>43328</v>
      </c>
      <c r="F2844" s="1">
        <v>43555</v>
      </c>
      <c r="G2844" s="1"/>
      <c r="H2844" t="s">
        <v>4664</v>
      </c>
      <c r="I2844" t="s">
        <v>4666</v>
      </c>
    </row>
    <row r="2845" spans="1:9" x14ac:dyDescent="0.25">
      <c r="A2845" t="s">
        <v>5503</v>
      </c>
      <c r="B2845" s="26" t="str">
        <f>MID(tbl_forecast[[#This Row],[PACE Job Number]],3,3)</f>
        <v>WSH</v>
      </c>
      <c r="C2845" t="s">
        <v>18</v>
      </c>
      <c r="D2845" s="1">
        <v>43434</v>
      </c>
      <c r="E2845" s="1">
        <v>43288</v>
      </c>
      <c r="F2845" s="1">
        <v>43465</v>
      </c>
      <c r="G2845" s="1"/>
      <c r="H2845" t="s">
        <v>4664</v>
      </c>
      <c r="I2845" t="s">
        <v>4666</v>
      </c>
    </row>
    <row r="2846" spans="1:9" x14ac:dyDescent="0.25">
      <c r="A2846" t="s">
        <v>5261</v>
      </c>
      <c r="B2846" s="26" t="str">
        <f>MID(tbl_forecast[[#This Row],[PACE Job Number]],3,3)</f>
        <v>WSH</v>
      </c>
      <c r="C2846" t="s">
        <v>18</v>
      </c>
      <c r="D2846" s="1">
        <v>43434</v>
      </c>
      <c r="E2846" s="1">
        <v>43375</v>
      </c>
      <c r="F2846" s="1">
        <v>43465</v>
      </c>
      <c r="G2846" s="1"/>
      <c r="H2846" t="s">
        <v>4664</v>
      </c>
      <c r="I2846" t="s">
        <v>4666</v>
      </c>
    </row>
    <row r="2847" spans="1:9" x14ac:dyDescent="0.25">
      <c r="A2847" t="s">
        <v>4269</v>
      </c>
      <c r="B2847" s="26" t="str">
        <f>MID(tbl_forecast[[#This Row],[PACE Job Number]],3,3)</f>
        <v>WSH</v>
      </c>
      <c r="C2847" t="s">
        <v>18</v>
      </c>
      <c r="D2847" s="1">
        <v>43434</v>
      </c>
      <c r="E2847" s="1">
        <v>43294</v>
      </c>
      <c r="F2847" s="1">
        <v>43423</v>
      </c>
      <c r="G2847" s="1">
        <v>43423</v>
      </c>
      <c r="H2847" t="s">
        <v>9</v>
      </c>
      <c r="I2847" t="s">
        <v>10</v>
      </c>
    </row>
    <row r="2848" spans="1:9" x14ac:dyDescent="0.25">
      <c r="A2848" t="s">
        <v>5504</v>
      </c>
      <c r="B2848" s="26" t="str">
        <f>MID(tbl_forecast[[#This Row],[PACE Job Number]],3,3)</f>
        <v>WSH</v>
      </c>
      <c r="C2848" t="s">
        <v>18</v>
      </c>
      <c r="D2848" s="1">
        <v>43434</v>
      </c>
      <c r="E2848" s="1">
        <v>43288</v>
      </c>
      <c r="F2848" s="1">
        <v>43465</v>
      </c>
      <c r="G2848" s="1"/>
      <c r="H2848" t="s">
        <v>4664</v>
      </c>
      <c r="I2848" t="s">
        <v>4666</v>
      </c>
    </row>
    <row r="2849" spans="1:9" x14ac:dyDescent="0.25">
      <c r="A2849" t="s">
        <v>153</v>
      </c>
      <c r="B2849" s="26" t="str">
        <f>MID(tbl_forecast[[#This Row],[PACE Job Number]],3,3)</f>
        <v>WSH</v>
      </c>
      <c r="C2849" t="s">
        <v>18</v>
      </c>
      <c r="D2849" s="1">
        <v>43434</v>
      </c>
      <c r="E2849" s="1">
        <v>43328</v>
      </c>
      <c r="F2849" s="1">
        <v>43555</v>
      </c>
      <c r="G2849" s="1"/>
      <c r="H2849" t="s">
        <v>4664</v>
      </c>
      <c r="I2849" t="s">
        <v>4666</v>
      </c>
    </row>
    <row r="2850" spans="1:9" x14ac:dyDescent="0.25">
      <c r="A2850" t="s">
        <v>5505</v>
      </c>
      <c r="B2850" s="26" t="str">
        <f>MID(tbl_forecast[[#This Row],[PACE Job Number]],3,3)</f>
        <v>WSH</v>
      </c>
      <c r="C2850" t="s">
        <v>18</v>
      </c>
      <c r="D2850" s="1">
        <v>43434</v>
      </c>
      <c r="E2850" s="1">
        <v>43288</v>
      </c>
      <c r="F2850" s="1">
        <v>43465</v>
      </c>
      <c r="G2850" s="1"/>
      <c r="H2850" t="s">
        <v>4664</v>
      </c>
      <c r="I2850" t="s">
        <v>4666</v>
      </c>
    </row>
    <row r="2851" spans="1:9" x14ac:dyDescent="0.25">
      <c r="A2851" t="s">
        <v>3865</v>
      </c>
      <c r="B2851" s="26" t="str">
        <f>MID(tbl_forecast[[#This Row],[PACE Job Number]],3,3)</f>
        <v>WSH</v>
      </c>
      <c r="C2851" t="s">
        <v>18</v>
      </c>
      <c r="D2851" s="1">
        <v>43434</v>
      </c>
      <c r="E2851" s="1">
        <v>43374</v>
      </c>
      <c r="F2851" s="1">
        <v>43430</v>
      </c>
      <c r="G2851" s="1">
        <v>43430</v>
      </c>
      <c r="H2851" t="s">
        <v>9</v>
      </c>
      <c r="I2851" t="s">
        <v>10</v>
      </c>
    </row>
    <row r="2852" spans="1:9" x14ac:dyDescent="0.25">
      <c r="A2852" t="s">
        <v>5506</v>
      </c>
      <c r="B2852" s="26" t="str">
        <f>MID(tbl_forecast[[#This Row],[PACE Job Number]],3,3)</f>
        <v>WSH</v>
      </c>
      <c r="C2852" t="s">
        <v>18</v>
      </c>
      <c r="D2852" s="1">
        <v>43434</v>
      </c>
      <c r="E2852" s="1">
        <v>43356</v>
      </c>
      <c r="F2852" s="1">
        <v>43430</v>
      </c>
      <c r="G2852" s="1">
        <v>43430</v>
      </c>
      <c r="H2852" t="s">
        <v>9</v>
      </c>
      <c r="I2852" t="s">
        <v>10</v>
      </c>
    </row>
    <row r="2853" spans="1:9" x14ac:dyDescent="0.25">
      <c r="A2853" t="s">
        <v>5507</v>
      </c>
      <c r="B2853" s="26" t="str">
        <f>MID(tbl_forecast[[#This Row],[PACE Job Number]],3,3)</f>
        <v>WSH</v>
      </c>
      <c r="C2853" t="s">
        <v>18</v>
      </c>
      <c r="D2853" s="1">
        <v>43434</v>
      </c>
      <c r="E2853" s="1">
        <v>43356</v>
      </c>
      <c r="F2853" s="1">
        <v>43430</v>
      </c>
      <c r="G2853" s="1">
        <v>43430</v>
      </c>
      <c r="H2853" t="s">
        <v>9</v>
      </c>
      <c r="I2853" t="s">
        <v>10</v>
      </c>
    </row>
    <row r="2854" spans="1:9" x14ac:dyDescent="0.25">
      <c r="A2854" t="s">
        <v>5264</v>
      </c>
      <c r="B2854" s="26" t="str">
        <f>MID(tbl_forecast[[#This Row],[PACE Job Number]],3,3)</f>
        <v>WSH</v>
      </c>
      <c r="C2854" t="s">
        <v>18</v>
      </c>
      <c r="D2854" s="1">
        <v>43434</v>
      </c>
      <c r="E2854" s="1">
        <v>43335</v>
      </c>
      <c r="F2854" s="1">
        <v>43427</v>
      </c>
      <c r="G2854" s="1">
        <v>43427</v>
      </c>
      <c r="H2854" t="s">
        <v>9</v>
      </c>
      <c r="I2854" t="s">
        <v>10</v>
      </c>
    </row>
    <row r="2855" spans="1:9" x14ac:dyDescent="0.25">
      <c r="A2855" t="s">
        <v>5265</v>
      </c>
      <c r="B2855" s="26" t="str">
        <f>MID(tbl_forecast[[#This Row],[PACE Job Number]],3,3)</f>
        <v>WSH</v>
      </c>
      <c r="C2855" t="s">
        <v>18</v>
      </c>
      <c r="D2855" s="1">
        <v>43434</v>
      </c>
      <c r="E2855" s="1">
        <v>43335</v>
      </c>
      <c r="F2855" s="1">
        <v>43427</v>
      </c>
      <c r="G2855" s="1">
        <v>43427</v>
      </c>
      <c r="H2855" t="s">
        <v>9</v>
      </c>
      <c r="I2855" t="s">
        <v>10</v>
      </c>
    </row>
    <row r="2856" spans="1:9" x14ac:dyDescent="0.25">
      <c r="A2856" t="s">
        <v>3868</v>
      </c>
      <c r="B2856" s="26" t="str">
        <f>MID(tbl_forecast[[#This Row],[PACE Job Number]],3,3)</f>
        <v>WSH</v>
      </c>
      <c r="C2856" t="s">
        <v>18</v>
      </c>
      <c r="D2856" s="1">
        <v>43434</v>
      </c>
      <c r="E2856" s="1">
        <v>43465</v>
      </c>
      <c r="F2856" s="1">
        <v>43465</v>
      </c>
      <c r="G2856" s="1"/>
      <c r="H2856" t="s">
        <v>4664</v>
      </c>
      <c r="I2856" t="s">
        <v>4665</v>
      </c>
    </row>
    <row r="2857" spans="1:9" x14ac:dyDescent="0.25">
      <c r="A2857" t="s">
        <v>3869</v>
      </c>
      <c r="B2857" s="26" t="str">
        <f>MID(tbl_forecast[[#This Row],[PACE Job Number]],3,3)</f>
        <v>WSH</v>
      </c>
      <c r="C2857" t="s">
        <v>18</v>
      </c>
      <c r="D2857" s="1">
        <v>43434</v>
      </c>
      <c r="E2857" s="1">
        <v>43406</v>
      </c>
      <c r="F2857" s="1">
        <v>43430</v>
      </c>
      <c r="G2857" s="1">
        <v>43430</v>
      </c>
      <c r="H2857" t="s">
        <v>9</v>
      </c>
      <c r="I2857" t="s">
        <v>10</v>
      </c>
    </row>
    <row r="2858" spans="1:9" x14ac:dyDescent="0.25">
      <c r="A2858" t="s">
        <v>3871</v>
      </c>
      <c r="B2858" s="26" t="str">
        <f>MID(tbl_forecast[[#This Row],[PACE Job Number]],3,3)</f>
        <v>WSH</v>
      </c>
      <c r="C2858" t="s">
        <v>18</v>
      </c>
      <c r="D2858" s="1">
        <v>43434</v>
      </c>
      <c r="E2858" s="1">
        <v>36524</v>
      </c>
      <c r="F2858" s="1">
        <v>43430</v>
      </c>
      <c r="G2858" s="1">
        <v>43430</v>
      </c>
      <c r="H2858" t="s">
        <v>9</v>
      </c>
      <c r="I2858" t="s">
        <v>10</v>
      </c>
    </row>
    <row r="2859" spans="1:9" x14ac:dyDescent="0.25">
      <c r="A2859" t="s">
        <v>5269</v>
      </c>
      <c r="B2859" s="26" t="str">
        <f>MID(tbl_forecast[[#This Row],[PACE Job Number]],3,3)</f>
        <v>WSH</v>
      </c>
      <c r="C2859" t="s">
        <v>18</v>
      </c>
      <c r="D2859" s="1">
        <v>43434</v>
      </c>
      <c r="E2859" s="1">
        <v>43459</v>
      </c>
      <c r="F2859" s="1">
        <v>43434</v>
      </c>
      <c r="G2859" s="1"/>
      <c r="H2859" t="s">
        <v>9</v>
      </c>
      <c r="I2859" t="s">
        <v>44</v>
      </c>
    </row>
    <row r="2860" spans="1:9" x14ac:dyDescent="0.25">
      <c r="A2860" t="s">
        <v>4413</v>
      </c>
      <c r="B2860" s="26" t="str">
        <f>MID(tbl_forecast[[#This Row],[PACE Job Number]],3,3)</f>
        <v>STX</v>
      </c>
      <c r="C2860" t="s">
        <v>18</v>
      </c>
      <c r="D2860" s="1">
        <v>43434</v>
      </c>
      <c r="E2860" s="1">
        <v>43434</v>
      </c>
      <c r="F2860" s="1">
        <v>43419</v>
      </c>
      <c r="G2860" s="1">
        <v>43419</v>
      </c>
      <c r="H2860" t="s">
        <v>9</v>
      </c>
      <c r="I2860" t="s">
        <v>10</v>
      </c>
    </row>
    <row r="2861" spans="1:9" x14ac:dyDescent="0.25">
      <c r="A2861" t="s">
        <v>5546</v>
      </c>
      <c r="B2861" s="26" t="str">
        <f>MID(tbl_forecast[[#This Row],[PACE Job Number]],3,3)</f>
        <v>STX</v>
      </c>
      <c r="C2861" t="s">
        <v>18</v>
      </c>
      <c r="D2861" s="1">
        <v>43434</v>
      </c>
      <c r="E2861" s="1">
        <v>43434</v>
      </c>
      <c r="F2861" s="1">
        <v>43404</v>
      </c>
      <c r="G2861" s="1">
        <v>43404</v>
      </c>
      <c r="H2861" t="s">
        <v>9</v>
      </c>
      <c r="I2861" t="s">
        <v>10</v>
      </c>
    </row>
    <row r="2862" spans="1:9" x14ac:dyDescent="0.25">
      <c r="A2862" t="s">
        <v>2694</v>
      </c>
      <c r="B2862" s="26" t="str">
        <f>MID(tbl_forecast[[#This Row],[PACE Job Number]],3,3)</f>
        <v>STX</v>
      </c>
      <c r="C2862" t="s">
        <v>18</v>
      </c>
      <c r="D2862" s="1">
        <v>43434</v>
      </c>
      <c r="E2862" s="1">
        <v>43465</v>
      </c>
      <c r="F2862" s="1">
        <v>43465</v>
      </c>
      <c r="G2862" s="1"/>
      <c r="H2862" t="s">
        <v>4664</v>
      </c>
      <c r="I2862" t="s">
        <v>4665</v>
      </c>
    </row>
    <row r="2863" spans="1:9" x14ac:dyDescent="0.25">
      <c r="A2863" t="s">
        <v>3510</v>
      </c>
      <c r="B2863" s="26" t="str">
        <f>MID(tbl_forecast[[#This Row],[PACE Job Number]],3,3)</f>
        <v>STX</v>
      </c>
      <c r="C2863" t="s">
        <v>18</v>
      </c>
      <c r="D2863" s="1">
        <v>43432</v>
      </c>
      <c r="E2863" s="1">
        <v>43465</v>
      </c>
      <c r="F2863" s="1">
        <v>43465</v>
      </c>
      <c r="G2863" s="1"/>
      <c r="H2863" t="s">
        <v>4664</v>
      </c>
      <c r="I2863" t="s">
        <v>4665</v>
      </c>
    </row>
    <row r="2864" spans="1:9" x14ac:dyDescent="0.25">
      <c r="A2864" t="s">
        <v>5410</v>
      </c>
      <c r="B2864" s="26" t="str">
        <f>MID(tbl_forecast[[#This Row],[PACE Job Number]],3,3)</f>
        <v>STX</v>
      </c>
      <c r="C2864" t="s">
        <v>18</v>
      </c>
      <c r="D2864" s="1">
        <v>43434</v>
      </c>
      <c r="E2864" s="1">
        <v>43434</v>
      </c>
      <c r="F2864" s="1">
        <v>43434</v>
      </c>
      <c r="G2864" s="1"/>
      <c r="H2864" t="s">
        <v>9</v>
      </c>
      <c r="I2864" t="s">
        <v>27</v>
      </c>
    </row>
    <row r="2865" spans="1:9" x14ac:dyDescent="0.25">
      <c r="A2865" t="s">
        <v>3831</v>
      </c>
      <c r="B2865" s="26" t="str">
        <f>MID(tbl_forecast[[#This Row],[PACE Job Number]],3,3)</f>
        <v>WSH</v>
      </c>
      <c r="C2865" t="s">
        <v>18</v>
      </c>
      <c r="D2865" s="1">
        <v>43434</v>
      </c>
      <c r="E2865" s="1">
        <v>43465</v>
      </c>
      <c r="F2865" s="1">
        <v>43465</v>
      </c>
      <c r="G2865" s="1"/>
      <c r="H2865" t="s">
        <v>4664</v>
      </c>
      <c r="I2865" t="s">
        <v>4665</v>
      </c>
    </row>
    <row r="2866" spans="1:9" x14ac:dyDescent="0.25">
      <c r="A2866" t="s">
        <v>4247</v>
      </c>
      <c r="B2866" s="26" t="str">
        <f>MID(tbl_forecast[[#This Row],[PACE Job Number]],3,3)</f>
        <v>WSH</v>
      </c>
      <c r="C2866" t="s">
        <v>18</v>
      </c>
      <c r="D2866" s="1">
        <v>43434</v>
      </c>
      <c r="E2866" s="1">
        <v>43252</v>
      </c>
      <c r="F2866" s="1">
        <v>43431</v>
      </c>
      <c r="G2866" s="1">
        <v>43431</v>
      </c>
      <c r="H2866" t="s">
        <v>9</v>
      </c>
      <c r="I2866" t="s">
        <v>10</v>
      </c>
    </row>
    <row r="2867" spans="1:9" x14ac:dyDescent="0.25">
      <c r="A2867" t="s">
        <v>4535</v>
      </c>
      <c r="B2867" s="26" t="str">
        <f>MID(tbl_forecast[[#This Row],[PACE Job Number]],3,3)</f>
        <v>WSH</v>
      </c>
      <c r="C2867" t="s">
        <v>18</v>
      </c>
      <c r="D2867" s="1">
        <v>43434</v>
      </c>
      <c r="E2867" s="1">
        <v>36524</v>
      </c>
      <c r="F2867" s="1">
        <v>43414</v>
      </c>
      <c r="G2867" s="1">
        <v>43414</v>
      </c>
      <c r="H2867" t="s">
        <v>9</v>
      </c>
      <c r="I2867" t="s">
        <v>10</v>
      </c>
    </row>
    <row r="2868" spans="1:9" x14ac:dyDescent="0.25">
      <c r="A2868" t="s">
        <v>4248</v>
      </c>
      <c r="B2868" s="26" t="str">
        <f>MID(tbl_forecast[[#This Row],[PACE Job Number]],3,3)</f>
        <v>WSH</v>
      </c>
      <c r="C2868" t="s">
        <v>18</v>
      </c>
      <c r="D2868" s="1">
        <v>43434</v>
      </c>
      <c r="E2868" s="1">
        <v>43252</v>
      </c>
      <c r="F2868" s="1">
        <v>43431</v>
      </c>
      <c r="G2868" s="1">
        <v>43431</v>
      </c>
      <c r="H2868" t="s">
        <v>9</v>
      </c>
      <c r="I2868" t="s">
        <v>10</v>
      </c>
    </row>
    <row r="2869" spans="1:9" x14ac:dyDescent="0.25">
      <c r="A2869" t="s">
        <v>4249</v>
      </c>
      <c r="B2869" s="26" t="str">
        <f>MID(tbl_forecast[[#This Row],[PACE Job Number]],3,3)</f>
        <v>WSH</v>
      </c>
      <c r="C2869" t="s">
        <v>18</v>
      </c>
      <c r="D2869" s="1">
        <v>43434</v>
      </c>
      <c r="E2869" s="1">
        <v>43344</v>
      </c>
      <c r="F2869" s="1">
        <v>43465</v>
      </c>
      <c r="G2869" s="1"/>
      <c r="H2869" t="s">
        <v>4664</v>
      </c>
      <c r="I2869" t="s">
        <v>4666</v>
      </c>
    </row>
    <row r="2870" spans="1:9" x14ac:dyDescent="0.25">
      <c r="A2870" t="s">
        <v>361</v>
      </c>
      <c r="B2870" s="26" t="str">
        <f>MID(tbl_forecast[[#This Row],[PACE Job Number]],3,3)</f>
        <v>WSH</v>
      </c>
      <c r="C2870" t="s">
        <v>18</v>
      </c>
      <c r="D2870" s="1">
        <v>43434</v>
      </c>
      <c r="E2870" s="1">
        <v>43465</v>
      </c>
      <c r="F2870" s="1">
        <v>43421</v>
      </c>
      <c r="G2870" s="1">
        <v>43421</v>
      </c>
      <c r="H2870" t="s">
        <v>9</v>
      </c>
      <c r="I2870" t="s">
        <v>10</v>
      </c>
    </row>
    <row r="2871" spans="1:9" x14ac:dyDescent="0.25">
      <c r="A2871" t="s">
        <v>3922</v>
      </c>
      <c r="B2871" s="26" t="str">
        <f>MID(tbl_forecast[[#This Row],[PACE Job Number]],3,3)</f>
        <v>WSH</v>
      </c>
      <c r="C2871" t="s">
        <v>18</v>
      </c>
      <c r="D2871" s="1">
        <v>43434</v>
      </c>
      <c r="E2871" s="1">
        <v>43465</v>
      </c>
      <c r="F2871" s="1">
        <v>43427</v>
      </c>
      <c r="G2871" s="1">
        <v>43427</v>
      </c>
      <c r="H2871" t="s">
        <v>9</v>
      </c>
      <c r="I2871" t="s">
        <v>10</v>
      </c>
    </row>
    <row r="2872" spans="1:9" x14ac:dyDescent="0.25">
      <c r="A2872" t="s">
        <v>177</v>
      </c>
      <c r="B2872" s="26" t="str">
        <f>MID(tbl_forecast[[#This Row],[PACE Job Number]],3,3)</f>
        <v>WSH</v>
      </c>
      <c r="C2872" t="s">
        <v>18</v>
      </c>
      <c r="D2872" s="1">
        <v>43434</v>
      </c>
      <c r="E2872" s="1">
        <v>43465</v>
      </c>
      <c r="F2872" s="1">
        <v>43465</v>
      </c>
      <c r="G2872" s="1"/>
      <c r="H2872" t="s">
        <v>4664</v>
      </c>
      <c r="I2872" t="s">
        <v>4665</v>
      </c>
    </row>
    <row r="2873" spans="1:9" x14ac:dyDescent="0.25">
      <c r="A2873" t="s">
        <v>3833</v>
      </c>
      <c r="B2873" s="26" t="str">
        <f>MID(tbl_forecast[[#This Row],[PACE Job Number]],3,3)</f>
        <v>WSH</v>
      </c>
      <c r="C2873" t="s">
        <v>18</v>
      </c>
      <c r="D2873" s="1">
        <v>43434</v>
      </c>
      <c r="E2873" s="1">
        <v>43361</v>
      </c>
      <c r="F2873" s="1">
        <v>43434</v>
      </c>
      <c r="G2873" s="1"/>
      <c r="H2873" t="s">
        <v>9</v>
      </c>
      <c r="I2873" t="s">
        <v>27</v>
      </c>
    </row>
    <row r="2874" spans="1:9" x14ac:dyDescent="0.25">
      <c r="A2874" t="s">
        <v>4359</v>
      </c>
      <c r="B2874" s="26" t="str">
        <f>MID(tbl_forecast[[#This Row],[PACE Job Number]],3,3)</f>
        <v>NTX</v>
      </c>
      <c r="C2874" t="s">
        <v>18</v>
      </c>
      <c r="D2874" s="1">
        <v>43423</v>
      </c>
      <c r="E2874" s="1">
        <v>36524</v>
      </c>
      <c r="F2874" s="1">
        <v>43444</v>
      </c>
      <c r="G2874" s="1"/>
      <c r="H2874" t="s">
        <v>4664</v>
      </c>
      <c r="I2874" t="s">
        <v>4666</v>
      </c>
    </row>
    <row r="2875" spans="1:9" x14ac:dyDescent="0.25">
      <c r="A2875" t="s">
        <v>4360</v>
      </c>
      <c r="B2875" s="26" t="str">
        <f>MID(tbl_forecast[[#This Row],[PACE Job Number]],3,3)</f>
        <v>NTX</v>
      </c>
      <c r="C2875" t="s">
        <v>18</v>
      </c>
      <c r="D2875" s="1">
        <v>43415</v>
      </c>
      <c r="E2875" s="1">
        <v>43414</v>
      </c>
      <c r="F2875" s="1">
        <v>43417</v>
      </c>
      <c r="G2875" s="1">
        <v>43417</v>
      </c>
      <c r="H2875" t="s">
        <v>9</v>
      </c>
      <c r="I2875" t="s">
        <v>10</v>
      </c>
    </row>
    <row r="2876" spans="1:9" x14ac:dyDescent="0.25">
      <c r="A2876" t="s">
        <v>4141</v>
      </c>
      <c r="B2876" s="26" t="str">
        <f>MID(tbl_forecast[[#This Row],[PACE Job Number]],3,3)</f>
        <v>NTX</v>
      </c>
      <c r="C2876" t="s">
        <v>18</v>
      </c>
      <c r="D2876" s="1">
        <v>43427</v>
      </c>
      <c r="E2876" s="1">
        <v>36524</v>
      </c>
      <c r="F2876" s="1">
        <v>43447</v>
      </c>
      <c r="G2876" s="1"/>
      <c r="H2876" t="s">
        <v>4664</v>
      </c>
      <c r="I2876" t="s">
        <v>4666</v>
      </c>
    </row>
    <row r="2877" spans="1:9" x14ac:dyDescent="0.25">
      <c r="A2877" t="s">
        <v>3502</v>
      </c>
      <c r="B2877" s="26" t="str">
        <f>MID(tbl_forecast[[#This Row],[PACE Job Number]],3,3)</f>
        <v>NTX</v>
      </c>
      <c r="C2877" t="s">
        <v>18</v>
      </c>
      <c r="D2877" s="1">
        <v>43418</v>
      </c>
      <c r="E2877" s="1">
        <v>36524</v>
      </c>
      <c r="F2877" s="1">
        <v>43444</v>
      </c>
      <c r="G2877" s="1"/>
      <c r="H2877" t="s">
        <v>4664</v>
      </c>
      <c r="I2877" t="s">
        <v>4666</v>
      </c>
    </row>
    <row r="2878" spans="1:9" x14ac:dyDescent="0.25">
      <c r="A2878" t="s">
        <v>4361</v>
      </c>
      <c r="B2878" s="26" t="str">
        <f>MID(tbl_forecast[[#This Row],[PACE Job Number]],3,3)</f>
        <v>NTX</v>
      </c>
      <c r="C2878" t="s">
        <v>18</v>
      </c>
      <c r="D2878" s="1">
        <v>43431</v>
      </c>
      <c r="E2878" s="1">
        <v>43416</v>
      </c>
      <c r="F2878" s="1">
        <v>43602</v>
      </c>
      <c r="G2878" s="1"/>
      <c r="H2878" t="s">
        <v>4664</v>
      </c>
      <c r="I2878" t="s">
        <v>4666</v>
      </c>
    </row>
    <row r="2879" spans="1:9" x14ac:dyDescent="0.25">
      <c r="A2879" t="s">
        <v>4142</v>
      </c>
      <c r="B2879" s="26" t="str">
        <f>MID(tbl_forecast[[#This Row],[PACE Job Number]],3,3)</f>
        <v>NTX</v>
      </c>
      <c r="C2879" t="s">
        <v>18</v>
      </c>
      <c r="D2879" s="1">
        <v>43427</v>
      </c>
      <c r="E2879" s="1">
        <v>36524</v>
      </c>
      <c r="F2879" s="1">
        <v>43447</v>
      </c>
      <c r="G2879" s="1"/>
      <c r="H2879" t="s">
        <v>4664</v>
      </c>
      <c r="I2879" t="s">
        <v>4666</v>
      </c>
    </row>
    <row r="2880" spans="1:9" x14ac:dyDescent="0.25">
      <c r="A2880" t="s">
        <v>3881</v>
      </c>
      <c r="B2880" s="26" t="str">
        <f>MID(tbl_forecast[[#This Row],[PACE Job Number]],3,3)</f>
        <v>NTX</v>
      </c>
      <c r="C2880" t="s">
        <v>18</v>
      </c>
      <c r="D2880" s="1">
        <v>43416</v>
      </c>
      <c r="E2880" s="1">
        <v>43416</v>
      </c>
      <c r="F2880" s="1">
        <v>43454</v>
      </c>
      <c r="G2880" s="1"/>
      <c r="H2880" t="s">
        <v>4664</v>
      </c>
      <c r="I2880" t="s">
        <v>4666</v>
      </c>
    </row>
    <row r="2881" spans="1:9" x14ac:dyDescent="0.25">
      <c r="A2881" t="s">
        <v>1096</v>
      </c>
      <c r="B2881" s="26" t="str">
        <f>MID(tbl_forecast[[#This Row],[PACE Job Number]],3,3)</f>
        <v>NTX</v>
      </c>
      <c r="C2881" t="s">
        <v>18</v>
      </c>
      <c r="D2881" s="1">
        <v>43431</v>
      </c>
      <c r="E2881" s="1">
        <v>43428</v>
      </c>
      <c r="F2881" s="1">
        <v>43462</v>
      </c>
      <c r="G2881" s="1"/>
      <c r="H2881" t="s">
        <v>4664</v>
      </c>
      <c r="I2881" t="s">
        <v>4666</v>
      </c>
    </row>
    <row r="2882" spans="1:9" x14ac:dyDescent="0.25">
      <c r="A2882" t="s">
        <v>3464</v>
      </c>
      <c r="B2882" s="26" t="str">
        <f>MID(tbl_forecast[[#This Row],[PACE Job Number]],3,3)</f>
        <v>NTX</v>
      </c>
      <c r="C2882" t="s">
        <v>18</v>
      </c>
      <c r="D2882" s="1">
        <v>43418</v>
      </c>
      <c r="E2882" s="1">
        <v>36524</v>
      </c>
      <c r="F2882" s="1">
        <v>43444</v>
      </c>
      <c r="G2882" s="1"/>
      <c r="H2882" t="s">
        <v>4664</v>
      </c>
      <c r="I2882" t="s">
        <v>4666</v>
      </c>
    </row>
    <row r="2883" spans="1:9" x14ac:dyDescent="0.25">
      <c r="A2883" t="s">
        <v>3477</v>
      </c>
      <c r="B2883" s="26" t="str">
        <f>MID(tbl_forecast[[#This Row],[PACE Job Number]],3,3)</f>
        <v>NTX</v>
      </c>
      <c r="C2883" t="s">
        <v>18</v>
      </c>
      <c r="D2883" s="1">
        <v>43434</v>
      </c>
      <c r="E2883" s="1">
        <v>43396</v>
      </c>
      <c r="F2883" s="1">
        <v>43419</v>
      </c>
      <c r="G2883" s="1">
        <v>43419</v>
      </c>
      <c r="H2883" t="s">
        <v>9</v>
      </c>
      <c r="I2883" t="s">
        <v>10</v>
      </c>
    </row>
    <row r="2884" spans="1:9" x14ac:dyDescent="0.25">
      <c r="A2884" t="s">
        <v>3304</v>
      </c>
      <c r="B2884" s="26" t="str">
        <f>MID(tbl_forecast[[#This Row],[PACE Job Number]],3,3)</f>
        <v>STX</v>
      </c>
      <c r="C2884" t="s">
        <v>18</v>
      </c>
      <c r="D2884" s="1">
        <v>43434</v>
      </c>
      <c r="E2884" s="1">
        <v>43434</v>
      </c>
      <c r="F2884" s="1">
        <v>43434</v>
      </c>
      <c r="G2884" s="1"/>
      <c r="H2884" t="s">
        <v>9</v>
      </c>
      <c r="I2884" t="s">
        <v>27</v>
      </c>
    </row>
    <row r="2885" spans="1:9" x14ac:dyDescent="0.25">
      <c r="A2885" t="s">
        <v>5414</v>
      </c>
      <c r="B2885" s="26" t="str">
        <f>MID(tbl_forecast[[#This Row],[PACE Job Number]],3,3)</f>
        <v>STX</v>
      </c>
      <c r="C2885" t="s">
        <v>18</v>
      </c>
      <c r="D2885" s="1">
        <v>43434</v>
      </c>
      <c r="E2885" s="1">
        <v>43434</v>
      </c>
      <c r="F2885" s="1">
        <v>43434</v>
      </c>
      <c r="G2885" s="1"/>
      <c r="H2885" t="s">
        <v>9</v>
      </c>
      <c r="I2885" t="s">
        <v>27</v>
      </c>
    </row>
    <row r="2886" spans="1:9" x14ac:dyDescent="0.25">
      <c r="A2886" t="s">
        <v>4364</v>
      </c>
      <c r="B2886" s="26" t="str">
        <f>MID(tbl_forecast[[#This Row],[PACE Job Number]],3,3)</f>
        <v>STX</v>
      </c>
      <c r="C2886" t="s">
        <v>18</v>
      </c>
      <c r="D2886" s="1">
        <v>43434</v>
      </c>
      <c r="E2886" s="1">
        <v>43434</v>
      </c>
      <c r="F2886" s="1">
        <v>43434</v>
      </c>
      <c r="G2886" s="1"/>
      <c r="H2886" t="s">
        <v>9</v>
      </c>
      <c r="I2886" t="s">
        <v>27</v>
      </c>
    </row>
    <row r="2887" spans="1:9" x14ac:dyDescent="0.25">
      <c r="A2887" t="s">
        <v>4365</v>
      </c>
      <c r="B2887" s="26" t="str">
        <f>MID(tbl_forecast[[#This Row],[PACE Job Number]],3,3)</f>
        <v>STX</v>
      </c>
      <c r="C2887" t="s">
        <v>18</v>
      </c>
      <c r="D2887" s="1">
        <v>43434</v>
      </c>
      <c r="E2887" s="1">
        <v>43434</v>
      </c>
      <c r="F2887" s="1">
        <v>43425</v>
      </c>
      <c r="G2887" s="1">
        <v>43425</v>
      </c>
      <c r="H2887" t="s">
        <v>9</v>
      </c>
      <c r="I2887" t="s">
        <v>10</v>
      </c>
    </row>
    <row r="2888" spans="1:9" x14ac:dyDescent="0.25">
      <c r="A2888" t="s">
        <v>3784</v>
      </c>
      <c r="B2888" s="26" t="str">
        <f>MID(tbl_forecast[[#This Row],[PACE Job Number]],3,3)</f>
        <v>WSH</v>
      </c>
      <c r="C2888" t="s">
        <v>18</v>
      </c>
      <c r="D2888" s="1">
        <v>43434</v>
      </c>
      <c r="E2888" s="1">
        <v>43465</v>
      </c>
      <c r="F2888" s="1">
        <v>43410</v>
      </c>
      <c r="G2888" s="1">
        <v>43410</v>
      </c>
      <c r="H2888" t="s">
        <v>9</v>
      </c>
      <c r="I2888" t="s">
        <v>10</v>
      </c>
    </row>
    <row r="2889" spans="1:9" x14ac:dyDescent="0.25">
      <c r="A2889" t="s">
        <v>3785</v>
      </c>
      <c r="B2889" s="26" t="str">
        <f>MID(tbl_forecast[[#This Row],[PACE Job Number]],3,3)</f>
        <v>WSH</v>
      </c>
      <c r="C2889" t="s">
        <v>18</v>
      </c>
      <c r="D2889" s="1">
        <v>43434</v>
      </c>
      <c r="E2889" s="1">
        <v>43361</v>
      </c>
      <c r="F2889" s="1">
        <v>43423</v>
      </c>
      <c r="G2889" s="1">
        <v>43423</v>
      </c>
      <c r="H2889" t="s">
        <v>9</v>
      </c>
      <c r="I2889" t="s">
        <v>10</v>
      </c>
    </row>
    <row r="2890" spans="1:9" x14ac:dyDescent="0.25">
      <c r="A2890" t="s">
        <v>314</v>
      </c>
      <c r="B2890" s="26" t="str">
        <f>MID(tbl_forecast[[#This Row],[PACE Job Number]],3,3)</f>
        <v>WSH</v>
      </c>
      <c r="C2890" t="s">
        <v>18</v>
      </c>
      <c r="D2890" s="1">
        <v>43434</v>
      </c>
      <c r="E2890" s="1">
        <v>43314</v>
      </c>
      <c r="F2890" s="1">
        <v>43465</v>
      </c>
      <c r="G2890" s="1"/>
      <c r="H2890" t="s">
        <v>4664</v>
      </c>
      <c r="I2890" t="s">
        <v>4666</v>
      </c>
    </row>
    <row r="2891" spans="1:9" x14ac:dyDescent="0.25">
      <c r="A2891" t="s">
        <v>93</v>
      </c>
      <c r="B2891" s="26" t="str">
        <f>MID(tbl_forecast[[#This Row],[PACE Job Number]],3,3)</f>
        <v>WSH</v>
      </c>
      <c r="C2891" t="s">
        <v>18</v>
      </c>
      <c r="D2891" s="1">
        <v>43434</v>
      </c>
      <c r="E2891" s="1">
        <v>43314</v>
      </c>
      <c r="F2891" s="1">
        <v>43465</v>
      </c>
      <c r="G2891" s="1"/>
      <c r="H2891" t="s">
        <v>4664</v>
      </c>
      <c r="I2891" t="s">
        <v>4666</v>
      </c>
    </row>
    <row r="2892" spans="1:9" x14ac:dyDescent="0.25">
      <c r="A2892" t="s">
        <v>306</v>
      </c>
      <c r="B2892" s="26" t="str">
        <f>MID(tbl_forecast[[#This Row],[PACE Job Number]],3,3)</f>
        <v>WSH</v>
      </c>
      <c r="C2892" t="s">
        <v>18</v>
      </c>
      <c r="D2892" s="1">
        <v>43434</v>
      </c>
      <c r="E2892" s="1">
        <v>43344</v>
      </c>
      <c r="F2892" s="1">
        <v>43434</v>
      </c>
      <c r="G2892" s="1"/>
      <c r="H2892" t="s">
        <v>9</v>
      </c>
      <c r="I2892" t="s">
        <v>27</v>
      </c>
    </row>
    <row r="2893" spans="1:9" x14ac:dyDescent="0.25">
      <c r="A2893" t="s">
        <v>298</v>
      </c>
      <c r="B2893" s="26" t="str">
        <f>MID(tbl_forecast[[#This Row],[PACE Job Number]],3,3)</f>
        <v>WSH</v>
      </c>
      <c r="C2893" t="s">
        <v>18</v>
      </c>
      <c r="D2893" s="1">
        <v>43434</v>
      </c>
      <c r="E2893" s="1">
        <v>43314</v>
      </c>
      <c r="F2893" s="1">
        <v>43465</v>
      </c>
      <c r="G2893" s="1"/>
      <c r="H2893" t="s">
        <v>4664</v>
      </c>
      <c r="I2893" t="s">
        <v>4666</v>
      </c>
    </row>
    <row r="2894" spans="1:9" x14ac:dyDescent="0.25">
      <c r="A2894" t="s">
        <v>160</v>
      </c>
      <c r="B2894" s="26" t="str">
        <f>MID(tbl_forecast[[#This Row],[PACE Job Number]],3,3)</f>
        <v>WSH</v>
      </c>
      <c r="C2894" t="s">
        <v>18</v>
      </c>
      <c r="D2894" s="1">
        <v>43434</v>
      </c>
      <c r="E2894" s="1">
        <v>43301</v>
      </c>
      <c r="F2894" s="1">
        <v>43414</v>
      </c>
      <c r="G2894" s="1">
        <v>43414</v>
      </c>
      <c r="H2894" t="s">
        <v>9</v>
      </c>
      <c r="I2894" t="s">
        <v>10</v>
      </c>
    </row>
    <row r="2895" spans="1:9" x14ac:dyDescent="0.25">
      <c r="A2895" t="s">
        <v>5274</v>
      </c>
      <c r="B2895" s="26" t="str">
        <f>MID(tbl_forecast[[#This Row],[PACE Job Number]],3,3)</f>
        <v>WSH</v>
      </c>
      <c r="C2895" t="s">
        <v>18</v>
      </c>
      <c r="D2895" s="1">
        <v>43434</v>
      </c>
      <c r="E2895" s="1">
        <v>43258</v>
      </c>
      <c r="F2895" s="1">
        <v>43465</v>
      </c>
      <c r="G2895" s="1"/>
      <c r="H2895" t="s">
        <v>4664</v>
      </c>
      <c r="I2895" t="s">
        <v>4666</v>
      </c>
    </row>
    <row r="2896" spans="1:9" x14ac:dyDescent="0.25">
      <c r="A2896" t="s">
        <v>123</v>
      </c>
      <c r="B2896" s="26" t="str">
        <f>MID(tbl_forecast[[#This Row],[PACE Job Number]],3,3)</f>
        <v>WSH</v>
      </c>
      <c r="C2896" t="s">
        <v>18</v>
      </c>
      <c r="D2896" s="1">
        <v>43434</v>
      </c>
      <c r="E2896" s="1">
        <v>43344</v>
      </c>
      <c r="F2896" s="1">
        <v>43434</v>
      </c>
      <c r="G2896" s="1"/>
      <c r="H2896" t="s">
        <v>9</v>
      </c>
      <c r="I2896" t="s">
        <v>27</v>
      </c>
    </row>
    <row r="2897" spans="1:9" x14ac:dyDescent="0.25">
      <c r="A2897" t="s">
        <v>4273</v>
      </c>
      <c r="B2897" s="26" t="str">
        <f>MID(tbl_forecast[[#This Row],[PACE Job Number]],3,3)</f>
        <v>WSH</v>
      </c>
      <c r="C2897" t="s">
        <v>18</v>
      </c>
      <c r="D2897" s="1">
        <v>43434</v>
      </c>
      <c r="E2897" s="1">
        <v>43374</v>
      </c>
      <c r="F2897" s="1">
        <v>43431</v>
      </c>
      <c r="G2897" s="1">
        <v>43431</v>
      </c>
      <c r="H2897" t="s">
        <v>9</v>
      </c>
      <c r="I2897" t="s">
        <v>10</v>
      </c>
    </row>
    <row r="2898" spans="1:9" x14ac:dyDescent="0.25">
      <c r="A2898" t="s">
        <v>215</v>
      </c>
      <c r="B2898" s="26" t="str">
        <f>MID(tbl_forecast[[#This Row],[PACE Job Number]],3,3)</f>
        <v>WSH</v>
      </c>
      <c r="C2898" t="s">
        <v>18</v>
      </c>
      <c r="D2898" s="1">
        <v>43434</v>
      </c>
      <c r="E2898" s="1">
        <v>43314</v>
      </c>
      <c r="F2898" s="1">
        <v>43465</v>
      </c>
      <c r="G2898" s="1"/>
      <c r="H2898" t="s">
        <v>4664</v>
      </c>
      <c r="I2898" t="s">
        <v>4666</v>
      </c>
    </row>
    <row r="2899" spans="1:9" x14ac:dyDescent="0.25">
      <c r="A2899" t="s">
        <v>5547</v>
      </c>
      <c r="B2899" s="26" t="str">
        <f>MID(tbl_forecast[[#This Row],[PACE Job Number]],3,3)</f>
        <v>NTX</v>
      </c>
      <c r="C2899" t="s">
        <v>18</v>
      </c>
      <c r="D2899" s="1">
        <v>43417</v>
      </c>
      <c r="E2899" s="1">
        <v>43417</v>
      </c>
      <c r="F2899" s="1">
        <v>43432</v>
      </c>
      <c r="G2899" s="1">
        <v>43432</v>
      </c>
      <c r="H2899" t="s">
        <v>4664</v>
      </c>
      <c r="I2899" t="s">
        <v>10</v>
      </c>
    </row>
    <row r="2900" spans="1:9" x14ac:dyDescent="0.25">
      <c r="A2900" t="s">
        <v>2316</v>
      </c>
      <c r="B2900" s="26" t="str">
        <f>MID(tbl_forecast[[#This Row],[PACE Job Number]],3,3)</f>
        <v>NTX</v>
      </c>
      <c r="C2900" t="s">
        <v>18</v>
      </c>
      <c r="D2900" s="1">
        <v>43430</v>
      </c>
      <c r="E2900" s="1">
        <v>36524</v>
      </c>
      <c r="F2900" s="1">
        <v>43460</v>
      </c>
      <c r="G2900" s="1"/>
      <c r="H2900" t="s">
        <v>4664</v>
      </c>
      <c r="I2900" t="s">
        <v>4666</v>
      </c>
    </row>
    <row r="2901" spans="1:9" x14ac:dyDescent="0.25">
      <c r="A2901" t="s">
        <v>3914</v>
      </c>
      <c r="B2901" s="26" t="str">
        <f>MID(tbl_forecast[[#This Row],[PACE Job Number]],3,3)</f>
        <v>NTX</v>
      </c>
      <c r="C2901" t="s">
        <v>18</v>
      </c>
      <c r="D2901" s="1">
        <v>43430</v>
      </c>
      <c r="E2901" s="1">
        <v>36524</v>
      </c>
      <c r="F2901" s="1">
        <v>43441</v>
      </c>
      <c r="G2901" s="1"/>
      <c r="H2901" t="s">
        <v>9</v>
      </c>
      <c r="I2901" t="s">
        <v>27</v>
      </c>
    </row>
    <row r="2902" spans="1:9" x14ac:dyDescent="0.25">
      <c r="A2902" t="s">
        <v>4502</v>
      </c>
      <c r="B2902" s="26" t="str">
        <f>MID(tbl_forecast[[#This Row],[PACE Job Number]],3,3)</f>
        <v>NTX</v>
      </c>
      <c r="C2902" t="s">
        <v>18</v>
      </c>
      <c r="D2902" s="1">
        <v>43428</v>
      </c>
      <c r="E2902" s="1">
        <v>36524</v>
      </c>
      <c r="F2902" s="1">
        <v>43524</v>
      </c>
      <c r="G2902" s="1"/>
      <c r="H2902" t="s">
        <v>4664</v>
      </c>
      <c r="I2902" t="s">
        <v>4666</v>
      </c>
    </row>
    <row r="2903" spans="1:9" x14ac:dyDescent="0.25">
      <c r="A2903" t="s">
        <v>5275</v>
      </c>
      <c r="B2903" s="26" t="str">
        <f>MID(tbl_forecast[[#This Row],[PACE Job Number]],3,3)</f>
        <v>WSH</v>
      </c>
      <c r="C2903" t="s">
        <v>18</v>
      </c>
      <c r="D2903" s="1">
        <v>43434</v>
      </c>
      <c r="E2903" s="1">
        <v>43465</v>
      </c>
      <c r="F2903" s="1">
        <v>43434</v>
      </c>
      <c r="G2903" s="1"/>
      <c r="H2903" t="s">
        <v>9</v>
      </c>
      <c r="I2903" t="s">
        <v>44</v>
      </c>
    </row>
    <row r="2904" spans="1:9" x14ac:dyDescent="0.25">
      <c r="A2904" t="s">
        <v>5276</v>
      </c>
      <c r="B2904" s="26" t="str">
        <f>MID(tbl_forecast[[#This Row],[PACE Job Number]],3,3)</f>
        <v>WSH</v>
      </c>
      <c r="C2904" t="s">
        <v>18</v>
      </c>
      <c r="D2904" s="1">
        <v>43434</v>
      </c>
      <c r="E2904" s="1">
        <v>43465</v>
      </c>
      <c r="F2904" s="1">
        <v>43465</v>
      </c>
      <c r="G2904" s="1"/>
      <c r="H2904" t="s">
        <v>4664</v>
      </c>
      <c r="I2904" t="s">
        <v>4665</v>
      </c>
    </row>
    <row r="2905" spans="1:9" x14ac:dyDescent="0.25">
      <c r="A2905" t="s">
        <v>3834</v>
      </c>
      <c r="B2905" s="26" t="str">
        <f>MID(tbl_forecast[[#This Row],[PACE Job Number]],3,3)</f>
        <v>WSH</v>
      </c>
      <c r="C2905" t="s">
        <v>18</v>
      </c>
      <c r="D2905" s="1">
        <v>43434</v>
      </c>
      <c r="E2905" s="1">
        <v>43465</v>
      </c>
      <c r="F2905" s="1">
        <v>43427</v>
      </c>
      <c r="G2905" s="1">
        <v>43427</v>
      </c>
      <c r="H2905" t="s">
        <v>9</v>
      </c>
      <c r="I2905" t="s">
        <v>10</v>
      </c>
    </row>
    <row r="2906" spans="1:9" x14ac:dyDescent="0.25">
      <c r="A2906" t="s">
        <v>5277</v>
      </c>
      <c r="B2906" s="26" t="str">
        <f>MID(tbl_forecast[[#This Row],[PACE Job Number]],3,3)</f>
        <v>WSH</v>
      </c>
      <c r="C2906" t="s">
        <v>18</v>
      </c>
      <c r="D2906" s="1">
        <v>43434</v>
      </c>
      <c r="E2906" s="1">
        <v>43465</v>
      </c>
      <c r="F2906" s="1">
        <v>43434</v>
      </c>
      <c r="G2906" s="1"/>
      <c r="H2906" t="s">
        <v>9</v>
      </c>
      <c r="I2906" t="s">
        <v>44</v>
      </c>
    </row>
    <row r="2907" spans="1:9" x14ac:dyDescent="0.25">
      <c r="A2907" t="s">
        <v>3456</v>
      </c>
      <c r="B2907" s="26" t="str">
        <f>MID(tbl_forecast[[#This Row],[PACE Job Number]],3,3)</f>
        <v>WSH</v>
      </c>
      <c r="C2907" t="s">
        <v>18</v>
      </c>
      <c r="D2907" s="1">
        <v>43434</v>
      </c>
      <c r="E2907" s="1">
        <v>43465</v>
      </c>
      <c r="F2907" s="1">
        <v>43421</v>
      </c>
      <c r="G2907" s="1">
        <v>43421</v>
      </c>
      <c r="H2907" t="s">
        <v>9</v>
      </c>
      <c r="I2907" t="s">
        <v>10</v>
      </c>
    </row>
    <row r="2908" spans="1:9" x14ac:dyDescent="0.25">
      <c r="A2908" t="s">
        <v>366</v>
      </c>
      <c r="B2908" s="26" t="str">
        <f>MID(tbl_forecast[[#This Row],[PACE Job Number]],3,3)</f>
        <v>WSH</v>
      </c>
      <c r="C2908" t="s">
        <v>18</v>
      </c>
      <c r="D2908" s="1">
        <v>43434</v>
      </c>
      <c r="E2908" s="1">
        <v>43465</v>
      </c>
      <c r="F2908" s="1">
        <v>43434</v>
      </c>
      <c r="G2908" s="1"/>
      <c r="H2908" t="s">
        <v>9</v>
      </c>
      <c r="I2908" t="s">
        <v>44</v>
      </c>
    </row>
    <row r="2909" spans="1:9" x14ac:dyDescent="0.25">
      <c r="A2909" t="s">
        <v>270</v>
      </c>
      <c r="B2909" s="26" t="str">
        <f>MID(tbl_forecast[[#This Row],[PACE Job Number]],3,3)</f>
        <v>WSH</v>
      </c>
      <c r="C2909" t="s">
        <v>18</v>
      </c>
      <c r="D2909" s="1">
        <v>43434</v>
      </c>
      <c r="E2909" s="1">
        <v>43465</v>
      </c>
      <c r="F2909" s="1">
        <v>43432</v>
      </c>
      <c r="G2909" s="1">
        <v>43432</v>
      </c>
      <c r="H2909" t="s">
        <v>9</v>
      </c>
      <c r="I2909" t="s">
        <v>10</v>
      </c>
    </row>
    <row r="2910" spans="1:9" x14ac:dyDescent="0.25">
      <c r="A2910" t="s">
        <v>5417</v>
      </c>
      <c r="B2910" s="26" t="str">
        <f>MID(tbl_forecast[[#This Row],[PACE Job Number]],3,3)</f>
        <v>WSH</v>
      </c>
      <c r="C2910" t="s">
        <v>18</v>
      </c>
      <c r="D2910" s="1">
        <v>43434</v>
      </c>
      <c r="E2910" s="1">
        <v>43465</v>
      </c>
      <c r="F2910" s="1">
        <v>43465</v>
      </c>
      <c r="G2910" s="1"/>
      <c r="H2910" t="s">
        <v>4664</v>
      </c>
      <c r="I2910" t="s">
        <v>4665</v>
      </c>
    </row>
    <row r="2911" spans="1:9" x14ac:dyDescent="0.25">
      <c r="A2911" t="s">
        <v>3837</v>
      </c>
      <c r="B2911" s="26" t="str">
        <f>MID(tbl_forecast[[#This Row],[PACE Job Number]],3,3)</f>
        <v>WSH</v>
      </c>
      <c r="C2911" t="s">
        <v>18</v>
      </c>
      <c r="D2911" s="1">
        <v>43434</v>
      </c>
      <c r="E2911" s="1">
        <v>43459</v>
      </c>
      <c r="F2911" s="1">
        <v>43465</v>
      </c>
      <c r="G2911" s="1"/>
      <c r="H2911" t="s">
        <v>4664</v>
      </c>
      <c r="I2911" t="s">
        <v>4665</v>
      </c>
    </row>
    <row r="2912" spans="1:9" x14ac:dyDescent="0.25">
      <c r="A2912" t="s">
        <v>4252</v>
      </c>
      <c r="B2912" s="26" t="str">
        <f>MID(tbl_forecast[[#This Row],[PACE Job Number]],3,3)</f>
        <v>WSH</v>
      </c>
      <c r="C2912" t="s">
        <v>18</v>
      </c>
      <c r="D2912" s="1">
        <v>43434</v>
      </c>
      <c r="E2912" s="1">
        <v>43223</v>
      </c>
      <c r="F2912" s="1">
        <v>43418</v>
      </c>
      <c r="G2912" s="1">
        <v>43418</v>
      </c>
      <c r="H2912" t="s">
        <v>9</v>
      </c>
      <c r="I2912" t="s">
        <v>10</v>
      </c>
    </row>
    <row r="2913" spans="1:9" x14ac:dyDescent="0.25">
      <c r="A2913" t="s">
        <v>5509</v>
      </c>
      <c r="B2913" s="26" t="str">
        <f>MID(tbl_forecast[[#This Row],[PACE Job Number]],3,3)</f>
        <v>WSH</v>
      </c>
      <c r="C2913" t="s">
        <v>18</v>
      </c>
      <c r="D2913" s="1">
        <v>43434</v>
      </c>
      <c r="E2913" s="1">
        <v>36524</v>
      </c>
      <c r="F2913" s="1">
        <v>43434</v>
      </c>
      <c r="G2913" s="1"/>
      <c r="H2913" t="s">
        <v>9</v>
      </c>
      <c r="I2913" t="s">
        <v>27</v>
      </c>
    </row>
    <row r="2914" spans="1:9" x14ac:dyDescent="0.25">
      <c r="A2914" t="s">
        <v>5418</v>
      </c>
      <c r="B2914" s="26" t="str">
        <f>MID(tbl_forecast[[#This Row],[PACE Job Number]],3,3)</f>
        <v>WSH</v>
      </c>
      <c r="C2914" t="s">
        <v>18</v>
      </c>
      <c r="D2914" s="1">
        <v>43434</v>
      </c>
      <c r="E2914" s="1">
        <v>43465</v>
      </c>
      <c r="F2914" s="1">
        <v>43465</v>
      </c>
      <c r="G2914" s="1"/>
      <c r="H2914" t="s">
        <v>4664</v>
      </c>
      <c r="I2914" t="s">
        <v>4665</v>
      </c>
    </row>
    <row r="2915" spans="1:9" x14ac:dyDescent="0.25">
      <c r="A2915" t="s">
        <v>4253</v>
      </c>
      <c r="B2915" s="26" t="str">
        <f>MID(tbl_forecast[[#This Row],[PACE Job Number]],3,3)</f>
        <v>WSH</v>
      </c>
      <c r="C2915" t="s">
        <v>18</v>
      </c>
      <c r="D2915" s="1">
        <v>43434</v>
      </c>
      <c r="E2915" s="1">
        <v>43223</v>
      </c>
      <c r="F2915" s="1">
        <v>43465</v>
      </c>
      <c r="G2915" s="1"/>
      <c r="H2915" t="s">
        <v>4664</v>
      </c>
      <c r="I2915" t="s">
        <v>4666</v>
      </c>
    </row>
    <row r="2916" spans="1:9" x14ac:dyDescent="0.25">
      <c r="A2916" t="s">
        <v>4254</v>
      </c>
      <c r="B2916" s="26" t="str">
        <f>MID(tbl_forecast[[#This Row],[PACE Job Number]],3,3)</f>
        <v>WSH</v>
      </c>
      <c r="C2916" t="s">
        <v>18</v>
      </c>
      <c r="D2916" s="1">
        <v>43434</v>
      </c>
      <c r="E2916" s="1">
        <v>43223</v>
      </c>
      <c r="F2916" s="1">
        <v>43465</v>
      </c>
      <c r="G2916" s="1"/>
      <c r="H2916" t="s">
        <v>4664</v>
      </c>
      <c r="I2916" t="s">
        <v>4666</v>
      </c>
    </row>
    <row r="2917" spans="1:9" x14ac:dyDescent="0.25">
      <c r="A2917" t="s">
        <v>5282</v>
      </c>
      <c r="B2917" s="26" t="str">
        <f>MID(tbl_forecast[[#This Row],[PACE Job Number]],3,3)</f>
        <v>WSH</v>
      </c>
      <c r="C2917" t="s">
        <v>18</v>
      </c>
      <c r="D2917" s="1">
        <v>43434</v>
      </c>
      <c r="E2917" s="1">
        <v>43465</v>
      </c>
      <c r="F2917" s="1">
        <v>43430</v>
      </c>
      <c r="G2917" s="1">
        <v>43430</v>
      </c>
      <c r="H2917" t="s">
        <v>9</v>
      </c>
      <c r="I2917" t="s">
        <v>10</v>
      </c>
    </row>
    <row r="2918" spans="1:9" x14ac:dyDescent="0.25">
      <c r="A2918" t="s">
        <v>4255</v>
      </c>
      <c r="B2918" s="26" t="str">
        <f>MID(tbl_forecast[[#This Row],[PACE Job Number]],3,3)</f>
        <v>WSH</v>
      </c>
      <c r="C2918" t="s">
        <v>18</v>
      </c>
      <c r="D2918" s="1">
        <v>43434</v>
      </c>
      <c r="E2918" s="1">
        <v>43223</v>
      </c>
      <c r="F2918" s="1">
        <v>43418</v>
      </c>
      <c r="G2918" s="1">
        <v>43418</v>
      </c>
      <c r="H2918" t="s">
        <v>9</v>
      </c>
      <c r="I2918" t="s">
        <v>10</v>
      </c>
    </row>
    <row r="2919" spans="1:9" x14ac:dyDescent="0.25">
      <c r="A2919" t="s">
        <v>5283</v>
      </c>
      <c r="B2919" s="26" t="str">
        <f>MID(tbl_forecast[[#This Row],[PACE Job Number]],3,3)</f>
        <v>WSH</v>
      </c>
      <c r="C2919" t="s">
        <v>18</v>
      </c>
      <c r="D2919" s="1">
        <v>43434</v>
      </c>
      <c r="E2919" s="1">
        <v>43465</v>
      </c>
      <c r="F2919" s="1">
        <v>43432</v>
      </c>
      <c r="G2919" s="1">
        <v>43432</v>
      </c>
      <c r="H2919" t="s">
        <v>9</v>
      </c>
      <c r="I2919" t="s">
        <v>10</v>
      </c>
    </row>
    <row r="2920" spans="1:9" x14ac:dyDescent="0.25">
      <c r="A2920" t="s">
        <v>4256</v>
      </c>
      <c r="B2920" s="26" t="str">
        <f>MID(tbl_forecast[[#This Row],[PACE Job Number]],3,3)</f>
        <v>WSH</v>
      </c>
      <c r="C2920" t="s">
        <v>18</v>
      </c>
      <c r="D2920" s="1">
        <v>43434</v>
      </c>
      <c r="E2920" s="1">
        <v>43465</v>
      </c>
      <c r="F2920" s="1">
        <v>43421</v>
      </c>
      <c r="G2920" s="1">
        <v>43421</v>
      </c>
      <c r="H2920" t="s">
        <v>9</v>
      </c>
      <c r="I2920" t="s">
        <v>10</v>
      </c>
    </row>
    <row r="2921" spans="1:9" x14ac:dyDescent="0.25">
      <c r="A2921" t="s">
        <v>4257</v>
      </c>
      <c r="B2921" s="26" t="str">
        <f>MID(tbl_forecast[[#This Row],[PACE Job Number]],3,3)</f>
        <v>WSH</v>
      </c>
      <c r="C2921" t="s">
        <v>18</v>
      </c>
      <c r="D2921" s="1">
        <v>43434</v>
      </c>
      <c r="E2921" s="1">
        <v>43276</v>
      </c>
      <c r="F2921" s="1">
        <v>43465</v>
      </c>
      <c r="G2921" s="1"/>
      <c r="H2921" t="s">
        <v>4664</v>
      </c>
      <c r="I2921" t="s">
        <v>4666</v>
      </c>
    </row>
    <row r="2922" spans="1:9" x14ac:dyDescent="0.25">
      <c r="A2922" t="s">
        <v>4258</v>
      </c>
      <c r="B2922" s="26" t="str">
        <f>MID(tbl_forecast[[#This Row],[PACE Job Number]],3,3)</f>
        <v>WSH</v>
      </c>
      <c r="C2922" t="s">
        <v>18</v>
      </c>
      <c r="D2922" s="1">
        <v>43434</v>
      </c>
      <c r="E2922" s="1">
        <v>43223</v>
      </c>
      <c r="F2922" s="1">
        <v>43418</v>
      </c>
      <c r="G2922" s="1">
        <v>43418</v>
      </c>
      <c r="H2922" t="s">
        <v>9</v>
      </c>
      <c r="I2922" t="s">
        <v>10</v>
      </c>
    </row>
    <row r="2923" spans="1:9" x14ac:dyDescent="0.25">
      <c r="A2923" t="s">
        <v>317</v>
      </c>
      <c r="B2923" s="26" t="str">
        <f>MID(tbl_forecast[[#This Row],[PACE Job Number]],3,3)</f>
        <v>STX</v>
      </c>
      <c r="C2923" t="s">
        <v>18</v>
      </c>
      <c r="D2923" s="1">
        <v>43434</v>
      </c>
      <c r="E2923" s="1">
        <v>43434</v>
      </c>
      <c r="F2923" s="1">
        <v>43416</v>
      </c>
      <c r="G2923" s="1">
        <v>43416</v>
      </c>
      <c r="H2923" t="s">
        <v>9</v>
      </c>
      <c r="I2923" t="s">
        <v>10</v>
      </c>
    </row>
    <row r="2924" spans="1:9" x14ac:dyDescent="0.25">
      <c r="A2924" t="s">
        <v>689</v>
      </c>
      <c r="B2924" s="26" t="str">
        <f>MID(tbl_forecast[[#This Row],[PACE Job Number]],3,3)</f>
        <v>STX</v>
      </c>
      <c r="C2924" t="s">
        <v>18</v>
      </c>
      <c r="D2924" s="1">
        <v>43432</v>
      </c>
      <c r="E2924" s="1">
        <v>43465</v>
      </c>
      <c r="F2924" s="1">
        <v>43465</v>
      </c>
      <c r="G2924" s="1"/>
      <c r="H2924" t="s">
        <v>4664</v>
      </c>
      <c r="I2924" t="s">
        <v>4665</v>
      </c>
    </row>
    <row r="2925" spans="1:9" x14ac:dyDescent="0.25">
      <c r="A2925" t="s">
        <v>3344</v>
      </c>
      <c r="B2925" s="26" t="str">
        <f>MID(tbl_forecast[[#This Row],[PACE Job Number]],3,3)</f>
        <v>STX</v>
      </c>
      <c r="C2925" t="s">
        <v>18</v>
      </c>
      <c r="D2925" s="1">
        <v>43434</v>
      </c>
      <c r="E2925" s="1">
        <v>43434</v>
      </c>
      <c r="F2925" s="1">
        <v>43434</v>
      </c>
      <c r="G2925" s="1"/>
      <c r="H2925" t="s">
        <v>9</v>
      </c>
      <c r="I2925" t="s">
        <v>27</v>
      </c>
    </row>
    <row r="2926" spans="1:9" x14ac:dyDescent="0.25">
      <c r="A2926" t="s">
        <v>5548</v>
      </c>
      <c r="B2926" s="26" t="str">
        <f>MID(tbl_forecast[[#This Row],[PACE Job Number]],3,3)</f>
        <v>STX</v>
      </c>
      <c r="C2926" t="s">
        <v>18</v>
      </c>
      <c r="D2926" s="1">
        <v>43419</v>
      </c>
      <c r="E2926" s="1">
        <v>43419</v>
      </c>
      <c r="F2926" s="1">
        <v>43417</v>
      </c>
      <c r="G2926" s="1">
        <v>43417</v>
      </c>
      <c r="H2926" t="s">
        <v>9</v>
      </c>
      <c r="I2926" t="s">
        <v>10</v>
      </c>
    </row>
    <row r="2927" spans="1:9" x14ac:dyDescent="0.25">
      <c r="A2927" t="s">
        <v>181</v>
      </c>
      <c r="B2927" s="26" t="str">
        <f>MID(tbl_forecast[[#This Row],[PACE Job Number]],3,3)</f>
        <v>STX</v>
      </c>
      <c r="C2927" t="s">
        <v>18</v>
      </c>
      <c r="D2927" s="1">
        <v>43434</v>
      </c>
      <c r="E2927" s="1">
        <v>43434</v>
      </c>
      <c r="F2927" s="1">
        <v>43424</v>
      </c>
      <c r="G2927" s="1">
        <v>43424</v>
      </c>
      <c r="H2927" t="s">
        <v>9</v>
      </c>
      <c r="I2927" t="s">
        <v>10</v>
      </c>
    </row>
    <row r="2928" spans="1:9" x14ac:dyDescent="0.25">
      <c r="A2928" t="s">
        <v>1706</v>
      </c>
      <c r="B2928" s="26" t="str">
        <f>MID(tbl_forecast[[#This Row],[PACE Job Number]],3,3)</f>
        <v>STX</v>
      </c>
      <c r="C2928" t="s">
        <v>18</v>
      </c>
      <c r="D2928" s="1">
        <v>43434</v>
      </c>
      <c r="E2928" s="1">
        <v>43465</v>
      </c>
      <c r="F2928" s="1">
        <v>43465</v>
      </c>
      <c r="G2928" s="1"/>
      <c r="H2928" t="s">
        <v>4664</v>
      </c>
      <c r="I2928" t="s">
        <v>4665</v>
      </c>
    </row>
    <row r="2929" spans="1:9" x14ac:dyDescent="0.25">
      <c r="A2929" t="s">
        <v>5419</v>
      </c>
      <c r="B2929" s="26" t="str">
        <f>MID(tbl_forecast[[#This Row],[PACE Job Number]],3,3)</f>
        <v>STX</v>
      </c>
      <c r="C2929" t="s">
        <v>18</v>
      </c>
      <c r="D2929" s="1">
        <v>43434</v>
      </c>
      <c r="E2929" s="1">
        <v>43434</v>
      </c>
      <c r="F2929" s="1">
        <v>43434</v>
      </c>
      <c r="G2929" s="1"/>
      <c r="H2929" t="s">
        <v>9</v>
      </c>
      <c r="I2929" t="s">
        <v>27</v>
      </c>
    </row>
    <row r="2930" spans="1:9" x14ac:dyDescent="0.25">
      <c r="A2930" t="s">
        <v>5420</v>
      </c>
      <c r="B2930" s="26" t="str">
        <f>MID(tbl_forecast[[#This Row],[PACE Job Number]],3,3)</f>
        <v>STX</v>
      </c>
      <c r="C2930" t="s">
        <v>18</v>
      </c>
      <c r="D2930" s="1">
        <v>43434</v>
      </c>
      <c r="E2930" s="1">
        <v>43465</v>
      </c>
      <c r="F2930" s="1">
        <v>43465</v>
      </c>
      <c r="G2930" s="1"/>
      <c r="H2930" t="s">
        <v>4664</v>
      </c>
      <c r="I2930" t="s">
        <v>4665</v>
      </c>
    </row>
    <row r="2931" spans="1:9" x14ac:dyDescent="0.25">
      <c r="A2931" t="s">
        <v>4143</v>
      </c>
      <c r="B2931" s="26" t="str">
        <f>MID(tbl_forecast[[#This Row],[PACE Job Number]],3,3)</f>
        <v>STX</v>
      </c>
      <c r="C2931" t="s">
        <v>18</v>
      </c>
      <c r="D2931" s="1">
        <v>43434</v>
      </c>
      <c r="E2931" s="1">
        <v>43434</v>
      </c>
      <c r="F2931" s="1">
        <v>43430</v>
      </c>
      <c r="G2931" s="1">
        <v>43430</v>
      </c>
      <c r="H2931" t="s">
        <v>9</v>
      </c>
      <c r="I2931" t="s">
        <v>10</v>
      </c>
    </row>
    <row r="2932" spans="1:9" x14ac:dyDescent="0.25">
      <c r="A2932" t="s">
        <v>659</v>
      </c>
      <c r="B2932" s="26" t="str">
        <f>MID(tbl_forecast[[#This Row],[PACE Job Number]],3,3)</f>
        <v>STX</v>
      </c>
      <c r="C2932" t="s">
        <v>18</v>
      </c>
      <c r="D2932" s="1">
        <v>43434</v>
      </c>
      <c r="E2932" s="1">
        <v>43434</v>
      </c>
      <c r="F2932" s="1">
        <v>43434</v>
      </c>
      <c r="G2932" s="1"/>
      <c r="H2932" t="s">
        <v>9</v>
      </c>
      <c r="I2932" t="s">
        <v>27</v>
      </c>
    </row>
    <row r="2933" spans="1:9" x14ac:dyDescent="0.25">
      <c r="A2933" t="s">
        <v>5549</v>
      </c>
      <c r="B2933" s="26" t="str">
        <f>MID(tbl_forecast[[#This Row],[PACE Job Number]],3,3)</f>
        <v>STX</v>
      </c>
      <c r="C2933" t="s">
        <v>18</v>
      </c>
      <c r="D2933" s="1">
        <v>43434</v>
      </c>
      <c r="E2933" s="1">
        <v>43434</v>
      </c>
      <c r="F2933" s="1">
        <v>43434</v>
      </c>
      <c r="G2933" s="1"/>
      <c r="H2933" t="s">
        <v>9</v>
      </c>
      <c r="I2933" t="s">
        <v>27</v>
      </c>
    </row>
    <row r="2934" spans="1:9" x14ac:dyDescent="0.25">
      <c r="A2934" t="s">
        <v>319</v>
      </c>
      <c r="B2934" s="26" t="str">
        <f>MID(tbl_forecast[[#This Row],[PACE Job Number]],3,3)</f>
        <v>STX</v>
      </c>
      <c r="C2934" t="s">
        <v>18</v>
      </c>
      <c r="D2934" s="1">
        <v>43434</v>
      </c>
      <c r="E2934" s="1">
        <v>43465</v>
      </c>
      <c r="F2934" s="1">
        <v>43465</v>
      </c>
      <c r="G2934" s="1"/>
      <c r="H2934" t="s">
        <v>4664</v>
      </c>
      <c r="I2934" t="s">
        <v>4665</v>
      </c>
    </row>
    <row r="2935" spans="1:9" x14ac:dyDescent="0.25">
      <c r="A2935" t="s">
        <v>3401</v>
      </c>
      <c r="B2935" s="26" t="str">
        <f>MID(tbl_forecast[[#This Row],[PACE Job Number]],3,3)</f>
        <v>WSH</v>
      </c>
      <c r="C2935" t="s">
        <v>18</v>
      </c>
      <c r="D2935" s="1">
        <v>43434</v>
      </c>
      <c r="E2935" s="1">
        <v>43323</v>
      </c>
      <c r="F2935" s="1">
        <v>43465</v>
      </c>
      <c r="G2935" s="1"/>
      <c r="H2935" t="s">
        <v>4664</v>
      </c>
      <c r="I2935" t="s">
        <v>4666</v>
      </c>
    </row>
    <row r="2936" spans="1:9" x14ac:dyDescent="0.25">
      <c r="A2936" t="s">
        <v>1768</v>
      </c>
      <c r="B2936" s="26" t="str">
        <f>MID(tbl_forecast[[#This Row],[PACE Job Number]],3,3)</f>
        <v>NTX</v>
      </c>
      <c r="C2936" t="s">
        <v>18</v>
      </c>
      <c r="D2936" s="1">
        <v>43416</v>
      </c>
      <c r="E2936" s="1">
        <v>36524</v>
      </c>
      <c r="F2936" s="1">
        <v>43444</v>
      </c>
      <c r="G2936" s="1"/>
      <c r="H2936" t="s">
        <v>4664</v>
      </c>
      <c r="I2936" t="s">
        <v>4666</v>
      </c>
    </row>
    <row r="2937" spans="1:9" x14ac:dyDescent="0.25">
      <c r="A2937" t="s">
        <v>168</v>
      </c>
      <c r="B2937" s="26" t="str">
        <f>MID(tbl_forecast[[#This Row],[PACE Job Number]],3,3)</f>
        <v>NTX</v>
      </c>
      <c r="C2937" t="s">
        <v>18</v>
      </c>
      <c r="D2937" s="1">
        <v>43426</v>
      </c>
      <c r="E2937" s="1">
        <v>43286</v>
      </c>
      <c r="F2937" s="1">
        <v>43444</v>
      </c>
      <c r="G2937" s="1"/>
      <c r="H2937" t="s">
        <v>4664</v>
      </c>
      <c r="I2937" t="s">
        <v>4666</v>
      </c>
    </row>
    <row r="2938" spans="1:9" x14ac:dyDescent="0.25">
      <c r="A2938" t="s">
        <v>653</v>
      </c>
      <c r="B2938" s="26" t="str">
        <f>MID(tbl_forecast[[#This Row],[PACE Job Number]],3,3)</f>
        <v>NTX</v>
      </c>
      <c r="C2938" t="s">
        <v>18</v>
      </c>
      <c r="D2938" s="1">
        <v>43421</v>
      </c>
      <c r="E2938" s="1">
        <v>36524</v>
      </c>
      <c r="F2938" s="1">
        <v>43420</v>
      </c>
      <c r="G2938" s="1">
        <v>43420</v>
      </c>
      <c r="H2938" t="s">
        <v>9</v>
      </c>
      <c r="I2938" t="s">
        <v>10</v>
      </c>
    </row>
    <row r="2939" spans="1:9" x14ac:dyDescent="0.25">
      <c r="A2939" t="s">
        <v>472</v>
      </c>
      <c r="B2939" s="26" t="str">
        <f>MID(tbl_forecast[[#This Row],[PACE Job Number]],3,3)</f>
        <v>NTX</v>
      </c>
      <c r="C2939" t="s">
        <v>18</v>
      </c>
      <c r="D2939" s="1">
        <v>43430</v>
      </c>
      <c r="E2939" s="1">
        <v>36524</v>
      </c>
      <c r="F2939" s="1">
        <v>43452</v>
      </c>
      <c r="G2939" s="1"/>
      <c r="H2939" t="s">
        <v>4664</v>
      </c>
      <c r="I2939" t="s">
        <v>4666</v>
      </c>
    </row>
    <row r="2940" spans="1:9" x14ac:dyDescent="0.25">
      <c r="A2940" t="s">
        <v>1773</v>
      </c>
      <c r="B2940" s="26" t="str">
        <f>MID(tbl_forecast[[#This Row],[PACE Job Number]],3,3)</f>
        <v>NTX</v>
      </c>
      <c r="C2940" t="s">
        <v>18</v>
      </c>
      <c r="D2940" s="1">
        <v>43434</v>
      </c>
      <c r="E2940" s="1">
        <v>43396</v>
      </c>
      <c r="F2940" s="1">
        <v>43465</v>
      </c>
      <c r="G2940" s="1"/>
      <c r="H2940" t="s">
        <v>4664</v>
      </c>
      <c r="I2940" t="s">
        <v>4666</v>
      </c>
    </row>
    <row r="2941" spans="1:9" x14ac:dyDescent="0.25">
      <c r="A2941" t="s">
        <v>309</v>
      </c>
      <c r="B2941" s="26" t="str">
        <f>MID(tbl_forecast[[#This Row],[PACE Job Number]],3,3)</f>
        <v>NTX</v>
      </c>
      <c r="C2941" t="s">
        <v>18</v>
      </c>
      <c r="D2941" s="1">
        <v>43420</v>
      </c>
      <c r="E2941" s="1">
        <v>43293</v>
      </c>
      <c r="F2941" s="1">
        <v>43409</v>
      </c>
      <c r="G2941" s="1">
        <v>43409</v>
      </c>
      <c r="H2941" t="s">
        <v>9</v>
      </c>
      <c r="I2941" t="s">
        <v>10</v>
      </c>
    </row>
    <row r="2942" spans="1:9" x14ac:dyDescent="0.25">
      <c r="A2942" t="s">
        <v>1776</v>
      </c>
      <c r="B2942" s="26" t="str">
        <f>MID(tbl_forecast[[#This Row],[PACE Job Number]],3,3)</f>
        <v>NTX</v>
      </c>
      <c r="C2942" t="s">
        <v>18</v>
      </c>
      <c r="D2942" s="1">
        <v>43432</v>
      </c>
      <c r="E2942" s="1">
        <v>43265</v>
      </c>
      <c r="F2942" s="1">
        <v>43452</v>
      </c>
      <c r="G2942" s="1"/>
      <c r="H2942" t="s">
        <v>4664</v>
      </c>
      <c r="I2942" t="s">
        <v>4666</v>
      </c>
    </row>
    <row r="2943" spans="1:9" x14ac:dyDescent="0.25">
      <c r="A2943" t="s">
        <v>4554</v>
      </c>
      <c r="B2943" s="26" t="str">
        <f>MID(tbl_forecast[[#This Row],[PACE Job Number]],3,3)</f>
        <v>NTX</v>
      </c>
      <c r="C2943" t="s">
        <v>18</v>
      </c>
      <c r="D2943" s="1">
        <v>43416</v>
      </c>
      <c r="E2943" s="1">
        <v>36524</v>
      </c>
      <c r="F2943" s="1">
        <v>43434</v>
      </c>
      <c r="G2943" s="1"/>
      <c r="H2943" t="s">
        <v>4664</v>
      </c>
      <c r="I2943" t="s">
        <v>4666</v>
      </c>
    </row>
    <row r="2944" spans="1:9" x14ac:dyDescent="0.25">
      <c r="A2944" t="s">
        <v>4589</v>
      </c>
      <c r="B2944" s="26" t="str">
        <f>MID(tbl_forecast[[#This Row],[PACE Job Number]],3,3)</f>
        <v>NTX</v>
      </c>
      <c r="C2944" t="s">
        <v>18</v>
      </c>
      <c r="D2944" s="1">
        <v>43434</v>
      </c>
      <c r="E2944" s="1">
        <v>36524</v>
      </c>
      <c r="F2944" s="1">
        <v>43829</v>
      </c>
      <c r="G2944" s="1"/>
      <c r="H2944" t="s">
        <v>4664</v>
      </c>
      <c r="I2944" t="s">
        <v>4666</v>
      </c>
    </row>
    <row r="2945" spans="1:9" x14ac:dyDescent="0.25">
      <c r="A2945" t="s">
        <v>4590</v>
      </c>
      <c r="B2945" s="26" t="str">
        <f>MID(tbl_forecast[[#This Row],[PACE Job Number]],3,3)</f>
        <v>NTX</v>
      </c>
      <c r="C2945" t="s">
        <v>18</v>
      </c>
      <c r="D2945" s="1">
        <v>43434</v>
      </c>
      <c r="E2945" s="1">
        <v>36524</v>
      </c>
      <c r="F2945" s="1">
        <v>43829</v>
      </c>
      <c r="G2945" s="1"/>
      <c r="H2945" t="s">
        <v>4664</v>
      </c>
      <c r="I2945" t="s">
        <v>4666</v>
      </c>
    </row>
    <row r="2946" spans="1:9" x14ac:dyDescent="0.25">
      <c r="A2946" t="s">
        <v>1126</v>
      </c>
      <c r="B2946" s="26" t="str">
        <f>MID(tbl_forecast[[#This Row],[PACE Job Number]],3,3)</f>
        <v>NTX</v>
      </c>
      <c r="C2946" t="s">
        <v>18</v>
      </c>
      <c r="D2946" s="1">
        <v>43434</v>
      </c>
      <c r="E2946" s="1">
        <v>36524</v>
      </c>
      <c r="F2946" s="1">
        <v>43412</v>
      </c>
      <c r="G2946" s="1">
        <v>43412</v>
      </c>
      <c r="H2946" t="s">
        <v>9</v>
      </c>
      <c r="I2946" t="s">
        <v>10</v>
      </c>
    </row>
    <row r="2947" spans="1:9" x14ac:dyDescent="0.25">
      <c r="A2947" t="s">
        <v>3535</v>
      </c>
      <c r="B2947" s="26" t="str">
        <f>MID(tbl_forecast[[#This Row],[PACE Job Number]],3,3)</f>
        <v>NTX</v>
      </c>
      <c r="C2947" t="s">
        <v>18</v>
      </c>
      <c r="D2947" s="1">
        <v>43434</v>
      </c>
      <c r="E2947" s="1">
        <v>36524</v>
      </c>
      <c r="F2947" s="1">
        <v>43553</v>
      </c>
      <c r="G2947" s="1"/>
      <c r="H2947" t="s">
        <v>4664</v>
      </c>
      <c r="I2947" t="s">
        <v>4666</v>
      </c>
    </row>
    <row r="2948" spans="1:9" x14ac:dyDescent="0.25">
      <c r="A2948" t="s">
        <v>4462</v>
      </c>
      <c r="B2948" s="26" t="str">
        <f>MID(tbl_forecast[[#This Row],[PACE Job Number]],3,3)</f>
        <v>NTX</v>
      </c>
      <c r="C2948" t="s">
        <v>18</v>
      </c>
      <c r="D2948" s="1">
        <v>43427</v>
      </c>
      <c r="E2948" s="1">
        <v>43269</v>
      </c>
      <c r="F2948" s="1">
        <v>43441</v>
      </c>
      <c r="G2948" s="1"/>
      <c r="H2948" t="s">
        <v>9</v>
      </c>
      <c r="I2948" t="s">
        <v>27</v>
      </c>
    </row>
    <row r="2949" spans="1:9" x14ac:dyDescent="0.25">
      <c r="A2949" t="s">
        <v>4463</v>
      </c>
      <c r="B2949" s="26" t="str">
        <f>MID(tbl_forecast[[#This Row],[PACE Job Number]],3,3)</f>
        <v>NTX</v>
      </c>
      <c r="C2949" t="s">
        <v>18</v>
      </c>
      <c r="D2949" s="1">
        <v>43433</v>
      </c>
      <c r="E2949" s="1">
        <v>36524</v>
      </c>
      <c r="F2949" s="1">
        <v>43452</v>
      </c>
      <c r="G2949" s="1"/>
      <c r="H2949" t="s">
        <v>4664</v>
      </c>
      <c r="I2949" t="s">
        <v>4666</v>
      </c>
    </row>
    <row r="2950" spans="1:9" x14ac:dyDescent="0.25">
      <c r="A2950" t="s">
        <v>3482</v>
      </c>
      <c r="B2950" s="26" t="str">
        <f>MID(tbl_forecast[[#This Row],[PACE Job Number]],3,3)</f>
        <v>NTX</v>
      </c>
      <c r="C2950" t="s">
        <v>18</v>
      </c>
      <c r="D2950" s="1">
        <v>43412</v>
      </c>
      <c r="E2950" s="1">
        <v>43414</v>
      </c>
      <c r="F2950" s="1">
        <v>43423</v>
      </c>
      <c r="G2950" s="1">
        <v>43423</v>
      </c>
      <c r="H2950" t="s">
        <v>9</v>
      </c>
      <c r="I2950" t="s">
        <v>10</v>
      </c>
    </row>
    <row r="2951" spans="1:9" x14ac:dyDescent="0.25">
      <c r="A2951" t="s">
        <v>4476</v>
      </c>
      <c r="B2951" s="26" t="str">
        <f>MID(tbl_forecast[[#This Row],[PACE Job Number]],3,3)</f>
        <v>NTX</v>
      </c>
      <c r="C2951" t="s">
        <v>18</v>
      </c>
      <c r="D2951" s="1">
        <v>43426</v>
      </c>
      <c r="E2951" s="1">
        <v>36524</v>
      </c>
      <c r="F2951" s="1">
        <v>43439</v>
      </c>
      <c r="G2951" s="1"/>
      <c r="H2951" t="s">
        <v>9</v>
      </c>
      <c r="I2951" t="s">
        <v>27</v>
      </c>
    </row>
    <row r="2952" spans="1:9" x14ac:dyDescent="0.25">
      <c r="A2952" t="s">
        <v>4477</v>
      </c>
      <c r="B2952" s="26" t="str">
        <f>MID(tbl_forecast[[#This Row],[PACE Job Number]],3,3)</f>
        <v>NTX</v>
      </c>
      <c r="C2952" t="s">
        <v>18</v>
      </c>
      <c r="D2952" s="1">
        <v>43423</v>
      </c>
      <c r="E2952" s="1">
        <v>36524</v>
      </c>
      <c r="F2952" s="1">
        <v>43433</v>
      </c>
      <c r="G2952" s="1">
        <v>43433</v>
      </c>
      <c r="H2952" t="s">
        <v>9</v>
      </c>
      <c r="I2952" t="s">
        <v>10</v>
      </c>
    </row>
    <row r="2953" spans="1:9" x14ac:dyDescent="0.25">
      <c r="A2953" t="s">
        <v>4478</v>
      </c>
      <c r="B2953" s="26" t="str">
        <f>MID(tbl_forecast[[#This Row],[PACE Job Number]],3,3)</f>
        <v>NTX</v>
      </c>
      <c r="C2953" t="s">
        <v>18</v>
      </c>
      <c r="D2953" s="1">
        <v>43429</v>
      </c>
      <c r="E2953" s="1">
        <v>43414</v>
      </c>
      <c r="F2953" s="1">
        <v>43424</v>
      </c>
      <c r="G2953" s="1">
        <v>43424</v>
      </c>
      <c r="H2953" t="s">
        <v>9</v>
      </c>
      <c r="I2953" t="s">
        <v>10</v>
      </c>
    </row>
    <row r="2954" spans="1:9" x14ac:dyDescent="0.25">
      <c r="A2954" t="s">
        <v>2299</v>
      </c>
      <c r="B2954" s="26" t="str">
        <f>MID(tbl_forecast[[#This Row],[PACE Job Number]],3,3)</f>
        <v>NTX</v>
      </c>
      <c r="C2954" t="s">
        <v>18</v>
      </c>
      <c r="D2954" s="1">
        <v>43415</v>
      </c>
      <c r="E2954" s="1">
        <v>43414</v>
      </c>
      <c r="F2954" s="1">
        <v>43418</v>
      </c>
      <c r="G2954" s="1">
        <v>43418</v>
      </c>
      <c r="H2954" t="s">
        <v>9</v>
      </c>
      <c r="I2954" t="s">
        <v>10</v>
      </c>
    </row>
    <row r="2955" spans="1:9" x14ac:dyDescent="0.25">
      <c r="A2955" t="s">
        <v>4479</v>
      </c>
      <c r="B2955" s="26" t="str">
        <f>MID(tbl_forecast[[#This Row],[PACE Job Number]],3,3)</f>
        <v>NTX</v>
      </c>
      <c r="C2955" t="s">
        <v>18</v>
      </c>
      <c r="D2955" s="1">
        <v>43423</v>
      </c>
      <c r="E2955" s="1">
        <v>36524</v>
      </c>
      <c r="F2955" s="1">
        <v>43433</v>
      </c>
      <c r="G2955" s="1">
        <v>43433</v>
      </c>
      <c r="H2955" t="s">
        <v>9</v>
      </c>
      <c r="I2955" t="s">
        <v>10</v>
      </c>
    </row>
    <row r="2956" spans="1:9" x14ac:dyDescent="0.25">
      <c r="A2956" t="s">
        <v>4591</v>
      </c>
      <c r="B2956" s="26" t="str">
        <f>MID(tbl_forecast[[#This Row],[PACE Job Number]],3,3)</f>
        <v>NTX</v>
      </c>
      <c r="C2956" t="s">
        <v>18</v>
      </c>
      <c r="D2956" s="1">
        <v>43434</v>
      </c>
      <c r="E2956" s="1">
        <v>36524</v>
      </c>
      <c r="F2956" s="1">
        <v>43829</v>
      </c>
      <c r="G2956" s="1"/>
      <c r="H2956" t="s">
        <v>4664</v>
      </c>
      <c r="I2956" t="s">
        <v>4666</v>
      </c>
    </row>
    <row r="2957" spans="1:9" x14ac:dyDescent="0.25">
      <c r="A2957" t="s">
        <v>4592</v>
      </c>
      <c r="B2957" s="26" t="str">
        <f>MID(tbl_forecast[[#This Row],[PACE Job Number]],3,3)</f>
        <v>NTX</v>
      </c>
      <c r="C2957" t="s">
        <v>18</v>
      </c>
      <c r="D2957" s="1">
        <v>43434</v>
      </c>
      <c r="E2957" s="1">
        <v>36524</v>
      </c>
      <c r="F2957" s="1">
        <v>43829</v>
      </c>
      <c r="G2957" s="1"/>
      <c r="H2957" t="s">
        <v>4664</v>
      </c>
      <c r="I2957" t="s">
        <v>4666</v>
      </c>
    </row>
    <row r="2958" spans="1:9" x14ac:dyDescent="0.25">
      <c r="A2958" t="s">
        <v>56</v>
      </c>
      <c r="B2958" s="26" t="str">
        <f>MID(tbl_forecast[[#This Row],[PACE Job Number]],3,3)</f>
        <v>NTX</v>
      </c>
      <c r="C2958" t="s">
        <v>18</v>
      </c>
      <c r="D2958" s="1">
        <v>43428</v>
      </c>
      <c r="E2958" s="1">
        <v>36524</v>
      </c>
      <c r="F2958" s="1">
        <v>43433</v>
      </c>
      <c r="G2958" s="1">
        <v>43433</v>
      </c>
      <c r="H2958" t="s">
        <v>9</v>
      </c>
      <c r="I2958" t="s">
        <v>10</v>
      </c>
    </row>
    <row r="2959" spans="1:9" x14ac:dyDescent="0.25">
      <c r="A2959" t="s">
        <v>3978</v>
      </c>
      <c r="B2959" s="26" t="str">
        <f>MID(tbl_forecast[[#This Row],[PACE Job Number]],3,3)</f>
        <v>NTX</v>
      </c>
      <c r="C2959" t="s">
        <v>18</v>
      </c>
      <c r="D2959" s="1">
        <v>43434</v>
      </c>
      <c r="E2959" s="1">
        <v>36524</v>
      </c>
      <c r="F2959" s="1">
        <v>43406</v>
      </c>
      <c r="G2959" s="1">
        <v>43406</v>
      </c>
      <c r="H2959" t="s">
        <v>9</v>
      </c>
      <c r="I2959" t="s">
        <v>10</v>
      </c>
    </row>
    <row r="2960" spans="1:9" x14ac:dyDescent="0.25">
      <c r="A2960" t="s">
        <v>2160</v>
      </c>
      <c r="B2960" s="26" t="str">
        <f>MID(tbl_forecast[[#This Row],[PACE Job Number]],3,3)</f>
        <v>NTX</v>
      </c>
      <c r="C2960" t="s">
        <v>18</v>
      </c>
      <c r="D2960" s="1">
        <v>43422</v>
      </c>
      <c r="E2960" s="1">
        <v>36524</v>
      </c>
      <c r="F2960" s="1">
        <v>43427</v>
      </c>
      <c r="G2960" s="1">
        <v>43427</v>
      </c>
      <c r="H2960" t="s">
        <v>9</v>
      </c>
      <c r="I2960" t="s">
        <v>10</v>
      </c>
    </row>
    <row r="2961" spans="1:9" x14ac:dyDescent="0.25">
      <c r="A2961" t="s">
        <v>337</v>
      </c>
      <c r="B2961" s="26" t="str">
        <f>MID(tbl_forecast[[#This Row],[PACE Job Number]],3,3)</f>
        <v>NTX</v>
      </c>
      <c r="C2961" t="s">
        <v>18</v>
      </c>
      <c r="D2961" s="1">
        <v>43414</v>
      </c>
      <c r="E2961" s="1">
        <v>43311</v>
      </c>
      <c r="F2961" s="1">
        <v>43430</v>
      </c>
      <c r="G2961" s="1">
        <v>43430</v>
      </c>
      <c r="H2961" t="s">
        <v>4664</v>
      </c>
      <c r="I2961" t="s">
        <v>10</v>
      </c>
    </row>
    <row r="2962" spans="1:9" x14ac:dyDescent="0.25">
      <c r="A2962" t="s">
        <v>226</v>
      </c>
      <c r="B2962" s="26" t="str">
        <f>MID(tbl_forecast[[#This Row],[PACE Job Number]],3,3)</f>
        <v>NTX</v>
      </c>
      <c r="C2962" t="s">
        <v>18</v>
      </c>
      <c r="D2962" s="1">
        <v>43414</v>
      </c>
      <c r="E2962" s="1">
        <v>43311</v>
      </c>
      <c r="F2962" s="1">
        <v>43423</v>
      </c>
      <c r="G2962" s="1">
        <v>43423</v>
      </c>
      <c r="H2962" t="s">
        <v>9</v>
      </c>
      <c r="I2962" t="s">
        <v>10</v>
      </c>
    </row>
    <row r="2963" spans="1:9" x14ac:dyDescent="0.25">
      <c r="A2963" t="s">
        <v>2161</v>
      </c>
      <c r="B2963" s="26" t="str">
        <f>MID(tbl_forecast[[#This Row],[PACE Job Number]],3,3)</f>
        <v>NTX</v>
      </c>
      <c r="C2963" t="s">
        <v>18</v>
      </c>
      <c r="D2963" s="1">
        <v>43422</v>
      </c>
      <c r="E2963" s="1">
        <v>36524</v>
      </c>
      <c r="F2963" s="1">
        <v>43427</v>
      </c>
      <c r="G2963" s="1">
        <v>43427</v>
      </c>
      <c r="H2963" t="s">
        <v>9</v>
      </c>
      <c r="I2963" t="s">
        <v>10</v>
      </c>
    </row>
    <row r="2964" spans="1:9" x14ac:dyDescent="0.25">
      <c r="A2964" t="s">
        <v>4593</v>
      </c>
      <c r="B2964" s="26" t="str">
        <f>MID(tbl_forecast[[#This Row],[PACE Job Number]],3,3)</f>
        <v>NTX</v>
      </c>
      <c r="C2964" t="s">
        <v>18</v>
      </c>
      <c r="D2964" s="1">
        <v>43434</v>
      </c>
      <c r="E2964" s="1">
        <v>36524</v>
      </c>
      <c r="F2964" s="1">
        <v>43829</v>
      </c>
      <c r="G2964" s="1"/>
      <c r="H2964" t="s">
        <v>4664</v>
      </c>
      <c r="I2964" t="s">
        <v>4666</v>
      </c>
    </row>
    <row r="2965" spans="1:9" x14ac:dyDescent="0.25">
      <c r="A2965" t="s">
        <v>917</v>
      </c>
      <c r="B2965" s="26" t="str">
        <f>MID(tbl_forecast[[#This Row],[PACE Job Number]],3,3)</f>
        <v>NTX</v>
      </c>
      <c r="C2965" t="s">
        <v>18</v>
      </c>
      <c r="D2965" s="1">
        <v>43420</v>
      </c>
      <c r="E2965" s="1">
        <v>36524</v>
      </c>
      <c r="F2965" s="1">
        <v>43434</v>
      </c>
      <c r="G2965" s="1"/>
      <c r="H2965" t="s">
        <v>9</v>
      </c>
      <c r="I2965" t="s">
        <v>27</v>
      </c>
    </row>
    <row r="2966" spans="1:9" x14ac:dyDescent="0.25">
      <c r="A2966" t="s">
        <v>4480</v>
      </c>
      <c r="B2966" s="26" t="str">
        <f>MID(tbl_forecast[[#This Row],[PACE Job Number]],3,3)</f>
        <v>NTX</v>
      </c>
      <c r="C2966" t="s">
        <v>18</v>
      </c>
      <c r="D2966" s="1">
        <v>43427</v>
      </c>
      <c r="E2966" s="1">
        <v>43293</v>
      </c>
      <c r="F2966" s="1">
        <v>43434</v>
      </c>
      <c r="G2966" s="1"/>
      <c r="H2966" t="s">
        <v>9</v>
      </c>
      <c r="I2966" t="s">
        <v>27</v>
      </c>
    </row>
    <row r="2967" spans="1:9" x14ac:dyDescent="0.25">
      <c r="A2967" t="s">
        <v>878</v>
      </c>
      <c r="B2967" s="26" t="str">
        <f>MID(tbl_forecast[[#This Row],[PACE Job Number]],3,3)</f>
        <v>NTX</v>
      </c>
      <c r="C2967" t="s">
        <v>18</v>
      </c>
      <c r="D2967" s="1">
        <v>43427</v>
      </c>
      <c r="E2967" s="1">
        <v>36524</v>
      </c>
      <c r="F2967" s="1">
        <v>43452</v>
      </c>
      <c r="G2967" s="1"/>
      <c r="H2967" t="s">
        <v>4664</v>
      </c>
      <c r="I2967" t="s">
        <v>4666</v>
      </c>
    </row>
    <row r="2968" spans="1:9" x14ac:dyDescent="0.25">
      <c r="A2968" t="s">
        <v>4481</v>
      </c>
      <c r="B2968" s="26" t="str">
        <f>MID(tbl_forecast[[#This Row],[PACE Job Number]],3,3)</f>
        <v>NTX</v>
      </c>
      <c r="C2968" t="s">
        <v>18</v>
      </c>
      <c r="D2968" s="1">
        <v>43427</v>
      </c>
      <c r="E2968" s="1">
        <v>43293</v>
      </c>
      <c r="F2968" s="1">
        <v>43434</v>
      </c>
      <c r="G2968" s="1"/>
      <c r="H2968" t="s">
        <v>9</v>
      </c>
      <c r="I2968" t="s">
        <v>27</v>
      </c>
    </row>
    <row r="2969" spans="1:9" x14ac:dyDescent="0.25">
      <c r="A2969" t="s">
        <v>824</v>
      </c>
      <c r="B2969" s="26" t="str">
        <f>MID(tbl_forecast[[#This Row],[PACE Job Number]],3,3)</f>
        <v>NTX</v>
      </c>
      <c r="C2969" t="s">
        <v>18</v>
      </c>
      <c r="D2969" s="1">
        <v>43427</v>
      </c>
      <c r="E2969" s="1">
        <v>36524</v>
      </c>
      <c r="F2969" s="1">
        <v>43452</v>
      </c>
      <c r="G2969" s="1"/>
      <c r="H2969" t="s">
        <v>4664</v>
      </c>
      <c r="I2969" t="s">
        <v>4666</v>
      </c>
    </row>
    <row r="2970" spans="1:9" x14ac:dyDescent="0.25">
      <c r="A2970" t="s">
        <v>916</v>
      </c>
      <c r="B2970" s="26" t="str">
        <f>MID(tbl_forecast[[#This Row],[PACE Job Number]],3,3)</f>
        <v>NTX</v>
      </c>
      <c r="C2970" t="s">
        <v>18</v>
      </c>
      <c r="D2970" s="1">
        <v>43419</v>
      </c>
      <c r="E2970" s="1">
        <v>36524</v>
      </c>
      <c r="F2970" s="1">
        <v>43434</v>
      </c>
      <c r="G2970" s="1"/>
      <c r="H2970" t="s">
        <v>4664</v>
      </c>
      <c r="I2970" t="s">
        <v>4666</v>
      </c>
    </row>
    <row r="2971" spans="1:9" x14ac:dyDescent="0.25">
      <c r="A2971" t="s">
        <v>4482</v>
      </c>
      <c r="B2971" s="26" t="str">
        <f>MID(tbl_forecast[[#This Row],[PACE Job Number]],3,3)</f>
        <v>NTX</v>
      </c>
      <c r="C2971" t="s">
        <v>18</v>
      </c>
      <c r="D2971" s="1">
        <v>43429</v>
      </c>
      <c r="E2971" s="1">
        <v>36524</v>
      </c>
      <c r="F2971" s="1">
        <v>43434</v>
      </c>
      <c r="G2971" s="1"/>
      <c r="H2971" t="s">
        <v>9</v>
      </c>
      <c r="I2971" t="s">
        <v>27</v>
      </c>
    </row>
    <row r="2972" spans="1:9" x14ac:dyDescent="0.25">
      <c r="A2972" t="s">
        <v>959</v>
      </c>
      <c r="B2972" s="26" t="str">
        <f>MID(tbl_forecast[[#This Row],[PACE Job Number]],3,3)</f>
        <v>NTX</v>
      </c>
      <c r="C2972" t="s">
        <v>18</v>
      </c>
      <c r="D2972" s="1">
        <v>43434</v>
      </c>
      <c r="E2972" s="1">
        <v>36524</v>
      </c>
      <c r="F2972" s="1">
        <v>43411</v>
      </c>
      <c r="G2972" s="1">
        <v>43411</v>
      </c>
      <c r="H2972" t="s">
        <v>9</v>
      </c>
      <c r="I2972" t="s">
        <v>10</v>
      </c>
    </row>
    <row r="2973" spans="1:9" x14ac:dyDescent="0.25">
      <c r="A2973" t="s">
        <v>4483</v>
      </c>
      <c r="B2973" s="26" t="str">
        <f>MID(tbl_forecast[[#This Row],[PACE Job Number]],3,3)</f>
        <v>NTX</v>
      </c>
      <c r="C2973" t="s">
        <v>18</v>
      </c>
      <c r="D2973" s="1">
        <v>43427</v>
      </c>
      <c r="E2973" s="1">
        <v>43293</v>
      </c>
      <c r="F2973" s="1">
        <v>43434</v>
      </c>
      <c r="G2973" s="1"/>
      <c r="H2973" t="s">
        <v>9</v>
      </c>
      <c r="I2973" t="s">
        <v>27</v>
      </c>
    </row>
    <row r="2974" spans="1:9" x14ac:dyDescent="0.25">
      <c r="A2974" t="s">
        <v>1135</v>
      </c>
      <c r="B2974" s="26" t="str">
        <f>MID(tbl_forecast[[#This Row],[PACE Job Number]],3,3)</f>
        <v>NTX</v>
      </c>
      <c r="C2974" t="s">
        <v>18</v>
      </c>
      <c r="D2974" s="1">
        <v>43434</v>
      </c>
      <c r="E2974" s="1">
        <v>36524</v>
      </c>
      <c r="F2974" s="1">
        <v>43409</v>
      </c>
      <c r="G2974" s="1">
        <v>43409</v>
      </c>
      <c r="H2974" t="s">
        <v>9</v>
      </c>
      <c r="I2974" t="s">
        <v>10</v>
      </c>
    </row>
    <row r="2975" spans="1:9" x14ac:dyDescent="0.25">
      <c r="A2975" t="s">
        <v>4034</v>
      </c>
      <c r="B2975" s="26" t="str">
        <f>MID(tbl_forecast[[#This Row],[PACE Job Number]],3,3)</f>
        <v>NTX</v>
      </c>
      <c r="C2975" t="s">
        <v>18</v>
      </c>
      <c r="D2975" s="1">
        <v>43429</v>
      </c>
      <c r="E2975" s="1">
        <v>36524</v>
      </c>
      <c r="F2975" s="1">
        <v>43434</v>
      </c>
      <c r="G2975" s="1"/>
      <c r="H2975" t="s">
        <v>9</v>
      </c>
      <c r="I2975" t="s">
        <v>27</v>
      </c>
    </row>
    <row r="2976" spans="1:9" x14ac:dyDescent="0.25">
      <c r="A2976" t="s">
        <v>4484</v>
      </c>
      <c r="B2976" s="26" t="str">
        <f>MID(tbl_forecast[[#This Row],[PACE Job Number]],3,3)</f>
        <v>NTX</v>
      </c>
      <c r="C2976" t="s">
        <v>18</v>
      </c>
      <c r="D2976" s="1">
        <v>43427</v>
      </c>
      <c r="E2976" s="1">
        <v>43293</v>
      </c>
      <c r="F2976" s="1">
        <v>43434</v>
      </c>
      <c r="G2976" s="1"/>
      <c r="H2976" t="s">
        <v>9</v>
      </c>
      <c r="I2976" t="s">
        <v>27</v>
      </c>
    </row>
    <row r="2977" spans="1:9" x14ac:dyDescent="0.25">
      <c r="A2977" t="s">
        <v>3512</v>
      </c>
      <c r="B2977" s="26" t="str">
        <f>MID(tbl_forecast[[#This Row],[PACE Job Number]],3,3)</f>
        <v>NTX</v>
      </c>
      <c r="C2977" t="s">
        <v>18</v>
      </c>
      <c r="D2977" s="1">
        <v>43426</v>
      </c>
      <c r="E2977" s="1">
        <v>36524</v>
      </c>
      <c r="F2977" s="1">
        <v>43437</v>
      </c>
      <c r="G2977" s="1"/>
      <c r="H2977" t="s">
        <v>9</v>
      </c>
      <c r="I2977" t="s">
        <v>27</v>
      </c>
    </row>
    <row r="2978" spans="1:9" x14ac:dyDescent="0.25">
      <c r="A2978" t="s">
        <v>3381</v>
      </c>
      <c r="B2978" s="26" t="str">
        <f>MID(tbl_forecast[[#This Row],[PACE Job Number]],3,3)</f>
        <v>NTX</v>
      </c>
      <c r="C2978" t="s">
        <v>18</v>
      </c>
      <c r="D2978" s="1">
        <v>43426</v>
      </c>
      <c r="E2978" s="1">
        <v>43322</v>
      </c>
      <c r="F2978" s="1">
        <v>43437</v>
      </c>
      <c r="G2978" s="1"/>
      <c r="H2978" t="s">
        <v>9</v>
      </c>
      <c r="I2978" t="s">
        <v>27</v>
      </c>
    </row>
    <row r="2979" spans="1:9" x14ac:dyDescent="0.25">
      <c r="A2979" t="s">
        <v>4294</v>
      </c>
      <c r="B2979" s="26" t="str">
        <f>MID(tbl_forecast[[#This Row],[PACE Job Number]],3,3)</f>
        <v>NTX</v>
      </c>
      <c r="C2979" t="s">
        <v>18</v>
      </c>
      <c r="D2979" s="1">
        <v>43434</v>
      </c>
      <c r="E2979" s="1">
        <v>36524</v>
      </c>
      <c r="F2979" s="1">
        <v>43444</v>
      </c>
      <c r="G2979" s="1"/>
      <c r="H2979" t="s">
        <v>9</v>
      </c>
      <c r="I2979" t="s">
        <v>27</v>
      </c>
    </row>
    <row r="2980" spans="1:9" x14ac:dyDescent="0.25">
      <c r="A2980" t="s">
        <v>3466</v>
      </c>
      <c r="B2980" s="26" t="str">
        <f>MID(tbl_forecast[[#This Row],[PACE Job Number]],3,3)</f>
        <v>NTX</v>
      </c>
      <c r="C2980" t="s">
        <v>18</v>
      </c>
      <c r="D2980" s="1">
        <v>43415</v>
      </c>
      <c r="E2980" s="1">
        <v>43396</v>
      </c>
      <c r="F2980" s="1">
        <v>43412</v>
      </c>
      <c r="G2980" s="1">
        <v>43412</v>
      </c>
      <c r="H2980" t="s">
        <v>9</v>
      </c>
      <c r="I2980" t="s">
        <v>10</v>
      </c>
    </row>
    <row r="2981" spans="1:9" x14ac:dyDescent="0.25">
      <c r="A2981" t="s">
        <v>3427</v>
      </c>
      <c r="B2981" s="26" t="str">
        <f>MID(tbl_forecast[[#This Row],[PACE Job Number]],3,3)</f>
        <v>NTX</v>
      </c>
      <c r="C2981" t="s">
        <v>18</v>
      </c>
      <c r="D2981" s="1">
        <v>43421</v>
      </c>
      <c r="E2981" s="1">
        <v>43286</v>
      </c>
      <c r="F2981" s="1">
        <v>43424</v>
      </c>
      <c r="G2981" s="1">
        <v>43424</v>
      </c>
      <c r="H2981" t="s">
        <v>9</v>
      </c>
      <c r="I2981" t="s">
        <v>10</v>
      </c>
    </row>
    <row r="2982" spans="1:9" x14ac:dyDescent="0.25">
      <c r="A2982" t="s">
        <v>262</v>
      </c>
      <c r="B2982" s="26" t="str">
        <f>MID(tbl_forecast[[#This Row],[PACE Job Number]],3,3)</f>
        <v>NTX</v>
      </c>
      <c r="C2982" t="s">
        <v>18</v>
      </c>
      <c r="D2982" s="1">
        <v>43429</v>
      </c>
      <c r="E2982" s="1">
        <v>36524</v>
      </c>
      <c r="F2982" s="1">
        <v>43433</v>
      </c>
      <c r="G2982" s="1">
        <v>43433</v>
      </c>
      <c r="H2982" t="s">
        <v>9</v>
      </c>
      <c r="I2982" t="s">
        <v>10</v>
      </c>
    </row>
    <row r="2983" spans="1:9" x14ac:dyDescent="0.25">
      <c r="A2983" t="s">
        <v>494</v>
      </c>
      <c r="B2983" s="26" t="str">
        <f>MID(tbl_forecast[[#This Row],[PACE Job Number]],3,3)</f>
        <v>NTX</v>
      </c>
      <c r="C2983" t="s">
        <v>18</v>
      </c>
      <c r="D2983" s="1">
        <v>43428</v>
      </c>
      <c r="E2983" s="1">
        <v>36524</v>
      </c>
      <c r="F2983" s="1">
        <v>43460</v>
      </c>
      <c r="G2983" s="1"/>
      <c r="H2983" t="s">
        <v>4664</v>
      </c>
      <c r="I2983" t="s">
        <v>4666</v>
      </c>
    </row>
    <row r="2984" spans="1:9" x14ac:dyDescent="0.25">
      <c r="A2984" t="s">
        <v>88</v>
      </c>
      <c r="B2984" s="26" t="str">
        <f>MID(tbl_forecast[[#This Row],[PACE Job Number]],3,3)</f>
        <v>NTX</v>
      </c>
      <c r="C2984" t="s">
        <v>18</v>
      </c>
      <c r="D2984" s="1">
        <v>43429</v>
      </c>
      <c r="E2984" s="1">
        <v>43265</v>
      </c>
      <c r="F2984" s="1">
        <v>43464</v>
      </c>
      <c r="G2984" s="1"/>
      <c r="H2984" t="s">
        <v>4664</v>
      </c>
      <c r="I2984" t="s">
        <v>4666</v>
      </c>
    </row>
    <row r="2985" spans="1:9" x14ac:dyDescent="0.25">
      <c r="A2985" t="s">
        <v>3494</v>
      </c>
      <c r="B2985" s="26" t="str">
        <f>MID(tbl_forecast[[#This Row],[PACE Job Number]],3,3)</f>
        <v>NTX</v>
      </c>
      <c r="C2985" t="s">
        <v>18</v>
      </c>
      <c r="D2985" s="1">
        <v>43426</v>
      </c>
      <c r="E2985" s="1">
        <v>36524</v>
      </c>
      <c r="F2985" s="1">
        <v>43437</v>
      </c>
      <c r="G2985" s="1"/>
      <c r="H2985" t="s">
        <v>9</v>
      </c>
      <c r="I2985" t="s">
        <v>27</v>
      </c>
    </row>
    <row r="2986" spans="1:9" x14ac:dyDescent="0.25">
      <c r="A2986" t="s">
        <v>5433</v>
      </c>
      <c r="B2986" s="26" t="str">
        <f>MID(tbl_forecast[[#This Row],[PACE Job Number]],3,3)</f>
        <v>NTX</v>
      </c>
      <c r="C2986" t="s">
        <v>18</v>
      </c>
      <c r="D2986" s="1">
        <v>43433</v>
      </c>
      <c r="E2986" s="1">
        <v>36524</v>
      </c>
      <c r="F2986" s="1">
        <v>43451</v>
      </c>
      <c r="G2986" s="1"/>
      <c r="H2986" t="s">
        <v>4664</v>
      </c>
      <c r="I2986" t="s">
        <v>4666</v>
      </c>
    </row>
    <row r="2987" spans="1:9" x14ac:dyDescent="0.25">
      <c r="A2987" t="s">
        <v>3905</v>
      </c>
      <c r="B2987" s="26" t="str">
        <f>MID(tbl_forecast[[#This Row],[PACE Job Number]],3,3)</f>
        <v>NTX</v>
      </c>
      <c r="C2987" t="s">
        <v>18</v>
      </c>
      <c r="D2987" s="1">
        <v>43418</v>
      </c>
      <c r="E2987" s="1">
        <v>43396</v>
      </c>
      <c r="F2987" s="1">
        <v>43434</v>
      </c>
      <c r="G2987" s="1"/>
      <c r="H2987" t="s">
        <v>4664</v>
      </c>
      <c r="I2987" t="s">
        <v>4666</v>
      </c>
    </row>
    <row r="2988" spans="1:9" x14ac:dyDescent="0.25">
      <c r="A2988" t="s">
        <v>4466</v>
      </c>
      <c r="B2988" s="26" t="str">
        <f>MID(tbl_forecast[[#This Row],[PACE Job Number]],3,3)</f>
        <v>STX</v>
      </c>
      <c r="C2988" t="s">
        <v>18</v>
      </c>
      <c r="D2988" s="1">
        <v>43434</v>
      </c>
      <c r="E2988" s="1">
        <v>43465</v>
      </c>
      <c r="F2988" s="1">
        <v>43465</v>
      </c>
      <c r="G2988" s="1"/>
      <c r="H2988" t="s">
        <v>4664</v>
      </c>
      <c r="I2988" t="s">
        <v>4665</v>
      </c>
    </row>
    <row r="2989" spans="1:9" x14ac:dyDescent="0.25">
      <c r="A2989" t="s">
        <v>141</v>
      </c>
      <c r="B2989" s="26" t="str">
        <f>MID(tbl_forecast[[#This Row],[PACE Job Number]],3,3)</f>
        <v>STX</v>
      </c>
      <c r="C2989" t="s">
        <v>18</v>
      </c>
      <c r="D2989" s="1">
        <v>43434</v>
      </c>
      <c r="E2989" s="1">
        <v>43465</v>
      </c>
      <c r="F2989" s="1">
        <v>43465</v>
      </c>
      <c r="G2989" s="1"/>
      <c r="H2989" t="s">
        <v>4664</v>
      </c>
      <c r="I2989" t="s">
        <v>4665</v>
      </c>
    </row>
    <row r="2990" spans="1:9" x14ac:dyDescent="0.25">
      <c r="A2990" t="s">
        <v>3967</v>
      </c>
      <c r="B2990" s="26" t="str">
        <f>MID(tbl_forecast[[#This Row],[PACE Job Number]],3,3)</f>
        <v>STX</v>
      </c>
      <c r="C2990" t="s">
        <v>18</v>
      </c>
      <c r="D2990" s="1">
        <v>43434</v>
      </c>
      <c r="E2990" s="1">
        <v>43434</v>
      </c>
      <c r="F2990" s="1">
        <v>43434</v>
      </c>
      <c r="G2990" s="1"/>
      <c r="H2990" t="s">
        <v>9</v>
      </c>
      <c r="I2990" t="s">
        <v>27</v>
      </c>
    </row>
    <row r="2991" spans="1:9" x14ac:dyDescent="0.25">
      <c r="A2991" t="s">
        <v>3439</v>
      </c>
      <c r="B2991" s="26" t="str">
        <f>MID(tbl_forecast[[#This Row],[PACE Job Number]],3,3)</f>
        <v>NTX</v>
      </c>
      <c r="C2991" t="s">
        <v>18</v>
      </c>
      <c r="D2991" s="1">
        <v>43421</v>
      </c>
      <c r="E2991" s="1">
        <v>43293</v>
      </c>
      <c r="F2991" s="1">
        <v>43433</v>
      </c>
      <c r="G2991" s="1">
        <v>43433</v>
      </c>
      <c r="H2991" t="s">
        <v>9</v>
      </c>
      <c r="I2991" t="s">
        <v>10</v>
      </c>
    </row>
    <row r="2992" spans="1:9" x14ac:dyDescent="0.25">
      <c r="A2992" t="s">
        <v>1783</v>
      </c>
      <c r="B2992" s="26" t="str">
        <f>MID(tbl_forecast[[#This Row],[PACE Job Number]],3,3)</f>
        <v>NTX</v>
      </c>
      <c r="C2992" t="s">
        <v>18</v>
      </c>
      <c r="D2992" s="1">
        <v>43412</v>
      </c>
      <c r="E2992" s="1">
        <v>36524</v>
      </c>
      <c r="F2992" s="1">
        <v>43418</v>
      </c>
      <c r="G2992" s="1">
        <v>43418</v>
      </c>
      <c r="H2992" t="s">
        <v>9</v>
      </c>
      <c r="I2992" t="s">
        <v>10</v>
      </c>
    </row>
    <row r="2993" spans="1:9" x14ac:dyDescent="0.25">
      <c r="A2993" t="s">
        <v>1028</v>
      </c>
      <c r="B2993" s="26" t="str">
        <f>MID(tbl_forecast[[#This Row],[PACE Job Number]],3,3)</f>
        <v>NTX</v>
      </c>
      <c r="C2993" t="s">
        <v>18</v>
      </c>
      <c r="D2993" s="1">
        <v>43434</v>
      </c>
      <c r="E2993" s="1">
        <v>36524</v>
      </c>
      <c r="F2993" s="1">
        <v>43411</v>
      </c>
      <c r="G2993" s="1">
        <v>43411</v>
      </c>
      <c r="H2993" t="s">
        <v>9</v>
      </c>
      <c r="I2993" t="s">
        <v>10</v>
      </c>
    </row>
    <row r="2994" spans="1:9" x14ac:dyDescent="0.25">
      <c r="A2994" t="s">
        <v>3987</v>
      </c>
      <c r="B2994" s="26" t="str">
        <f>MID(tbl_forecast[[#This Row],[PACE Job Number]],3,3)</f>
        <v>NTX</v>
      </c>
      <c r="C2994" t="s">
        <v>18</v>
      </c>
      <c r="D2994" s="1">
        <v>43434</v>
      </c>
      <c r="E2994" s="1">
        <v>43396</v>
      </c>
      <c r="F2994" s="1">
        <v>43419</v>
      </c>
      <c r="G2994" s="1">
        <v>43419</v>
      </c>
      <c r="H2994" t="s">
        <v>9</v>
      </c>
      <c r="I2994" t="s">
        <v>10</v>
      </c>
    </row>
    <row r="2995" spans="1:9" x14ac:dyDescent="0.25">
      <c r="A2995" t="s">
        <v>3923</v>
      </c>
      <c r="B2995" s="26" t="str">
        <f>MID(tbl_forecast[[#This Row],[PACE Job Number]],3,3)</f>
        <v>NTX</v>
      </c>
      <c r="C2995" t="s">
        <v>18</v>
      </c>
      <c r="D2995" s="1">
        <v>43414</v>
      </c>
      <c r="E2995" s="1">
        <v>36524</v>
      </c>
      <c r="F2995" s="1">
        <v>43417</v>
      </c>
      <c r="G2995" s="1">
        <v>43417</v>
      </c>
      <c r="H2995" t="s">
        <v>9</v>
      </c>
      <c r="I2995" t="s">
        <v>10</v>
      </c>
    </row>
    <row r="2996" spans="1:9" x14ac:dyDescent="0.25">
      <c r="A2996" t="s">
        <v>4323</v>
      </c>
      <c r="B2996" s="26" t="str">
        <f>MID(tbl_forecast[[#This Row],[PACE Job Number]],3,3)</f>
        <v>NTX</v>
      </c>
      <c r="C2996" t="s">
        <v>18</v>
      </c>
      <c r="D2996" s="1">
        <v>43431</v>
      </c>
      <c r="E2996" s="1">
        <v>43279</v>
      </c>
      <c r="F2996" s="1">
        <v>43452</v>
      </c>
      <c r="G2996" s="1"/>
      <c r="H2996" t="s">
        <v>4664</v>
      </c>
      <c r="I2996" t="s">
        <v>4666</v>
      </c>
    </row>
    <row r="2997" spans="1:9" x14ac:dyDescent="0.25">
      <c r="A2997" t="s">
        <v>4192</v>
      </c>
      <c r="B2997" s="26" t="str">
        <f>MID(tbl_forecast[[#This Row],[PACE Job Number]],3,3)</f>
        <v>NTX</v>
      </c>
      <c r="C2997" t="s">
        <v>18</v>
      </c>
      <c r="D2997" s="1">
        <v>43434</v>
      </c>
      <c r="E2997" s="1">
        <v>36524</v>
      </c>
      <c r="F2997" s="1">
        <v>43444</v>
      </c>
      <c r="G2997" s="1"/>
      <c r="H2997" t="s">
        <v>9</v>
      </c>
      <c r="I2997" t="s">
        <v>27</v>
      </c>
    </row>
    <row r="2998" spans="1:9" x14ac:dyDescent="0.25">
      <c r="A2998" t="s">
        <v>3461</v>
      </c>
      <c r="B2998" s="26" t="str">
        <f>MID(tbl_forecast[[#This Row],[PACE Job Number]],3,3)</f>
        <v>NTX</v>
      </c>
      <c r="C2998" t="s">
        <v>18</v>
      </c>
      <c r="D2998" s="1">
        <v>43421</v>
      </c>
      <c r="E2998" s="1">
        <v>43293</v>
      </c>
      <c r="F2998" s="1">
        <v>43433</v>
      </c>
      <c r="G2998" s="1">
        <v>43433</v>
      </c>
      <c r="H2998" t="s">
        <v>9</v>
      </c>
      <c r="I2998" t="s">
        <v>10</v>
      </c>
    </row>
    <row r="2999" spans="1:9" x14ac:dyDescent="0.25">
      <c r="A2999" t="s">
        <v>4516</v>
      </c>
      <c r="B2999" s="26" t="str">
        <f>MID(tbl_forecast[[#This Row],[PACE Job Number]],3,3)</f>
        <v>NTX</v>
      </c>
      <c r="C2999" t="s">
        <v>18</v>
      </c>
      <c r="D2999" s="1">
        <v>43418</v>
      </c>
      <c r="E2999" s="1">
        <v>43396</v>
      </c>
      <c r="F2999" s="1">
        <v>43426</v>
      </c>
      <c r="G2999" s="1">
        <v>43426</v>
      </c>
      <c r="H2999" t="s">
        <v>9</v>
      </c>
      <c r="I2999" t="s">
        <v>10</v>
      </c>
    </row>
    <row r="3000" spans="1:9" x14ac:dyDescent="0.25">
      <c r="A3000" t="s">
        <v>4324</v>
      </c>
      <c r="B3000" s="26" t="str">
        <f>MID(tbl_forecast[[#This Row],[PACE Job Number]],3,3)</f>
        <v>NTX</v>
      </c>
      <c r="C3000" t="s">
        <v>18</v>
      </c>
      <c r="D3000" s="1">
        <v>43429</v>
      </c>
      <c r="E3000" s="1">
        <v>36524</v>
      </c>
      <c r="F3000" s="1">
        <v>43434</v>
      </c>
      <c r="G3000" s="1"/>
      <c r="H3000" t="s">
        <v>9</v>
      </c>
      <c r="I3000" t="s">
        <v>27</v>
      </c>
    </row>
    <row r="3001" spans="1:9" x14ac:dyDescent="0.25">
      <c r="A3001" t="s">
        <v>1784</v>
      </c>
      <c r="B3001" s="26" t="str">
        <f>MID(tbl_forecast[[#This Row],[PACE Job Number]],3,3)</f>
        <v>NTX</v>
      </c>
      <c r="C3001" t="s">
        <v>18</v>
      </c>
      <c r="D3001" s="1">
        <v>43430</v>
      </c>
      <c r="E3001" s="1">
        <v>36524</v>
      </c>
      <c r="F3001" s="1">
        <v>43418</v>
      </c>
      <c r="G3001" s="1">
        <v>43418</v>
      </c>
      <c r="H3001" t="s">
        <v>9</v>
      </c>
      <c r="I3001" t="s">
        <v>10</v>
      </c>
    </row>
    <row r="3002" spans="1:9" x14ac:dyDescent="0.25">
      <c r="A3002" t="s">
        <v>4517</v>
      </c>
      <c r="B3002" s="26" t="str">
        <f>MID(tbl_forecast[[#This Row],[PACE Job Number]],3,3)</f>
        <v>NTX</v>
      </c>
      <c r="C3002" t="s">
        <v>18</v>
      </c>
      <c r="D3002" s="1">
        <v>43418</v>
      </c>
      <c r="E3002" s="1">
        <v>43396</v>
      </c>
      <c r="F3002" s="1">
        <v>43412</v>
      </c>
      <c r="G3002" s="1">
        <v>43412</v>
      </c>
      <c r="H3002" t="s">
        <v>9</v>
      </c>
      <c r="I3002" t="s">
        <v>10</v>
      </c>
    </row>
    <row r="3003" spans="1:9" x14ac:dyDescent="0.25">
      <c r="A3003" t="s">
        <v>5550</v>
      </c>
      <c r="B3003" s="26" t="str">
        <f>MID(tbl_forecast[[#This Row],[PACE Job Number]],3,3)</f>
        <v>NTX</v>
      </c>
      <c r="C3003" t="s">
        <v>18</v>
      </c>
      <c r="D3003" s="1">
        <v>43434</v>
      </c>
      <c r="E3003" s="1">
        <v>43286</v>
      </c>
      <c r="F3003" s="1">
        <v>43465</v>
      </c>
      <c r="G3003" s="1"/>
      <c r="H3003" t="s">
        <v>4664</v>
      </c>
      <c r="I3003" t="s">
        <v>4666</v>
      </c>
    </row>
    <row r="3004" spans="1:9" x14ac:dyDescent="0.25">
      <c r="A3004" t="s">
        <v>2362</v>
      </c>
      <c r="B3004" s="26" t="str">
        <f>MID(tbl_forecast[[#This Row],[PACE Job Number]],3,3)</f>
        <v>NTX</v>
      </c>
      <c r="C3004" t="s">
        <v>18</v>
      </c>
      <c r="D3004" s="1">
        <v>43430</v>
      </c>
      <c r="E3004" s="1">
        <v>36524</v>
      </c>
      <c r="F3004" s="1">
        <v>43444</v>
      </c>
      <c r="G3004" s="1"/>
      <c r="H3004" t="s">
        <v>9</v>
      </c>
      <c r="I3004" t="s">
        <v>27</v>
      </c>
    </row>
    <row r="3005" spans="1:9" x14ac:dyDescent="0.25">
      <c r="A3005" t="s">
        <v>3844</v>
      </c>
      <c r="B3005" s="26" t="str">
        <f>MID(tbl_forecast[[#This Row],[PACE Job Number]],3,3)</f>
        <v>NTX</v>
      </c>
      <c r="C3005" t="s">
        <v>18</v>
      </c>
      <c r="D3005" s="1">
        <v>43430</v>
      </c>
      <c r="E3005" s="1">
        <v>36524</v>
      </c>
      <c r="F3005" s="1">
        <v>43441</v>
      </c>
      <c r="G3005" s="1"/>
      <c r="H3005" t="s">
        <v>9</v>
      </c>
      <c r="I3005" t="s">
        <v>27</v>
      </c>
    </row>
    <row r="3006" spans="1:9" x14ac:dyDescent="0.25">
      <c r="A3006" t="s">
        <v>4325</v>
      </c>
      <c r="B3006" s="26" t="str">
        <f>MID(tbl_forecast[[#This Row],[PACE Job Number]],3,3)</f>
        <v>NTX</v>
      </c>
      <c r="C3006" t="s">
        <v>18</v>
      </c>
      <c r="D3006" s="1">
        <v>43428</v>
      </c>
      <c r="E3006" s="1">
        <v>36524</v>
      </c>
      <c r="F3006" s="1">
        <v>43524</v>
      </c>
      <c r="G3006" s="1"/>
      <c r="H3006" t="s">
        <v>4664</v>
      </c>
      <c r="I3006" t="s">
        <v>4666</v>
      </c>
    </row>
    <row r="3007" spans="1:9" x14ac:dyDescent="0.25">
      <c r="A3007" t="s">
        <v>667</v>
      </c>
      <c r="B3007" s="26" t="str">
        <f>MID(tbl_forecast[[#This Row],[PACE Job Number]],3,3)</f>
        <v>NTX</v>
      </c>
      <c r="C3007" t="s">
        <v>18</v>
      </c>
      <c r="D3007" s="1">
        <v>43416</v>
      </c>
      <c r="E3007" s="1">
        <v>43396</v>
      </c>
      <c r="F3007" s="1">
        <v>43433</v>
      </c>
      <c r="G3007" s="1">
        <v>43433</v>
      </c>
      <c r="H3007" t="s">
        <v>4664</v>
      </c>
      <c r="I3007" t="s">
        <v>10</v>
      </c>
    </row>
    <row r="3008" spans="1:9" x14ac:dyDescent="0.25">
      <c r="A3008" t="s">
        <v>1076</v>
      </c>
      <c r="B3008" s="26" t="str">
        <f>MID(tbl_forecast[[#This Row],[PACE Job Number]],3,3)</f>
        <v>NTX</v>
      </c>
      <c r="C3008" t="s">
        <v>18</v>
      </c>
      <c r="D3008" s="1">
        <v>43426</v>
      </c>
      <c r="E3008" s="1">
        <v>43418</v>
      </c>
      <c r="F3008" s="1">
        <v>43420</v>
      </c>
      <c r="G3008" s="1">
        <v>43420</v>
      </c>
      <c r="H3008" t="s">
        <v>9</v>
      </c>
      <c r="I3008" t="s">
        <v>10</v>
      </c>
    </row>
    <row r="3009" spans="1:9" x14ac:dyDescent="0.25">
      <c r="A3009" t="s">
        <v>4326</v>
      </c>
      <c r="B3009" s="26" t="str">
        <f>MID(tbl_forecast[[#This Row],[PACE Job Number]],3,3)</f>
        <v>NTX</v>
      </c>
      <c r="C3009" t="s">
        <v>18</v>
      </c>
      <c r="D3009" s="1">
        <v>43433</v>
      </c>
      <c r="E3009" s="1">
        <v>36524</v>
      </c>
      <c r="F3009" s="1">
        <v>43439</v>
      </c>
      <c r="G3009" s="1"/>
      <c r="H3009" t="s">
        <v>9</v>
      </c>
      <c r="I3009" t="s">
        <v>27</v>
      </c>
    </row>
    <row r="3010" spans="1:9" x14ac:dyDescent="0.25">
      <c r="A3010" t="s">
        <v>2363</v>
      </c>
      <c r="B3010" s="26" t="str">
        <f>MID(tbl_forecast[[#This Row],[PACE Job Number]],3,3)</f>
        <v>NTX</v>
      </c>
      <c r="C3010" t="s">
        <v>18</v>
      </c>
      <c r="D3010" s="1">
        <v>43430</v>
      </c>
      <c r="E3010" s="1">
        <v>36524</v>
      </c>
      <c r="F3010" s="1">
        <v>43444</v>
      </c>
      <c r="G3010" s="1"/>
      <c r="H3010" t="s">
        <v>9</v>
      </c>
      <c r="I3010" t="s">
        <v>27</v>
      </c>
    </row>
    <row r="3011" spans="1:9" x14ac:dyDescent="0.25">
      <c r="A3011" t="s">
        <v>2483</v>
      </c>
      <c r="B3011" s="26" t="str">
        <f>MID(tbl_forecast[[#This Row],[PACE Job Number]],3,3)</f>
        <v>NTX</v>
      </c>
      <c r="C3011" t="s">
        <v>18</v>
      </c>
      <c r="D3011" s="1">
        <v>43433</v>
      </c>
      <c r="E3011" s="1">
        <v>36524</v>
      </c>
      <c r="F3011" s="1">
        <v>43524</v>
      </c>
      <c r="G3011" s="1"/>
      <c r="H3011" t="s">
        <v>4664</v>
      </c>
      <c r="I3011" t="s">
        <v>4666</v>
      </c>
    </row>
    <row r="3012" spans="1:9" x14ac:dyDescent="0.25">
      <c r="A3012" t="s">
        <v>2496</v>
      </c>
      <c r="B3012" s="26" t="str">
        <f>MID(tbl_forecast[[#This Row],[PACE Job Number]],3,3)</f>
        <v>NTX</v>
      </c>
      <c r="C3012" t="s">
        <v>18</v>
      </c>
      <c r="D3012" s="1">
        <v>43433</v>
      </c>
      <c r="E3012" s="1">
        <v>36524</v>
      </c>
      <c r="F3012" s="1">
        <v>43423</v>
      </c>
      <c r="G3012" s="1">
        <v>43423</v>
      </c>
      <c r="H3012" t="s">
        <v>9</v>
      </c>
      <c r="I3012" t="s">
        <v>10</v>
      </c>
    </row>
    <row r="3013" spans="1:9" x14ac:dyDescent="0.25">
      <c r="A3013" t="s">
        <v>4311</v>
      </c>
      <c r="B3013" s="26" t="str">
        <f>MID(tbl_forecast[[#This Row],[PACE Job Number]],3,3)</f>
        <v>NTX</v>
      </c>
      <c r="C3013" t="s">
        <v>18</v>
      </c>
      <c r="D3013" s="1">
        <v>43430</v>
      </c>
      <c r="E3013" s="1">
        <v>36524</v>
      </c>
      <c r="F3013" s="1">
        <v>43452</v>
      </c>
      <c r="G3013" s="1"/>
      <c r="H3013" t="s">
        <v>4664</v>
      </c>
      <c r="I3013" t="s">
        <v>4666</v>
      </c>
    </row>
    <row r="3014" spans="1:9" x14ac:dyDescent="0.25">
      <c r="A3014" t="s">
        <v>3417</v>
      </c>
      <c r="B3014" s="26" t="str">
        <f>MID(tbl_forecast[[#This Row],[PACE Job Number]],3,3)</f>
        <v>NTX</v>
      </c>
      <c r="C3014" t="s">
        <v>18</v>
      </c>
      <c r="D3014" s="1">
        <v>43417</v>
      </c>
      <c r="E3014" s="1">
        <v>43321</v>
      </c>
      <c r="F3014" s="1">
        <v>43432</v>
      </c>
      <c r="G3014" s="1">
        <v>43432</v>
      </c>
      <c r="H3014" t="s">
        <v>4664</v>
      </c>
      <c r="I3014" t="s">
        <v>10</v>
      </c>
    </row>
    <row r="3015" spans="1:9" x14ac:dyDescent="0.25">
      <c r="A3015" t="s">
        <v>76</v>
      </c>
      <c r="B3015" s="26" t="str">
        <f>MID(tbl_forecast[[#This Row],[PACE Job Number]],3,3)</f>
        <v>WSH</v>
      </c>
      <c r="C3015" t="s">
        <v>18</v>
      </c>
      <c r="D3015" s="1">
        <v>43434</v>
      </c>
      <c r="E3015" s="1">
        <v>43230</v>
      </c>
      <c r="F3015" s="1">
        <v>43427</v>
      </c>
      <c r="G3015" s="1">
        <v>43427</v>
      </c>
      <c r="H3015" t="s">
        <v>9</v>
      </c>
      <c r="I3015" t="s">
        <v>10</v>
      </c>
    </row>
    <row r="3016" spans="1:9" x14ac:dyDescent="0.25">
      <c r="A3016" t="s">
        <v>701</v>
      </c>
      <c r="B3016" s="26" t="str">
        <f>MID(tbl_forecast[[#This Row],[PACE Job Number]],3,3)</f>
        <v>WSH</v>
      </c>
      <c r="C3016" t="s">
        <v>18</v>
      </c>
      <c r="D3016" s="1">
        <v>43434</v>
      </c>
      <c r="E3016" s="1">
        <v>43223</v>
      </c>
      <c r="F3016" s="1">
        <v>43412</v>
      </c>
      <c r="G3016" s="1">
        <v>43412</v>
      </c>
      <c r="H3016" t="s">
        <v>9</v>
      </c>
      <c r="I3016" t="s">
        <v>10</v>
      </c>
    </row>
    <row r="3017" spans="1:9" x14ac:dyDescent="0.25">
      <c r="A3017" t="s">
        <v>5437</v>
      </c>
      <c r="B3017" s="26" t="str">
        <f>MID(tbl_forecast[[#This Row],[PACE Job Number]],3,3)</f>
        <v>WSH</v>
      </c>
      <c r="C3017" t="s">
        <v>18</v>
      </c>
      <c r="D3017" s="1">
        <v>43434</v>
      </c>
      <c r="E3017" s="1">
        <v>43465</v>
      </c>
      <c r="F3017" s="1">
        <v>43465</v>
      </c>
      <c r="G3017" s="1"/>
      <c r="H3017" t="s">
        <v>4664</v>
      </c>
      <c r="I3017" t="s">
        <v>4665</v>
      </c>
    </row>
    <row r="3018" spans="1:9" x14ac:dyDescent="0.25">
      <c r="A3018" t="s">
        <v>5438</v>
      </c>
      <c r="B3018" s="26" t="str">
        <f>MID(tbl_forecast[[#This Row],[PACE Job Number]],3,3)</f>
        <v>WSH</v>
      </c>
      <c r="C3018" t="s">
        <v>18</v>
      </c>
      <c r="D3018" s="1">
        <v>43434</v>
      </c>
      <c r="E3018" s="1">
        <v>43465</v>
      </c>
      <c r="F3018" s="1">
        <v>43430</v>
      </c>
      <c r="G3018" s="1">
        <v>43430</v>
      </c>
      <c r="H3018" t="s">
        <v>9</v>
      </c>
      <c r="I3018" t="s">
        <v>10</v>
      </c>
    </row>
    <row r="3019" spans="1:9" x14ac:dyDescent="0.25">
      <c r="A3019" t="s">
        <v>5285</v>
      </c>
      <c r="B3019" s="26" t="str">
        <f>MID(tbl_forecast[[#This Row],[PACE Job Number]],3,3)</f>
        <v>WSH</v>
      </c>
      <c r="C3019" t="s">
        <v>18</v>
      </c>
      <c r="D3019" s="1">
        <v>43434</v>
      </c>
      <c r="E3019" s="1">
        <v>43406</v>
      </c>
      <c r="F3019" s="1">
        <v>43465</v>
      </c>
      <c r="G3019" s="1"/>
      <c r="H3019" t="s">
        <v>4664</v>
      </c>
      <c r="I3019" t="s">
        <v>4666</v>
      </c>
    </row>
    <row r="3020" spans="1:9" x14ac:dyDescent="0.25">
      <c r="A3020" t="s">
        <v>5514</v>
      </c>
      <c r="B3020" s="26" t="str">
        <f>MID(tbl_forecast[[#This Row],[PACE Job Number]],3,3)</f>
        <v>WSH</v>
      </c>
      <c r="C3020" t="s">
        <v>18</v>
      </c>
      <c r="D3020" s="1">
        <v>43434</v>
      </c>
      <c r="E3020" s="1">
        <v>43436</v>
      </c>
      <c r="F3020" s="1">
        <v>43423</v>
      </c>
      <c r="G3020" s="1">
        <v>43423</v>
      </c>
      <c r="H3020" t="s">
        <v>9</v>
      </c>
      <c r="I3020" t="s">
        <v>10</v>
      </c>
    </row>
    <row r="3021" spans="1:9" x14ac:dyDescent="0.25">
      <c r="A3021" t="s">
        <v>4199</v>
      </c>
      <c r="B3021" s="26" t="str">
        <f>MID(tbl_forecast[[#This Row],[PACE Job Number]],3,3)</f>
        <v>WSH</v>
      </c>
      <c r="C3021" t="s">
        <v>18</v>
      </c>
      <c r="D3021" s="1">
        <v>43434</v>
      </c>
      <c r="E3021" s="1">
        <v>43276</v>
      </c>
      <c r="F3021" s="1">
        <v>43465</v>
      </c>
      <c r="G3021" s="1"/>
      <c r="H3021" t="s">
        <v>4664</v>
      </c>
      <c r="I3021" t="s">
        <v>4666</v>
      </c>
    </row>
    <row r="3022" spans="1:9" x14ac:dyDescent="0.25">
      <c r="A3022" t="s">
        <v>3800</v>
      </c>
      <c r="B3022" s="26" t="str">
        <f>MID(tbl_forecast[[#This Row],[PACE Job Number]],3,3)</f>
        <v>WSH</v>
      </c>
      <c r="C3022" t="s">
        <v>18</v>
      </c>
      <c r="D3022" s="1">
        <v>43434</v>
      </c>
      <c r="E3022" s="1">
        <v>43311</v>
      </c>
      <c r="F3022" s="1">
        <v>43465</v>
      </c>
      <c r="G3022" s="1"/>
      <c r="H3022" t="s">
        <v>4664</v>
      </c>
      <c r="I3022" t="s">
        <v>4666</v>
      </c>
    </row>
    <row r="3023" spans="1:9" x14ac:dyDescent="0.25">
      <c r="A3023" t="s">
        <v>311</v>
      </c>
      <c r="B3023" s="26" t="str">
        <f>MID(tbl_forecast[[#This Row],[PACE Job Number]],3,3)</f>
        <v>WSH</v>
      </c>
      <c r="C3023" t="s">
        <v>18</v>
      </c>
      <c r="D3023" s="1">
        <v>43434</v>
      </c>
      <c r="E3023" s="1">
        <v>43230</v>
      </c>
      <c r="F3023" s="1">
        <v>43427</v>
      </c>
      <c r="G3023" s="1">
        <v>43427</v>
      </c>
      <c r="H3023" t="s">
        <v>9</v>
      </c>
      <c r="I3023" t="s">
        <v>10</v>
      </c>
    </row>
    <row r="3024" spans="1:9" x14ac:dyDescent="0.25">
      <c r="A3024" t="s">
        <v>152</v>
      </c>
      <c r="B3024" s="26" t="str">
        <f>MID(tbl_forecast[[#This Row],[PACE Job Number]],3,3)</f>
        <v>WSH</v>
      </c>
      <c r="C3024" t="s">
        <v>18</v>
      </c>
      <c r="D3024" s="1">
        <v>43434</v>
      </c>
      <c r="E3024" s="1">
        <v>43465</v>
      </c>
      <c r="F3024" s="1">
        <v>43427</v>
      </c>
      <c r="G3024" s="1">
        <v>43427</v>
      </c>
      <c r="H3024" t="s">
        <v>9</v>
      </c>
      <c r="I3024" t="s">
        <v>10</v>
      </c>
    </row>
    <row r="3025" spans="1:9" x14ac:dyDescent="0.25">
      <c r="A3025" t="s">
        <v>5286</v>
      </c>
      <c r="B3025" s="26" t="str">
        <f>MID(tbl_forecast[[#This Row],[PACE Job Number]],3,3)</f>
        <v>WSH</v>
      </c>
      <c r="C3025" t="s">
        <v>18</v>
      </c>
      <c r="D3025" s="1">
        <v>43434</v>
      </c>
      <c r="E3025" s="1">
        <v>43406</v>
      </c>
      <c r="F3025" s="1">
        <v>43465</v>
      </c>
      <c r="G3025" s="1"/>
      <c r="H3025" t="s">
        <v>4664</v>
      </c>
      <c r="I3025" t="s">
        <v>4666</v>
      </c>
    </row>
    <row r="3026" spans="1:9" x14ac:dyDescent="0.25">
      <c r="A3026" t="s">
        <v>513</v>
      </c>
      <c r="B3026" s="26" t="str">
        <f>MID(tbl_forecast[[#This Row],[PACE Job Number]],3,3)</f>
        <v>WSH</v>
      </c>
      <c r="C3026" t="s">
        <v>18</v>
      </c>
      <c r="D3026" s="1">
        <v>43434</v>
      </c>
      <c r="E3026" s="1">
        <v>43223</v>
      </c>
      <c r="F3026" s="1">
        <v>43410</v>
      </c>
      <c r="G3026" s="1">
        <v>43410</v>
      </c>
      <c r="H3026" t="s">
        <v>9</v>
      </c>
      <c r="I3026" t="s">
        <v>10</v>
      </c>
    </row>
    <row r="3027" spans="1:9" x14ac:dyDescent="0.25">
      <c r="A3027" t="s">
        <v>5288</v>
      </c>
      <c r="B3027" s="26" t="str">
        <f>MID(tbl_forecast[[#This Row],[PACE Job Number]],3,3)</f>
        <v>WSH</v>
      </c>
      <c r="C3027" t="s">
        <v>18</v>
      </c>
      <c r="D3027" s="1">
        <v>43434</v>
      </c>
      <c r="E3027" s="1">
        <v>43314</v>
      </c>
      <c r="F3027" s="1">
        <v>43465</v>
      </c>
      <c r="G3027" s="1"/>
      <c r="H3027" t="s">
        <v>4664</v>
      </c>
      <c r="I3027" t="s">
        <v>4666</v>
      </c>
    </row>
    <row r="3028" spans="1:9" x14ac:dyDescent="0.25">
      <c r="A3028" t="s">
        <v>3801</v>
      </c>
      <c r="B3028" s="26" t="str">
        <f>MID(tbl_forecast[[#This Row],[PACE Job Number]],3,3)</f>
        <v>WSH</v>
      </c>
      <c r="C3028" t="s">
        <v>18</v>
      </c>
      <c r="D3028" s="1">
        <v>43434</v>
      </c>
      <c r="E3028" s="1">
        <v>43286</v>
      </c>
      <c r="F3028" s="1">
        <v>43465</v>
      </c>
      <c r="G3028" s="1"/>
      <c r="H3028" t="s">
        <v>4664</v>
      </c>
      <c r="I3028" t="s">
        <v>4666</v>
      </c>
    </row>
    <row r="3029" spans="1:9" x14ac:dyDescent="0.25">
      <c r="A3029" t="s">
        <v>5289</v>
      </c>
      <c r="B3029" s="26" t="str">
        <f>MID(tbl_forecast[[#This Row],[PACE Job Number]],3,3)</f>
        <v>WSH</v>
      </c>
      <c r="C3029" t="s">
        <v>18</v>
      </c>
      <c r="D3029" s="1">
        <v>43434</v>
      </c>
      <c r="E3029" s="1">
        <v>43311</v>
      </c>
      <c r="F3029" s="1">
        <v>43465</v>
      </c>
      <c r="G3029" s="1"/>
      <c r="H3029" t="s">
        <v>4664</v>
      </c>
      <c r="I3029" t="s">
        <v>4666</v>
      </c>
    </row>
    <row r="3030" spans="1:9" x14ac:dyDescent="0.25">
      <c r="A3030" t="s">
        <v>5291</v>
      </c>
      <c r="B3030" s="26" t="str">
        <f>MID(tbl_forecast[[#This Row],[PACE Job Number]],3,3)</f>
        <v>WSH</v>
      </c>
      <c r="C3030" t="s">
        <v>18</v>
      </c>
      <c r="D3030" s="1">
        <v>43434</v>
      </c>
      <c r="E3030" s="1">
        <v>43465</v>
      </c>
      <c r="F3030" s="1">
        <v>43427</v>
      </c>
      <c r="G3030" s="1">
        <v>43427</v>
      </c>
      <c r="H3030" t="s">
        <v>9</v>
      </c>
      <c r="I3030" t="s">
        <v>10</v>
      </c>
    </row>
    <row r="3031" spans="1:9" x14ac:dyDescent="0.25">
      <c r="A3031" t="s">
        <v>5292</v>
      </c>
      <c r="B3031" s="26" t="str">
        <f>MID(tbl_forecast[[#This Row],[PACE Job Number]],3,3)</f>
        <v>WSH</v>
      </c>
      <c r="C3031" t="s">
        <v>18</v>
      </c>
      <c r="D3031" s="1">
        <v>43434</v>
      </c>
      <c r="E3031" s="1">
        <v>43314</v>
      </c>
      <c r="F3031" s="1">
        <v>43465</v>
      </c>
      <c r="G3031" s="1"/>
      <c r="H3031" t="s">
        <v>4664</v>
      </c>
      <c r="I3031" t="s">
        <v>4666</v>
      </c>
    </row>
    <row r="3032" spans="1:9" x14ac:dyDescent="0.25">
      <c r="A3032" t="s">
        <v>5293</v>
      </c>
      <c r="B3032" s="26" t="str">
        <f>MID(tbl_forecast[[#This Row],[PACE Job Number]],3,3)</f>
        <v>WSH</v>
      </c>
      <c r="C3032" t="s">
        <v>18</v>
      </c>
      <c r="D3032" s="1">
        <v>43434</v>
      </c>
      <c r="E3032" s="1">
        <v>43406</v>
      </c>
      <c r="F3032" s="1">
        <v>43465</v>
      </c>
      <c r="G3032" s="1"/>
      <c r="H3032" t="s">
        <v>4664</v>
      </c>
      <c r="I3032" t="s">
        <v>4666</v>
      </c>
    </row>
    <row r="3033" spans="1:9" x14ac:dyDescent="0.25">
      <c r="A3033" t="s">
        <v>3891</v>
      </c>
      <c r="B3033" s="26" t="str">
        <f>MID(tbl_forecast[[#This Row],[PACE Job Number]],3,3)</f>
        <v>WSH</v>
      </c>
      <c r="C3033" t="s">
        <v>18</v>
      </c>
      <c r="D3033" s="1">
        <v>43434</v>
      </c>
      <c r="E3033" s="1">
        <v>43406</v>
      </c>
      <c r="F3033" s="1">
        <v>43421</v>
      </c>
      <c r="G3033" s="1">
        <v>43421</v>
      </c>
      <c r="H3033" t="s">
        <v>9</v>
      </c>
      <c r="I3033" t="s">
        <v>10</v>
      </c>
    </row>
    <row r="3034" spans="1:9" x14ac:dyDescent="0.25">
      <c r="A3034" t="s">
        <v>3808</v>
      </c>
      <c r="B3034" s="26" t="str">
        <f>MID(tbl_forecast[[#This Row],[PACE Job Number]],3,3)</f>
        <v>WSH</v>
      </c>
      <c r="C3034" t="s">
        <v>18</v>
      </c>
      <c r="D3034" s="1">
        <v>43434</v>
      </c>
      <c r="E3034" s="1">
        <v>43311</v>
      </c>
      <c r="F3034" s="1">
        <v>43465</v>
      </c>
      <c r="G3034" s="1"/>
      <c r="H3034" t="s">
        <v>4664</v>
      </c>
      <c r="I3034" t="s">
        <v>4666</v>
      </c>
    </row>
    <row r="3035" spans="1:9" x14ac:dyDescent="0.25">
      <c r="A3035" t="s">
        <v>5515</v>
      </c>
      <c r="B3035" s="26" t="str">
        <f>MID(tbl_forecast[[#This Row],[PACE Job Number]],3,3)</f>
        <v>WSH</v>
      </c>
      <c r="C3035" t="s">
        <v>18</v>
      </c>
      <c r="D3035" s="1">
        <v>43434</v>
      </c>
      <c r="E3035" s="1">
        <v>43288</v>
      </c>
      <c r="F3035" s="1">
        <v>43465</v>
      </c>
      <c r="G3035" s="1"/>
      <c r="H3035" t="s">
        <v>4664</v>
      </c>
      <c r="I3035" t="s">
        <v>4666</v>
      </c>
    </row>
    <row r="3036" spans="1:9" x14ac:dyDescent="0.25">
      <c r="A3036" t="s">
        <v>3898</v>
      </c>
      <c r="B3036" s="26" t="str">
        <f>MID(tbl_forecast[[#This Row],[PACE Job Number]],3,3)</f>
        <v>WSH</v>
      </c>
      <c r="C3036" t="s">
        <v>18</v>
      </c>
      <c r="D3036" s="1">
        <v>43434</v>
      </c>
      <c r="E3036" s="1">
        <v>43465</v>
      </c>
      <c r="F3036" s="1">
        <v>43465</v>
      </c>
      <c r="G3036" s="1"/>
      <c r="H3036" t="s">
        <v>4664</v>
      </c>
      <c r="I3036" t="s">
        <v>4665</v>
      </c>
    </row>
    <row r="3037" spans="1:9" x14ac:dyDescent="0.25">
      <c r="A3037" t="s">
        <v>3809</v>
      </c>
      <c r="B3037" s="26" t="str">
        <f>MID(tbl_forecast[[#This Row],[PACE Job Number]],3,3)</f>
        <v>WSH</v>
      </c>
      <c r="C3037" t="s">
        <v>18</v>
      </c>
      <c r="D3037" s="1">
        <v>43434</v>
      </c>
      <c r="E3037" s="1">
        <v>43465</v>
      </c>
      <c r="F3037" s="1">
        <v>43427</v>
      </c>
      <c r="G3037" s="1">
        <v>43427</v>
      </c>
      <c r="H3037" t="s">
        <v>9</v>
      </c>
      <c r="I3037" t="s">
        <v>10</v>
      </c>
    </row>
    <row r="3038" spans="1:9" x14ac:dyDescent="0.25">
      <c r="A3038" t="s">
        <v>5294</v>
      </c>
      <c r="B3038" s="26" t="str">
        <f>MID(tbl_forecast[[#This Row],[PACE Job Number]],3,3)</f>
        <v>WSH</v>
      </c>
      <c r="C3038" t="s">
        <v>18</v>
      </c>
      <c r="D3038" s="1">
        <v>43434</v>
      </c>
      <c r="E3038" s="1">
        <v>43311</v>
      </c>
      <c r="F3038" s="1">
        <v>43465</v>
      </c>
      <c r="G3038" s="1"/>
      <c r="H3038" t="s">
        <v>4664</v>
      </c>
      <c r="I3038" t="s">
        <v>4666</v>
      </c>
    </row>
    <row r="3039" spans="1:9" x14ac:dyDescent="0.25">
      <c r="A3039" t="s">
        <v>3900</v>
      </c>
      <c r="B3039" s="26" t="str">
        <f>MID(tbl_forecast[[#This Row],[PACE Job Number]],3,3)</f>
        <v>WSH</v>
      </c>
      <c r="C3039" t="s">
        <v>18</v>
      </c>
      <c r="D3039" s="1">
        <v>43434</v>
      </c>
      <c r="E3039" s="1">
        <v>43459</v>
      </c>
      <c r="F3039" s="1">
        <v>43427</v>
      </c>
      <c r="G3039" s="1">
        <v>43427</v>
      </c>
      <c r="H3039" t="s">
        <v>9</v>
      </c>
      <c r="I3039" t="s">
        <v>10</v>
      </c>
    </row>
    <row r="3040" spans="1:9" x14ac:dyDescent="0.25">
      <c r="A3040" t="s">
        <v>3901</v>
      </c>
      <c r="B3040" s="26" t="str">
        <f>MID(tbl_forecast[[#This Row],[PACE Job Number]],3,3)</f>
        <v>WSH</v>
      </c>
      <c r="C3040" t="s">
        <v>18</v>
      </c>
      <c r="D3040" s="1">
        <v>43434</v>
      </c>
      <c r="E3040" s="1">
        <v>43277</v>
      </c>
      <c r="F3040" s="1">
        <v>43465</v>
      </c>
      <c r="G3040" s="1"/>
      <c r="H3040" t="s">
        <v>4664</v>
      </c>
      <c r="I3040" t="s">
        <v>4666</v>
      </c>
    </row>
    <row r="3041" spans="1:9" x14ac:dyDescent="0.25">
      <c r="A3041" t="s">
        <v>3391</v>
      </c>
      <c r="B3041" s="26" t="str">
        <f>MID(tbl_forecast[[#This Row],[PACE Job Number]],3,3)</f>
        <v>WSH</v>
      </c>
      <c r="C3041" t="s">
        <v>18</v>
      </c>
      <c r="D3041" s="1">
        <v>43434</v>
      </c>
      <c r="E3041" s="1">
        <v>43465</v>
      </c>
      <c r="F3041" s="1">
        <v>43417</v>
      </c>
      <c r="G3041" s="1">
        <v>43417</v>
      </c>
      <c r="H3041" t="s">
        <v>9</v>
      </c>
      <c r="I3041" t="s">
        <v>10</v>
      </c>
    </row>
    <row r="3042" spans="1:9" x14ac:dyDescent="0.25">
      <c r="A3042" t="s">
        <v>5295</v>
      </c>
      <c r="B3042" s="26" t="str">
        <f>MID(tbl_forecast[[#This Row],[PACE Job Number]],3,3)</f>
        <v>WSH</v>
      </c>
      <c r="C3042" t="s">
        <v>18</v>
      </c>
      <c r="D3042" s="1">
        <v>43434</v>
      </c>
      <c r="E3042" s="1">
        <v>43375</v>
      </c>
      <c r="F3042" s="1">
        <v>43465</v>
      </c>
      <c r="G3042" s="1"/>
      <c r="H3042" t="s">
        <v>4664</v>
      </c>
      <c r="I3042" t="s">
        <v>4666</v>
      </c>
    </row>
    <row r="3043" spans="1:9" x14ac:dyDescent="0.25">
      <c r="A3043" t="s">
        <v>351</v>
      </c>
      <c r="B3043" s="26" t="str">
        <f>MID(tbl_forecast[[#This Row],[PACE Job Number]],3,3)</f>
        <v>WSH</v>
      </c>
      <c r="C3043" t="s">
        <v>18</v>
      </c>
      <c r="D3043" s="1">
        <v>43434</v>
      </c>
      <c r="E3043" s="1">
        <v>43465</v>
      </c>
      <c r="F3043" s="1">
        <v>43465</v>
      </c>
      <c r="G3043" s="1"/>
      <c r="H3043" t="s">
        <v>4664</v>
      </c>
      <c r="I3043" t="s">
        <v>4665</v>
      </c>
    </row>
    <row r="3044" spans="1:9" x14ac:dyDescent="0.25">
      <c r="A3044" t="s">
        <v>5439</v>
      </c>
      <c r="B3044" s="26" t="str">
        <f>MID(tbl_forecast[[#This Row],[PACE Job Number]],3,3)</f>
        <v>WSH</v>
      </c>
      <c r="C3044" t="s">
        <v>18</v>
      </c>
      <c r="D3044" s="1">
        <v>43434</v>
      </c>
      <c r="E3044" s="1">
        <v>43465</v>
      </c>
      <c r="F3044" s="1">
        <v>43430</v>
      </c>
      <c r="G3044" s="1">
        <v>43430</v>
      </c>
      <c r="H3044" t="s">
        <v>9</v>
      </c>
      <c r="I3044" t="s">
        <v>10</v>
      </c>
    </row>
    <row r="3045" spans="1:9" x14ac:dyDescent="0.25">
      <c r="A3045" t="s">
        <v>5297</v>
      </c>
      <c r="B3045" s="26" t="str">
        <f>MID(tbl_forecast[[#This Row],[PACE Job Number]],3,3)</f>
        <v>WSH</v>
      </c>
      <c r="C3045" t="s">
        <v>18</v>
      </c>
      <c r="D3045" s="1">
        <v>43434</v>
      </c>
      <c r="E3045" s="1">
        <v>43465</v>
      </c>
      <c r="F3045" s="1">
        <v>43465</v>
      </c>
      <c r="G3045" s="1"/>
      <c r="H3045" t="s">
        <v>4664</v>
      </c>
      <c r="I3045" t="s">
        <v>4665</v>
      </c>
    </row>
    <row r="3046" spans="1:9" x14ac:dyDescent="0.25">
      <c r="A3046" t="s">
        <v>71</v>
      </c>
      <c r="B3046" s="26" t="str">
        <f>MID(tbl_forecast[[#This Row],[PACE Job Number]],3,3)</f>
        <v>WSH</v>
      </c>
      <c r="C3046" t="s">
        <v>18</v>
      </c>
      <c r="D3046" s="1">
        <v>43434</v>
      </c>
      <c r="E3046" s="1">
        <v>43244</v>
      </c>
      <c r="F3046" s="1">
        <v>43434</v>
      </c>
      <c r="G3046" s="1"/>
      <c r="H3046" t="s">
        <v>9</v>
      </c>
      <c r="I3046" t="s">
        <v>27</v>
      </c>
    </row>
    <row r="3047" spans="1:9" x14ac:dyDescent="0.25">
      <c r="A3047" t="s">
        <v>171</v>
      </c>
      <c r="B3047" s="26" t="str">
        <f>MID(tbl_forecast[[#This Row],[PACE Job Number]],3,3)</f>
        <v>WSH</v>
      </c>
      <c r="C3047" t="s">
        <v>18</v>
      </c>
      <c r="D3047" s="1">
        <v>43434</v>
      </c>
      <c r="E3047" s="1">
        <v>43465</v>
      </c>
      <c r="F3047" s="1">
        <v>43414</v>
      </c>
      <c r="G3047" s="1">
        <v>43414</v>
      </c>
      <c r="H3047" t="s">
        <v>9</v>
      </c>
      <c r="I3047" t="s">
        <v>10</v>
      </c>
    </row>
    <row r="3048" spans="1:9" x14ac:dyDescent="0.25">
      <c r="A3048" t="s">
        <v>315</v>
      </c>
      <c r="B3048" s="26" t="str">
        <f>MID(tbl_forecast[[#This Row],[PACE Job Number]],3,3)</f>
        <v>WSH</v>
      </c>
      <c r="C3048" t="s">
        <v>18</v>
      </c>
      <c r="D3048" s="1">
        <v>43434</v>
      </c>
      <c r="E3048" s="1">
        <v>43465</v>
      </c>
      <c r="F3048" s="1">
        <v>43427</v>
      </c>
      <c r="G3048" s="1">
        <v>43427</v>
      </c>
      <c r="H3048" t="s">
        <v>9</v>
      </c>
      <c r="I3048" t="s">
        <v>10</v>
      </c>
    </row>
    <row r="3049" spans="1:9" x14ac:dyDescent="0.25">
      <c r="A3049" t="s">
        <v>5298</v>
      </c>
      <c r="B3049" s="26" t="str">
        <f>MID(tbl_forecast[[#This Row],[PACE Job Number]],3,3)</f>
        <v>WSH</v>
      </c>
      <c r="C3049" t="s">
        <v>18</v>
      </c>
      <c r="D3049" s="1">
        <v>43434</v>
      </c>
      <c r="E3049" s="1">
        <v>43465</v>
      </c>
      <c r="F3049" s="1">
        <v>43434</v>
      </c>
      <c r="G3049" s="1"/>
      <c r="H3049" t="s">
        <v>9</v>
      </c>
      <c r="I3049" t="s">
        <v>44</v>
      </c>
    </row>
    <row r="3050" spans="1:9" x14ac:dyDescent="0.25">
      <c r="A3050" t="s">
        <v>5516</v>
      </c>
      <c r="B3050" s="26" t="str">
        <f>MID(tbl_forecast[[#This Row],[PACE Job Number]],3,3)</f>
        <v>WSH</v>
      </c>
      <c r="C3050" t="s">
        <v>18</v>
      </c>
      <c r="D3050" s="1">
        <v>43434</v>
      </c>
      <c r="E3050" s="1">
        <v>43436</v>
      </c>
      <c r="F3050" s="1">
        <v>43412</v>
      </c>
      <c r="G3050" s="1">
        <v>43412</v>
      </c>
      <c r="H3050" t="s">
        <v>9</v>
      </c>
      <c r="I3050" t="s">
        <v>10</v>
      </c>
    </row>
    <row r="3051" spans="1:9" x14ac:dyDescent="0.25">
      <c r="A3051" t="s">
        <v>4202</v>
      </c>
      <c r="B3051" s="26" t="str">
        <f>MID(tbl_forecast[[#This Row],[PACE Job Number]],3,3)</f>
        <v>WSH</v>
      </c>
      <c r="C3051" t="s">
        <v>18</v>
      </c>
      <c r="D3051" s="1">
        <v>43434</v>
      </c>
      <c r="E3051" s="1">
        <v>43465</v>
      </c>
      <c r="F3051" s="1">
        <v>43465</v>
      </c>
      <c r="G3051" s="1"/>
      <c r="H3051" t="s">
        <v>4664</v>
      </c>
      <c r="I3051" t="s">
        <v>4665</v>
      </c>
    </row>
    <row r="3052" spans="1:9" x14ac:dyDescent="0.25">
      <c r="A3052" t="s">
        <v>36</v>
      </c>
      <c r="B3052" s="26" t="str">
        <f>MID(tbl_forecast[[#This Row],[PACE Job Number]],3,3)</f>
        <v>WSH</v>
      </c>
      <c r="C3052" t="s">
        <v>18</v>
      </c>
      <c r="D3052" s="1">
        <v>43434</v>
      </c>
      <c r="E3052" s="1">
        <v>43465</v>
      </c>
      <c r="F3052" s="1">
        <v>43410</v>
      </c>
      <c r="G3052" s="1">
        <v>43410</v>
      </c>
      <c r="H3052" t="s">
        <v>9</v>
      </c>
      <c r="I3052" t="s">
        <v>10</v>
      </c>
    </row>
    <row r="3053" spans="1:9" x14ac:dyDescent="0.25">
      <c r="A3053" t="s">
        <v>1571</v>
      </c>
      <c r="B3053" s="26" t="str">
        <f>MID(tbl_forecast[[#This Row],[PACE Job Number]],3,3)</f>
        <v>NTX</v>
      </c>
      <c r="C3053" t="s">
        <v>18</v>
      </c>
      <c r="D3053" s="1">
        <v>43419</v>
      </c>
      <c r="E3053" s="1">
        <v>36524</v>
      </c>
      <c r="F3053" s="1">
        <v>43444</v>
      </c>
      <c r="G3053" s="1"/>
      <c r="H3053" t="s">
        <v>4664</v>
      </c>
      <c r="I3053" t="s">
        <v>4666</v>
      </c>
    </row>
    <row r="3054" spans="1:9" x14ac:dyDescent="0.25">
      <c r="A3054" t="s">
        <v>4489</v>
      </c>
      <c r="B3054" s="26" t="str">
        <f>MID(tbl_forecast[[#This Row],[PACE Job Number]],3,3)</f>
        <v>STX</v>
      </c>
      <c r="C3054" t="s">
        <v>18</v>
      </c>
      <c r="D3054" s="1">
        <v>43434</v>
      </c>
      <c r="E3054" s="1">
        <v>43465</v>
      </c>
      <c r="F3054" s="1">
        <v>43465</v>
      </c>
      <c r="G3054" s="1"/>
      <c r="H3054" t="s">
        <v>4664</v>
      </c>
      <c r="I3054" t="s">
        <v>4665</v>
      </c>
    </row>
    <row r="3055" spans="1:9" x14ac:dyDescent="0.25">
      <c r="A3055" t="s">
        <v>4558</v>
      </c>
      <c r="B3055" s="26" t="str">
        <f>MID(tbl_forecast[[#This Row],[PACE Job Number]],3,3)</f>
        <v>STX</v>
      </c>
      <c r="C3055" t="s">
        <v>18</v>
      </c>
      <c r="D3055" s="1">
        <v>43419</v>
      </c>
      <c r="E3055" s="1">
        <v>43419</v>
      </c>
      <c r="F3055" s="1">
        <v>43419</v>
      </c>
      <c r="G3055" s="1">
        <v>43419</v>
      </c>
      <c r="H3055" t="s">
        <v>9</v>
      </c>
      <c r="I3055" t="s">
        <v>10</v>
      </c>
    </row>
    <row r="3056" spans="1:9" x14ac:dyDescent="0.25">
      <c r="A3056" t="s">
        <v>176</v>
      </c>
      <c r="B3056" s="26" t="str">
        <f>MID(tbl_forecast[[#This Row],[PACE Job Number]],3,3)</f>
        <v>STX</v>
      </c>
      <c r="C3056" t="s">
        <v>18</v>
      </c>
      <c r="D3056" s="1">
        <v>43434</v>
      </c>
      <c r="E3056" s="1">
        <v>43465</v>
      </c>
      <c r="F3056" s="1">
        <v>43465</v>
      </c>
      <c r="G3056" s="1"/>
      <c r="H3056" t="s">
        <v>4664</v>
      </c>
      <c r="I3056" t="s">
        <v>4665</v>
      </c>
    </row>
    <row r="3057" spans="1:9" x14ac:dyDescent="0.25">
      <c r="A3057" t="s">
        <v>4491</v>
      </c>
      <c r="B3057" s="26" t="str">
        <f>MID(tbl_forecast[[#This Row],[PACE Job Number]],3,3)</f>
        <v>STX</v>
      </c>
      <c r="C3057" t="s">
        <v>18</v>
      </c>
      <c r="D3057" s="1">
        <v>43434</v>
      </c>
      <c r="E3057" s="1">
        <v>43434</v>
      </c>
      <c r="F3057" s="1">
        <v>43434</v>
      </c>
      <c r="G3057" s="1"/>
      <c r="H3057" t="s">
        <v>9</v>
      </c>
      <c r="I3057" t="s">
        <v>27</v>
      </c>
    </row>
    <row r="3058" spans="1:9" x14ac:dyDescent="0.25">
      <c r="A3058" t="s">
        <v>142</v>
      </c>
      <c r="B3058" s="26" t="str">
        <f>MID(tbl_forecast[[#This Row],[PACE Job Number]],3,3)</f>
        <v>STX</v>
      </c>
      <c r="C3058" t="s">
        <v>18</v>
      </c>
      <c r="D3058" s="1">
        <v>43434</v>
      </c>
      <c r="E3058" s="1">
        <v>43465</v>
      </c>
      <c r="F3058" s="1">
        <v>43465</v>
      </c>
      <c r="G3058" s="1"/>
      <c r="H3058" t="s">
        <v>4664</v>
      </c>
      <c r="I3058" t="s">
        <v>4665</v>
      </c>
    </row>
    <row r="3059" spans="1:9" x14ac:dyDescent="0.25">
      <c r="A3059" t="s">
        <v>5440</v>
      </c>
      <c r="B3059" s="26" t="str">
        <f>MID(tbl_forecast[[#This Row],[PACE Job Number]],3,3)</f>
        <v>STX</v>
      </c>
      <c r="C3059" t="s">
        <v>18</v>
      </c>
      <c r="D3059" s="1">
        <v>43434</v>
      </c>
      <c r="E3059" s="1">
        <v>43465</v>
      </c>
      <c r="F3059" s="1">
        <v>43465</v>
      </c>
      <c r="G3059" s="1"/>
      <c r="H3059" t="s">
        <v>4664</v>
      </c>
      <c r="I3059" t="s">
        <v>4665</v>
      </c>
    </row>
    <row r="3060" spans="1:9" x14ac:dyDescent="0.25">
      <c r="A3060" t="s">
        <v>4492</v>
      </c>
      <c r="B3060" s="26" t="str">
        <f>MID(tbl_forecast[[#This Row],[PACE Job Number]],3,3)</f>
        <v>STX</v>
      </c>
      <c r="C3060" t="s">
        <v>18</v>
      </c>
      <c r="D3060" s="1">
        <v>43419</v>
      </c>
      <c r="E3060" s="1">
        <v>43419</v>
      </c>
      <c r="F3060" s="1">
        <v>43413</v>
      </c>
      <c r="G3060" s="1">
        <v>43413</v>
      </c>
      <c r="H3060" t="s">
        <v>9</v>
      </c>
      <c r="I3060" t="s">
        <v>10</v>
      </c>
    </row>
    <row r="3061" spans="1:9" x14ac:dyDescent="0.25">
      <c r="A3061" t="s">
        <v>4493</v>
      </c>
      <c r="B3061" s="26" t="str">
        <f>MID(tbl_forecast[[#This Row],[PACE Job Number]],3,3)</f>
        <v>STX</v>
      </c>
      <c r="C3061" t="s">
        <v>18</v>
      </c>
      <c r="D3061" s="1">
        <v>43434</v>
      </c>
      <c r="E3061" s="1">
        <v>43434</v>
      </c>
      <c r="F3061" s="1">
        <v>43434</v>
      </c>
      <c r="G3061" s="1"/>
      <c r="H3061" t="s">
        <v>9</v>
      </c>
      <c r="I3061" t="s">
        <v>27</v>
      </c>
    </row>
    <row r="3062" spans="1:9" x14ac:dyDescent="0.25">
      <c r="A3062" t="s">
        <v>3490</v>
      </c>
      <c r="B3062" s="26" t="str">
        <f>MID(tbl_forecast[[#This Row],[PACE Job Number]],3,3)</f>
        <v>STX</v>
      </c>
      <c r="C3062" t="s">
        <v>18</v>
      </c>
      <c r="D3062" s="1">
        <v>43432</v>
      </c>
      <c r="E3062" s="1">
        <v>43465</v>
      </c>
      <c r="F3062" s="1">
        <v>43465</v>
      </c>
      <c r="G3062" s="1"/>
      <c r="H3062" t="s">
        <v>4664</v>
      </c>
      <c r="I3062" t="s">
        <v>4665</v>
      </c>
    </row>
    <row r="3063" spans="1:9" x14ac:dyDescent="0.25">
      <c r="A3063" t="s">
        <v>5441</v>
      </c>
      <c r="B3063" s="26" t="str">
        <f>MID(tbl_forecast[[#This Row],[PACE Job Number]],3,3)</f>
        <v>STX</v>
      </c>
      <c r="C3063" t="s">
        <v>18</v>
      </c>
      <c r="D3063" s="1">
        <v>43434</v>
      </c>
      <c r="E3063" s="1">
        <v>43434</v>
      </c>
      <c r="F3063" s="1">
        <v>43434</v>
      </c>
      <c r="G3063" s="1"/>
      <c r="H3063" t="s">
        <v>9</v>
      </c>
      <c r="I3063" t="s">
        <v>27</v>
      </c>
    </row>
    <row r="3064" spans="1:9" x14ac:dyDescent="0.25">
      <c r="A3064" t="s">
        <v>5442</v>
      </c>
      <c r="B3064" s="26" t="str">
        <f>MID(tbl_forecast[[#This Row],[PACE Job Number]],3,3)</f>
        <v>STX</v>
      </c>
      <c r="C3064" t="s">
        <v>18</v>
      </c>
      <c r="D3064" s="1">
        <v>43434</v>
      </c>
      <c r="E3064" s="1">
        <v>43434</v>
      </c>
      <c r="F3064" s="1">
        <v>43434</v>
      </c>
      <c r="G3064" s="1"/>
      <c r="H3064" t="s">
        <v>9</v>
      </c>
      <c r="I3064" t="s">
        <v>27</v>
      </c>
    </row>
    <row r="3065" spans="1:9" x14ac:dyDescent="0.25">
      <c r="A3065" t="s">
        <v>722</v>
      </c>
      <c r="B3065" s="26" t="str">
        <f>MID(tbl_forecast[[#This Row],[PACE Job Number]],3,3)</f>
        <v>STX</v>
      </c>
      <c r="C3065" t="s">
        <v>18</v>
      </c>
      <c r="D3065" s="1">
        <v>43434</v>
      </c>
      <c r="E3065" s="1">
        <v>43465</v>
      </c>
      <c r="F3065" s="1">
        <v>43465</v>
      </c>
      <c r="G3065" s="1"/>
      <c r="H3065" t="s">
        <v>4664</v>
      </c>
      <c r="I3065" t="s">
        <v>4665</v>
      </c>
    </row>
    <row r="3066" spans="1:9" x14ac:dyDescent="0.25">
      <c r="A3066" t="s">
        <v>2538</v>
      </c>
      <c r="B3066" s="26" t="str">
        <f>MID(tbl_forecast[[#This Row],[PACE Job Number]],3,3)</f>
        <v>STX</v>
      </c>
      <c r="C3066" t="s">
        <v>18</v>
      </c>
      <c r="D3066" s="1">
        <v>43434</v>
      </c>
      <c r="E3066" s="1">
        <v>43434</v>
      </c>
      <c r="F3066" s="1">
        <v>43419</v>
      </c>
      <c r="G3066" s="1">
        <v>43419</v>
      </c>
      <c r="H3066" t="s">
        <v>9</v>
      </c>
      <c r="I3066" t="s">
        <v>10</v>
      </c>
    </row>
    <row r="3067" spans="1:9" x14ac:dyDescent="0.25">
      <c r="A3067" t="s">
        <v>5443</v>
      </c>
      <c r="B3067" s="26" t="str">
        <f>MID(tbl_forecast[[#This Row],[PACE Job Number]],3,3)</f>
        <v>STX</v>
      </c>
      <c r="C3067" t="s">
        <v>18</v>
      </c>
      <c r="D3067" s="1">
        <v>43434</v>
      </c>
      <c r="E3067" s="1">
        <v>43465</v>
      </c>
      <c r="F3067" s="1">
        <v>43465</v>
      </c>
      <c r="G3067" s="1"/>
      <c r="H3067" t="s">
        <v>4664</v>
      </c>
      <c r="I3067" t="s">
        <v>4665</v>
      </c>
    </row>
    <row r="3068" spans="1:9" x14ac:dyDescent="0.25">
      <c r="A3068" t="s">
        <v>4495</v>
      </c>
      <c r="B3068" s="26" t="str">
        <f>MID(tbl_forecast[[#This Row],[PACE Job Number]],3,3)</f>
        <v>STX</v>
      </c>
      <c r="C3068" t="s">
        <v>18</v>
      </c>
      <c r="D3068" s="1">
        <v>43432</v>
      </c>
      <c r="E3068" s="1">
        <v>43465</v>
      </c>
      <c r="F3068" s="1">
        <v>43465</v>
      </c>
      <c r="G3068" s="1"/>
      <c r="H3068" t="s">
        <v>4664</v>
      </c>
      <c r="I3068" t="s">
        <v>4665</v>
      </c>
    </row>
    <row r="3069" spans="1:9" x14ac:dyDescent="0.25">
      <c r="A3069" t="s">
        <v>4496</v>
      </c>
      <c r="B3069" s="26" t="str">
        <f>MID(tbl_forecast[[#This Row],[PACE Job Number]],3,3)</f>
        <v>STX</v>
      </c>
      <c r="C3069" t="s">
        <v>18</v>
      </c>
      <c r="D3069" s="1">
        <v>43432</v>
      </c>
      <c r="E3069" s="1">
        <v>43432</v>
      </c>
      <c r="F3069" s="1">
        <v>43432</v>
      </c>
      <c r="G3069" s="1"/>
      <c r="H3069" t="s">
        <v>9</v>
      </c>
      <c r="I3069" t="s">
        <v>27</v>
      </c>
    </row>
    <row r="3070" spans="1:9" x14ac:dyDescent="0.25">
      <c r="A3070" t="s">
        <v>4497</v>
      </c>
      <c r="B3070" s="26" t="str">
        <f>MID(tbl_forecast[[#This Row],[PACE Job Number]],3,3)</f>
        <v>STX</v>
      </c>
      <c r="C3070" t="s">
        <v>18</v>
      </c>
      <c r="D3070" s="1">
        <v>43434</v>
      </c>
      <c r="E3070" s="1">
        <v>43434</v>
      </c>
      <c r="F3070" s="1">
        <v>43434</v>
      </c>
      <c r="G3070" s="1"/>
      <c r="H3070" t="s">
        <v>9</v>
      </c>
      <c r="I3070" t="s">
        <v>27</v>
      </c>
    </row>
    <row r="3071" spans="1:9" x14ac:dyDescent="0.25">
      <c r="A3071" t="s">
        <v>4498</v>
      </c>
      <c r="B3071" s="26" t="str">
        <f>MID(tbl_forecast[[#This Row],[PACE Job Number]],3,3)</f>
        <v>STX</v>
      </c>
      <c r="C3071" t="s">
        <v>18</v>
      </c>
      <c r="D3071" s="1">
        <v>43434</v>
      </c>
      <c r="E3071" s="1">
        <v>43434</v>
      </c>
      <c r="F3071" s="1">
        <v>43419</v>
      </c>
      <c r="G3071" s="1">
        <v>43419</v>
      </c>
      <c r="H3071" t="s">
        <v>9</v>
      </c>
      <c r="I3071" t="s">
        <v>10</v>
      </c>
    </row>
    <row r="3072" spans="1:9" x14ac:dyDescent="0.25">
      <c r="A3072" t="s">
        <v>285</v>
      </c>
      <c r="B3072" s="26" t="str">
        <f>MID(tbl_forecast[[#This Row],[PACE Job Number]],3,3)</f>
        <v>STX</v>
      </c>
      <c r="C3072" t="s">
        <v>18</v>
      </c>
      <c r="D3072" s="1">
        <v>43434</v>
      </c>
      <c r="E3072" s="1">
        <v>43434</v>
      </c>
      <c r="F3072" s="1">
        <v>43430</v>
      </c>
      <c r="G3072" s="1">
        <v>43430</v>
      </c>
      <c r="H3072" t="s">
        <v>9</v>
      </c>
      <c r="I3072" t="s">
        <v>10</v>
      </c>
    </row>
    <row r="3073" spans="1:9" x14ac:dyDescent="0.25">
      <c r="A3073" t="s">
        <v>288</v>
      </c>
      <c r="B3073" s="26" t="str">
        <f>MID(tbl_forecast[[#This Row],[PACE Job Number]],3,3)</f>
        <v>STX</v>
      </c>
      <c r="C3073" t="s">
        <v>18</v>
      </c>
      <c r="D3073" s="1">
        <v>43434</v>
      </c>
      <c r="E3073" s="1">
        <v>43465</v>
      </c>
      <c r="F3073" s="1">
        <v>43465</v>
      </c>
      <c r="G3073" s="1"/>
      <c r="H3073" t="s">
        <v>4664</v>
      </c>
      <c r="I3073" t="s">
        <v>4665</v>
      </c>
    </row>
    <row r="3074" spans="1:9" x14ac:dyDescent="0.25">
      <c r="A3074" t="s">
        <v>5445</v>
      </c>
      <c r="B3074" s="26" t="str">
        <f>MID(tbl_forecast[[#This Row],[PACE Job Number]],3,3)</f>
        <v>STX</v>
      </c>
      <c r="C3074" t="s">
        <v>18</v>
      </c>
      <c r="D3074" s="1">
        <v>43432</v>
      </c>
      <c r="E3074" s="1">
        <v>43432</v>
      </c>
      <c r="F3074" s="1">
        <v>43432</v>
      </c>
      <c r="G3074" s="1"/>
      <c r="H3074" t="s">
        <v>9</v>
      </c>
      <c r="I3074" t="s">
        <v>27</v>
      </c>
    </row>
    <row r="3075" spans="1:9" x14ac:dyDescent="0.25">
      <c r="A3075" t="s">
        <v>5446</v>
      </c>
      <c r="B3075" s="26" t="str">
        <f>MID(tbl_forecast[[#This Row],[PACE Job Number]],3,3)</f>
        <v>STX</v>
      </c>
      <c r="C3075" t="s">
        <v>18</v>
      </c>
      <c r="D3075" s="1">
        <v>43432</v>
      </c>
      <c r="E3075" s="1">
        <v>43432</v>
      </c>
      <c r="F3075" s="1">
        <v>43432</v>
      </c>
      <c r="G3075" s="1"/>
      <c r="H3075" t="s">
        <v>9</v>
      </c>
      <c r="I3075" t="s">
        <v>27</v>
      </c>
    </row>
    <row r="3076" spans="1:9" x14ac:dyDescent="0.25">
      <c r="A3076" t="s">
        <v>5447</v>
      </c>
      <c r="B3076" s="26" t="str">
        <f>MID(tbl_forecast[[#This Row],[PACE Job Number]],3,3)</f>
        <v>STX</v>
      </c>
      <c r="C3076" t="s">
        <v>18</v>
      </c>
      <c r="D3076" s="1">
        <v>43432</v>
      </c>
      <c r="E3076" s="1">
        <v>43432</v>
      </c>
      <c r="F3076" s="1">
        <v>43432</v>
      </c>
      <c r="G3076" s="1"/>
      <c r="H3076" t="s">
        <v>9</v>
      </c>
      <c r="I3076" t="s">
        <v>27</v>
      </c>
    </row>
    <row r="3077" spans="1:9" x14ac:dyDescent="0.25">
      <c r="A3077" t="s">
        <v>5448</v>
      </c>
      <c r="B3077" s="26" t="str">
        <f>MID(tbl_forecast[[#This Row],[PACE Job Number]],3,3)</f>
        <v>STX</v>
      </c>
      <c r="C3077" t="s">
        <v>18</v>
      </c>
      <c r="D3077" s="1">
        <v>43432</v>
      </c>
      <c r="E3077" s="1">
        <v>43432</v>
      </c>
      <c r="F3077" s="1">
        <v>43432</v>
      </c>
      <c r="G3077" s="1"/>
      <c r="H3077" t="s">
        <v>9</v>
      </c>
      <c r="I3077" t="s">
        <v>27</v>
      </c>
    </row>
    <row r="3078" spans="1:9" x14ac:dyDescent="0.25">
      <c r="A3078" t="s">
        <v>1164</v>
      </c>
      <c r="B3078" s="26" t="str">
        <f>MID(tbl_forecast[[#This Row],[PACE Job Number]],3,3)</f>
        <v>NTX</v>
      </c>
      <c r="C3078" t="s">
        <v>18</v>
      </c>
      <c r="D3078" s="1">
        <v>43434</v>
      </c>
      <c r="E3078" s="1">
        <v>36524</v>
      </c>
      <c r="F3078" s="1">
        <v>43465</v>
      </c>
      <c r="G3078" s="1"/>
      <c r="H3078" t="s">
        <v>4664</v>
      </c>
      <c r="I3078" t="s">
        <v>4666</v>
      </c>
    </row>
    <row r="3079" spans="1:9" x14ac:dyDescent="0.25">
      <c r="A3079" t="s">
        <v>2498</v>
      </c>
      <c r="B3079" s="26" t="str">
        <f>MID(tbl_forecast[[#This Row],[PACE Job Number]],3,3)</f>
        <v>NTX</v>
      </c>
      <c r="C3079" t="s">
        <v>18</v>
      </c>
      <c r="D3079" s="1">
        <v>43433</v>
      </c>
      <c r="E3079" s="1">
        <v>36524</v>
      </c>
      <c r="F3079" s="1">
        <v>43465</v>
      </c>
      <c r="G3079" s="1"/>
      <c r="H3079" t="s">
        <v>4664</v>
      </c>
      <c r="I3079" t="s">
        <v>4666</v>
      </c>
    </row>
    <row r="3080" spans="1:9" x14ac:dyDescent="0.25">
      <c r="A3080" t="s">
        <v>4312</v>
      </c>
      <c r="B3080" s="26" t="str">
        <f>MID(tbl_forecast[[#This Row],[PACE Job Number]],3,3)</f>
        <v>NTX</v>
      </c>
      <c r="C3080" t="s">
        <v>18</v>
      </c>
      <c r="D3080" s="1">
        <v>43430</v>
      </c>
      <c r="E3080" s="1">
        <v>36524</v>
      </c>
      <c r="F3080" s="1">
        <v>43424</v>
      </c>
      <c r="G3080" s="1">
        <v>43424</v>
      </c>
      <c r="H3080" t="s">
        <v>9</v>
      </c>
      <c r="I3080" t="s">
        <v>10</v>
      </c>
    </row>
    <row r="3081" spans="1:9" x14ac:dyDescent="0.25">
      <c r="A3081" t="s">
        <v>4313</v>
      </c>
      <c r="B3081" s="26" t="str">
        <f>MID(tbl_forecast[[#This Row],[PACE Job Number]],3,3)</f>
        <v>NTX</v>
      </c>
      <c r="C3081" t="s">
        <v>18</v>
      </c>
      <c r="D3081" s="1">
        <v>43417</v>
      </c>
      <c r="E3081" s="1">
        <v>43416</v>
      </c>
      <c r="F3081" s="1">
        <v>43433</v>
      </c>
      <c r="G3081" s="1">
        <v>43433</v>
      </c>
      <c r="H3081" t="s">
        <v>4664</v>
      </c>
      <c r="I3081" t="s">
        <v>10</v>
      </c>
    </row>
    <row r="3082" spans="1:9" x14ac:dyDescent="0.25">
      <c r="A3082" t="s">
        <v>4295</v>
      </c>
      <c r="B3082" s="26" t="str">
        <f>MID(tbl_forecast[[#This Row],[PACE Job Number]],3,3)</f>
        <v>NTX</v>
      </c>
      <c r="C3082" t="s">
        <v>18</v>
      </c>
      <c r="D3082" s="1">
        <v>43430</v>
      </c>
      <c r="E3082" s="1">
        <v>36524</v>
      </c>
      <c r="F3082" s="1">
        <v>43439</v>
      </c>
      <c r="G3082" s="1"/>
      <c r="H3082" t="s">
        <v>9</v>
      </c>
      <c r="I3082" t="s">
        <v>27</v>
      </c>
    </row>
    <row r="3083" spans="1:9" x14ac:dyDescent="0.25">
      <c r="A3083" t="s">
        <v>3826</v>
      </c>
      <c r="B3083" s="26" t="str">
        <f>MID(tbl_forecast[[#This Row],[PACE Job Number]],3,3)</f>
        <v>NTX</v>
      </c>
      <c r="C3083" t="s">
        <v>18</v>
      </c>
      <c r="D3083" s="1">
        <v>43431</v>
      </c>
      <c r="E3083" s="1">
        <v>36524</v>
      </c>
      <c r="F3083" s="1">
        <v>43418</v>
      </c>
      <c r="G3083" s="1">
        <v>43418</v>
      </c>
      <c r="H3083" t="s">
        <v>9</v>
      </c>
      <c r="I3083" t="s">
        <v>10</v>
      </c>
    </row>
    <row r="3084" spans="1:9" x14ac:dyDescent="0.25">
      <c r="A3084" t="s">
        <v>4503</v>
      </c>
      <c r="B3084" s="26" t="str">
        <f>MID(tbl_forecast[[#This Row],[PACE Job Number]],3,3)</f>
        <v>NTX</v>
      </c>
      <c r="C3084" t="s">
        <v>18</v>
      </c>
      <c r="D3084" s="1">
        <v>43426</v>
      </c>
      <c r="E3084" s="1">
        <v>43279</v>
      </c>
      <c r="F3084" s="1">
        <v>43433</v>
      </c>
      <c r="G3084" s="1">
        <v>43433</v>
      </c>
      <c r="H3084" t="s">
        <v>9</v>
      </c>
      <c r="I3084" t="s">
        <v>10</v>
      </c>
    </row>
    <row r="3085" spans="1:9" x14ac:dyDescent="0.25">
      <c r="A3085" t="s">
        <v>360</v>
      </c>
      <c r="B3085" s="26" t="str">
        <f>MID(tbl_forecast[[#This Row],[PACE Job Number]],3,3)</f>
        <v>NTX</v>
      </c>
      <c r="C3085" t="s">
        <v>18</v>
      </c>
      <c r="D3085" s="1">
        <v>43426</v>
      </c>
      <c r="E3085" s="1">
        <v>36524</v>
      </c>
      <c r="F3085" s="1">
        <v>43413</v>
      </c>
      <c r="G3085" s="1">
        <v>43413</v>
      </c>
      <c r="H3085" t="s">
        <v>9</v>
      </c>
      <c r="I3085" t="s">
        <v>10</v>
      </c>
    </row>
    <row r="3086" spans="1:9" x14ac:dyDescent="0.25">
      <c r="A3086" t="s">
        <v>4504</v>
      </c>
      <c r="B3086" s="26" t="str">
        <f>MID(tbl_forecast[[#This Row],[PACE Job Number]],3,3)</f>
        <v>NTX</v>
      </c>
      <c r="C3086" t="s">
        <v>18</v>
      </c>
      <c r="D3086" s="1">
        <v>43414</v>
      </c>
      <c r="E3086" s="1">
        <v>36524</v>
      </c>
      <c r="F3086" s="1">
        <v>43432</v>
      </c>
      <c r="G3086" s="1">
        <v>43432</v>
      </c>
      <c r="H3086" t="s">
        <v>4664</v>
      </c>
      <c r="I3086" t="s">
        <v>10</v>
      </c>
    </row>
    <row r="3087" spans="1:9" x14ac:dyDescent="0.25">
      <c r="A3087" t="s">
        <v>3827</v>
      </c>
      <c r="B3087" s="26" t="str">
        <f>MID(tbl_forecast[[#This Row],[PACE Job Number]],3,3)</f>
        <v>NTX</v>
      </c>
      <c r="C3087" t="s">
        <v>18</v>
      </c>
      <c r="D3087" s="1">
        <v>43431</v>
      </c>
      <c r="E3087" s="1">
        <v>36524</v>
      </c>
      <c r="F3087" s="1">
        <v>43412</v>
      </c>
      <c r="G3087" s="1">
        <v>43412</v>
      </c>
      <c r="H3087" t="s">
        <v>9</v>
      </c>
      <c r="I3087" t="s">
        <v>10</v>
      </c>
    </row>
    <row r="3088" spans="1:9" x14ac:dyDescent="0.25">
      <c r="A3088" t="s">
        <v>4505</v>
      </c>
      <c r="B3088" s="26" t="str">
        <f>MID(tbl_forecast[[#This Row],[PACE Job Number]],3,3)</f>
        <v>NTX</v>
      </c>
      <c r="C3088" t="s">
        <v>18</v>
      </c>
      <c r="D3088" s="1">
        <v>43419</v>
      </c>
      <c r="E3088" s="1">
        <v>36524</v>
      </c>
      <c r="F3088" s="1">
        <v>43433</v>
      </c>
      <c r="G3088" s="1">
        <v>43433</v>
      </c>
      <c r="H3088" t="s">
        <v>9</v>
      </c>
      <c r="I3088" t="s">
        <v>10</v>
      </c>
    </row>
    <row r="3089" spans="1:9" x14ac:dyDescent="0.25">
      <c r="A3089" t="s">
        <v>2140</v>
      </c>
      <c r="B3089" s="26" t="str">
        <f>MID(tbl_forecast[[#This Row],[PACE Job Number]],3,3)</f>
        <v>NTX</v>
      </c>
      <c r="C3089" t="s">
        <v>18</v>
      </c>
      <c r="D3089" s="1">
        <v>43418</v>
      </c>
      <c r="E3089" s="1">
        <v>36524</v>
      </c>
      <c r="F3089" s="1">
        <v>43418</v>
      </c>
      <c r="G3089" s="1">
        <v>43418</v>
      </c>
      <c r="H3089" t="s">
        <v>9</v>
      </c>
      <c r="I3089" t="s">
        <v>10</v>
      </c>
    </row>
    <row r="3090" spans="1:9" x14ac:dyDescent="0.25">
      <c r="A3090" t="s">
        <v>5452</v>
      </c>
      <c r="B3090" s="26" t="str">
        <f>MID(tbl_forecast[[#This Row],[PACE Job Number]],3,3)</f>
        <v>NTX</v>
      </c>
      <c r="C3090" t="s">
        <v>18</v>
      </c>
      <c r="D3090" s="1">
        <v>43433</v>
      </c>
      <c r="E3090" s="1">
        <v>36524</v>
      </c>
      <c r="F3090" s="1">
        <v>43451</v>
      </c>
      <c r="G3090" s="1"/>
      <c r="H3090" t="s">
        <v>4664</v>
      </c>
      <c r="I3090" t="s">
        <v>4666</v>
      </c>
    </row>
    <row r="3091" spans="1:9" x14ac:dyDescent="0.25">
      <c r="A3091" t="s">
        <v>4506</v>
      </c>
      <c r="B3091" s="26" t="str">
        <f>MID(tbl_forecast[[#This Row],[PACE Job Number]],3,3)</f>
        <v>NTX</v>
      </c>
      <c r="C3091" t="s">
        <v>18</v>
      </c>
      <c r="D3091" s="1">
        <v>43426</v>
      </c>
      <c r="E3091" s="1">
        <v>43279</v>
      </c>
      <c r="F3091" s="1">
        <v>43433</v>
      </c>
      <c r="G3091" s="1">
        <v>43433</v>
      </c>
      <c r="H3091" t="s">
        <v>9</v>
      </c>
      <c r="I3091" t="s">
        <v>10</v>
      </c>
    </row>
    <row r="3092" spans="1:9" x14ac:dyDescent="0.25">
      <c r="A3092" t="s">
        <v>2489</v>
      </c>
      <c r="B3092" s="26" t="str">
        <f>MID(tbl_forecast[[#This Row],[PACE Job Number]],3,3)</f>
        <v>NTX</v>
      </c>
      <c r="C3092" t="s">
        <v>18</v>
      </c>
      <c r="D3092" s="1">
        <v>43433</v>
      </c>
      <c r="E3092" s="1">
        <v>36524</v>
      </c>
      <c r="F3092" s="1">
        <v>43524</v>
      </c>
      <c r="G3092" s="1"/>
      <c r="H3092" t="s">
        <v>4664</v>
      </c>
      <c r="I3092" t="s">
        <v>4666</v>
      </c>
    </row>
    <row r="3093" spans="1:9" x14ac:dyDescent="0.25">
      <c r="A3093" t="s">
        <v>5517</v>
      </c>
      <c r="B3093" s="26" t="str">
        <f>MID(tbl_forecast[[#This Row],[PACE Job Number]],3,3)</f>
        <v>NTX</v>
      </c>
      <c r="C3093" t="s">
        <v>18</v>
      </c>
      <c r="D3093" s="1">
        <v>43433</v>
      </c>
      <c r="E3093" s="1">
        <v>36524</v>
      </c>
      <c r="F3093" s="1">
        <v>43433</v>
      </c>
      <c r="G3093" s="1">
        <v>43433</v>
      </c>
      <c r="H3093" t="s">
        <v>9</v>
      </c>
      <c r="I3093" t="s">
        <v>10</v>
      </c>
    </row>
    <row r="3094" spans="1:9" x14ac:dyDescent="0.25">
      <c r="A3094" t="s">
        <v>4507</v>
      </c>
      <c r="B3094" s="26" t="str">
        <f>MID(tbl_forecast[[#This Row],[PACE Job Number]],3,3)</f>
        <v>NTX</v>
      </c>
      <c r="C3094" t="s">
        <v>18</v>
      </c>
      <c r="D3094" s="1">
        <v>43433</v>
      </c>
      <c r="E3094" s="1">
        <v>36524</v>
      </c>
      <c r="F3094" s="1">
        <v>43444</v>
      </c>
      <c r="G3094" s="1"/>
      <c r="H3094" t="s">
        <v>9</v>
      </c>
      <c r="I3094" t="s">
        <v>27</v>
      </c>
    </row>
    <row r="3095" spans="1:9" x14ac:dyDescent="0.25">
      <c r="A3095" t="s">
        <v>3985</v>
      </c>
      <c r="B3095" s="26" t="str">
        <f>MID(tbl_forecast[[#This Row],[PACE Job Number]],3,3)</f>
        <v>NTX</v>
      </c>
      <c r="C3095" t="s">
        <v>18</v>
      </c>
      <c r="D3095" s="1">
        <v>43426</v>
      </c>
      <c r="E3095" s="1">
        <v>36524</v>
      </c>
      <c r="F3095" s="1">
        <v>43433</v>
      </c>
      <c r="G3095" s="1">
        <v>43433</v>
      </c>
      <c r="H3095" t="s">
        <v>9</v>
      </c>
      <c r="I3095" t="s">
        <v>10</v>
      </c>
    </row>
    <row r="3096" spans="1:9" x14ac:dyDescent="0.25">
      <c r="A3096" t="s">
        <v>5518</v>
      </c>
      <c r="B3096" s="26" t="str">
        <f>MID(tbl_forecast[[#This Row],[PACE Job Number]],3,3)</f>
        <v>NTX</v>
      </c>
      <c r="C3096" t="s">
        <v>18</v>
      </c>
      <c r="D3096" s="1">
        <v>43433</v>
      </c>
      <c r="E3096" s="1">
        <v>36524</v>
      </c>
      <c r="F3096" s="1">
        <v>43433</v>
      </c>
      <c r="G3096" s="1">
        <v>43433</v>
      </c>
      <c r="H3096" t="s">
        <v>9</v>
      </c>
      <c r="I3096" t="s">
        <v>10</v>
      </c>
    </row>
    <row r="3097" spans="1:9" x14ac:dyDescent="0.25">
      <c r="A3097" t="s">
        <v>2572</v>
      </c>
      <c r="B3097" s="26" t="str">
        <f>MID(tbl_forecast[[#This Row],[PACE Job Number]],3,3)</f>
        <v>STX</v>
      </c>
      <c r="C3097" t="s">
        <v>18</v>
      </c>
      <c r="D3097" s="1">
        <v>43432</v>
      </c>
      <c r="E3097" s="1">
        <v>43465</v>
      </c>
      <c r="F3097" s="1">
        <v>43465</v>
      </c>
      <c r="G3097" s="1"/>
      <c r="H3097" t="s">
        <v>4664</v>
      </c>
      <c r="I3097" t="s">
        <v>4665</v>
      </c>
    </row>
    <row r="3098" spans="1:9" x14ac:dyDescent="0.25">
      <c r="A3098" t="s">
        <v>5455</v>
      </c>
      <c r="B3098" s="26" t="str">
        <f>MID(tbl_forecast[[#This Row],[PACE Job Number]],3,3)</f>
        <v>STX</v>
      </c>
      <c r="C3098" t="s">
        <v>18</v>
      </c>
      <c r="D3098" s="1">
        <v>43434</v>
      </c>
      <c r="E3098" s="1">
        <v>43434</v>
      </c>
      <c r="F3098" s="1">
        <v>43434</v>
      </c>
      <c r="G3098" s="1"/>
      <c r="H3098" t="s">
        <v>9</v>
      </c>
      <c r="I3098" t="s">
        <v>27</v>
      </c>
    </row>
    <row r="3099" spans="1:9" x14ac:dyDescent="0.25">
      <c r="A3099" t="s">
        <v>5519</v>
      </c>
      <c r="B3099" s="26" t="str">
        <f>MID(tbl_forecast[[#This Row],[PACE Job Number]],3,3)</f>
        <v>STX</v>
      </c>
      <c r="C3099" t="s">
        <v>18</v>
      </c>
      <c r="D3099" s="1">
        <v>43434</v>
      </c>
      <c r="E3099" s="1">
        <v>43434</v>
      </c>
      <c r="F3099" s="1">
        <v>43434</v>
      </c>
      <c r="G3099" s="1"/>
      <c r="H3099" t="s">
        <v>9</v>
      </c>
      <c r="I3099" t="s">
        <v>27</v>
      </c>
    </row>
    <row r="3100" spans="1:9" x14ac:dyDescent="0.25">
      <c r="A3100" t="s">
        <v>5520</v>
      </c>
      <c r="B3100" s="26" t="str">
        <f>MID(tbl_forecast[[#This Row],[PACE Job Number]],3,3)</f>
        <v>STX</v>
      </c>
      <c r="C3100" t="s">
        <v>18</v>
      </c>
      <c r="D3100" s="1">
        <v>43434</v>
      </c>
      <c r="E3100" s="1">
        <v>43434</v>
      </c>
      <c r="F3100" s="1">
        <v>43434</v>
      </c>
      <c r="G3100" s="1"/>
      <c r="H3100" t="s">
        <v>9</v>
      </c>
      <c r="I3100" t="s">
        <v>27</v>
      </c>
    </row>
    <row r="3101" spans="1:9" x14ac:dyDescent="0.25">
      <c r="A3101" t="s">
        <v>3206</v>
      </c>
      <c r="B3101" s="26" t="str">
        <f>MID(tbl_forecast[[#This Row],[PACE Job Number]],3,3)</f>
        <v>STX</v>
      </c>
      <c r="C3101" t="s">
        <v>18</v>
      </c>
      <c r="D3101" s="1">
        <v>43434</v>
      </c>
      <c r="E3101" s="1">
        <v>43465</v>
      </c>
      <c r="F3101" s="1">
        <v>43465</v>
      </c>
      <c r="G3101" s="1"/>
      <c r="H3101" t="s">
        <v>4664</v>
      </c>
      <c r="I3101" t="s">
        <v>4665</v>
      </c>
    </row>
    <row r="3102" spans="1:9" x14ac:dyDescent="0.25">
      <c r="A3102" t="s">
        <v>5456</v>
      </c>
      <c r="B3102" s="26" t="str">
        <f>MID(tbl_forecast[[#This Row],[PACE Job Number]],3,3)</f>
        <v>STX</v>
      </c>
      <c r="C3102" t="s">
        <v>18</v>
      </c>
      <c r="D3102" s="1">
        <v>43434</v>
      </c>
      <c r="E3102" s="1">
        <v>43434</v>
      </c>
      <c r="F3102" s="1">
        <v>43434</v>
      </c>
      <c r="G3102" s="1"/>
      <c r="H3102" t="s">
        <v>9</v>
      </c>
      <c r="I3102" t="s">
        <v>27</v>
      </c>
    </row>
    <row r="3103" spans="1:9" x14ac:dyDescent="0.25">
      <c r="A3103" t="s">
        <v>4509</v>
      </c>
      <c r="B3103" s="26" t="str">
        <f>MID(tbl_forecast[[#This Row],[PACE Job Number]],3,3)</f>
        <v>STX</v>
      </c>
      <c r="C3103" t="s">
        <v>18</v>
      </c>
      <c r="D3103" s="1">
        <v>43419</v>
      </c>
      <c r="E3103" s="1">
        <v>43419</v>
      </c>
      <c r="F3103" s="1">
        <v>43417</v>
      </c>
      <c r="G3103" s="1">
        <v>43417</v>
      </c>
      <c r="H3103" t="s">
        <v>9</v>
      </c>
      <c r="I3103" t="s">
        <v>10</v>
      </c>
    </row>
    <row r="3104" spans="1:9" x14ac:dyDescent="0.25">
      <c r="A3104" t="s">
        <v>4510</v>
      </c>
      <c r="B3104" s="26" t="str">
        <f>MID(tbl_forecast[[#This Row],[PACE Job Number]],3,3)</f>
        <v>STX</v>
      </c>
      <c r="C3104" t="s">
        <v>18</v>
      </c>
      <c r="D3104" s="1">
        <v>43434</v>
      </c>
      <c r="E3104" s="1">
        <v>43434</v>
      </c>
      <c r="F3104" s="1">
        <v>43419</v>
      </c>
      <c r="G3104" s="1">
        <v>43419</v>
      </c>
      <c r="H3104" t="s">
        <v>9</v>
      </c>
      <c r="I3104" t="s">
        <v>10</v>
      </c>
    </row>
    <row r="3105" spans="1:9" x14ac:dyDescent="0.25">
      <c r="A3105" t="s">
        <v>297</v>
      </c>
      <c r="B3105" s="26" t="str">
        <f>MID(tbl_forecast[[#This Row],[PACE Job Number]],3,3)</f>
        <v>STX</v>
      </c>
      <c r="C3105" t="s">
        <v>18</v>
      </c>
      <c r="D3105" s="1">
        <v>43434</v>
      </c>
      <c r="E3105" s="1">
        <v>43434</v>
      </c>
      <c r="F3105" s="1">
        <v>43434</v>
      </c>
      <c r="G3105" s="1"/>
      <c r="H3105" t="s">
        <v>9</v>
      </c>
      <c r="I3105" t="s">
        <v>27</v>
      </c>
    </row>
    <row r="3106" spans="1:9" x14ac:dyDescent="0.25">
      <c r="A3106" t="s">
        <v>3358</v>
      </c>
      <c r="B3106" s="26" t="str">
        <f>MID(tbl_forecast[[#This Row],[PACE Job Number]],3,3)</f>
        <v>STX</v>
      </c>
      <c r="C3106" t="s">
        <v>18</v>
      </c>
      <c r="D3106" s="1">
        <v>43432</v>
      </c>
      <c r="E3106" s="1">
        <v>43432</v>
      </c>
      <c r="F3106" s="1">
        <v>43432</v>
      </c>
      <c r="G3106" s="1"/>
      <c r="H3106" t="s">
        <v>9</v>
      </c>
      <c r="I3106" t="s">
        <v>27</v>
      </c>
    </row>
    <row r="3107" spans="1:9" x14ac:dyDescent="0.25">
      <c r="A3107" t="s">
        <v>4595</v>
      </c>
      <c r="B3107" s="26" t="str">
        <f>MID(tbl_forecast[[#This Row],[PACE Job Number]],3,3)</f>
        <v>STX</v>
      </c>
      <c r="C3107" t="s">
        <v>18</v>
      </c>
      <c r="D3107" s="1">
        <v>43419</v>
      </c>
      <c r="E3107" s="1">
        <v>43419</v>
      </c>
      <c r="F3107" s="1">
        <v>43419</v>
      </c>
      <c r="G3107" s="1">
        <v>43419</v>
      </c>
      <c r="H3107" t="s">
        <v>9</v>
      </c>
      <c r="I3107" t="s">
        <v>10</v>
      </c>
    </row>
    <row r="3108" spans="1:9" x14ac:dyDescent="0.25">
      <c r="A3108" t="s">
        <v>2560</v>
      </c>
      <c r="B3108" s="26" t="str">
        <f>MID(tbl_forecast[[#This Row],[PACE Job Number]],3,3)</f>
        <v>STX</v>
      </c>
      <c r="C3108" t="s">
        <v>18</v>
      </c>
      <c r="D3108" s="1">
        <v>43432</v>
      </c>
      <c r="E3108" s="1">
        <v>43465</v>
      </c>
      <c r="F3108" s="1">
        <v>43465</v>
      </c>
      <c r="G3108" s="1"/>
      <c r="H3108" t="s">
        <v>4664</v>
      </c>
      <c r="I3108" t="s">
        <v>4665</v>
      </c>
    </row>
    <row r="3109" spans="1:9" x14ac:dyDescent="0.25">
      <c r="A3109" t="s">
        <v>5457</v>
      </c>
      <c r="B3109" s="26" t="str">
        <f>MID(tbl_forecast[[#This Row],[PACE Job Number]],3,3)</f>
        <v>STX</v>
      </c>
      <c r="C3109" t="s">
        <v>18</v>
      </c>
      <c r="D3109" s="1">
        <v>43432</v>
      </c>
      <c r="E3109" s="1">
        <v>43465</v>
      </c>
      <c r="F3109" s="1">
        <v>43465</v>
      </c>
      <c r="G3109" s="1"/>
      <c r="H3109" t="s">
        <v>4664</v>
      </c>
      <c r="I3109" t="s">
        <v>4665</v>
      </c>
    </row>
    <row r="3110" spans="1:9" x14ac:dyDescent="0.25">
      <c r="A3110" t="s">
        <v>4400</v>
      </c>
      <c r="B3110" s="26" t="str">
        <f>MID(tbl_forecast[[#This Row],[PACE Job Number]],3,3)</f>
        <v>NTX</v>
      </c>
      <c r="C3110" t="s">
        <v>18</v>
      </c>
      <c r="D3110" s="1">
        <v>43430</v>
      </c>
      <c r="E3110" s="1">
        <v>36524</v>
      </c>
      <c r="F3110" s="1">
        <v>43460</v>
      </c>
      <c r="G3110" s="1"/>
      <c r="H3110" t="s">
        <v>4664</v>
      </c>
      <c r="I3110" t="s">
        <v>4666</v>
      </c>
    </row>
    <row r="3111" spans="1:9" x14ac:dyDescent="0.25">
      <c r="A3111" t="s">
        <v>4401</v>
      </c>
      <c r="B3111" s="26" t="str">
        <f>MID(tbl_forecast[[#This Row],[PACE Job Number]],3,3)</f>
        <v>NTX</v>
      </c>
      <c r="C3111" t="s">
        <v>18</v>
      </c>
      <c r="D3111" s="1">
        <v>43423</v>
      </c>
      <c r="E3111" s="1">
        <v>36524</v>
      </c>
      <c r="F3111" s="1">
        <v>43444</v>
      </c>
      <c r="G3111" s="1"/>
      <c r="H3111" t="s">
        <v>4664</v>
      </c>
      <c r="I3111" t="s">
        <v>4666</v>
      </c>
    </row>
    <row r="3112" spans="1:9" x14ac:dyDescent="0.25">
      <c r="A3112" t="s">
        <v>4362</v>
      </c>
      <c r="B3112" s="26" t="str">
        <f>MID(tbl_forecast[[#This Row],[PACE Job Number]],3,3)</f>
        <v>NTX</v>
      </c>
      <c r="C3112" t="s">
        <v>18</v>
      </c>
      <c r="D3112" s="1">
        <v>43431</v>
      </c>
      <c r="E3112" s="1">
        <v>36524</v>
      </c>
      <c r="F3112" s="1">
        <v>43637</v>
      </c>
      <c r="G3112" s="1"/>
      <c r="H3112" t="s">
        <v>4664</v>
      </c>
      <c r="I3112" t="s">
        <v>4666</v>
      </c>
    </row>
    <row r="3113" spans="1:9" x14ac:dyDescent="0.25">
      <c r="A3113" t="s">
        <v>4363</v>
      </c>
      <c r="B3113" s="26" t="str">
        <f>MID(tbl_forecast[[#This Row],[PACE Job Number]],3,3)</f>
        <v>NTX</v>
      </c>
      <c r="C3113" t="s">
        <v>18</v>
      </c>
      <c r="D3113" s="1">
        <v>43431</v>
      </c>
      <c r="E3113" s="1">
        <v>36524</v>
      </c>
      <c r="F3113" s="1">
        <v>43637</v>
      </c>
      <c r="G3113" s="1"/>
      <c r="H3113" t="s">
        <v>4664</v>
      </c>
      <c r="I3113" t="s">
        <v>4666</v>
      </c>
    </row>
    <row r="3114" spans="1:9" x14ac:dyDescent="0.25">
      <c r="A3114" t="s">
        <v>3882</v>
      </c>
      <c r="B3114" s="26" t="str">
        <f>MID(tbl_forecast[[#This Row],[PACE Job Number]],3,3)</f>
        <v>NTX</v>
      </c>
      <c r="C3114" t="s">
        <v>18</v>
      </c>
      <c r="D3114" s="1">
        <v>43418</v>
      </c>
      <c r="E3114" s="1">
        <v>43396</v>
      </c>
      <c r="F3114" s="1">
        <v>43434</v>
      </c>
      <c r="G3114" s="1"/>
      <c r="H3114" t="s">
        <v>4664</v>
      </c>
      <c r="I3114" t="s">
        <v>4666</v>
      </c>
    </row>
    <row r="3115" spans="1:9" x14ac:dyDescent="0.25">
      <c r="A3115" t="s">
        <v>4532</v>
      </c>
      <c r="B3115" s="26" t="str">
        <f>MID(tbl_forecast[[#This Row],[PACE Job Number]],3,3)</f>
        <v>NTX</v>
      </c>
      <c r="C3115" t="s">
        <v>18</v>
      </c>
      <c r="D3115" s="1">
        <v>43434</v>
      </c>
      <c r="E3115" s="1">
        <v>36524</v>
      </c>
      <c r="F3115" s="1">
        <v>43426</v>
      </c>
      <c r="G3115" s="1">
        <v>43426</v>
      </c>
      <c r="H3115" t="s">
        <v>9</v>
      </c>
      <c r="I3115" t="s">
        <v>10</v>
      </c>
    </row>
    <row r="3116" spans="1:9" x14ac:dyDescent="0.25">
      <c r="A3116" t="s">
        <v>4369</v>
      </c>
      <c r="B3116" s="26" t="str">
        <f>MID(tbl_forecast[[#This Row],[PACE Job Number]],3,3)</f>
        <v>NTX</v>
      </c>
      <c r="C3116" t="s">
        <v>18</v>
      </c>
      <c r="D3116" s="1">
        <v>43415</v>
      </c>
      <c r="E3116" s="1">
        <v>43414</v>
      </c>
      <c r="F3116" s="1">
        <v>43417</v>
      </c>
      <c r="G3116" s="1">
        <v>43417</v>
      </c>
      <c r="H3116" t="s">
        <v>9</v>
      </c>
      <c r="I3116" t="s">
        <v>10</v>
      </c>
    </row>
    <row r="3117" spans="1:9" x14ac:dyDescent="0.25">
      <c r="A3117" t="s">
        <v>3468</v>
      </c>
      <c r="B3117" s="26" t="str">
        <f>MID(tbl_forecast[[#This Row],[PACE Job Number]],3,3)</f>
        <v>NTX</v>
      </c>
      <c r="C3117" t="s">
        <v>18</v>
      </c>
      <c r="D3117" s="1">
        <v>43434</v>
      </c>
      <c r="E3117" s="1">
        <v>43396</v>
      </c>
      <c r="F3117" s="1">
        <v>43411</v>
      </c>
      <c r="G3117" s="1">
        <v>43411</v>
      </c>
      <c r="H3117" t="s">
        <v>9</v>
      </c>
      <c r="I3117" t="s">
        <v>10</v>
      </c>
    </row>
    <row r="3118" spans="1:9" x14ac:dyDescent="0.25">
      <c r="A3118" t="s">
        <v>3511</v>
      </c>
      <c r="B3118" s="26" t="str">
        <f>MID(tbl_forecast[[#This Row],[PACE Job Number]],3,3)</f>
        <v>NTX</v>
      </c>
      <c r="C3118" t="s">
        <v>18</v>
      </c>
      <c r="D3118" s="1">
        <v>43434</v>
      </c>
      <c r="E3118" s="1">
        <v>43396</v>
      </c>
      <c r="F3118" s="1">
        <v>43411</v>
      </c>
      <c r="G3118" s="1">
        <v>43411</v>
      </c>
      <c r="H3118" t="s">
        <v>9</v>
      </c>
      <c r="I3118" t="s">
        <v>10</v>
      </c>
    </row>
    <row r="3119" spans="1:9" x14ac:dyDescent="0.25">
      <c r="A3119" t="s">
        <v>3509</v>
      </c>
      <c r="B3119" s="26" t="str">
        <f>MID(tbl_forecast[[#This Row],[PACE Job Number]],3,3)</f>
        <v>NTX</v>
      </c>
      <c r="C3119" t="s">
        <v>18</v>
      </c>
      <c r="D3119" s="1">
        <v>43434</v>
      </c>
      <c r="E3119" s="1">
        <v>43396</v>
      </c>
      <c r="F3119" s="1">
        <v>43416</v>
      </c>
      <c r="G3119" s="1">
        <v>43416</v>
      </c>
      <c r="H3119" t="s">
        <v>9</v>
      </c>
      <c r="I3119" t="s">
        <v>10</v>
      </c>
    </row>
    <row r="3120" spans="1:9" x14ac:dyDescent="0.25">
      <c r="A3120" t="s">
        <v>3874</v>
      </c>
      <c r="B3120" s="26" t="str">
        <f>MID(tbl_forecast[[#This Row],[PACE Job Number]],3,3)</f>
        <v>WSH</v>
      </c>
      <c r="C3120" t="s">
        <v>18</v>
      </c>
      <c r="D3120" s="1">
        <v>43434</v>
      </c>
      <c r="E3120" s="1">
        <v>36524</v>
      </c>
      <c r="F3120" s="1">
        <v>43434</v>
      </c>
      <c r="G3120" s="1"/>
      <c r="H3120" t="s">
        <v>9</v>
      </c>
      <c r="I3120" t="s">
        <v>27</v>
      </c>
    </row>
    <row r="3121" spans="1:9" x14ac:dyDescent="0.25">
      <c r="A3121" t="s">
        <v>3875</v>
      </c>
      <c r="B3121" s="26" t="str">
        <f>MID(tbl_forecast[[#This Row],[PACE Job Number]],3,3)</f>
        <v>WSH</v>
      </c>
      <c r="C3121" t="s">
        <v>18</v>
      </c>
      <c r="D3121" s="1">
        <v>43434</v>
      </c>
      <c r="E3121" s="1">
        <v>36524</v>
      </c>
      <c r="F3121" s="1">
        <v>43427</v>
      </c>
      <c r="G3121" s="1">
        <v>43427</v>
      </c>
      <c r="H3121" t="s">
        <v>9</v>
      </c>
      <c r="I3121" t="s">
        <v>10</v>
      </c>
    </row>
    <row r="3122" spans="1:9" x14ac:dyDescent="0.25">
      <c r="A3122" t="s">
        <v>4274</v>
      </c>
      <c r="B3122" s="26" t="str">
        <f>MID(tbl_forecast[[#This Row],[PACE Job Number]],3,3)</f>
        <v>WSH</v>
      </c>
      <c r="C3122" t="s">
        <v>18</v>
      </c>
      <c r="D3122" s="1">
        <v>43434</v>
      </c>
      <c r="E3122" s="1">
        <v>36524</v>
      </c>
      <c r="F3122" s="1">
        <v>43416</v>
      </c>
      <c r="G3122" s="1">
        <v>43416</v>
      </c>
      <c r="H3122" t="s">
        <v>9</v>
      </c>
      <c r="I3122" t="s">
        <v>10</v>
      </c>
    </row>
    <row r="3123" spans="1:9" x14ac:dyDescent="0.25">
      <c r="A3123" t="s">
        <v>4275</v>
      </c>
      <c r="B3123" s="26" t="str">
        <f>MID(tbl_forecast[[#This Row],[PACE Job Number]],3,3)</f>
        <v>WSH</v>
      </c>
      <c r="C3123" t="s">
        <v>18</v>
      </c>
      <c r="D3123" s="1">
        <v>43434</v>
      </c>
      <c r="E3123" s="1">
        <v>36524</v>
      </c>
      <c r="F3123" s="1">
        <v>43414</v>
      </c>
      <c r="G3123" s="1">
        <v>43414</v>
      </c>
      <c r="H3123" t="s">
        <v>9</v>
      </c>
      <c r="I3123" t="s">
        <v>10</v>
      </c>
    </row>
    <row r="3124" spans="1:9" x14ac:dyDescent="0.25">
      <c r="A3124" t="s">
        <v>4280</v>
      </c>
      <c r="B3124" s="26" t="str">
        <f>MID(tbl_forecast[[#This Row],[PACE Job Number]],3,3)</f>
        <v>WSH</v>
      </c>
      <c r="C3124" t="s">
        <v>18</v>
      </c>
      <c r="D3124" s="1">
        <v>43434</v>
      </c>
      <c r="E3124" s="1">
        <v>36524</v>
      </c>
      <c r="F3124" s="1">
        <v>43430</v>
      </c>
      <c r="G3124" s="1">
        <v>43430</v>
      </c>
      <c r="H3124" t="s">
        <v>9</v>
      </c>
      <c r="I3124" t="s">
        <v>10</v>
      </c>
    </row>
    <row r="3125" spans="1:9" x14ac:dyDescent="0.25">
      <c r="A3125" t="s">
        <v>5522</v>
      </c>
      <c r="B3125" s="26" t="str">
        <f>MID(tbl_forecast[[#This Row],[PACE Job Number]],3,3)</f>
        <v>WSH</v>
      </c>
      <c r="C3125" t="s">
        <v>18</v>
      </c>
      <c r="D3125" s="1">
        <v>43434</v>
      </c>
      <c r="E3125" s="1">
        <v>36524</v>
      </c>
      <c r="F3125" s="1">
        <v>43434</v>
      </c>
      <c r="G3125" s="1"/>
      <c r="H3125" t="s">
        <v>9</v>
      </c>
      <c r="I3125" t="s">
        <v>27</v>
      </c>
    </row>
    <row r="3126" spans="1:9" x14ac:dyDescent="0.25">
      <c r="A3126" t="s">
        <v>4281</v>
      </c>
      <c r="B3126" s="26" t="str">
        <f>MID(tbl_forecast[[#This Row],[PACE Job Number]],3,3)</f>
        <v>WSH</v>
      </c>
      <c r="C3126" t="s">
        <v>18</v>
      </c>
      <c r="D3126" s="1">
        <v>43434</v>
      </c>
      <c r="E3126" s="1">
        <v>36524</v>
      </c>
      <c r="F3126" s="1">
        <v>43430</v>
      </c>
      <c r="G3126" s="1">
        <v>43430</v>
      </c>
      <c r="H3126" t="s">
        <v>9</v>
      </c>
      <c r="I3126" t="s">
        <v>10</v>
      </c>
    </row>
    <row r="3127" spans="1:9" x14ac:dyDescent="0.25">
      <c r="A3127" t="s">
        <v>3993</v>
      </c>
      <c r="B3127" s="26" t="str">
        <f>MID(tbl_forecast[[#This Row],[PACE Job Number]],3,3)</f>
        <v>WSH</v>
      </c>
      <c r="C3127" t="s">
        <v>18</v>
      </c>
      <c r="D3127" s="1">
        <v>43434</v>
      </c>
      <c r="E3127" s="1">
        <v>36524</v>
      </c>
      <c r="F3127" s="1">
        <v>43418</v>
      </c>
      <c r="G3127" s="1">
        <v>43418</v>
      </c>
      <c r="H3127" t="s">
        <v>9</v>
      </c>
      <c r="I3127" t="s">
        <v>10</v>
      </c>
    </row>
    <row r="3128" spans="1:9" x14ac:dyDescent="0.25">
      <c r="A3128" t="s">
        <v>3877</v>
      </c>
      <c r="B3128" s="26" t="str">
        <f>MID(tbl_forecast[[#This Row],[PACE Job Number]],3,3)</f>
        <v>WSH</v>
      </c>
      <c r="C3128" t="s">
        <v>18</v>
      </c>
      <c r="D3128" s="1">
        <v>43434</v>
      </c>
      <c r="E3128" s="1">
        <v>36524</v>
      </c>
      <c r="F3128" s="1">
        <v>43413</v>
      </c>
      <c r="G3128" s="1">
        <v>43413</v>
      </c>
      <c r="H3128" t="s">
        <v>9</v>
      </c>
      <c r="I3128" t="s">
        <v>10</v>
      </c>
    </row>
    <row r="3129" spans="1:9" x14ac:dyDescent="0.25">
      <c r="A3129" t="s">
        <v>5310</v>
      </c>
      <c r="B3129" s="26" t="str">
        <f>MID(tbl_forecast[[#This Row],[PACE Job Number]],3,3)</f>
        <v>WSH</v>
      </c>
      <c r="C3129" t="s">
        <v>18</v>
      </c>
      <c r="D3129" s="1">
        <v>43434</v>
      </c>
      <c r="E3129" s="1">
        <v>36524</v>
      </c>
      <c r="F3129" s="1">
        <v>43434</v>
      </c>
      <c r="G3129" s="1"/>
      <c r="H3129" t="s">
        <v>9</v>
      </c>
      <c r="I3129" t="s">
        <v>27</v>
      </c>
    </row>
    <row r="3130" spans="1:9" x14ac:dyDescent="0.25">
      <c r="A3130" t="s">
        <v>5523</v>
      </c>
      <c r="B3130" s="26" t="str">
        <f>MID(tbl_forecast[[#This Row],[PACE Job Number]],3,3)</f>
        <v>WSH</v>
      </c>
      <c r="C3130" t="s">
        <v>18</v>
      </c>
      <c r="D3130" s="1">
        <v>43434</v>
      </c>
      <c r="E3130" s="1">
        <v>36524</v>
      </c>
      <c r="F3130" s="1">
        <v>43430</v>
      </c>
      <c r="G3130" s="1">
        <v>43430</v>
      </c>
      <c r="H3130" t="s">
        <v>9</v>
      </c>
      <c r="I3130" t="s">
        <v>10</v>
      </c>
    </row>
    <row r="3131" spans="1:9" x14ac:dyDescent="0.25">
      <c r="A3131" t="s">
        <v>3878</v>
      </c>
      <c r="B3131" s="26" t="str">
        <f>MID(tbl_forecast[[#This Row],[PACE Job Number]],3,3)</f>
        <v>WSH</v>
      </c>
      <c r="C3131" t="s">
        <v>18</v>
      </c>
      <c r="D3131" s="1">
        <v>43434</v>
      </c>
      <c r="E3131" s="1">
        <v>36524</v>
      </c>
      <c r="F3131" s="1">
        <v>43430</v>
      </c>
      <c r="G3131" s="1">
        <v>43430</v>
      </c>
      <c r="H3131" t="s">
        <v>9</v>
      </c>
      <c r="I3131" t="s">
        <v>10</v>
      </c>
    </row>
    <row r="3132" spans="1:9" x14ac:dyDescent="0.25">
      <c r="A3132" t="s">
        <v>4282</v>
      </c>
      <c r="B3132" s="26" t="str">
        <f>MID(tbl_forecast[[#This Row],[PACE Job Number]],3,3)</f>
        <v>WSH</v>
      </c>
      <c r="C3132" t="s">
        <v>18</v>
      </c>
      <c r="D3132" s="1">
        <v>43434</v>
      </c>
      <c r="E3132" s="1">
        <v>36524</v>
      </c>
      <c r="F3132" s="1">
        <v>43417</v>
      </c>
      <c r="G3132" s="1">
        <v>43417</v>
      </c>
      <c r="H3132" t="s">
        <v>9</v>
      </c>
      <c r="I3132" t="s">
        <v>10</v>
      </c>
    </row>
    <row r="3133" spans="1:9" x14ac:dyDescent="0.25">
      <c r="A3133" t="s">
        <v>5312</v>
      </c>
      <c r="B3133" s="26" t="str">
        <f>MID(tbl_forecast[[#This Row],[PACE Job Number]],3,3)</f>
        <v>WSH</v>
      </c>
      <c r="C3133" t="s">
        <v>18</v>
      </c>
      <c r="D3133" s="1">
        <v>43434</v>
      </c>
      <c r="E3133" s="1">
        <v>36524</v>
      </c>
      <c r="F3133" s="1">
        <v>43432</v>
      </c>
      <c r="G3133" s="1">
        <v>43432</v>
      </c>
      <c r="H3133" t="s">
        <v>9</v>
      </c>
      <c r="I3133" t="s">
        <v>10</v>
      </c>
    </row>
    <row r="3134" spans="1:9" x14ac:dyDescent="0.25">
      <c r="A3134" t="s">
        <v>4283</v>
      </c>
      <c r="B3134" s="26" t="str">
        <f>MID(tbl_forecast[[#This Row],[PACE Job Number]],3,3)</f>
        <v>WSH</v>
      </c>
      <c r="C3134" t="s">
        <v>18</v>
      </c>
      <c r="D3134" s="1">
        <v>43434</v>
      </c>
      <c r="E3134" s="1">
        <v>36524</v>
      </c>
      <c r="F3134" s="1">
        <v>43427</v>
      </c>
      <c r="G3134" s="1">
        <v>43427</v>
      </c>
      <c r="H3134" t="s">
        <v>9</v>
      </c>
      <c r="I3134" t="s">
        <v>10</v>
      </c>
    </row>
    <row r="3135" spans="1:9" x14ac:dyDescent="0.25">
      <c r="A3135" t="s">
        <v>4284</v>
      </c>
      <c r="B3135" s="26" t="str">
        <f>MID(tbl_forecast[[#This Row],[PACE Job Number]],3,3)</f>
        <v>WSH</v>
      </c>
      <c r="C3135" t="s">
        <v>18</v>
      </c>
      <c r="D3135" s="1">
        <v>43434</v>
      </c>
      <c r="E3135" s="1">
        <v>36524</v>
      </c>
      <c r="F3135" s="1">
        <v>43434</v>
      </c>
      <c r="G3135" s="1"/>
      <c r="H3135" t="s">
        <v>9</v>
      </c>
      <c r="I3135" t="s">
        <v>27</v>
      </c>
    </row>
    <row r="3136" spans="1:9" x14ac:dyDescent="0.25">
      <c r="A3136" t="s">
        <v>5551</v>
      </c>
      <c r="B3136" s="26" t="str">
        <f>MID(tbl_forecast[[#This Row],[PACE Job Number]],3,3)</f>
        <v>WSH</v>
      </c>
      <c r="C3136" t="s">
        <v>18</v>
      </c>
      <c r="D3136" s="1">
        <v>43434</v>
      </c>
      <c r="E3136" s="1">
        <v>36524</v>
      </c>
      <c r="F3136" s="1">
        <v>43421</v>
      </c>
      <c r="G3136" s="1">
        <v>43421</v>
      </c>
      <c r="H3136" t="s">
        <v>9</v>
      </c>
      <c r="I3136" t="s">
        <v>10</v>
      </c>
    </row>
    <row r="3137" spans="1:9" x14ac:dyDescent="0.25">
      <c r="A3137" t="s">
        <v>5315</v>
      </c>
      <c r="B3137" s="26" t="str">
        <f>MID(tbl_forecast[[#This Row],[PACE Job Number]],3,3)</f>
        <v>WSH</v>
      </c>
      <c r="C3137" t="s">
        <v>18</v>
      </c>
      <c r="D3137" s="1">
        <v>43434</v>
      </c>
      <c r="E3137" s="1">
        <v>36524</v>
      </c>
      <c r="F3137" s="1">
        <v>43431</v>
      </c>
      <c r="G3137" s="1">
        <v>43431</v>
      </c>
      <c r="H3137" t="s">
        <v>9</v>
      </c>
      <c r="I3137" t="s">
        <v>10</v>
      </c>
    </row>
    <row r="3138" spans="1:9" x14ac:dyDescent="0.25">
      <c r="A3138" t="s">
        <v>5316</v>
      </c>
      <c r="B3138" s="26" t="str">
        <f>MID(tbl_forecast[[#This Row],[PACE Job Number]],3,3)</f>
        <v>WSH</v>
      </c>
      <c r="C3138" t="s">
        <v>18</v>
      </c>
      <c r="D3138" s="1">
        <v>43434</v>
      </c>
      <c r="E3138" s="1">
        <v>36524</v>
      </c>
      <c r="F3138" s="1">
        <v>43434</v>
      </c>
      <c r="G3138" s="1"/>
      <c r="H3138" t="s">
        <v>9</v>
      </c>
      <c r="I3138" t="s">
        <v>27</v>
      </c>
    </row>
    <row r="3139" spans="1:9" x14ac:dyDescent="0.25">
      <c r="A3139" t="s">
        <v>4289</v>
      </c>
      <c r="B3139" s="26" t="str">
        <f>MID(tbl_forecast[[#This Row],[PACE Job Number]],3,3)</f>
        <v>WSH</v>
      </c>
      <c r="C3139" t="s">
        <v>18</v>
      </c>
      <c r="D3139" s="1">
        <v>43434</v>
      </c>
      <c r="E3139" s="1">
        <v>36524</v>
      </c>
      <c r="F3139" s="1">
        <v>43434</v>
      </c>
      <c r="G3139" s="1"/>
      <c r="H3139" t="s">
        <v>9</v>
      </c>
      <c r="I3139" t="s">
        <v>27</v>
      </c>
    </row>
    <row r="3140" spans="1:9" x14ac:dyDescent="0.25">
      <c r="A3140" t="s">
        <v>5524</v>
      </c>
      <c r="B3140" s="26" t="str">
        <f>MID(tbl_forecast[[#This Row],[PACE Job Number]],3,3)</f>
        <v>WSH</v>
      </c>
      <c r="C3140" t="s">
        <v>18</v>
      </c>
      <c r="D3140" s="1">
        <v>43434</v>
      </c>
      <c r="E3140" s="1">
        <v>36524</v>
      </c>
      <c r="F3140" s="1">
        <v>43427</v>
      </c>
      <c r="G3140" s="1">
        <v>43427</v>
      </c>
      <c r="H3140" t="s">
        <v>9</v>
      </c>
      <c r="I3140" t="s">
        <v>10</v>
      </c>
    </row>
    <row r="3141" spans="1:9" x14ac:dyDescent="0.25">
      <c r="A3141" t="s">
        <v>5552</v>
      </c>
      <c r="B3141" s="26" t="str">
        <f>MID(tbl_forecast[[#This Row],[PACE Job Number]],3,3)</f>
        <v>WSH</v>
      </c>
      <c r="C3141" t="s">
        <v>18</v>
      </c>
      <c r="D3141" s="1">
        <v>43434</v>
      </c>
      <c r="E3141" s="1">
        <v>36524</v>
      </c>
      <c r="F3141" s="1">
        <v>43418</v>
      </c>
      <c r="G3141" s="1">
        <v>43418</v>
      </c>
      <c r="H3141" t="s">
        <v>9</v>
      </c>
      <c r="I3141" t="s">
        <v>10</v>
      </c>
    </row>
    <row r="3142" spans="1:9" x14ac:dyDescent="0.25">
      <c r="A3142" t="s">
        <v>5525</v>
      </c>
      <c r="B3142" s="26" t="str">
        <f>MID(tbl_forecast[[#This Row],[PACE Job Number]],3,3)</f>
        <v>WSH</v>
      </c>
      <c r="C3142" t="s">
        <v>18</v>
      </c>
      <c r="D3142" s="1">
        <v>43434</v>
      </c>
      <c r="E3142" s="1">
        <v>36524</v>
      </c>
      <c r="F3142" s="1">
        <v>43434</v>
      </c>
      <c r="G3142" s="1"/>
      <c r="H3142" t="s">
        <v>9</v>
      </c>
      <c r="I3142" t="s">
        <v>27</v>
      </c>
    </row>
    <row r="3143" spans="1:9" x14ac:dyDescent="0.25">
      <c r="A3143" t="s">
        <v>5461</v>
      </c>
      <c r="B3143" s="26" t="str">
        <f>MID(tbl_forecast[[#This Row],[PACE Job Number]],3,3)</f>
        <v>STX</v>
      </c>
      <c r="C3143" t="s">
        <v>18</v>
      </c>
      <c r="D3143" s="1">
        <v>43434</v>
      </c>
      <c r="E3143" s="1">
        <v>43434</v>
      </c>
      <c r="F3143" s="1">
        <v>43434</v>
      </c>
      <c r="G3143" s="1"/>
      <c r="H3143" t="s">
        <v>9</v>
      </c>
      <c r="I3143" t="s">
        <v>27</v>
      </c>
    </row>
    <row r="3144" spans="1:9" x14ac:dyDescent="0.25">
      <c r="A3144" t="s">
        <v>4370</v>
      </c>
      <c r="B3144" s="26" t="str">
        <f>MID(tbl_forecast[[#This Row],[PACE Job Number]],3,3)</f>
        <v>NTX</v>
      </c>
      <c r="C3144" t="s">
        <v>18</v>
      </c>
      <c r="D3144" s="1">
        <v>43415</v>
      </c>
      <c r="E3144" s="1">
        <v>43414</v>
      </c>
      <c r="F3144" s="1">
        <v>43412</v>
      </c>
      <c r="G3144" s="1">
        <v>43412</v>
      </c>
      <c r="H3144" t="s">
        <v>9</v>
      </c>
      <c r="I3144" t="s">
        <v>10</v>
      </c>
    </row>
    <row r="3145" spans="1:9" x14ac:dyDescent="0.25">
      <c r="A3145" t="s">
        <v>3447</v>
      </c>
      <c r="B3145" s="26" t="str">
        <f>MID(tbl_forecast[[#This Row],[PACE Job Number]],3,3)</f>
        <v>NTX</v>
      </c>
      <c r="C3145" t="s">
        <v>18</v>
      </c>
      <c r="D3145" s="1">
        <v>43418</v>
      </c>
      <c r="E3145" s="1">
        <v>43396</v>
      </c>
      <c r="F3145" s="1">
        <v>43434</v>
      </c>
      <c r="G3145" s="1"/>
      <c r="H3145" t="s">
        <v>4664</v>
      </c>
      <c r="I3145" t="s">
        <v>4666</v>
      </c>
    </row>
    <row r="3146" spans="1:9" x14ac:dyDescent="0.25">
      <c r="A3146" t="s">
        <v>4371</v>
      </c>
      <c r="B3146" s="26" t="str">
        <f>MID(tbl_forecast[[#This Row],[PACE Job Number]],3,3)</f>
        <v>NTX</v>
      </c>
      <c r="C3146" t="s">
        <v>18</v>
      </c>
      <c r="D3146" s="1">
        <v>43431</v>
      </c>
      <c r="E3146" s="1">
        <v>36524</v>
      </c>
      <c r="F3146" s="1">
        <v>43602</v>
      </c>
      <c r="G3146" s="1"/>
      <c r="H3146" t="s">
        <v>4664</v>
      </c>
      <c r="I3146" t="s">
        <v>4666</v>
      </c>
    </row>
    <row r="3147" spans="1:9" x14ac:dyDescent="0.25">
      <c r="A3147" t="s">
        <v>3500</v>
      </c>
      <c r="B3147" s="26" t="str">
        <f>MID(tbl_forecast[[#This Row],[PACE Job Number]],3,3)</f>
        <v>NTX</v>
      </c>
      <c r="C3147" t="s">
        <v>18</v>
      </c>
      <c r="D3147" s="1">
        <v>43418</v>
      </c>
      <c r="E3147" s="1">
        <v>36524</v>
      </c>
      <c r="F3147" s="1">
        <v>43444</v>
      </c>
      <c r="G3147" s="1"/>
      <c r="H3147" t="s">
        <v>4664</v>
      </c>
      <c r="I3147" t="s">
        <v>4666</v>
      </c>
    </row>
    <row r="3148" spans="1:9" x14ac:dyDescent="0.25">
      <c r="A3148" t="s">
        <v>248</v>
      </c>
      <c r="B3148" s="26" t="str">
        <f>MID(tbl_forecast[[#This Row],[PACE Job Number]],3,3)</f>
        <v>NTX</v>
      </c>
      <c r="C3148" t="s">
        <v>18</v>
      </c>
      <c r="D3148" s="1">
        <v>43419</v>
      </c>
      <c r="E3148" s="1">
        <v>36524</v>
      </c>
      <c r="F3148" s="1">
        <v>43434</v>
      </c>
      <c r="G3148" s="1"/>
      <c r="H3148" t="s">
        <v>4664</v>
      </c>
      <c r="I3148" t="s">
        <v>4666</v>
      </c>
    </row>
    <row r="3149" spans="1:9" x14ac:dyDescent="0.25">
      <c r="A3149" t="s">
        <v>2647</v>
      </c>
      <c r="B3149" s="26" t="str">
        <f>MID(tbl_forecast[[#This Row],[PACE Job Number]],3,3)</f>
        <v>STX</v>
      </c>
      <c r="C3149" t="s">
        <v>18</v>
      </c>
      <c r="D3149" s="1">
        <v>43432</v>
      </c>
      <c r="E3149" s="1">
        <v>43465</v>
      </c>
      <c r="F3149" s="1">
        <v>43465</v>
      </c>
      <c r="G3149" s="1"/>
      <c r="H3149" t="s">
        <v>4664</v>
      </c>
      <c r="I3149" t="s">
        <v>4665</v>
      </c>
    </row>
    <row r="3150" spans="1:9" x14ac:dyDescent="0.25">
      <c r="A3150" t="s">
        <v>2644</v>
      </c>
      <c r="B3150" s="26" t="str">
        <f>MID(tbl_forecast[[#This Row],[PACE Job Number]],3,3)</f>
        <v>STX</v>
      </c>
      <c r="C3150" t="s">
        <v>18</v>
      </c>
      <c r="D3150" s="1">
        <v>43434</v>
      </c>
      <c r="E3150" s="1">
        <v>43434</v>
      </c>
      <c r="F3150" s="1">
        <v>43434</v>
      </c>
      <c r="G3150" s="1"/>
      <c r="H3150" t="s">
        <v>9</v>
      </c>
      <c r="I3150" t="s">
        <v>27</v>
      </c>
    </row>
    <row r="3151" spans="1:9" x14ac:dyDescent="0.25">
      <c r="A3151" t="s">
        <v>3946</v>
      </c>
      <c r="B3151" s="26" t="str">
        <f>MID(tbl_forecast[[#This Row],[PACE Job Number]],3,3)</f>
        <v>STX</v>
      </c>
      <c r="C3151" t="s">
        <v>18</v>
      </c>
      <c r="D3151" s="1">
        <v>43434</v>
      </c>
      <c r="E3151" s="1">
        <v>43434</v>
      </c>
      <c r="F3151" s="1">
        <v>43432</v>
      </c>
      <c r="G3151" s="1">
        <v>43432</v>
      </c>
      <c r="H3151" t="s">
        <v>9</v>
      </c>
      <c r="I3151" t="s">
        <v>10</v>
      </c>
    </row>
    <row r="3152" spans="1:9" x14ac:dyDescent="0.25">
      <c r="A3152" t="s">
        <v>2649</v>
      </c>
      <c r="B3152" s="26" t="str">
        <f>MID(tbl_forecast[[#This Row],[PACE Job Number]],3,3)</f>
        <v>STX</v>
      </c>
      <c r="C3152" t="s">
        <v>18</v>
      </c>
      <c r="D3152" s="1">
        <v>43434</v>
      </c>
      <c r="E3152" s="1">
        <v>43434</v>
      </c>
      <c r="F3152" s="1">
        <v>43434</v>
      </c>
      <c r="G3152" s="1"/>
      <c r="H3152" t="s">
        <v>9</v>
      </c>
      <c r="I3152" t="s">
        <v>27</v>
      </c>
    </row>
    <row r="3153" spans="1:9" x14ac:dyDescent="0.25">
      <c r="A3153" t="s">
        <v>2630</v>
      </c>
      <c r="B3153" s="26" t="str">
        <f>MID(tbl_forecast[[#This Row],[PACE Job Number]],3,3)</f>
        <v>STX</v>
      </c>
      <c r="C3153" t="s">
        <v>18</v>
      </c>
      <c r="D3153" s="1">
        <v>43434</v>
      </c>
      <c r="E3153" s="1">
        <v>43434</v>
      </c>
      <c r="F3153" s="1">
        <v>43434</v>
      </c>
      <c r="G3153" s="1"/>
      <c r="H3153" t="s">
        <v>9</v>
      </c>
      <c r="I3153" t="s">
        <v>27</v>
      </c>
    </row>
    <row r="3154" spans="1:9" x14ac:dyDescent="0.25">
      <c r="A3154" t="s">
        <v>2641</v>
      </c>
      <c r="B3154" s="26" t="str">
        <f>MID(tbl_forecast[[#This Row],[PACE Job Number]],3,3)</f>
        <v>STX</v>
      </c>
      <c r="C3154" t="s">
        <v>18</v>
      </c>
      <c r="D3154" s="1">
        <v>43434</v>
      </c>
      <c r="E3154" s="1">
        <v>43434</v>
      </c>
      <c r="F3154" s="1">
        <v>43434</v>
      </c>
      <c r="G3154" s="1"/>
      <c r="H3154" t="s">
        <v>9</v>
      </c>
      <c r="I3154" t="s">
        <v>27</v>
      </c>
    </row>
    <row r="3155" spans="1:9" x14ac:dyDescent="0.25">
      <c r="A3155" t="s">
        <v>5318</v>
      </c>
      <c r="B3155" s="26" t="str">
        <f>MID(tbl_forecast[[#This Row],[PACE Job Number]],3,3)</f>
        <v>WSH</v>
      </c>
      <c r="C3155" t="s">
        <v>18</v>
      </c>
      <c r="D3155" s="1">
        <v>43434</v>
      </c>
      <c r="E3155" s="1">
        <v>36524</v>
      </c>
      <c r="F3155" s="1">
        <v>43465</v>
      </c>
      <c r="G3155" s="1"/>
      <c r="H3155" t="s">
        <v>4664</v>
      </c>
      <c r="I3155" t="s">
        <v>4666</v>
      </c>
    </row>
    <row r="3156" spans="1:9" x14ac:dyDescent="0.25">
      <c r="A3156" t="s">
        <v>350</v>
      </c>
      <c r="B3156" s="26" t="str">
        <f>MID(tbl_forecast[[#This Row],[PACE Job Number]],3,3)</f>
        <v>WSH</v>
      </c>
      <c r="C3156" t="s">
        <v>18</v>
      </c>
      <c r="D3156" s="1">
        <v>43434</v>
      </c>
      <c r="E3156" s="1">
        <v>36524</v>
      </c>
      <c r="F3156" s="1">
        <v>43419</v>
      </c>
      <c r="G3156" s="1">
        <v>43419</v>
      </c>
      <c r="H3156" t="s">
        <v>9</v>
      </c>
      <c r="I3156" t="s">
        <v>10</v>
      </c>
    </row>
    <row r="3157" spans="1:9" x14ac:dyDescent="0.25">
      <c r="A3157" t="s">
        <v>5320</v>
      </c>
      <c r="B3157" s="26" t="str">
        <f>MID(tbl_forecast[[#This Row],[PACE Job Number]],3,3)</f>
        <v>WSH</v>
      </c>
      <c r="C3157" t="s">
        <v>18</v>
      </c>
      <c r="D3157" s="1">
        <v>43434</v>
      </c>
      <c r="E3157" s="1">
        <v>36524</v>
      </c>
      <c r="F3157" s="1">
        <v>43465</v>
      </c>
      <c r="G3157" s="1"/>
      <c r="H3157" t="s">
        <v>4664</v>
      </c>
      <c r="I3157" t="s">
        <v>4666</v>
      </c>
    </row>
    <row r="3158" spans="1:9" x14ac:dyDescent="0.25">
      <c r="A3158" t="s">
        <v>2303</v>
      </c>
      <c r="B3158" s="26" t="str">
        <f>MID(tbl_forecast[[#This Row],[PACE Job Number]],3,3)</f>
        <v>NTX</v>
      </c>
      <c r="C3158" t="s">
        <v>18</v>
      </c>
      <c r="D3158" s="1">
        <v>43433</v>
      </c>
      <c r="E3158" s="1">
        <v>43300</v>
      </c>
      <c r="F3158" s="1">
        <v>43465</v>
      </c>
      <c r="G3158" s="1"/>
      <c r="H3158" t="s">
        <v>4664</v>
      </c>
      <c r="I3158" t="s">
        <v>4666</v>
      </c>
    </row>
    <row r="3159" spans="1:9" x14ac:dyDescent="0.25">
      <c r="A3159" t="s">
        <v>450</v>
      </c>
      <c r="B3159" s="26" t="str">
        <f>MID(tbl_forecast[[#This Row],[PACE Job Number]],3,3)</f>
        <v>NTX</v>
      </c>
      <c r="C3159" t="s">
        <v>18</v>
      </c>
      <c r="D3159" s="1">
        <v>43426</v>
      </c>
      <c r="E3159" s="1">
        <v>36524</v>
      </c>
      <c r="F3159" s="1">
        <v>43458</v>
      </c>
      <c r="G3159" s="1"/>
      <c r="H3159" t="s">
        <v>4664</v>
      </c>
      <c r="I3159" t="s">
        <v>4666</v>
      </c>
    </row>
    <row r="3160" spans="1:9" x14ac:dyDescent="0.25">
      <c r="A3160" t="s">
        <v>4297</v>
      </c>
      <c r="B3160" s="26" t="str">
        <f>MID(tbl_forecast[[#This Row],[PACE Job Number]],3,3)</f>
        <v>NTX</v>
      </c>
      <c r="C3160" t="s">
        <v>18</v>
      </c>
      <c r="D3160" s="1">
        <v>43427</v>
      </c>
      <c r="E3160" s="1">
        <v>43300</v>
      </c>
      <c r="F3160" s="1">
        <v>43417</v>
      </c>
      <c r="G3160" s="1">
        <v>43417</v>
      </c>
      <c r="H3160" t="s">
        <v>9</v>
      </c>
      <c r="I3160" t="s">
        <v>10</v>
      </c>
    </row>
    <row r="3161" spans="1:9" x14ac:dyDescent="0.25">
      <c r="A3161" t="s">
        <v>4564</v>
      </c>
      <c r="B3161" s="26" t="str">
        <f>MID(tbl_forecast[[#This Row],[PACE Job Number]],3,3)</f>
        <v>NTX</v>
      </c>
      <c r="C3161" t="s">
        <v>18</v>
      </c>
      <c r="D3161" s="1">
        <v>43434</v>
      </c>
      <c r="E3161" s="1">
        <v>36524</v>
      </c>
      <c r="F3161" s="1">
        <v>43829</v>
      </c>
      <c r="G3161" s="1"/>
      <c r="H3161" t="s">
        <v>4664</v>
      </c>
      <c r="I3161" t="s">
        <v>4666</v>
      </c>
    </row>
    <row r="3162" spans="1:9" x14ac:dyDescent="0.25">
      <c r="A3162" t="s">
        <v>4299</v>
      </c>
      <c r="B3162" s="26" t="str">
        <f>MID(tbl_forecast[[#This Row],[PACE Job Number]],3,3)</f>
        <v>NTX</v>
      </c>
      <c r="C3162" t="s">
        <v>18</v>
      </c>
      <c r="D3162" s="1">
        <v>43427</v>
      </c>
      <c r="E3162" s="1">
        <v>43300</v>
      </c>
      <c r="F3162" s="1">
        <v>43413</v>
      </c>
      <c r="G3162" s="1">
        <v>43413</v>
      </c>
      <c r="H3162" t="s">
        <v>9</v>
      </c>
      <c r="I3162" t="s">
        <v>10</v>
      </c>
    </row>
    <row r="3163" spans="1:9" x14ac:dyDescent="0.25">
      <c r="A3163" t="s">
        <v>2309</v>
      </c>
      <c r="B3163" s="26" t="str">
        <f>MID(tbl_forecast[[#This Row],[PACE Job Number]],3,3)</f>
        <v>NTX</v>
      </c>
      <c r="C3163" t="s">
        <v>18</v>
      </c>
      <c r="D3163" s="1">
        <v>43433</v>
      </c>
      <c r="E3163" s="1">
        <v>43300</v>
      </c>
      <c r="F3163" s="1">
        <v>43465</v>
      </c>
      <c r="G3163" s="1"/>
      <c r="H3163" t="s">
        <v>4664</v>
      </c>
      <c r="I3163" t="s">
        <v>4666</v>
      </c>
    </row>
    <row r="3164" spans="1:9" x14ac:dyDescent="0.25">
      <c r="A3164" t="s">
        <v>1094</v>
      </c>
      <c r="B3164" s="26" t="str">
        <f>MID(tbl_forecast[[#This Row],[PACE Job Number]],3,3)</f>
        <v>NTX</v>
      </c>
      <c r="C3164" t="s">
        <v>18</v>
      </c>
      <c r="D3164" s="1">
        <v>43434</v>
      </c>
      <c r="E3164" s="1">
        <v>36524</v>
      </c>
      <c r="F3164" s="1">
        <v>43829</v>
      </c>
      <c r="G3164" s="1"/>
      <c r="H3164" t="s">
        <v>4664</v>
      </c>
      <c r="I3164" t="s">
        <v>4666</v>
      </c>
    </row>
    <row r="3165" spans="1:9" x14ac:dyDescent="0.25">
      <c r="A3165" t="s">
        <v>4300</v>
      </c>
      <c r="B3165" s="26" t="str">
        <f>MID(tbl_forecast[[#This Row],[PACE Job Number]],3,3)</f>
        <v>NTX</v>
      </c>
      <c r="C3165" t="s">
        <v>18</v>
      </c>
      <c r="D3165" s="1">
        <v>43427</v>
      </c>
      <c r="E3165" s="1">
        <v>43300</v>
      </c>
      <c r="F3165" s="1">
        <v>43413</v>
      </c>
      <c r="G3165" s="1">
        <v>43413</v>
      </c>
      <c r="H3165" t="s">
        <v>9</v>
      </c>
      <c r="I3165" t="s">
        <v>10</v>
      </c>
    </row>
    <row r="3166" spans="1:9" x14ac:dyDescent="0.25">
      <c r="A3166" t="s">
        <v>395</v>
      </c>
      <c r="B3166" s="26" t="str">
        <f>MID(tbl_forecast[[#This Row],[PACE Job Number]],3,3)</f>
        <v>NTX</v>
      </c>
      <c r="C3166" t="s">
        <v>18</v>
      </c>
      <c r="D3166" s="1">
        <v>43426</v>
      </c>
      <c r="E3166" s="1">
        <v>36524</v>
      </c>
      <c r="F3166" s="1">
        <v>43458</v>
      </c>
      <c r="G3166" s="1"/>
      <c r="H3166" t="s">
        <v>4664</v>
      </c>
      <c r="I3166" t="s">
        <v>4666</v>
      </c>
    </row>
    <row r="3167" spans="1:9" x14ac:dyDescent="0.25">
      <c r="A3167" t="s">
        <v>4301</v>
      </c>
      <c r="B3167" s="26" t="str">
        <f>MID(tbl_forecast[[#This Row],[PACE Job Number]],3,3)</f>
        <v>NTX</v>
      </c>
      <c r="C3167" t="s">
        <v>18</v>
      </c>
      <c r="D3167" s="1">
        <v>43427</v>
      </c>
      <c r="E3167" s="1">
        <v>43300</v>
      </c>
      <c r="F3167" s="1">
        <v>43423</v>
      </c>
      <c r="G3167" s="1">
        <v>43423</v>
      </c>
      <c r="H3167" t="s">
        <v>9</v>
      </c>
      <c r="I3167" t="s">
        <v>10</v>
      </c>
    </row>
    <row r="3168" spans="1:9" x14ac:dyDescent="0.25">
      <c r="A3168" t="s">
        <v>4302</v>
      </c>
      <c r="B3168" s="26" t="str">
        <f>MID(tbl_forecast[[#This Row],[PACE Job Number]],3,3)</f>
        <v>NTX</v>
      </c>
      <c r="C3168" t="s">
        <v>18</v>
      </c>
      <c r="D3168" s="1">
        <v>43427</v>
      </c>
      <c r="E3168" s="1">
        <v>43300</v>
      </c>
      <c r="F3168" s="1">
        <v>43423</v>
      </c>
      <c r="G3168" s="1">
        <v>43423</v>
      </c>
      <c r="H3168" t="s">
        <v>9</v>
      </c>
      <c r="I3168" t="s">
        <v>10</v>
      </c>
    </row>
    <row r="3169" spans="1:9" x14ac:dyDescent="0.25">
      <c r="A3169" t="s">
        <v>4603</v>
      </c>
      <c r="B3169" s="26" t="str">
        <f>MID(tbl_forecast[[#This Row],[PACE Job Number]],3,3)</f>
        <v>ANM</v>
      </c>
      <c r="C3169" t="s">
        <v>13</v>
      </c>
      <c r="D3169" s="1">
        <v>43434</v>
      </c>
      <c r="E3169" s="1">
        <v>42830</v>
      </c>
      <c r="F3169" s="1">
        <v>43418</v>
      </c>
      <c r="G3169" s="1">
        <v>43418</v>
      </c>
      <c r="H3169" t="s">
        <v>9</v>
      </c>
      <c r="I3169" t="s">
        <v>10</v>
      </c>
    </row>
    <row r="3170" spans="1:9" x14ac:dyDescent="0.25">
      <c r="A3170" t="s">
        <v>4534</v>
      </c>
      <c r="B3170" s="26" t="str">
        <f>MID(tbl_forecast[[#This Row],[PACE Job Number]],3,3)</f>
        <v>STX</v>
      </c>
      <c r="C3170" t="s">
        <v>13</v>
      </c>
      <c r="D3170" s="1">
        <v>43419</v>
      </c>
      <c r="E3170" s="1">
        <v>43464</v>
      </c>
      <c r="F3170" s="1">
        <v>43413</v>
      </c>
      <c r="G3170" s="1">
        <v>43413</v>
      </c>
      <c r="H3170" t="s">
        <v>9</v>
      </c>
      <c r="I3170" t="s">
        <v>10</v>
      </c>
    </row>
    <row r="3171" spans="1:9" x14ac:dyDescent="0.25">
      <c r="A3171" t="s">
        <v>2684</v>
      </c>
      <c r="B3171" s="26" t="str">
        <f>MID(tbl_forecast[[#This Row],[PACE Job Number]],3,3)</f>
        <v>STX</v>
      </c>
      <c r="C3171" t="s">
        <v>13</v>
      </c>
      <c r="D3171" s="1">
        <v>43419</v>
      </c>
      <c r="E3171" s="1">
        <v>43434</v>
      </c>
      <c r="F3171" s="1">
        <v>43425</v>
      </c>
      <c r="G3171" s="1">
        <v>43425</v>
      </c>
      <c r="H3171" t="s">
        <v>9</v>
      </c>
      <c r="I3171" t="s">
        <v>10</v>
      </c>
    </row>
    <row r="3172" spans="1:9" x14ac:dyDescent="0.25">
      <c r="A3172" t="s">
        <v>3387</v>
      </c>
      <c r="B3172" s="26" t="str">
        <f>MID(tbl_forecast[[#This Row],[PACE Job Number]],3,3)</f>
        <v>STX</v>
      </c>
      <c r="C3172" t="s">
        <v>13</v>
      </c>
      <c r="D3172" s="1">
        <v>43419</v>
      </c>
      <c r="E3172" s="1">
        <v>43434</v>
      </c>
      <c r="F3172" s="1">
        <v>43419</v>
      </c>
      <c r="G3172" s="1"/>
      <c r="H3172" t="s">
        <v>9</v>
      </c>
      <c r="I3172" t="s">
        <v>44</v>
      </c>
    </row>
    <row r="3173" spans="1:9" x14ac:dyDescent="0.25">
      <c r="A3173" t="s">
        <v>2664</v>
      </c>
      <c r="B3173" s="26" t="str">
        <f>MID(tbl_forecast[[#This Row],[PACE Job Number]],3,3)</f>
        <v>STX</v>
      </c>
      <c r="C3173" t="s">
        <v>13</v>
      </c>
      <c r="D3173" s="1">
        <v>43419</v>
      </c>
      <c r="E3173" s="1">
        <v>43434</v>
      </c>
      <c r="F3173" s="1">
        <v>43425</v>
      </c>
      <c r="G3173" s="1">
        <v>43425</v>
      </c>
      <c r="H3173" t="s">
        <v>9</v>
      </c>
      <c r="I3173" t="s">
        <v>10</v>
      </c>
    </row>
    <row r="3174" spans="1:9" x14ac:dyDescent="0.25">
      <c r="A3174" t="s">
        <v>4378</v>
      </c>
      <c r="B3174" s="26" t="str">
        <f>MID(tbl_forecast[[#This Row],[PACE Job Number]],3,3)</f>
        <v>STX</v>
      </c>
      <c r="C3174" t="s">
        <v>13</v>
      </c>
      <c r="D3174" s="1">
        <v>43419</v>
      </c>
      <c r="E3174" s="1">
        <v>43464</v>
      </c>
      <c r="F3174" s="1">
        <v>43419</v>
      </c>
      <c r="G3174" s="1"/>
      <c r="H3174" t="s">
        <v>9</v>
      </c>
      <c r="I3174" t="s">
        <v>44</v>
      </c>
    </row>
    <row r="3175" spans="1:9" x14ac:dyDescent="0.25">
      <c r="A3175" t="s">
        <v>3954</v>
      </c>
      <c r="B3175" s="26" t="str">
        <f>MID(tbl_forecast[[#This Row],[PACE Job Number]],3,3)</f>
        <v>STX</v>
      </c>
      <c r="C3175" t="s">
        <v>13</v>
      </c>
      <c r="D3175" s="1">
        <v>43419</v>
      </c>
      <c r="E3175" s="1">
        <v>43433</v>
      </c>
      <c r="F3175" s="1">
        <v>43412</v>
      </c>
      <c r="G3175" s="1">
        <v>43412</v>
      </c>
      <c r="H3175" t="s">
        <v>9</v>
      </c>
      <c r="I3175" t="s">
        <v>10</v>
      </c>
    </row>
    <row r="3176" spans="1:9" x14ac:dyDescent="0.25">
      <c r="A3176" t="s">
        <v>4379</v>
      </c>
      <c r="B3176" s="26" t="str">
        <f>MID(tbl_forecast[[#This Row],[PACE Job Number]],3,3)</f>
        <v>STX</v>
      </c>
      <c r="C3176" t="s">
        <v>13</v>
      </c>
      <c r="D3176" s="1">
        <v>43434</v>
      </c>
      <c r="E3176" s="1">
        <v>43464</v>
      </c>
      <c r="F3176" s="1">
        <v>43464</v>
      </c>
      <c r="G3176" s="1"/>
      <c r="H3176" t="s">
        <v>4664</v>
      </c>
      <c r="I3176" t="s">
        <v>4665</v>
      </c>
    </row>
    <row r="3177" spans="1:9" x14ac:dyDescent="0.25">
      <c r="A3177" t="s">
        <v>5553</v>
      </c>
      <c r="B3177" s="26" t="str">
        <f>MID(tbl_forecast[[#This Row],[PACE Job Number]],3,3)</f>
        <v>STX</v>
      </c>
      <c r="C3177" t="s">
        <v>13</v>
      </c>
      <c r="D3177" s="1">
        <v>43419</v>
      </c>
      <c r="E3177" s="1">
        <v>43433</v>
      </c>
      <c r="F3177" s="1">
        <v>43412</v>
      </c>
      <c r="G3177" s="1">
        <v>43412</v>
      </c>
      <c r="H3177" t="s">
        <v>9</v>
      </c>
      <c r="I3177" t="s">
        <v>10</v>
      </c>
    </row>
    <row r="3178" spans="1:9" x14ac:dyDescent="0.25">
      <c r="A3178" t="s">
        <v>4380</v>
      </c>
      <c r="B3178" s="26" t="str">
        <f>MID(tbl_forecast[[#This Row],[PACE Job Number]],3,3)</f>
        <v>STX</v>
      </c>
      <c r="C3178" t="s">
        <v>13</v>
      </c>
      <c r="D3178" s="1">
        <v>43419</v>
      </c>
      <c r="E3178" s="1">
        <v>43464</v>
      </c>
      <c r="F3178" s="1">
        <v>43419</v>
      </c>
      <c r="G3178" s="1"/>
      <c r="H3178" t="s">
        <v>9</v>
      </c>
      <c r="I3178" t="s">
        <v>44</v>
      </c>
    </row>
    <row r="3179" spans="1:9" x14ac:dyDescent="0.25">
      <c r="A3179" t="s">
        <v>3380</v>
      </c>
      <c r="B3179" s="26" t="str">
        <f>MID(tbl_forecast[[#This Row],[PACE Job Number]],3,3)</f>
        <v>NTX</v>
      </c>
      <c r="C3179" t="s">
        <v>13</v>
      </c>
      <c r="D3179" s="1">
        <v>43424</v>
      </c>
      <c r="E3179" s="1">
        <v>43485</v>
      </c>
      <c r="F3179" s="1">
        <v>43495</v>
      </c>
      <c r="G3179" s="1"/>
      <c r="H3179" t="s">
        <v>4664</v>
      </c>
      <c r="I3179" t="s">
        <v>4665</v>
      </c>
    </row>
    <row r="3180" spans="1:9" x14ac:dyDescent="0.25">
      <c r="A3180" t="s">
        <v>3382</v>
      </c>
      <c r="B3180" s="26" t="str">
        <f>MID(tbl_forecast[[#This Row],[PACE Job Number]],3,3)</f>
        <v>NTX</v>
      </c>
      <c r="C3180" t="s">
        <v>13</v>
      </c>
      <c r="D3180" s="1">
        <v>43424</v>
      </c>
      <c r="E3180" s="1">
        <v>43485</v>
      </c>
      <c r="F3180" s="1">
        <v>43495</v>
      </c>
      <c r="G3180" s="1"/>
      <c r="H3180" t="s">
        <v>4664</v>
      </c>
      <c r="I3180" t="s">
        <v>4665</v>
      </c>
    </row>
    <row r="3181" spans="1:9" x14ac:dyDescent="0.25">
      <c r="A3181" t="s">
        <v>618</v>
      </c>
      <c r="B3181" s="26" t="str">
        <f>MID(tbl_forecast[[#This Row],[PACE Job Number]],3,3)</f>
        <v>STX</v>
      </c>
      <c r="C3181" t="s">
        <v>13</v>
      </c>
      <c r="D3181" s="1">
        <v>43419</v>
      </c>
      <c r="E3181" s="1">
        <v>43434</v>
      </c>
      <c r="F3181" s="1">
        <v>43419</v>
      </c>
      <c r="G3181" s="1"/>
      <c r="H3181" t="s">
        <v>9</v>
      </c>
      <c r="I3181" t="s">
        <v>44</v>
      </c>
    </row>
    <row r="3182" spans="1:9" x14ac:dyDescent="0.25">
      <c r="A3182" t="s">
        <v>5554</v>
      </c>
      <c r="B3182" s="26" t="str">
        <f>MID(tbl_forecast[[#This Row],[PACE Job Number]],3,3)</f>
        <v>STX</v>
      </c>
      <c r="C3182" t="s">
        <v>13</v>
      </c>
      <c r="D3182" s="1">
        <v>43407</v>
      </c>
      <c r="E3182" s="1">
        <v>43407</v>
      </c>
      <c r="F3182" s="1">
        <v>43473</v>
      </c>
      <c r="G3182" s="1"/>
      <c r="H3182" t="s">
        <v>4664</v>
      </c>
      <c r="I3182" t="s">
        <v>4666</v>
      </c>
    </row>
    <row r="3183" spans="1:9" x14ac:dyDescent="0.25">
      <c r="A3183" t="s">
        <v>4565</v>
      </c>
      <c r="B3183" s="26" t="str">
        <f>MID(tbl_forecast[[#This Row],[PACE Job Number]],3,3)</f>
        <v>STX</v>
      </c>
      <c r="C3183" t="s">
        <v>13</v>
      </c>
      <c r="D3183" s="1">
        <v>43434</v>
      </c>
      <c r="E3183" s="1">
        <v>43434</v>
      </c>
      <c r="F3183" s="1">
        <v>43434</v>
      </c>
      <c r="G3183" s="1"/>
      <c r="H3183" t="s">
        <v>9</v>
      </c>
      <c r="I3183" t="s">
        <v>27</v>
      </c>
    </row>
    <row r="3184" spans="1:9" x14ac:dyDescent="0.25">
      <c r="A3184" t="s">
        <v>4314</v>
      </c>
      <c r="B3184" s="26" t="str">
        <f>MID(tbl_forecast[[#This Row],[PACE Job Number]],3,3)</f>
        <v>STX</v>
      </c>
      <c r="C3184" t="s">
        <v>13</v>
      </c>
      <c r="D3184" s="1">
        <v>43419</v>
      </c>
      <c r="E3184" s="1">
        <v>43373</v>
      </c>
      <c r="F3184" s="1">
        <v>43423</v>
      </c>
      <c r="G3184" s="1">
        <v>43423</v>
      </c>
      <c r="H3184" t="s">
        <v>9</v>
      </c>
      <c r="I3184" t="s">
        <v>10</v>
      </c>
    </row>
    <row r="3185" spans="1:9" x14ac:dyDescent="0.25">
      <c r="A3185" t="s">
        <v>4315</v>
      </c>
      <c r="B3185" s="26" t="str">
        <f>MID(tbl_forecast[[#This Row],[PACE Job Number]],3,3)</f>
        <v>STX</v>
      </c>
      <c r="C3185" t="s">
        <v>13</v>
      </c>
      <c r="D3185" s="1">
        <v>43419</v>
      </c>
      <c r="E3185" s="1">
        <v>43434</v>
      </c>
      <c r="F3185" s="1">
        <v>43419</v>
      </c>
      <c r="G3185" s="1"/>
      <c r="H3185" t="s">
        <v>9</v>
      </c>
      <c r="I3185" t="s">
        <v>44</v>
      </c>
    </row>
    <row r="3186" spans="1:9" x14ac:dyDescent="0.25">
      <c r="A3186" t="s">
        <v>675</v>
      </c>
      <c r="B3186" s="26" t="str">
        <f>MID(tbl_forecast[[#This Row],[PACE Job Number]],3,3)</f>
        <v>STX</v>
      </c>
      <c r="C3186" t="s">
        <v>13</v>
      </c>
      <c r="D3186" s="1">
        <v>43419</v>
      </c>
      <c r="E3186" s="1">
        <v>43403</v>
      </c>
      <c r="F3186" s="1">
        <v>43413</v>
      </c>
      <c r="G3186" s="1">
        <v>43413</v>
      </c>
      <c r="H3186" t="s">
        <v>9</v>
      </c>
      <c r="I3186" t="s">
        <v>10</v>
      </c>
    </row>
    <row r="3187" spans="1:9" x14ac:dyDescent="0.25">
      <c r="A3187" t="s">
        <v>767</v>
      </c>
      <c r="B3187" s="26" t="str">
        <f>MID(tbl_forecast[[#This Row],[PACE Job Number]],3,3)</f>
        <v>STX</v>
      </c>
      <c r="C3187" t="s">
        <v>13</v>
      </c>
      <c r="D3187" s="1">
        <v>43419</v>
      </c>
      <c r="E3187" s="1">
        <v>43434</v>
      </c>
      <c r="F3187" s="1">
        <v>43425</v>
      </c>
      <c r="G3187" s="1">
        <v>43425</v>
      </c>
      <c r="H3187" t="s">
        <v>9</v>
      </c>
      <c r="I3187" t="s">
        <v>10</v>
      </c>
    </row>
    <row r="3188" spans="1:9" x14ac:dyDescent="0.25">
      <c r="A3188" t="s">
        <v>4317</v>
      </c>
      <c r="B3188" s="26" t="str">
        <f>MID(tbl_forecast[[#This Row],[PACE Job Number]],3,3)</f>
        <v>STX</v>
      </c>
      <c r="C3188" t="s">
        <v>13</v>
      </c>
      <c r="D3188" s="1">
        <v>43419</v>
      </c>
      <c r="E3188" s="1">
        <v>43464</v>
      </c>
      <c r="F3188" s="1">
        <v>43425</v>
      </c>
      <c r="G3188" s="1">
        <v>43425</v>
      </c>
      <c r="H3188" t="s">
        <v>9</v>
      </c>
      <c r="I3188" t="s">
        <v>10</v>
      </c>
    </row>
    <row r="3189" spans="1:9" x14ac:dyDescent="0.25">
      <c r="A3189" t="s">
        <v>4318</v>
      </c>
      <c r="B3189" s="26" t="str">
        <f>MID(tbl_forecast[[#This Row],[PACE Job Number]],3,3)</f>
        <v>STX</v>
      </c>
      <c r="C3189" t="s">
        <v>13</v>
      </c>
      <c r="D3189" s="1">
        <v>43419</v>
      </c>
      <c r="E3189" s="1">
        <v>43373</v>
      </c>
      <c r="F3189" s="1">
        <v>43423</v>
      </c>
      <c r="G3189" s="1">
        <v>43423</v>
      </c>
      <c r="H3189" t="s">
        <v>9</v>
      </c>
      <c r="I3189" t="s">
        <v>10</v>
      </c>
    </row>
    <row r="3190" spans="1:9" x14ac:dyDescent="0.25">
      <c r="A3190" t="s">
        <v>640</v>
      </c>
      <c r="B3190" s="26" t="str">
        <f>MID(tbl_forecast[[#This Row],[PACE Job Number]],3,3)</f>
        <v>STX</v>
      </c>
      <c r="C3190" t="s">
        <v>13</v>
      </c>
      <c r="D3190" s="1">
        <v>43419</v>
      </c>
      <c r="E3190" s="1">
        <v>43464</v>
      </c>
      <c r="F3190" s="1">
        <v>43449</v>
      </c>
      <c r="G3190" s="1"/>
      <c r="H3190" t="s">
        <v>4664</v>
      </c>
      <c r="I3190" t="s">
        <v>5645</v>
      </c>
    </row>
    <row r="3191" spans="1:9" x14ac:dyDescent="0.25">
      <c r="A3191" t="s">
        <v>4320</v>
      </c>
      <c r="B3191" s="26" t="str">
        <f>MID(tbl_forecast[[#This Row],[PACE Job Number]],3,3)</f>
        <v>STX</v>
      </c>
      <c r="C3191" t="s">
        <v>13</v>
      </c>
      <c r="D3191" s="1">
        <v>43419</v>
      </c>
      <c r="E3191" s="1">
        <v>43464</v>
      </c>
      <c r="F3191" s="1">
        <v>43419</v>
      </c>
      <c r="G3191" s="1"/>
      <c r="H3191" t="s">
        <v>9</v>
      </c>
      <c r="I3191" t="s">
        <v>44</v>
      </c>
    </row>
    <row r="3192" spans="1:9" x14ac:dyDescent="0.25">
      <c r="A3192" t="s">
        <v>4321</v>
      </c>
      <c r="B3192" s="26" t="str">
        <f>MID(tbl_forecast[[#This Row],[PACE Job Number]],3,3)</f>
        <v>STX</v>
      </c>
      <c r="C3192" t="s">
        <v>13</v>
      </c>
      <c r="D3192" s="1">
        <v>43419</v>
      </c>
      <c r="E3192" s="1">
        <v>43464</v>
      </c>
      <c r="F3192" s="1">
        <v>43419</v>
      </c>
      <c r="G3192" s="1"/>
      <c r="H3192" t="s">
        <v>9</v>
      </c>
      <c r="I3192" t="s">
        <v>44</v>
      </c>
    </row>
    <row r="3193" spans="1:9" x14ac:dyDescent="0.25">
      <c r="A3193" t="s">
        <v>778</v>
      </c>
      <c r="B3193" s="26" t="str">
        <f>MID(tbl_forecast[[#This Row],[PACE Job Number]],3,3)</f>
        <v>STX</v>
      </c>
      <c r="C3193" t="s">
        <v>13</v>
      </c>
      <c r="D3193" s="1">
        <v>43419</v>
      </c>
      <c r="E3193" s="1">
        <v>43403</v>
      </c>
      <c r="F3193" s="1">
        <v>43419</v>
      </c>
      <c r="G3193" s="1"/>
      <c r="H3193" t="s">
        <v>9</v>
      </c>
      <c r="I3193" t="s">
        <v>27</v>
      </c>
    </row>
    <row r="3194" spans="1:9" x14ac:dyDescent="0.25">
      <c r="A3194" t="s">
        <v>4515</v>
      </c>
      <c r="B3194" s="26" t="str">
        <f>MID(tbl_forecast[[#This Row],[PACE Job Number]],3,3)</f>
        <v>STX</v>
      </c>
      <c r="C3194" t="s">
        <v>13</v>
      </c>
      <c r="D3194" s="1">
        <v>43419</v>
      </c>
      <c r="E3194" s="1">
        <v>36524</v>
      </c>
      <c r="F3194" s="1">
        <v>43419</v>
      </c>
      <c r="G3194" s="1"/>
      <c r="H3194" t="s">
        <v>9</v>
      </c>
      <c r="I3194" t="s">
        <v>27</v>
      </c>
    </row>
    <row r="3195" spans="1:9" x14ac:dyDescent="0.25">
      <c r="A3195" t="s">
        <v>4203</v>
      </c>
      <c r="B3195" s="26" t="str">
        <f>MID(tbl_forecast[[#This Row],[PACE Job Number]],3,3)</f>
        <v>WSH</v>
      </c>
      <c r="C3195" t="s">
        <v>13</v>
      </c>
      <c r="D3195" s="1">
        <v>43434</v>
      </c>
      <c r="E3195" s="1">
        <v>43373</v>
      </c>
      <c r="F3195" s="1">
        <v>43424</v>
      </c>
      <c r="G3195" s="1">
        <v>43424</v>
      </c>
      <c r="H3195" t="s">
        <v>9</v>
      </c>
      <c r="I3195" t="s">
        <v>10</v>
      </c>
    </row>
    <row r="3196" spans="1:9" x14ac:dyDescent="0.25">
      <c r="A3196" t="s">
        <v>148</v>
      </c>
      <c r="B3196" s="26" t="str">
        <f>MID(tbl_forecast[[#This Row],[PACE Job Number]],3,3)</f>
        <v>WSH</v>
      </c>
      <c r="C3196" t="s">
        <v>13</v>
      </c>
      <c r="D3196" s="1">
        <v>43434</v>
      </c>
      <c r="E3196" s="1">
        <v>43230</v>
      </c>
      <c r="F3196" s="1">
        <v>43434</v>
      </c>
      <c r="G3196" s="1"/>
      <c r="H3196" t="s">
        <v>9</v>
      </c>
      <c r="I3196" t="s">
        <v>27</v>
      </c>
    </row>
    <row r="3197" spans="1:9" x14ac:dyDescent="0.25">
      <c r="A3197" t="s">
        <v>4207</v>
      </c>
      <c r="B3197" s="26" t="str">
        <f>MID(tbl_forecast[[#This Row],[PACE Job Number]],3,3)</f>
        <v>WSH</v>
      </c>
      <c r="C3197" t="s">
        <v>13</v>
      </c>
      <c r="D3197" s="1">
        <v>43434</v>
      </c>
      <c r="E3197" s="1">
        <v>43223</v>
      </c>
      <c r="F3197" s="1">
        <v>43434</v>
      </c>
      <c r="G3197" s="1"/>
      <c r="H3197" t="s">
        <v>9</v>
      </c>
      <c r="I3197" t="s">
        <v>27</v>
      </c>
    </row>
    <row r="3198" spans="1:9" x14ac:dyDescent="0.25">
      <c r="A3198" t="s">
        <v>78</v>
      </c>
      <c r="B3198" s="26" t="str">
        <f>MID(tbl_forecast[[#This Row],[PACE Job Number]],3,3)</f>
        <v>WSH</v>
      </c>
      <c r="C3198" t="s">
        <v>13</v>
      </c>
      <c r="D3198" s="1">
        <v>43434</v>
      </c>
      <c r="E3198" s="1">
        <v>43449</v>
      </c>
      <c r="F3198" s="1">
        <v>43420</v>
      </c>
      <c r="G3198" s="1">
        <v>43420</v>
      </c>
      <c r="H3198" t="s">
        <v>9</v>
      </c>
      <c r="I3198" t="s">
        <v>10</v>
      </c>
    </row>
    <row r="3199" spans="1:9" x14ac:dyDescent="0.25">
      <c r="A3199" t="s">
        <v>3429</v>
      </c>
      <c r="B3199" s="26" t="str">
        <f>MID(tbl_forecast[[#This Row],[PACE Job Number]],3,3)</f>
        <v>WSH</v>
      </c>
      <c r="C3199" t="s">
        <v>13</v>
      </c>
      <c r="D3199" s="1">
        <v>43434</v>
      </c>
      <c r="E3199" s="1">
        <v>43449</v>
      </c>
      <c r="F3199" s="1">
        <v>43434</v>
      </c>
      <c r="G3199" s="1"/>
      <c r="H3199" t="s">
        <v>9</v>
      </c>
      <c r="I3199" t="s">
        <v>44</v>
      </c>
    </row>
    <row r="3200" spans="1:9" x14ac:dyDescent="0.25">
      <c r="A3200" t="s">
        <v>3904</v>
      </c>
      <c r="B3200" s="26" t="str">
        <f>MID(tbl_forecast[[#This Row],[PACE Job Number]],3,3)</f>
        <v>WSH</v>
      </c>
      <c r="C3200" t="s">
        <v>13</v>
      </c>
      <c r="D3200" s="1">
        <v>43406</v>
      </c>
      <c r="E3200" s="1">
        <v>43449</v>
      </c>
      <c r="F3200" s="1">
        <v>43406</v>
      </c>
      <c r="G3200" s="1">
        <v>43406</v>
      </c>
      <c r="H3200" t="s">
        <v>9</v>
      </c>
      <c r="I3200" t="s">
        <v>10</v>
      </c>
    </row>
    <row r="3201" spans="1:9" x14ac:dyDescent="0.25">
      <c r="A3201" t="s">
        <v>3410</v>
      </c>
      <c r="B3201" s="26" t="str">
        <f>MID(tbl_forecast[[#This Row],[PACE Job Number]],3,3)</f>
        <v>WSH</v>
      </c>
      <c r="C3201" t="s">
        <v>13</v>
      </c>
      <c r="D3201" s="1">
        <v>43434</v>
      </c>
      <c r="E3201" s="1">
        <v>43454</v>
      </c>
      <c r="F3201" s="1">
        <v>43434</v>
      </c>
      <c r="G3201" s="1"/>
      <c r="H3201" t="s">
        <v>9</v>
      </c>
      <c r="I3201" t="s">
        <v>44</v>
      </c>
    </row>
    <row r="3202" spans="1:9" x14ac:dyDescent="0.25">
      <c r="A3202" t="s">
        <v>135</v>
      </c>
      <c r="B3202" s="26" t="str">
        <f>MID(tbl_forecast[[#This Row],[PACE Job Number]],3,3)</f>
        <v>WSH</v>
      </c>
      <c r="C3202" t="s">
        <v>13</v>
      </c>
      <c r="D3202" s="1">
        <v>43434</v>
      </c>
      <c r="E3202" s="1" t="s">
        <v>5646</v>
      </c>
      <c r="F3202" s="1" t="s">
        <v>5646</v>
      </c>
      <c r="G3202" s="1" t="s">
        <v>5646</v>
      </c>
      <c r="H3202" t="s">
        <v>5647</v>
      </c>
      <c r="I3202" t="s">
        <v>27</v>
      </c>
    </row>
    <row r="3203" spans="1:9" x14ac:dyDescent="0.25">
      <c r="A3203" t="s">
        <v>4002</v>
      </c>
      <c r="B3203" s="26" t="str">
        <f>MID(tbl_forecast[[#This Row],[PACE Job Number]],3,3)</f>
        <v>WSH</v>
      </c>
      <c r="C3203" t="s">
        <v>13</v>
      </c>
      <c r="D3203" s="1">
        <v>43434</v>
      </c>
      <c r="E3203" s="1">
        <v>43449</v>
      </c>
      <c r="F3203" s="1">
        <v>43434</v>
      </c>
      <c r="G3203" s="1"/>
      <c r="H3203" t="s">
        <v>9</v>
      </c>
      <c r="I3203" t="s">
        <v>44</v>
      </c>
    </row>
    <row r="3204" spans="1:9" x14ac:dyDescent="0.25">
      <c r="A3204" t="s">
        <v>42</v>
      </c>
      <c r="B3204" s="26" t="str">
        <f>MID(tbl_forecast[[#This Row],[PACE Job Number]],3,3)</f>
        <v>WSH</v>
      </c>
      <c r="C3204" t="s">
        <v>13</v>
      </c>
      <c r="D3204" s="1">
        <v>43434</v>
      </c>
      <c r="E3204" s="1">
        <v>43252</v>
      </c>
      <c r="F3204" s="1">
        <v>43434</v>
      </c>
      <c r="G3204" s="1"/>
      <c r="H3204" t="s">
        <v>9</v>
      </c>
      <c r="I3204" t="s">
        <v>27</v>
      </c>
    </row>
    <row r="3205" spans="1:9" x14ac:dyDescent="0.25">
      <c r="A3205" t="s">
        <v>3908</v>
      </c>
      <c r="B3205" s="26" t="str">
        <f>MID(tbl_forecast[[#This Row],[PACE Job Number]],3,3)</f>
        <v>WSH</v>
      </c>
      <c r="C3205" t="s">
        <v>13</v>
      </c>
      <c r="D3205" s="1">
        <v>43434</v>
      </c>
      <c r="E3205" s="1">
        <v>43331</v>
      </c>
      <c r="F3205" s="1">
        <v>43434</v>
      </c>
      <c r="G3205" s="1"/>
      <c r="H3205" t="s">
        <v>9</v>
      </c>
      <c r="I3205" t="s">
        <v>27</v>
      </c>
    </row>
    <row r="3206" spans="1:9" x14ac:dyDescent="0.25">
      <c r="A3206" t="s">
        <v>109</v>
      </c>
      <c r="B3206" s="26" t="str">
        <f>MID(tbl_forecast[[#This Row],[PACE Job Number]],3,3)</f>
        <v>WSH</v>
      </c>
      <c r="C3206" t="s">
        <v>13</v>
      </c>
      <c r="D3206" s="1">
        <v>43434</v>
      </c>
      <c r="E3206" s="1">
        <v>43299</v>
      </c>
      <c r="F3206" s="1">
        <v>43410</v>
      </c>
      <c r="G3206" s="1">
        <v>43410</v>
      </c>
      <c r="H3206" t="s">
        <v>9</v>
      </c>
      <c r="I3206" t="s">
        <v>10</v>
      </c>
    </row>
    <row r="3207" spans="1:9" x14ac:dyDescent="0.25">
      <c r="A3207" t="s">
        <v>3909</v>
      </c>
      <c r="B3207" s="26" t="str">
        <f>MID(tbl_forecast[[#This Row],[PACE Job Number]],3,3)</f>
        <v>WSH</v>
      </c>
      <c r="C3207" t="s">
        <v>13</v>
      </c>
      <c r="D3207" s="1">
        <v>43434</v>
      </c>
      <c r="E3207" s="1">
        <v>43449</v>
      </c>
      <c r="F3207" s="1">
        <v>43434</v>
      </c>
      <c r="G3207" s="1"/>
      <c r="H3207" t="s">
        <v>9</v>
      </c>
      <c r="I3207" t="s">
        <v>44</v>
      </c>
    </row>
    <row r="3208" spans="1:9" x14ac:dyDescent="0.25">
      <c r="A3208" t="s">
        <v>3379</v>
      </c>
      <c r="B3208" s="26" t="str">
        <f>MID(tbl_forecast[[#This Row],[PACE Job Number]],3,3)</f>
        <v>STX</v>
      </c>
      <c r="C3208" t="s">
        <v>13</v>
      </c>
      <c r="D3208" s="1">
        <v>43419</v>
      </c>
      <c r="E3208" s="1">
        <v>43464</v>
      </c>
      <c r="F3208" s="1">
        <v>43419</v>
      </c>
      <c r="G3208" s="1"/>
      <c r="H3208" t="s">
        <v>9</v>
      </c>
      <c r="I3208" t="s">
        <v>44</v>
      </c>
    </row>
    <row r="3209" spans="1:9" x14ac:dyDescent="0.25">
      <c r="A3209" t="s">
        <v>5555</v>
      </c>
      <c r="B3209" s="26" t="str">
        <f>MID(tbl_forecast[[#This Row],[PACE Job Number]],3,3)</f>
        <v>STX</v>
      </c>
      <c r="C3209" t="s">
        <v>13</v>
      </c>
      <c r="D3209" s="1">
        <v>43419</v>
      </c>
      <c r="E3209" s="1">
        <v>43327</v>
      </c>
      <c r="F3209" s="1">
        <v>43419</v>
      </c>
      <c r="G3209" s="1"/>
      <c r="H3209" t="s">
        <v>9</v>
      </c>
      <c r="I3209" t="s">
        <v>27</v>
      </c>
    </row>
    <row r="3210" spans="1:9" x14ac:dyDescent="0.25">
      <c r="A3210" t="s">
        <v>3341</v>
      </c>
      <c r="B3210" s="26" t="str">
        <f>MID(tbl_forecast[[#This Row],[PACE Job Number]],3,3)</f>
        <v>STX</v>
      </c>
      <c r="C3210" t="s">
        <v>13</v>
      </c>
      <c r="D3210" s="1">
        <v>43419</v>
      </c>
      <c r="E3210" s="1">
        <v>43464</v>
      </c>
      <c r="F3210" s="1">
        <v>43419</v>
      </c>
      <c r="G3210" s="1"/>
      <c r="H3210" t="s">
        <v>9</v>
      </c>
      <c r="I3210" t="s">
        <v>44</v>
      </c>
    </row>
    <row r="3211" spans="1:9" x14ac:dyDescent="0.25">
      <c r="A3211" t="s">
        <v>5556</v>
      </c>
      <c r="B3211" s="26" t="str">
        <f>MID(tbl_forecast[[#This Row],[PACE Job Number]],3,3)</f>
        <v>STX</v>
      </c>
      <c r="C3211" t="s">
        <v>13</v>
      </c>
      <c r="D3211" s="1">
        <v>43434</v>
      </c>
      <c r="E3211" s="1">
        <v>43434</v>
      </c>
      <c r="F3211" s="1">
        <v>43423</v>
      </c>
      <c r="G3211" s="1">
        <v>43423</v>
      </c>
      <c r="H3211" t="s">
        <v>9</v>
      </c>
      <c r="I3211" t="s">
        <v>10</v>
      </c>
    </row>
    <row r="3212" spans="1:9" x14ac:dyDescent="0.25">
      <c r="A3212" t="s">
        <v>5557</v>
      </c>
      <c r="B3212" s="26" t="str">
        <f>MID(tbl_forecast[[#This Row],[PACE Job Number]],3,3)</f>
        <v>STX</v>
      </c>
      <c r="C3212" t="s">
        <v>13</v>
      </c>
      <c r="D3212" s="1">
        <v>43419</v>
      </c>
      <c r="E3212" s="1">
        <v>43403</v>
      </c>
      <c r="F3212" s="1">
        <v>43419</v>
      </c>
      <c r="G3212" s="1"/>
      <c r="H3212" t="s">
        <v>9</v>
      </c>
      <c r="I3212" t="s">
        <v>27</v>
      </c>
    </row>
    <row r="3213" spans="1:9" x14ac:dyDescent="0.25">
      <c r="A3213" t="s">
        <v>462</v>
      </c>
      <c r="B3213" s="26" t="str">
        <f>MID(tbl_forecast[[#This Row],[PACE Job Number]],3,3)</f>
        <v>STX</v>
      </c>
      <c r="C3213" t="s">
        <v>13</v>
      </c>
      <c r="D3213" s="1">
        <v>43419</v>
      </c>
      <c r="E3213" s="1">
        <v>43434</v>
      </c>
      <c r="F3213" s="1">
        <v>43411</v>
      </c>
      <c r="G3213" s="1">
        <v>43411</v>
      </c>
      <c r="H3213" t="s">
        <v>9</v>
      </c>
      <c r="I3213" t="s">
        <v>10</v>
      </c>
    </row>
    <row r="3214" spans="1:9" x14ac:dyDescent="0.25">
      <c r="A3214" t="s">
        <v>5528</v>
      </c>
      <c r="B3214" s="26" t="str">
        <f>MID(tbl_forecast[[#This Row],[PACE Job Number]],3,3)</f>
        <v>STX</v>
      </c>
      <c r="C3214" t="s">
        <v>13</v>
      </c>
      <c r="D3214" s="1">
        <v>43434</v>
      </c>
      <c r="E3214" s="1">
        <v>43464</v>
      </c>
      <c r="F3214" s="1">
        <v>43464</v>
      </c>
      <c r="G3214" s="1"/>
      <c r="H3214" t="s">
        <v>4664</v>
      </c>
      <c r="I3214" t="s">
        <v>4665</v>
      </c>
    </row>
    <row r="3215" spans="1:9" x14ac:dyDescent="0.25">
      <c r="A3215" t="s">
        <v>4328</v>
      </c>
      <c r="B3215" s="26" t="str">
        <f>MID(tbl_forecast[[#This Row],[PACE Job Number]],3,3)</f>
        <v>STX</v>
      </c>
      <c r="C3215" t="s">
        <v>13</v>
      </c>
      <c r="D3215" s="1">
        <v>43419</v>
      </c>
      <c r="E3215" s="1">
        <v>43434</v>
      </c>
      <c r="F3215" s="1">
        <v>43423</v>
      </c>
      <c r="G3215" s="1">
        <v>43423</v>
      </c>
      <c r="H3215" t="s">
        <v>9</v>
      </c>
      <c r="I3215" t="s">
        <v>10</v>
      </c>
    </row>
    <row r="3216" spans="1:9" x14ac:dyDescent="0.25">
      <c r="A3216" t="s">
        <v>2568</v>
      </c>
      <c r="B3216" s="26" t="str">
        <f>MID(tbl_forecast[[#This Row],[PACE Job Number]],3,3)</f>
        <v>STX</v>
      </c>
      <c r="C3216" t="s">
        <v>13</v>
      </c>
      <c r="D3216" s="1">
        <v>43419</v>
      </c>
      <c r="E3216" s="1">
        <v>43372</v>
      </c>
      <c r="F3216" s="1">
        <v>43419</v>
      </c>
      <c r="G3216" s="1"/>
      <c r="H3216" t="s">
        <v>9</v>
      </c>
      <c r="I3216" t="s">
        <v>27</v>
      </c>
    </row>
    <row r="3217" spans="1:9" x14ac:dyDescent="0.25">
      <c r="A3217" t="s">
        <v>3366</v>
      </c>
      <c r="B3217" s="26" t="str">
        <f>MID(tbl_forecast[[#This Row],[PACE Job Number]],3,3)</f>
        <v>STX</v>
      </c>
      <c r="C3217" t="s">
        <v>13</v>
      </c>
      <c r="D3217" s="1">
        <v>43419</v>
      </c>
      <c r="E3217" s="1">
        <v>43434</v>
      </c>
      <c r="F3217" s="1">
        <v>43413</v>
      </c>
      <c r="G3217" s="1">
        <v>43413</v>
      </c>
      <c r="H3217" t="s">
        <v>9</v>
      </c>
      <c r="I3217" t="s">
        <v>10</v>
      </c>
    </row>
    <row r="3218" spans="1:9" x14ac:dyDescent="0.25">
      <c r="A3218" t="s">
        <v>310</v>
      </c>
      <c r="B3218" s="26" t="str">
        <f>MID(tbl_forecast[[#This Row],[PACE Job Number]],3,3)</f>
        <v>STX</v>
      </c>
      <c r="C3218" t="s">
        <v>13</v>
      </c>
      <c r="D3218" s="1">
        <v>43434</v>
      </c>
      <c r="E3218" s="1">
        <v>43434</v>
      </c>
      <c r="F3218" s="1">
        <v>43423</v>
      </c>
      <c r="G3218" s="1">
        <v>43423</v>
      </c>
      <c r="H3218" t="s">
        <v>9</v>
      </c>
      <c r="I3218" t="s">
        <v>10</v>
      </c>
    </row>
    <row r="3219" spans="1:9" x14ac:dyDescent="0.25">
      <c r="A3219" t="s">
        <v>292</v>
      </c>
      <c r="B3219" s="26" t="str">
        <f>MID(tbl_forecast[[#This Row],[PACE Job Number]],3,3)</f>
        <v>STX</v>
      </c>
      <c r="C3219" t="s">
        <v>13</v>
      </c>
      <c r="D3219" s="1">
        <v>43419</v>
      </c>
      <c r="E3219" s="1">
        <v>43434</v>
      </c>
      <c r="F3219" s="1">
        <v>43419</v>
      </c>
      <c r="G3219" s="1"/>
      <c r="H3219" t="s">
        <v>9</v>
      </c>
      <c r="I3219" t="s">
        <v>44</v>
      </c>
    </row>
    <row r="3220" spans="1:9" x14ac:dyDescent="0.25">
      <c r="A3220" t="s">
        <v>390</v>
      </c>
      <c r="B3220" s="26" t="str">
        <f>MID(tbl_forecast[[#This Row],[PACE Job Number]],3,3)</f>
        <v>STX</v>
      </c>
      <c r="C3220" t="s">
        <v>13</v>
      </c>
      <c r="D3220" s="1">
        <v>43434</v>
      </c>
      <c r="E3220" s="1">
        <v>43434</v>
      </c>
      <c r="F3220" s="1">
        <v>43423</v>
      </c>
      <c r="G3220" s="1">
        <v>43423</v>
      </c>
      <c r="H3220" t="s">
        <v>9</v>
      </c>
      <c r="I3220" t="s">
        <v>10</v>
      </c>
    </row>
    <row r="3221" spans="1:9" x14ac:dyDescent="0.25">
      <c r="A3221" t="s">
        <v>3285</v>
      </c>
      <c r="B3221" s="26" t="str">
        <f>MID(tbl_forecast[[#This Row],[PACE Job Number]],3,3)</f>
        <v>STX</v>
      </c>
      <c r="C3221" t="s">
        <v>13</v>
      </c>
      <c r="D3221" s="1">
        <v>43419</v>
      </c>
      <c r="E3221" s="1">
        <v>43434</v>
      </c>
      <c r="F3221" s="1">
        <v>43419</v>
      </c>
      <c r="G3221" s="1"/>
      <c r="H3221" t="s">
        <v>9</v>
      </c>
      <c r="I3221" t="s">
        <v>44</v>
      </c>
    </row>
    <row r="3222" spans="1:9" x14ac:dyDescent="0.25">
      <c r="A3222" t="s">
        <v>3279</v>
      </c>
      <c r="B3222" s="26" t="str">
        <f>MID(tbl_forecast[[#This Row],[PACE Job Number]],3,3)</f>
        <v>STX</v>
      </c>
      <c r="C3222" t="s">
        <v>13</v>
      </c>
      <c r="D3222" s="1">
        <v>43419</v>
      </c>
      <c r="E3222" s="1">
        <v>43342</v>
      </c>
      <c r="F3222" s="1">
        <v>43434</v>
      </c>
      <c r="G3222" s="1"/>
      <c r="H3222" t="s">
        <v>4664</v>
      </c>
      <c r="I3222" t="s">
        <v>4666</v>
      </c>
    </row>
    <row r="3223" spans="1:9" x14ac:dyDescent="0.25">
      <c r="A3223" t="s">
        <v>4332</v>
      </c>
      <c r="B3223" s="26" t="str">
        <f>MID(tbl_forecast[[#This Row],[PACE Job Number]],3,3)</f>
        <v>STX</v>
      </c>
      <c r="C3223" t="s">
        <v>13</v>
      </c>
      <c r="D3223" s="1">
        <v>43434</v>
      </c>
      <c r="E3223" s="1">
        <v>43453</v>
      </c>
      <c r="F3223" s="1">
        <v>43453</v>
      </c>
      <c r="G3223" s="1"/>
      <c r="H3223" t="s">
        <v>4664</v>
      </c>
      <c r="I3223" t="s">
        <v>4665</v>
      </c>
    </row>
    <row r="3224" spans="1:9" x14ac:dyDescent="0.25">
      <c r="A3224" t="s">
        <v>2581</v>
      </c>
      <c r="B3224" s="26" t="str">
        <f>MID(tbl_forecast[[#This Row],[PACE Job Number]],3,3)</f>
        <v>STX</v>
      </c>
      <c r="C3224" t="s">
        <v>13</v>
      </c>
      <c r="D3224" s="1">
        <v>43419</v>
      </c>
      <c r="E3224" s="1">
        <v>43372</v>
      </c>
      <c r="F3224" s="1">
        <v>43419</v>
      </c>
      <c r="G3224" s="1"/>
      <c r="H3224" t="s">
        <v>9</v>
      </c>
      <c r="I3224" t="s">
        <v>27</v>
      </c>
    </row>
    <row r="3225" spans="1:9" x14ac:dyDescent="0.25">
      <c r="A3225" t="s">
        <v>4333</v>
      </c>
      <c r="B3225" s="26" t="str">
        <f>MID(tbl_forecast[[#This Row],[PACE Job Number]],3,3)</f>
        <v>STX</v>
      </c>
      <c r="C3225" t="s">
        <v>13</v>
      </c>
      <c r="D3225" s="1">
        <v>43434</v>
      </c>
      <c r="E3225" s="1">
        <v>43453</v>
      </c>
      <c r="F3225" s="1">
        <v>43453</v>
      </c>
      <c r="G3225" s="1"/>
      <c r="H3225" t="s">
        <v>4664</v>
      </c>
      <c r="I3225" t="s">
        <v>4665</v>
      </c>
    </row>
    <row r="3226" spans="1:9" x14ac:dyDescent="0.25">
      <c r="A3226" t="s">
        <v>4334</v>
      </c>
      <c r="B3226" s="26" t="str">
        <f>MID(tbl_forecast[[#This Row],[PACE Job Number]],3,3)</f>
        <v>STX</v>
      </c>
      <c r="C3226" t="s">
        <v>13</v>
      </c>
      <c r="D3226" s="1">
        <v>43419</v>
      </c>
      <c r="E3226" s="1">
        <v>43434</v>
      </c>
      <c r="F3226" s="1">
        <v>43419</v>
      </c>
      <c r="G3226" s="1"/>
      <c r="H3226" t="s">
        <v>9</v>
      </c>
      <c r="I3226" t="s">
        <v>44</v>
      </c>
    </row>
    <row r="3227" spans="1:9" x14ac:dyDescent="0.25">
      <c r="A3227" t="s">
        <v>3883</v>
      </c>
      <c r="B3227" s="26" t="str">
        <f>MID(tbl_forecast[[#This Row],[PACE Job Number]],3,3)</f>
        <v>NTX</v>
      </c>
      <c r="C3227" t="s">
        <v>13</v>
      </c>
      <c r="D3227" s="1">
        <v>43429</v>
      </c>
      <c r="E3227" s="1">
        <v>43411</v>
      </c>
      <c r="F3227" s="1">
        <v>43430</v>
      </c>
      <c r="G3227" s="1">
        <v>43430</v>
      </c>
      <c r="H3227" t="s">
        <v>9</v>
      </c>
      <c r="I3227" t="s">
        <v>10</v>
      </c>
    </row>
    <row r="3228" spans="1:9" x14ac:dyDescent="0.25">
      <c r="A3228" t="s">
        <v>2405</v>
      </c>
      <c r="B3228" s="26" t="str">
        <f>MID(tbl_forecast[[#This Row],[PACE Job Number]],3,3)</f>
        <v>NTX</v>
      </c>
      <c r="C3228" t="s">
        <v>13</v>
      </c>
      <c r="D3228" s="1">
        <v>43426</v>
      </c>
      <c r="E3228" s="1">
        <v>43467</v>
      </c>
      <c r="F3228" s="1">
        <v>43495</v>
      </c>
      <c r="G3228" s="1"/>
      <c r="H3228" t="s">
        <v>4664</v>
      </c>
      <c r="I3228" t="s">
        <v>4665</v>
      </c>
    </row>
    <row r="3229" spans="1:9" x14ac:dyDescent="0.25">
      <c r="A3229" t="s">
        <v>4384</v>
      </c>
      <c r="B3229" s="26" t="str">
        <f>MID(tbl_forecast[[#This Row],[PACE Job Number]],3,3)</f>
        <v>NTX</v>
      </c>
      <c r="C3229" t="s">
        <v>13</v>
      </c>
      <c r="D3229" s="1">
        <v>43426</v>
      </c>
      <c r="E3229" s="1">
        <v>43537</v>
      </c>
      <c r="F3229" s="1">
        <v>43554</v>
      </c>
      <c r="G3229" s="1"/>
      <c r="H3229" t="s">
        <v>4664</v>
      </c>
      <c r="I3229" t="s">
        <v>4665</v>
      </c>
    </row>
    <row r="3230" spans="1:9" x14ac:dyDescent="0.25">
      <c r="A3230" t="s">
        <v>4638</v>
      </c>
      <c r="B3230" s="26" t="str">
        <f>MID(tbl_forecast[[#This Row],[PACE Job Number]],3,3)</f>
        <v>WSH</v>
      </c>
      <c r="C3230" t="s">
        <v>13</v>
      </c>
      <c r="D3230" s="1">
        <v>43434</v>
      </c>
      <c r="E3230" s="1">
        <v>36524</v>
      </c>
      <c r="F3230" s="1">
        <v>43434</v>
      </c>
      <c r="G3230" s="1"/>
      <c r="H3230" t="s">
        <v>9</v>
      </c>
      <c r="I3230" t="s">
        <v>27</v>
      </c>
    </row>
    <row r="3231" spans="1:9" x14ac:dyDescent="0.25">
      <c r="A3231" t="s">
        <v>4606</v>
      </c>
      <c r="B3231" s="26" t="str">
        <f>MID(tbl_forecast[[#This Row],[PACE Job Number]],3,3)</f>
        <v>ANM</v>
      </c>
      <c r="C3231" t="s">
        <v>13</v>
      </c>
      <c r="D3231" s="1">
        <v>43434</v>
      </c>
      <c r="E3231" s="1">
        <v>36524</v>
      </c>
      <c r="F3231" s="1">
        <v>43418</v>
      </c>
      <c r="G3231" s="1">
        <v>43418</v>
      </c>
      <c r="H3231" t="s">
        <v>9</v>
      </c>
      <c r="I3231" t="s">
        <v>10</v>
      </c>
    </row>
    <row r="3232" spans="1:9" x14ac:dyDescent="0.25">
      <c r="A3232" t="s">
        <v>4388</v>
      </c>
      <c r="B3232" s="26" t="str">
        <f>MID(tbl_forecast[[#This Row],[PACE Job Number]],3,3)</f>
        <v>NTX</v>
      </c>
      <c r="C3232" t="s">
        <v>13</v>
      </c>
      <c r="D3232" s="1">
        <v>43426</v>
      </c>
      <c r="E3232" s="1">
        <v>43537</v>
      </c>
      <c r="F3232" s="1">
        <v>43554</v>
      </c>
      <c r="G3232" s="1"/>
      <c r="H3232" t="s">
        <v>4664</v>
      </c>
      <c r="I3232" t="s">
        <v>4665</v>
      </c>
    </row>
    <row r="3233" spans="1:9" x14ac:dyDescent="0.25">
      <c r="A3233" t="s">
        <v>2409</v>
      </c>
      <c r="B3233" s="26" t="str">
        <f>MID(tbl_forecast[[#This Row],[PACE Job Number]],3,3)</f>
        <v>NTX</v>
      </c>
      <c r="C3233" t="s">
        <v>13</v>
      </c>
      <c r="D3233" s="1">
        <v>43426</v>
      </c>
      <c r="E3233" s="1">
        <v>43467</v>
      </c>
      <c r="F3233" s="1">
        <v>43495</v>
      </c>
      <c r="G3233" s="1"/>
      <c r="H3233" t="s">
        <v>4664</v>
      </c>
      <c r="I3233" t="s">
        <v>4665</v>
      </c>
    </row>
    <row r="3234" spans="1:9" x14ac:dyDescent="0.25">
      <c r="A3234" t="s">
        <v>2410</v>
      </c>
      <c r="B3234" s="26" t="str">
        <f>MID(tbl_forecast[[#This Row],[PACE Job Number]],3,3)</f>
        <v>NTX</v>
      </c>
      <c r="C3234" t="s">
        <v>13</v>
      </c>
      <c r="D3234" s="1">
        <v>43433</v>
      </c>
      <c r="E3234" s="1">
        <v>43434</v>
      </c>
      <c r="F3234" s="1">
        <v>43423</v>
      </c>
      <c r="G3234" s="1">
        <v>43423</v>
      </c>
      <c r="H3234" t="s">
        <v>9</v>
      </c>
      <c r="I3234" t="s">
        <v>10</v>
      </c>
    </row>
    <row r="3235" spans="1:9" x14ac:dyDescent="0.25">
      <c r="A3235" t="s">
        <v>3369</v>
      </c>
      <c r="B3235" s="26" t="str">
        <f>MID(tbl_forecast[[#This Row],[PACE Job Number]],3,3)</f>
        <v>NTX</v>
      </c>
      <c r="C3235" t="s">
        <v>13</v>
      </c>
      <c r="D3235" s="1">
        <v>43426</v>
      </c>
      <c r="E3235" s="1">
        <v>43428</v>
      </c>
      <c r="F3235" s="1">
        <v>43411</v>
      </c>
      <c r="G3235" s="1">
        <v>43411</v>
      </c>
      <c r="H3235" t="s">
        <v>9</v>
      </c>
      <c r="I3235" t="s">
        <v>10</v>
      </c>
    </row>
    <row r="3236" spans="1:9" x14ac:dyDescent="0.25">
      <c r="A3236" t="s">
        <v>2513</v>
      </c>
      <c r="B3236" s="26" t="str">
        <f>MID(tbl_forecast[[#This Row],[PACE Job Number]],3,3)</f>
        <v>STX</v>
      </c>
      <c r="C3236" t="s">
        <v>13</v>
      </c>
      <c r="D3236" s="1">
        <v>43419</v>
      </c>
      <c r="E3236" s="1">
        <v>43464</v>
      </c>
      <c r="F3236" s="1">
        <v>43419</v>
      </c>
      <c r="G3236" s="1"/>
      <c r="H3236" t="s">
        <v>9</v>
      </c>
      <c r="I3236" t="s">
        <v>44</v>
      </c>
    </row>
    <row r="3237" spans="1:9" x14ac:dyDescent="0.25">
      <c r="A3237" t="s">
        <v>2516</v>
      </c>
      <c r="B3237" s="26" t="str">
        <f>MID(tbl_forecast[[#This Row],[PACE Job Number]],3,3)</f>
        <v>STX</v>
      </c>
      <c r="C3237" t="s">
        <v>13</v>
      </c>
      <c r="D3237" s="1">
        <v>43419</v>
      </c>
      <c r="E3237" s="1">
        <v>43464</v>
      </c>
      <c r="F3237" s="1">
        <v>43419</v>
      </c>
      <c r="G3237" s="1"/>
      <c r="H3237" t="s">
        <v>9</v>
      </c>
      <c r="I3237" t="s">
        <v>44</v>
      </c>
    </row>
    <row r="3238" spans="1:9" x14ac:dyDescent="0.25">
      <c r="A3238" t="s">
        <v>257</v>
      </c>
      <c r="B3238" s="26" t="str">
        <f>MID(tbl_forecast[[#This Row],[PACE Job Number]],3,3)</f>
        <v>STX</v>
      </c>
      <c r="C3238" t="s">
        <v>13</v>
      </c>
      <c r="D3238" s="1">
        <v>43417</v>
      </c>
      <c r="E3238" s="1">
        <v>43417</v>
      </c>
      <c r="F3238" s="1">
        <v>43420</v>
      </c>
      <c r="G3238" s="1">
        <v>43420</v>
      </c>
      <c r="H3238" t="s">
        <v>9</v>
      </c>
      <c r="I3238" t="s">
        <v>10</v>
      </c>
    </row>
    <row r="3239" spans="1:9" x14ac:dyDescent="0.25">
      <c r="A3239" t="s">
        <v>3448</v>
      </c>
      <c r="B3239" s="26" t="str">
        <f>MID(tbl_forecast[[#This Row],[PACE Job Number]],3,3)</f>
        <v>STX</v>
      </c>
      <c r="C3239" t="s">
        <v>13</v>
      </c>
      <c r="D3239" s="1">
        <v>43419</v>
      </c>
      <c r="E3239" s="1">
        <v>43403</v>
      </c>
      <c r="F3239" s="1">
        <v>43409</v>
      </c>
      <c r="G3239" s="1">
        <v>43409</v>
      </c>
      <c r="H3239" t="s">
        <v>9</v>
      </c>
      <c r="I3239" t="s">
        <v>10</v>
      </c>
    </row>
    <row r="3240" spans="1:9" x14ac:dyDescent="0.25">
      <c r="A3240" t="s">
        <v>726</v>
      </c>
      <c r="B3240" s="26" t="str">
        <f>MID(tbl_forecast[[#This Row],[PACE Job Number]],3,3)</f>
        <v>STX</v>
      </c>
      <c r="C3240" t="s">
        <v>13</v>
      </c>
      <c r="D3240" s="1">
        <v>43419</v>
      </c>
      <c r="E3240" s="1">
        <v>43342</v>
      </c>
      <c r="F3240" s="1">
        <v>43419</v>
      </c>
      <c r="G3240" s="1"/>
      <c r="H3240" t="s">
        <v>9</v>
      </c>
      <c r="I3240" t="s">
        <v>27</v>
      </c>
    </row>
    <row r="3241" spans="1:9" x14ac:dyDescent="0.25">
      <c r="A3241" t="s">
        <v>517</v>
      </c>
      <c r="B3241" s="26" t="str">
        <f>MID(tbl_forecast[[#This Row],[PACE Job Number]],3,3)</f>
        <v>STX</v>
      </c>
      <c r="C3241" t="s">
        <v>13</v>
      </c>
      <c r="D3241" s="1">
        <v>43419</v>
      </c>
      <c r="E3241" s="1">
        <v>43342</v>
      </c>
      <c r="F3241" s="1">
        <v>43419</v>
      </c>
      <c r="G3241" s="1"/>
      <c r="H3241" t="s">
        <v>9</v>
      </c>
      <c r="I3241" t="s">
        <v>27</v>
      </c>
    </row>
    <row r="3242" spans="1:9" x14ac:dyDescent="0.25">
      <c r="A3242" t="s">
        <v>3408</v>
      </c>
      <c r="B3242" s="26" t="str">
        <f>MID(tbl_forecast[[#This Row],[PACE Job Number]],3,3)</f>
        <v>STX</v>
      </c>
      <c r="C3242" t="s">
        <v>13</v>
      </c>
      <c r="D3242" s="1">
        <v>43419</v>
      </c>
      <c r="E3242" s="1">
        <v>43434</v>
      </c>
      <c r="F3242" s="1">
        <v>43419</v>
      </c>
      <c r="G3242" s="1"/>
      <c r="H3242" t="s">
        <v>9</v>
      </c>
      <c r="I3242" t="s">
        <v>44</v>
      </c>
    </row>
    <row r="3243" spans="1:9" x14ac:dyDescent="0.25">
      <c r="A3243" t="s">
        <v>4039</v>
      </c>
      <c r="B3243" s="26" t="str">
        <f>MID(tbl_forecast[[#This Row],[PACE Job Number]],3,3)</f>
        <v>STX</v>
      </c>
      <c r="C3243" t="s">
        <v>13</v>
      </c>
      <c r="D3243" s="1">
        <v>43419</v>
      </c>
      <c r="E3243" s="1">
        <v>43403</v>
      </c>
      <c r="F3243" s="1">
        <v>43419</v>
      </c>
      <c r="G3243" s="1"/>
      <c r="H3243" t="s">
        <v>9</v>
      </c>
      <c r="I3243" t="s">
        <v>27</v>
      </c>
    </row>
    <row r="3244" spans="1:9" x14ac:dyDescent="0.25">
      <c r="A3244" t="s">
        <v>3370</v>
      </c>
      <c r="B3244" s="26" t="str">
        <f>MID(tbl_forecast[[#This Row],[PACE Job Number]],3,3)</f>
        <v>STX</v>
      </c>
      <c r="C3244" t="s">
        <v>13</v>
      </c>
      <c r="D3244" s="1">
        <v>43419</v>
      </c>
      <c r="E3244" s="1">
        <v>43434</v>
      </c>
      <c r="F3244" s="1">
        <v>43419</v>
      </c>
      <c r="G3244" s="1"/>
      <c r="H3244" t="s">
        <v>9</v>
      </c>
      <c r="I3244" t="s">
        <v>44</v>
      </c>
    </row>
    <row r="3245" spans="1:9" x14ac:dyDescent="0.25">
      <c r="A3245" t="s">
        <v>4391</v>
      </c>
      <c r="B3245" s="26" t="str">
        <f>MID(tbl_forecast[[#This Row],[PACE Job Number]],3,3)</f>
        <v>STX</v>
      </c>
      <c r="C3245" t="s">
        <v>13</v>
      </c>
      <c r="D3245" s="1">
        <v>43419</v>
      </c>
      <c r="E3245" s="1">
        <v>43403</v>
      </c>
      <c r="F3245" s="1">
        <v>43419</v>
      </c>
      <c r="G3245" s="1"/>
      <c r="H3245" t="s">
        <v>9</v>
      </c>
      <c r="I3245" t="s">
        <v>27</v>
      </c>
    </row>
    <row r="3246" spans="1:9" x14ac:dyDescent="0.25">
      <c r="A3246" t="s">
        <v>5558</v>
      </c>
      <c r="B3246" s="26" t="str">
        <f>MID(tbl_forecast[[#This Row],[PACE Job Number]],3,3)</f>
        <v>ANM</v>
      </c>
      <c r="C3246" t="s">
        <v>13</v>
      </c>
      <c r="D3246" s="1">
        <v>43434</v>
      </c>
      <c r="E3246" s="1">
        <v>36524</v>
      </c>
      <c r="F3246" s="1">
        <v>43434</v>
      </c>
      <c r="G3246" s="1"/>
      <c r="H3246" t="s">
        <v>9</v>
      </c>
      <c r="I3246" t="s">
        <v>27</v>
      </c>
    </row>
    <row r="3247" spans="1:9" x14ac:dyDescent="0.25">
      <c r="A3247" t="s">
        <v>5559</v>
      </c>
      <c r="B3247" s="26" t="str">
        <f>MID(tbl_forecast[[#This Row],[PACE Job Number]],3,3)</f>
        <v>ANM</v>
      </c>
      <c r="C3247" t="s">
        <v>13</v>
      </c>
      <c r="D3247" s="1">
        <v>43434</v>
      </c>
      <c r="E3247" s="1">
        <v>36524</v>
      </c>
      <c r="F3247" s="1">
        <v>43434</v>
      </c>
      <c r="G3247" s="1"/>
      <c r="H3247" t="s">
        <v>9</v>
      </c>
      <c r="I3247" t="s">
        <v>27</v>
      </c>
    </row>
    <row r="3248" spans="1:9" x14ac:dyDescent="0.25">
      <c r="A3248" t="s">
        <v>308</v>
      </c>
      <c r="B3248" s="26" t="str">
        <f>MID(tbl_forecast[[#This Row],[PACE Job Number]],3,3)</f>
        <v>NTX</v>
      </c>
      <c r="C3248" t="s">
        <v>13</v>
      </c>
      <c r="D3248" s="1">
        <v>43406</v>
      </c>
      <c r="E3248" s="1">
        <v>43436</v>
      </c>
      <c r="F3248" s="1">
        <v>43406</v>
      </c>
      <c r="G3248" s="1">
        <v>43406</v>
      </c>
      <c r="H3248" t="s">
        <v>9</v>
      </c>
      <c r="I3248" t="s">
        <v>10</v>
      </c>
    </row>
    <row r="3249" spans="1:9" x14ac:dyDescent="0.25">
      <c r="A3249" t="s">
        <v>4519</v>
      </c>
      <c r="B3249" s="26" t="str">
        <f>MID(tbl_forecast[[#This Row],[PACE Job Number]],3,3)</f>
        <v>NTX</v>
      </c>
      <c r="C3249" t="s">
        <v>13</v>
      </c>
      <c r="D3249" s="1">
        <v>43417</v>
      </c>
      <c r="E3249" s="1">
        <v>43537</v>
      </c>
      <c r="F3249" s="1">
        <v>43554</v>
      </c>
      <c r="G3249" s="1"/>
      <c r="H3249" t="s">
        <v>4664</v>
      </c>
      <c r="I3249" t="s">
        <v>5645</v>
      </c>
    </row>
    <row r="3250" spans="1:9" x14ac:dyDescent="0.25">
      <c r="A3250" t="s">
        <v>4540</v>
      </c>
      <c r="B3250" s="26" t="str">
        <f>MID(tbl_forecast[[#This Row],[PACE Job Number]],3,3)</f>
        <v>STX</v>
      </c>
      <c r="C3250" t="s">
        <v>13</v>
      </c>
      <c r="D3250" s="1">
        <v>43419</v>
      </c>
      <c r="E3250" s="1">
        <v>43464</v>
      </c>
      <c r="F3250" s="1">
        <v>43413</v>
      </c>
      <c r="G3250" s="1">
        <v>43413</v>
      </c>
      <c r="H3250" t="s">
        <v>9</v>
      </c>
      <c r="I3250" t="s">
        <v>10</v>
      </c>
    </row>
    <row r="3251" spans="1:9" x14ac:dyDescent="0.25">
      <c r="A3251" t="s">
        <v>4392</v>
      </c>
      <c r="B3251" s="26" t="str">
        <f>MID(tbl_forecast[[#This Row],[PACE Job Number]],3,3)</f>
        <v>STX</v>
      </c>
      <c r="C3251" t="s">
        <v>13</v>
      </c>
      <c r="D3251" s="1">
        <v>43419</v>
      </c>
      <c r="E3251" s="1">
        <v>43464</v>
      </c>
      <c r="F3251" s="1">
        <v>43419</v>
      </c>
      <c r="G3251" s="1"/>
      <c r="H3251" t="s">
        <v>9</v>
      </c>
      <c r="I3251" t="s">
        <v>44</v>
      </c>
    </row>
    <row r="3252" spans="1:9" x14ac:dyDescent="0.25">
      <c r="A3252" t="s">
        <v>4393</v>
      </c>
      <c r="B3252" s="26" t="str">
        <f>MID(tbl_forecast[[#This Row],[PACE Job Number]],3,3)</f>
        <v>STX</v>
      </c>
      <c r="C3252" t="s">
        <v>13</v>
      </c>
      <c r="D3252" s="1">
        <v>43419</v>
      </c>
      <c r="E3252" s="1">
        <v>43464</v>
      </c>
      <c r="F3252" s="1">
        <v>43419</v>
      </c>
      <c r="G3252" s="1"/>
      <c r="H3252" t="s">
        <v>9</v>
      </c>
      <c r="I3252" t="s">
        <v>44</v>
      </c>
    </row>
    <row r="3253" spans="1:9" x14ac:dyDescent="0.25">
      <c r="A3253" t="s">
        <v>4394</v>
      </c>
      <c r="B3253" s="26" t="str">
        <f>MID(tbl_forecast[[#This Row],[PACE Job Number]],3,3)</f>
        <v>STX</v>
      </c>
      <c r="C3253" t="s">
        <v>13</v>
      </c>
      <c r="D3253" s="1">
        <v>43419</v>
      </c>
      <c r="E3253" s="1">
        <v>43464</v>
      </c>
      <c r="F3253" s="1">
        <v>43419</v>
      </c>
      <c r="G3253" s="1"/>
      <c r="H3253" t="s">
        <v>9</v>
      </c>
      <c r="I3253" t="s">
        <v>44</v>
      </c>
    </row>
    <row r="3254" spans="1:9" x14ac:dyDescent="0.25">
      <c r="A3254" t="s">
        <v>5560</v>
      </c>
      <c r="B3254" s="26" t="str">
        <f>MID(tbl_forecast[[#This Row],[PACE Job Number]],3,3)</f>
        <v>STX</v>
      </c>
      <c r="C3254" t="s">
        <v>13</v>
      </c>
      <c r="D3254" s="1">
        <v>43419</v>
      </c>
      <c r="E3254" s="1">
        <v>43342</v>
      </c>
      <c r="F3254" s="1">
        <v>43419</v>
      </c>
      <c r="G3254" s="1"/>
      <c r="H3254" t="s">
        <v>9</v>
      </c>
      <c r="I3254" t="s">
        <v>27</v>
      </c>
    </row>
    <row r="3255" spans="1:9" x14ac:dyDescent="0.25">
      <c r="A3255" t="s">
        <v>5561</v>
      </c>
      <c r="B3255" s="26" t="str">
        <f>MID(tbl_forecast[[#This Row],[PACE Job Number]],3,3)</f>
        <v>STX</v>
      </c>
      <c r="C3255" t="s">
        <v>13</v>
      </c>
      <c r="D3255" s="1">
        <v>43419</v>
      </c>
      <c r="E3255" s="1">
        <v>43403</v>
      </c>
      <c r="F3255" s="1">
        <v>43409</v>
      </c>
      <c r="G3255" s="1">
        <v>43409</v>
      </c>
      <c r="H3255" t="s">
        <v>9</v>
      </c>
      <c r="I3255" t="s">
        <v>10</v>
      </c>
    </row>
    <row r="3256" spans="1:9" x14ac:dyDescent="0.25">
      <c r="A3256" t="s">
        <v>4395</v>
      </c>
      <c r="B3256" s="26" t="str">
        <f>MID(tbl_forecast[[#This Row],[PACE Job Number]],3,3)</f>
        <v>STX</v>
      </c>
      <c r="C3256" t="s">
        <v>13</v>
      </c>
      <c r="D3256" s="1">
        <v>43419</v>
      </c>
      <c r="E3256" s="1">
        <v>43464</v>
      </c>
      <c r="F3256" s="1">
        <v>43419</v>
      </c>
      <c r="G3256" s="1"/>
      <c r="H3256" t="s">
        <v>9</v>
      </c>
      <c r="I3256" t="s">
        <v>44</v>
      </c>
    </row>
    <row r="3257" spans="1:9" x14ac:dyDescent="0.25">
      <c r="A3257" t="s">
        <v>3414</v>
      </c>
      <c r="B3257" s="26" t="str">
        <f>MID(tbl_forecast[[#This Row],[PACE Job Number]],3,3)</f>
        <v>STX</v>
      </c>
      <c r="C3257" t="s">
        <v>13</v>
      </c>
      <c r="D3257" s="1">
        <v>43419</v>
      </c>
      <c r="E3257" s="1">
        <v>43403</v>
      </c>
      <c r="F3257" s="1">
        <v>43409</v>
      </c>
      <c r="G3257" s="1">
        <v>43409</v>
      </c>
      <c r="H3257" t="s">
        <v>9</v>
      </c>
      <c r="I3257" t="s">
        <v>10</v>
      </c>
    </row>
    <row r="3258" spans="1:9" x14ac:dyDescent="0.25">
      <c r="A3258" t="s">
        <v>3438</v>
      </c>
      <c r="B3258" s="26" t="str">
        <f>MID(tbl_forecast[[#This Row],[PACE Job Number]],3,3)</f>
        <v>STX</v>
      </c>
      <c r="C3258" t="s">
        <v>13</v>
      </c>
      <c r="D3258" s="1">
        <v>43419</v>
      </c>
      <c r="E3258" s="1">
        <v>43403</v>
      </c>
      <c r="F3258" s="1">
        <v>43409</v>
      </c>
      <c r="G3258" s="1">
        <v>43409</v>
      </c>
      <c r="H3258" t="s">
        <v>9</v>
      </c>
      <c r="I3258" t="s">
        <v>10</v>
      </c>
    </row>
    <row r="3259" spans="1:9" x14ac:dyDescent="0.25">
      <c r="A3259" t="s">
        <v>4396</v>
      </c>
      <c r="B3259" s="26" t="str">
        <f>MID(tbl_forecast[[#This Row],[PACE Job Number]],3,3)</f>
        <v>STX</v>
      </c>
      <c r="C3259" t="s">
        <v>13</v>
      </c>
      <c r="D3259" s="1">
        <v>43419</v>
      </c>
      <c r="E3259" s="1">
        <v>43464</v>
      </c>
      <c r="F3259" s="1">
        <v>43419</v>
      </c>
      <c r="G3259" s="1"/>
      <c r="H3259" t="s">
        <v>9</v>
      </c>
      <c r="I3259" t="s">
        <v>44</v>
      </c>
    </row>
    <row r="3260" spans="1:9" x14ac:dyDescent="0.25">
      <c r="A3260" t="s">
        <v>2695</v>
      </c>
      <c r="B3260" s="26" t="str">
        <f>MID(tbl_forecast[[#This Row],[PACE Job Number]],3,3)</f>
        <v>STX</v>
      </c>
      <c r="C3260" t="s">
        <v>13</v>
      </c>
      <c r="D3260" s="1">
        <v>43434</v>
      </c>
      <c r="E3260" s="1">
        <v>43434</v>
      </c>
      <c r="F3260" s="1">
        <v>43417</v>
      </c>
      <c r="G3260" s="1">
        <v>43417</v>
      </c>
      <c r="H3260" t="s">
        <v>9</v>
      </c>
      <c r="I3260" t="s">
        <v>10</v>
      </c>
    </row>
    <row r="3261" spans="1:9" x14ac:dyDescent="0.25">
      <c r="A3261" t="s">
        <v>717</v>
      </c>
      <c r="B3261" s="26" t="str">
        <f>MID(tbl_forecast[[#This Row],[PACE Job Number]],3,3)</f>
        <v>STX</v>
      </c>
      <c r="C3261" t="s">
        <v>13</v>
      </c>
      <c r="D3261" s="1">
        <v>43419</v>
      </c>
      <c r="E3261" s="1">
        <v>43342</v>
      </c>
      <c r="F3261" s="1">
        <v>43419</v>
      </c>
      <c r="G3261" s="1"/>
      <c r="H3261" t="s">
        <v>9</v>
      </c>
      <c r="I3261" t="s">
        <v>27</v>
      </c>
    </row>
    <row r="3262" spans="1:9" x14ac:dyDescent="0.25">
      <c r="A3262" t="s">
        <v>4398</v>
      </c>
      <c r="B3262" s="26" t="str">
        <f>MID(tbl_forecast[[#This Row],[PACE Job Number]],3,3)</f>
        <v>STX</v>
      </c>
      <c r="C3262" t="s">
        <v>13</v>
      </c>
      <c r="D3262" s="1">
        <v>43419</v>
      </c>
      <c r="E3262" s="1">
        <v>43464</v>
      </c>
      <c r="F3262" s="1">
        <v>43419</v>
      </c>
      <c r="G3262" s="1"/>
      <c r="H3262" t="s">
        <v>9</v>
      </c>
      <c r="I3262" t="s">
        <v>44</v>
      </c>
    </row>
    <row r="3263" spans="1:9" x14ac:dyDescent="0.25">
      <c r="A3263" t="s">
        <v>5467</v>
      </c>
      <c r="B3263" s="26" t="str">
        <f>MID(tbl_forecast[[#This Row],[PACE Job Number]],3,3)</f>
        <v>WSH</v>
      </c>
      <c r="C3263" t="s">
        <v>13</v>
      </c>
      <c r="D3263" s="1">
        <v>43434</v>
      </c>
      <c r="E3263" s="1">
        <v>43436</v>
      </c>
      <c r="F3263" s="1">
        <v>43434</v>
      </c>
      <c r="G3263" s="1"/>
      <c r="H3263" t="s">
        <v>9</v>
      </c>
      <c r="I3263" t="s">
        <v>27</v>
      </c>
    </row>
    <row r="3264" spans="1:9" x14ac:dyDescent="0.25">
      <c r="A3264" t="s">
        <v>3910</v>
      </c>
      <c r="B3264" s="26" t="str">
        <f>MID(tbl_forecast[[#This Row],[PACE Job Number]],3,3)</f>
        <v>WSH</v>
      </c>
      <c r="C3264" t="s">
        <v>13</v>
      </c>
      <c r="D3264" s="1">
        <v>43406</v>
      </c>
      <c r="E3264" s="1">
        <v>43449</v>
      </c>
      <c r="F3264" s="1">
        <v>43406</v>
      </c>
      <c r="G3264" s="1">
        <v>43406</v>
      </c>
      <c r="H3264" t="s">
        <v>9</v>
      </c>
      <c r="I3264" t="s">
        <v>10</v>
      </c>
    </row>
    <row r="3265" spans="1:9" x14ac:dyDescent="0.25">
      <c r="A3265" t="s">
        <v>279</v>
      </c>
      <c r="B3265" s="26" t="str">
        <f>MID(tbl_forecast[[#This Row],[PACE Job Number]],3,3)</f>
        <v>WSH</v>
      </c>
      <c r="C3265" t="s">
        <v>13</v>
      </c>
      <c r="D3265" s="1">
        <v>43434</v>
      </c>
      <c r="E3265" s="1">
        <v>43449</v>
      </c>
      <c r="F3265" s="1">
        <v>43434</v>
      </c>
      <c r="G3265" s="1"/>
      <c r="H3265" t="s">
        <v>9</v>
      </c>
      <c r="I3265" t="s">
        <v>44</v>
      </c>
    </row>
    <row r="3266" spans="1:9" x14ac:dyDescent="0.25">
      <c r="A3266" t="s">
        <v>5468</v>
      </c>
      <c r="B3266" s="26" t="str">
        <f>MID(tbl_forecast[[#This Row],[PACE Job Number]],3,3)</f>
        <v>WSH</v>
      </c>
      <c r="C3266" t="s">
        <v>13</v>
      </c>
      <c r="D3266" s="1">
        <v>43434</v>
      </c>
      <c r="E3266" s="1">
        <v>43436</v>
      </c>
      <c r="F3266" s="1">
        <v>43434</v>
      </c>
      <c r="G3266" s="1"/>
      <c r="H3266" t="s">
        <v>9</v>
      </c>
      <c r="I3266" t="s">
        <v>27</v>
      </c>
    </row>
    <row r="3267" spans="1:9" x14ac:dyDescent="0.25">
      <c r="A3267" t="s">
        <v>90</v>
      </c>
      <c r="B3267" s="26" t="str">
        <f>MID(tbl_forecast[[#This Row],[PACE Job Number]],3,3)</f>
        <v>WSH</v>
      </c>
      <c r="C3267" t="s">
        <v>13</v>
      </c>
      <c r="D3267" s="1">
        <v>43434</v>
      </c>
      <c r="E3267" s="1">
        <v>43449</v>
      </c>
      <c r="F3267" s="1">
        <v>43434</v>
      </c>
      <c r="G3267" s="1"/>
      <c r="H3267" t="s">
        <v>9</v>
      </c>
      <c r="I3267" t="s">
        <v>44</v>
      </c>
    </row>
    <row r="3268" spans="1:9" x14ac:dyDescent="0.25">
      <c r="A3268" t="s">
        <v>39</v>
      </c>
      <c r="B3268" s="26" t="str">
        <f>MID(tbl_forecast[[#This Row],[PACE Job Number]],3,3)</f>
        <v>NTX</v>
      </c>
      <c r="C3268" t="s">
        <v>13</v>
      </c>
      <c r="D3268" s="1">
        <v>43429</v>
      </c>
      <c r="E3268" s="1">
        <v>43412</v>
      </c>
      <c r="F3268" s="1">
        <v>43464</v>
      </c>
      <c r="G3268" s="1"/>
      <c r="H3268" t="s">
        <v>4664</v>
      </c>
      <c r="I3268" t="s">
        <v>4666</v>
      </c>
    </row>
    <row r="3269" spans="1:9" x14ac:dyDescent="0.25">
      <c r="A3269" t="s">
        <v>4520</v>
      </c>
      <c r="B3269" s="26" t="str">
        <f>MID(tbl_forecast[[#This Row],[PACE Job Number]],3,3)</f>
        <v>NTX</v>
      </c>
      <c r="C3269" t="s">
        <v>13</v>
      </c>
      <c r="D3269" s="1">
        <v>43426</v>
      </c>
      <c r="E3269" s="1">
        <v>43423</v>
      </c>
      <c r="F3269" s="1">
        <v>43423</v>
      </c>
      <c r="G3269" s="1">
        <v>43423</v>
      </c>
      <c r="H3269" t="s">
        <v>9</v>
      </c>
      <c r="I3269" t="s">
        <v>10</v>
      </c>
    </row>
    <row r="3270" spans="1:9" x14ac:dyDescent="0.25">
      <c r="A3270" t="s">
        <v>4521</v>
      </c>
      <c r="B3270" s="26" t="str">
        <f>MID(tbl_forecast[[#This Row],[PACE Job Number]],3,3)</f>
        <v>NTX</v>
      </c>
      <c r="C3270" t="s">
        <v>13</v>
      </c>
      <c r="D3270" s="1">
        <v>43426</v>
      </c>
      <c r="E3270" s="1">
        <v>43423</v>
      </c>
      <c r="F3270" s="1">
        <v>43423</v>
      </c>
      <c r="G3270" s="1">
        <v>43423</v>
      </c>
      <c r="H3270" t="s">
        <v>9</v>
      </c>
      <c r="I3270" t="s">
        <v>10</v>
      </c>
    </row>
    <row r="3271" spans="1:9" x14ac:dyDescent="0.25">
      <c r="A3271" t="s">
        <v>4335</v>
      </c>
      <c r="B3271" s="26" t="str">
        <f>MID(tbl_forecast[[#This Row],[PACE Job Number]],3,3)</f>
        <v>STX</v>
      </c>
      <c r="C3271" t="s">
        <v>13</v>
      </c>
      <c r="D3271" s="1">
        <v>43419</v>
      </c>
      <c r="E3271" s="1">
        <v>43464</v>
      </c>
      <c r="F3271" s="1">
        <v>43423</v>
      </c>
      <c r="G3271" s="1">
        <v>43423</v>
      </c>
      <c r="H3271" t="s">
        <v>9</v>
      </c>
      <c r="I3271" t="s">
        <v>10</v>
      </c>
    </row>
    <row r="3272" spans="1:9" x14ac:dyDescent="0.25">
      <c r="A3272" t="s">
        <v>4336</v>
      </c>
      <c r="B3272" s="26" t="str">
        <f>MID(tbl_forecast[[#This Row],[PACE Job Number]],3,3)</f>
        <v>STX</v>
      </c>
      <c r="C3272" t="s">
        <v>13</v>
      </c>
      <c r="D3272" s="1">
        <v>43419</v>
      </c>
      <c r="E3272" s="1">
        <v>43434</v>
      </c>
      <c r="F3272" s="1">
        <v>43423</v>
      </c>
      <c r="G3272" s="1">
        <v>43423</v>
      </c>
      <c r="H3272" t="s">
        <v>9</v>
      </c>
      <c r="I3272" t="s">
        <v>10</v>
      </c>
    </row>
    <row r="3273" spans="1:9" x14ac:dyDescent="0.25">
      <c r="A3273" t="s">
        <v>586</v>
      </c>
      <c r="B3273" s="26" t="str">
        <f>MID(tbl_forecast[[#This Row],[PACE Job Number]],3,3)</f>
        <v>STX</v>
      </c>
      <c r="C3273" t="s">
        <v>13</v>
      </c>
      <c r="D3273" s="1">
        <v>43419</v>
      </c>
      <c r="E3273" s="1">
        <v>43434</v>
      </c>
      <c r="F3273" s="1">
        <v>43411</v>
      </c>
      <c r="G3273" s="1">
        <v>43411</v>
      </c>
      <c r="H3273" t="s">
        <v>9</v>
      </c>
      <c r="I3273" t="s">
        <v>10</v>
      </c>
    </row>
    <row r="3274" spans="1:9" x14ac:dyDescent="0.25">
      <c r="A3274" t="s">
        <v>3302</v>
      </c>
      <c r="B3274" s="26" t="str">
        <f>MID(tbl_forecast[[#This Row],[PACE Job Number]],3,3)</f>
        <v>STX</v>
      </c>
      <c r="C3274" t="s">
        <v>13</v>
      </c>
      <c r="D3274" s="1">
        <v>43419</v>
      </c>
      <c r="E3274" s="1">
        <v>43434</v>
      </c>
      <c r="F3274" s="1">
        <v>43411</v>
      </c>
      <c r="G3274" s="1">
        <v>43411</v>
      </c>
      <c r="H3274" t="s">
        <v>9</v>
      </c>
      <c r="I3274" t="s">
        <v>10</v>
      </c>
    </row>
    <row r="3275" spans="1:9" x14ac:dyDescent="0.25">
      <c r="A3275" t="s">
        <v>3133</v>
      </c>
      <c r="B3275" s="26" t="str">
        <f>MID(tbl_forecast[[#This Row],[PACE Job Number]],3,3)</f>
        <v>STX</v>
      </c>
      <c r="C3275" t="s">
        <v>13</v>
      </c>
      <c r="D3275" s="1">
        <v>43434</v>
      </c>
      <c r="E3275" s="1">
        <v>43434</v>
      </c>
      <c r="F3275" s="1">
        <v>43423</v>
      </c>
      <c r="G3275" s="1">
        <v>43423</v>
      </c>
      <c r="H3275" t="s">
        <v>9</v>
      </c>
      <c r="I3275" t="s">
        <v>10</v>
      </c>
    </row>
    <row r="3276" spans="1:9" x14ac:dyDescent="0.25">
      <c r="A3276" t="s">
        <v>4004</v>
      </c>
      <c r="B3276" s="26" t="str">
        <f>MID(tbl_forecast[[#This Row],[PACE Job Number]],3,3)</f>
        <v>WSH</v>
      </c>
      <c r="C3276" t="s">
        <v>13</v>
      </c>
      <c r="D3276" s="1">
        <v>43434</v>
      </c>
      <c r="E3276" s="1">
        <v>43449</v>
      </c>
      <c r="F3276" s="1">
        <v>43434</v>
      </c>
      <c r="G3276" s="1"/>
      <c r="H3276" t="s">
        <v>9</v>
      </c>
      <c r="I3276" t="s">
        <v>44</v>
      </c>
    </row>
    <row r="3277" spans="1:9" x14ac:dyDescent="0.25">
      <c r="A3277" t="s">
        <v>3912</v>
      </c>
      <c r="B3277" s="26" t="str">
        <f>MID(tbl_forecast[[#This Row],[PACE Job Number]],3,3)</f>
        <v>WSH</v>
      </c>
      <c r="C3277" t="s">
        <v>13</v>
      </c>
      <c r="D3277" s="1">
        <v>43434</v>
      </c>
      <c r="E3277" s="1">
        <v>43449</v>
      </c>
      <c r="F3277" s="1">
        <v>43434</v>
      </c>
      <c r="G3277" s="1"/>
      <c r="H3277" t="s">
        <v>9</v>
      </c>
      <c r="I3277" t="s">
        <v>44</v>
      </c>
    </row>
    <row r="3278" spans="1:9" x14ac:dyDescent="0.25">
      <c r="A3278" t="s">
        <v>3913</v>
      </c>
      <c r="B3278" s="26" t="str">
        <f>MID(tbl_forecast[[#This Row],[PACE Job Number]],3,3)</f>
        <v>WSH</v>
      </c>
      <c r="C3278" t="s">
        <v>13</v>
      </c>
      <c r="D3278" s="1">
        <v>43434</v>
      </c>
      <c r="E3278" s="1">
        <v>43331</v>
      </c>
      <c r="F3278" s="1">
        <v>43434</v>
      </c>
      <c r="G3278" s="1"/>
      <c r="H3278" t="s">
        <v>9</v>
      </c>
      <c r="I3278" t="s">
        <v>27</v>
      </c>
    </row>
    <row r="3279" spans="1:9" x14ac:dyDescent="0.25">
      <c r="A3279" t="s">
        <v>3915</v>
      </c>
      <c r="B3279" s="26" t="str">
        <f>MID(tbl_forecast[[#This Row],[PACE Job Number]],3,3)</f>
        <v>WSH</v>
      </c>
      <c r="C3279" t="s">
        <v>13</v>
      </c>
      <c r="D3279" s="1">
        <v>43434</v>
      </c>
      <c r="E3279" s="1">
        <v>43331</v>
      </c>
      <c r="F3279" s="1">
        <v>43434</v>
      </c>
      <c r="G3279" s="1"/>
      <c r="H3279" t="s">
        <v>9</v>
      </c>
      <c r="I3279" t="s">
        <v>27</v>
      </c>
    </row>
    <row r="3280" spans="1:9" x14ac:dyDescent="0.25">
      <c r="A3280" t="s">
        <v>4615</v>
      </c>
      <c r="B3280" s="26" t="str">
        <f>MID(tbl_forecast[[#This Row],[PACE Job Number]],3,3)</f>
        <v>WSH</v>
      </c>
      <c r="C3280" t="s">
        <v>13</v>
      </c>
      <c r="D3280" s="1">
        <v>43434</v>
      </c>
      <c r="E3280" s="1">
        <v>36524</v>
      </c>
      <c r="F3280" s="1">
        <v>43420</v>
      </c>
      <c r="G3280" s="1">
        <v>43420</v>
      </c>
      <c r="H3280" t="s">
        <v>9</v>
      </c>
      <c r="I3280" t="s">
        <v>10</v>
      </c>
    </row>
    <row r="3281" spans="1:9" x14ac:dyDescent="0.25">
      <c r="A3281" t="s">
        <v>271</v>
      </c>
      <c r="B3281" s="26" t="str">
        <f>MID(tbl_forecast[[#This Row],[PACE Job Number]],3,3)</f>
        <v>WSH</v>
      </c>
      <c r="C3281" t="s">
        <v>13</v>
      </c>
      <c r="D3281" s="1">
        <v>43434</v>
      </c>
      <c r="E3281" s="1">
        <v>43449</v>
      </c>
      <c r="F3281" s="1">
        <v>43420</v>
      </c>
      <c r="G3281" s="1">
        <v>43420</v>
      </c>
      <c r="H3281" t="s">
        <v>9</v>
      </c>
      <c r="I3281" t="s">
        <v>10</v>
      </c>
    </row>
    <row r="3282" spans="1:9" x14ac:dyDescent="0.25">
      <c r="A3282" t="s">
        <v>4008</v>
      </c>
      <c r="B3282" s="26" t="str">
        <f>MID(tbl_forecast[[#This Row],[PACE Job Number]],3,3)</f>
        <v>WSH</v>
      </c>
      <c r="C3282" t="s">
        <v>13</v>
      </c>
      <c r="D3282" s="1">
        <v>43434</v>
      </c>
      <c r="E3282" s="1">
        <v>43449</v>
      </c>
      <c r="F3282" s="1">
        <v>43434</v>
      </c>
      <c r="G3282" s="1"/>
      <c r="H3282" t="s">
        <v>9</v>
      </c>
      <c r="I3282" t="s">
        <v>44</v>
      </c>
    </row>
    <row r="3283" spans="1:9" x14ac:dyDescent="0.25">
      <c r="A3283" t="s">
        <v>3916</v>
      </c>
      <c r="B3283" s="26" t="str">
        <f>MID(tbl_forecast[[#This Row],[PACE Job Number]],3,3)</f>
        <v>WSH</v>
      </c>
      <c r="C3283" t="s">
        <v>13</v>
      </c>
      <c r="D3283" s="1">
        <v>43434</v>
      </c>
      <c r="E3283" s="1">
        <v>43331</v>
      </c>
      <c r="F3283" s="1">
        <v>43434</v>
      </c>
      <c r="G3283" s="1"/>
      <c r="H3283" t="s">
        <v>9</v>
      </c>
      <c r="I3283" t="s">
        <v>27</v>
      </c>
    </row>
    <row r="3284" spans="1:9" x14ac:dyDescent="0.25">
      <c r="A3284" t="s">
        <v>4009</v>
      </c>
      <c r="B3284" s="26" t="str">
        <f>MID(tbl_forecast[[#This Row],[PACE Job Number]],3,3)</f>
        <v>WSH</v>
      </c>
      <c r="C3284" t="s">
        <v>13</v>
      </c>
      <c r="D3284" s="1">
        <v>43434</v>
      </c>
      <c r="E3284" s="1">
        <v>43449</v>
      </c>
      <c r="F3284" s="1">
        <v>43434</v>
      </c>
      <c r="G3284" s="1"/>
      <c r="H3284" t="s">
        <v>9</v>
      </c>
      <c r="I3284" t="s">
        <v>44</v>
      </c>
    </row>
    <row r="3285" spans="1:9" x14ac:dyDescent="0.25">
      <c r="A3285" t="s">
        <v>240</v>
      </c>
      <c r="B3285" s="26" t="str">
        <f>MID(tbl_forecast[[#This Row],[PACE Job Number]],3,3)</f>
        <v>WSH</v>
      </c>
      <c r="C3285" t="s">
        <v>13</v>
      </c>
      <c r="D3285" s="1">
        <v>43434</v>
      </c>
      <c r="E3285" s="1">
        <v>43252</v>
      </c>
      <c r="F3285" s="1">
        <v>43434</v>
      </c>
      <c r="G3285" s="1"/>
      <c r="H3285" t="s">
        <v>9</v>
      </c>
      <c r="I3285" t="s">
        <v>27</v>
      </c>
    </row>
    <row r="3286" spans="1:9" x14ac:dyDescent="0.25">
      <c r="A3286" t="s">
        <v>3917</v>
      </c>
      <c r="B3286" s="26" t="str">
        <f>MID(tbl_forecast[[#This Row],[PACE Job Number]],3,3)</f>
        <v>WSH</v>
      </c>
      <c r="C3286" t="s">
        <v>13</v>
      </c>
      <c r="D3286" s="1">
        <v>43434</v>
      </c>
      <c r="E3286" s="1">
        <v>43449</v>
      </c>
      <c r="F3286" s="1">
        <v>43434</v>
      </c>
      <c r="G3286" s="1"/>
      <c r="H3286" t="s">
        <v>9</v>
      </c>
      <c r="I3286" t="s">
        <v>44</v>
      </c>
    </row>
    <row r="3287" spans="1:9" x14ac:dyDescent="0.25">
      <c r="A3287" t="s">
        <v>3918</v>
      </c>
      <c r="B3287" s="26" t="str">
        <f>MID(tbl_forecast[[#This Row],[PACE Job Number]],3,3)</f>
        <v>WSH</v>
      </c>
      <c r="C3287" t="s">
        <v>13</v>
      </c>
      <c r="D3287" s="1">
        <v>43434</v>
      </c>
      <c r="E3287" s="1">
        <v>36524</v>
      </c>
      <c r="F3287" s="1">
        <v>43431</v>
      </c>
      <c r="G3287" s="1">
        <v>43431</v>
      </c>
      <c r="H3287" t="s">
        <v>9</v>
      </c>
      <c r="I3287" t="s">
        <v>10</v>
      </c>
    </row>
    <row r="3288" spans="1:9" x14ac:dyDescent="0.25">
      <c r="A3288" t="s">
        <v>3919</v>
      </c>
      <c r="B3288" s="26" t="str">
        <f>MID(tbl_forecast[[#This Row],[PACE Job Number]],3,3)</f>
        <v>WSH</v>
      </c>
      <c r="C3288" t="s">
        <v>13</v>
      </c>
      <c r="D3288" s="1">
        <v>43434</v>
      </c>
      <c r="E3288" s="1">
        <v>43449</v>
      </c>
      <c r="F3288" s="1">
        <v>43434</v>
      </c>
      <c r="G3288" s="1"/>
      <c r="H3288" t="s">
        <v>9</v>
      </c>
      <c r="I3288" t="s">
        <v>44</v>
      </c>
    </row>
    <row r="3289" spans="1:9" x14ac:dyDescent="0.25">
      <c r="A3289" t="s">
        <v>101</v>
      </c>
      <c r="B3289" s="26" t="str">
        <f>MID(tbl_forecast[[#This Row],[PACE Job Number]],3,3)</f>
        <v>WSH</v>
      </c>
      <c r="C3289" t="s">
        <v>13</v>
      </c>
      <c r="D3289" s="1">
        <v>43434</v>
      </c>
      <c r="E3289" s="1">
        <v>43449</v>
      </c>
      <c r="F3289" s="1">
        <v>43420</v>
      </c>
      <c r="G3289" s="1">
        <v>43420</v>
      </c>
      <c r="H3289" t="s">
        <v>9</v>
      </c>
      <c r="I3289" t="s">
        <v>10</v>
      </c>
    </row>
    <row r="3290" spans="1:9" x14ac:dyDescent="0.25">
      <c r="A3290" t="s">
        <v>359</v>
      </c>
      <c r="B3290" s="26" t="str">
        <f>MID(tbl_forecast[[#This Row],[PACE Job Number]],3,3)</f>
        <v>WSH</v>
      </c>
      <c r="C3290" t="s">
        <v>13</v>
      </c>
      <c r="D3290" s="1">
        <v>43434</v>
      </c>
      <c r="E3290" s="1">
        <v>43252</v>
      </c>
      <c r="F3290" s="1">
        <v>43434</v>
      </c>
      <c r="G3290" s="1"/>
      <c r="H3290" t="s">
        <v>9</v>
      </c>
      <c r="I3290" t="s">
        <v>27</v>
      </c>
    </row>
    <row r="3291" spans="1:9" x14ac:dyDescent="0.25">
      <c r="A3291" t="s">
        <v>3132</v>
      </c>
      <c r="B3291" s="26" t="str">
        <f>MID(tbl_forecast[[#This Row],[PACE Job Number]],3,3)</f>
        <v>STX</v>
      </c>
      <c r="C3291" t="s">
        <v>13</v>
      </c>
      <c r="D3291" s="1">
        <v>43419</v>
      </c>
      <c r="E3291" s="1">
        <v>43434</v>
      </c>
      <c r="F3291" s="1">
        <v>43419</v>
      </c>
      <c r="G3291" s="1"/>
      <c r="H3291" t="s">
        <v>9</v>
      </c>
      <c r="I3291" t="s">
        <v>44</v>
      </c>
    </row>
    <row r="3292" spans="1:9" x14ac:dyDescent="0.25">
      <c r="A3292" t="s">
        <v>4340</v>
      </c>
      <c r="B3292" s="26" t="str">
        <f>MID(tbl_forecast[[#This Row],[PACE Job Number]],3,3)</f>
        <v>STX</v>
      </c>
      <c r="C3292" t="s">
        <v>13</v>
      </c>
      <c r="D3292" s="1">
        <v>43419</v>
      </c>
      <c r="E3292" s="1">
        <v>43434</v>
      </c>
      <c r="F3292" s="1">
        <v>43419</v>
      </c>
      <c r="G3292" s="1"/>
      <c r="H3292" t="s">
        <v>9</v>
      </c>
      <c r="I3292" t="s">
        <v>44</v>
      </c>
    </row>
    <row r="3293" spans="1:9" x14ac:dyDescent="0.25">
      <c r="A3293" t="s">
        <v>3126</v>
      </c>
      <c r="B3293" s="26" t="str">
        <f>MID(tbl_forecast[[#This Row],[PACE Job Number]],3,3)</f>
        <v>STX</v>
      </c>
      <c r="C3293" t="s">
        <v>13</v>
      </c>
      <c r="D3293" s="1">
        <v>43434</v>
      </c>
      <c r="E3293" s="1">
        <v>43434</v>
      </c>
      <c r="F3293" s="1">
        <v>43423</v>
      </c>
      <c r="G3293" s="1">
        <v>43423</v>
      </c>
      <c r="H3293" t="s">
        <v>9</v>
      </c>
      <c r="I3293" t="s">
        <v>10</v>
      </c>
    </row>
    <row r="3294" spans="1:9" x14ac:dyDescent="0.25">
      <c r="A3294" t="s">
        <v>128</v>
      </c>
      <c r="B3294" s="26" t="str">
        <f>MID(tbl_forecast[[#This Row],[PACE Job Number]],3,3)</f>
        <v>STX</v>
      </c>
      <c r="C3294" t="s">
        <v>13</v>
      </c>
      <c r="D3294" s="1">
        <v>43434</v>
      </c>
      <c r="E3294" s="1">
        <v>43434</v>
      </c>
      <c r="F3294" s="1">
        <v>43423</v>
      </c>
      <c r="G3294" s="1">
        <v>43423</v>
      </c>
      <c r="H3294" t="s">
        <v>9</v>
      </c>
      <c r="I3294" t="s">
        <v>10</v>
      </c>
    </row>
    <row r="3295" spans="1:9" x14ac:dyDescent="0.25">
      <c r="A3295" t="s">
        <v>5533</v>
      </c>
      <c r="B3295" s="26" t="str">
        <f>MID(tbl_forecast[[#This Row],[PACE Job Number]],3,3)</f>
        <v>STX</v>
      </c>
      <c r="C3295" t="s">
        <v>13</v>
      </c>
      <c r="D3295" s="1">
        <v>43434</v>
      </c>
      <c r="E3295" s="1">
        <v>43464</v>
      </c>
      <c r="F3295" s="1">
        <v>43464</v>
      </c>
      <c r="G3295" s="1"/>
      <c r="H3295" t="s">
        <v>4664</v>
      </c>
      <c r="I3295" t="s">
        <v>4665</v>
      </c>
    </row>
    <row r="3296" spans="1:9" x14ac:dyDescent="0.25">
      <c r="A3296" t="s">
        <v>3986</v>
      </c>
      <c r="B3296" s="26" t="str">
        <f>MID(tbl_forecast[[#This Row],[PACE Job Number]],3,3)</f>
        <v>STX</v>
      </c>
      <c r="C3296" t="s">
        <v>13</v>
      </c>
      <c r="D3296" s="1">
        <v>43419</v>
      </c>
      <c r="E3296" s="1">
        <v>43434</v>
      </c>
      <c r="F3296" s="1">
        <v>43423</v>
      </c>
      <c r="G3296" s="1">
        <v>43423</v>
      </c>
      <c r="H3296" t="s">
        <v>9</v>
      </c>
      <c r="I3296" t="s">
        <v>10</v>
      </c>
    </row>
    <row r="3297" spans="1:9" x14ac:dyDescent="0.25">
      <c r="A3297" t="s">
        <v>5534</v>
      </c>
      <c r="B3297" s="26" t="str">
        <f>MID(tbl_forecast[[#This Row],[PACE Job Number]],3,3)</f>
        <v>STX</v>
      </c>
      <c r="C3297" t="s">
        <v>13</v>
      </c>
      <c r="D3297" s="1">
        <v>43434</v>
      </c>
      <c r="E3297" s="1">
        <v>43464</v>
      </c>
      <c r="F3297" s="1">
        <v>43464</v>
      </c>
      <c r="G3297" s="1"/>
      <c r="H3297" t="s">
        <v>4664</v>
      </c>
      <c r="I3297" t="s">
        <v>4665</v>
      </c>
    </row>
    <row r="3298" spans="1:9" x14ac:dyDescent="0.25">
      <c r="A3298" t="s">
        <v>4344</v>
      </c>
      <c r="B3298" s="26" t="str">
        <f>MID(tbl_forecast[[#This Row],[PACE Job Number]],3,3)</f>
        <v>STX</v>
      </c>
      <c r="C3298" t="s">
        <v>13</v>
      </c>
      <c r="D3298" s="1">
        <v>43419</v>
      </c>
      <c r="E3298" s="1">
        <v>43434</v>
      </c>
      <c r="F3298" s="1">
        <v>43423</v>
      </c>
      <c r="G3298" s="1">
        <v>43423</v>
      </c>
      <c r="H3298" t="s">
        <v>9</v>
      </c>
      <c r="I3298" t="s">
        <v>10</v>
      </c>
    </row>
    <row r="3299" spans="1:9" x14ac:dyDescent="0.25">
      <c r="A3299" t="s">
        <v>3212</v>
      </c>
      <c r="B3299" s="26" t="str">
        <f>MID(tbl_forecast[[#This Row],[PACE Job Number]],3,3)</f>
        <v>STX</v>
      </c>
      <c r="C3299" t="s">
        <v>13</v>
      </c>
      <c r="D3299" s="1">
        <v>43434</v>
      </c>
      <c r="E3299" s="1">
        <v>43434</v>
      </c>
      <c r="F3299" s="1">
        <v>43423</v>
      </c>
      <c r="G3299" s="1">
        <v>43423</v>
      </c>
      <c r="H3299" t="s">
        <v>9</v>
      </c>
      <c r="I3299" t="s">
        <v>10</v>
      </c>
    </row>
    <row r="3300" spans="1:9" x14ac:dyDescent="0.25">
      <c r="A3300" t="s">
        <v>3297</v>
      </c>
      <c r="B3300" s="26" t="str">
        <f>MID(tbl_forecast[[#This Row],[PACE Job Number]],3,3)</f>
        <v>STX</v>
      </c>
      <c r="C3300" t="s">
        <v>13</v>
      </c>
      <c r="D3300" s="1">
        <v>43419</v>
      </c>
      <c r="E3300" s="1">
        <v>43434</v>
      </c>
      <c r="F3300" s="1">
        <v>43419</v>
      </c>
      <c r="G3300" s="1"/>
      <c r="H3300" t="s">
        <v>9</v>
      </c>
      <c r="I3300" t="s">
        <v>44</v>
      </c>
    </row>
    <row r="3301" spans="1:9" x14ac:dyDescent="0.25">
      <c r="A3301" t="s">
        <v>222</v>
      </c>
      <c r="B3301" s="26" t="str">
        <f>MID(tbl_forecast[[#This Row],[PACE Job Number]],3,3)</f>
        <v>STX</v>
      </c>
      <c r="C3301" t="s">
        <v>13</v>
      </c>
      <c r="D3301" s="1">
        <v>43434</v>
      </c>
      <c r="E3301" s="1">
        <v>43434</v>
      </c>
      <c r="F3301" s="1">
        <v>43423</v>
      </c>
      <c r="G3301" s="1">
        <v>43423</v>
      </c>
      <c r="H3301" t="s">
        <v>9</v>
      </c>
      <c r="I3301" t="s">
        <v>10</v>
      </c>
    </row>
    <row r="3302" spans="1:9" x14ac:dyDescent="0.25">
      <c r="A3302" t="s">
        <v>5562</v>
      </c>
      <c r="B3302" s="26" t="str">
        <f>MID(tbl_forecast[[#This Row],[PACE Job Number]],3,3)</f>
        <v>STX</v>
      </c>
      <c r="C3302" t="s">
        <v>13</v>
      </c>
      <c r="D3302" s="1">
        <v>43434</v>
      </c>
      <c r="E3302" s="1">
        <v>43464</v>
      </c>
      <c r="F3302" s="1">
        <v>43464</v>
      </c>
      <c r="G3302" s="1"/>
      <c r="H3302" t="s">
        <v>4664</v>
      </c>
      <c r="I3302" t="s">
        <v>4665</v>
      </c>
    </row>
    <row r="3303" spans="1:9" x14ac:dyDescent="0.25">
      <c r="A3303" t="s">
        <v>307</v>
      </c>
      <c r="B3303" s="26" t="str">
        <f>MID(tbl_forecast[[#This Row],[PACE Job Number]],3,3)</f>
        <v>STX</v>
      </c>
      <c r="C3303" t="s">
        <v>13</v>
      </c>
      <c r="D3303" s="1">
        <v>43434</v>
      </c>
      <c r="E3303" s="1">
        <v>43434</v>
      </c>
      <c r="F3303" s="1">
        <v>43423</v>
      </c>
      <c r="G3303" s="1">
        <v>43423</v>
      </c>
      <c r="H3303" t="s">
        <v>9</v>
      </c>
      <c r="I3303" t="s">
        <v>10</v>
      </c>
    </row>
    <row r="3304" spans="1:9" x14ac:dyDescent="0.25">
      <c r="A3304" t="s">
        <v>5563</v>
      </c>
      <c r="B3304" s="26" t="str">
        <f>MID(tbl_forecast[[#This Row],[PACE Job Number]],3,3)</f>
        <v>STX</v>
      </c>
      <c r="C3304" t="s">
        <v>13</v>
      </c>
      <c r="D3304" s="1">
        <v>43434</v>
      </c>
      <c r="E3304" s="1">
        <v>43434</v>
      </c>
      <c r="F3304" s="1">
        <v>43423</v>
      </c>
      <c r="G3304" s="1">
        <v>43423</v>
      </c>
      <c r="H3304" t="s">
        <v>9</v>
      </c>
      <c r="I3304" t="s">
        <v>10</v>
      </c>
    </row>
    <row r="3305" spans="1:9" x14ac:dyDescent="0.25">
      <c r="A3305" t="s">
        <v>5564</v>
      </c>
      <c r="B3305" s="26" t="str">
        <f>MID(tbl_forecast[[#This Row],[PACE Job Number]],3,3)</f>
        <v>STX</v>
      </c>
      <c r="C3305" t="s">
        <v>13</v>
      </c>
      <c r="D3305" s="1">
        <v>43434</v>
      </c>
      <c r="E3305" s="1">
        <v>43434</v>
      </c>
      <c r="F3305" s="1">
        <v>43423</v>
      </c>
      <c r="G3305" s="1">
        <v>43423</v>
      </c>
      <c r="H3305" t="s">
        <v>9</v>
      </c>
      <c r="I3305" t="s">
        <v>10</v>
      </c>
    </row>
    <row r="3306" spans="1:9" x14ac:dyDescent="0.25">
      <c r="A3306" t="s">
        <v>3118</v>
      </c>
      <c r="B3306" s="26" t="str">
        <f>MID(tbl_forecast[[#This Row],[PACE Job Number]],3,3)</f>
        <v>STX</v>
      </c>
      <c r="C3306" t="s">
        <v>13</v>
      </c>
      <c r="D3306" s="1">
        <v>43419</v>
      </c>
      <c r="E3306" s="1">
        <v>43434</v>
      </c>
      <c r="F3306" s="1">
        <v>43419</v>
      </c>
      <c r="G3306" s="1"/>
      <c r="H3306" t="s">
        <v>9</v>
      </c>
      <c r="I3306" t="s">
        <v>44</v>
      </c>
    </row>
    <row r="3307" spans="1:9" x14ac:dyDescent="0.25">
      <c r="A3307" t="s">
        <v>453</v>
      </c>
      <c r="B3307" s="26" t="str">
        <f>MID(tbl_forecast[[#This Row],[PACE Job Number]],3,3)</f>
        <v>STX</v>
      </c>
      <c r="C3307" t="s">
        <v>13</v>
      </c>
      <c r="D3307" s="1">
        <v>43419</v>
      </c>
      <c r="E3307" s="1">
        <v>43434</v>
      </c>
      <c r="F3307" s="1">
        <v>43411</v>
      </c>
      <c r="G3307" s="1">
        <v>43411</v>
      </c>
      <c r="H3307" t="s">
        <v>9</v>
      </c>
      <c r="I3307" t="s">
        <v>10</v>
      </c>
    </row>
    <row r="3308" spans="1:9" x14ac:dyDescent="0.25">
      <c r="A3308" t="s">
        <v>4555</v>
      </c>
      <c r="B3308" s="26" t="str">
        <f>MID(tbl_forecast[[#This Row],[PACE Job Number]],3,3)</f>
        <v>NTX</v>
      </c>
      <c r="C3308" t="s">
        <v>13</v>
      </c>
      <c r="D3308" s="1">
        <v>43406</v>
      </c>
      <c r="E3308" s="1">
        <v>43428</v>
      </c>
      <c r="F3308" s="1">
        <v>43406</v>
      </c>
      <c r="G3308" s="1">
        <v>43406</v>
      </c>
      <c r="H3308" t="s">
        <v>9</v>
      </c>
      <c r="I3308" t="s">
        <v>10</v>
      </c>
    </row>
    <row r="3309" spans="1:9" x14ac:dyDescent="0.25">
      <c r="A3309" t="s">
        <v>220</v>
      </c>
      <c r="B3309" s="26" t="str">
        <f>MID(tbl_forecast[[#This Row],[PACE Job Number]],3,3)</f>
        <v>NTX</v>
      </c>
      <c r="C3309" t="s">
        <v>13</v>
      </c>
      <c r="D3309" s="1">
        <v>43429</v>
      </c>
      <c r="E3309" s="1">
        <v>43412</v>
      </c>
      <c r="F3309" s="1">
        <v>43464</v>
      </c>
      <c r="G3309" s="1"/>
      <c r="H3309" t="s">
        <v>4664</v>
      </c>
      <c r="I3309" t="s">
        <v>4666</v>
      </c>
    </row>
    <row r="3310" spans="1:9" x14ac:dyDescent="0.25">
      <c r="A3310" t="s">
        <v>2341</v>
      </c>
      <c r="B3310" s="26" t="str">
        <f>MID(tbl_forecast[[#This Row],[PACE Job Number]],3,3)</f>
        <v>NTX</v>
      </c>
      <c r="C3310" t="s">
        <v>13</v>
      </c>
      <c r="D3310" s="1">
        <v>43428</v>
      </c>
      <c r="E3310" s="1">
        <v>43463</v>
      </c>
      <c r="F3310" s="1">
        <v>43411</v>
      </c>
      <c r="G3310" s="1">
        <v>43411</v>
      </c>
      <c r="H3310" t="s">
        <v>9</v>
      </c>
      <c r="I3310" t="s">
        <v>10</v>
      </c>
    </row>
    <row r="3311" spans="1:9" x14ac:dyDescent="0.25">
      <c r="A3311" t="s">
        <v>1737</v>
      </c>
      <c r="B3311" s="26" t="str">
        <f>MID(tbl_forecast[[#This Row],[PACE Job Number]],3,3)</f>
        <v>NTX</v>
      </c>
      <c r="C3311" t="s">
        <v>13</v>
      </c>
      <c r="D3311" s="1">
        <v>43432</v>
      </c>
      <c r="E3311" s="1">
        <v>43488</v>
      </c>
      <c r="F3311" s="1">
        <v>43495</v>
      </c>
      <c r="G3311" s="1"/>
      <c r="H3311" t="s">
        <v>4664</v>
      </c>
      <c r="I3311" t="s">
        <v>4665</v>
      </c>
    </row>
    <row r="3312" spans="1:9" x14ac:dyDescent="0.25">
      <c r="A3312" t="s">
        <v>4556</v>
      </c>
      <c r="B3312" s="26" t="str">
        <f>MID(tbl_forecast[[#This Row],[PACE Job Number]],3,3)</f>
        <v>NTX</v>
      </c>
      <c r="C3312" t="s">
        <v>13</v>
      </c>
      <c r="D3312" s="1">
        <v>43417</v>
      </c>
      <c r="E3312" s="1">
        <v>43537</v>
      </c>
      <c r="F3312" s="1">
        <v>43554</v>
      </c>
      <c r="G3312" s="1"/>
      <c r="H3312" t="s">
        <v>4664</v>
      </c>
      <c r="I3312" t="s">
        <v>5645</v>
      </c>
    </row>
    <row r="3313" spans="1:9" x14ac:dyDescent="0.25">
      <c r="A3313" t="s">
        <v>162</v>
      </c>
      <c r="B3313" s="26" t="str">
        <f>MID(tbl_forecast[[#This Row],[PACE Job Number]],3,3)</f>
        <v>NTX</v>
      </c>
      <c r="C3313" t="s">
        <v>13</v>
      </c>
      <c r="D3313" s="1">
        <v>43406</v>
      </c>
      <c r="E3313" s="1">
        <v>43436</v>
      </c>
      <c r="F3313" s="1">
        <v>43406</v>
      </c>
      <c r="G3313" s="1">
        <v>43406</v>
      </c>
      <c r="H3313" t="s">
        <v>9</v>
      </c>
      <c r="I3313" t="s">
        <v>10</v>
      </c>
    </row>
    <row r="3314" spans="1:9" x14ac:dyDescent="0.25">
      <c r="A3314" t="s">
        <v>5565</v>
      </c>
      <c r="B3314" s="26" t="str">
        <f>MID(tbl_forecast[[#This Row],[PACE Job Number]],3,3)</f>
        <v>NTX</v>
      </c>
      <c r="C3314" t="s">
        <v>13</v>
      </c>
      <c r="D3314" s="1">
        <v>43423</v>
      </c>
      <c r="E3314" s="1">
        <v>43510</v>
      </c>
      <c r="F3314" s="1">
        <v>43554</v>
      </c>
      <c r="G3314" s="1"/>
      <c r="H3314" t="s">
        <v>4664</v>
      </c>
      <c r="I3314" t="s">
        <v>4665</v>
      </c>
    </row>
    <row r="3315" spans="1:9" x14ac:dyDescent="0.25">
      <c r="A3315" t="s">
        <v>4547</v>
      </c>
      <c r="B3315" s="26" t="str">
        <f>MID(tbl_forecast[[#This Row],[PACE Job Number]],3,3)</f>
        <v>NTX</v>
      </c>
      <c r="C3315" t="s">
        <v>13</v>
      </c>
      <c r="D3315" s="1">
        <v>43433</v>
      </c>
      <c r="E3315" s="1">
        <v>43434</v>
      </c>
      <c r="F3315" s="1">
        <v>43423</v>
      </c>
      <c r="G3315" s="1">
        <v>43423</v>
      </c>
      <c r="H3315" t="s">
        <v>9</v>
      </c>
      <c r="I3315" t="s">
        <v>10</v>
      </c>
    </row>
    <row r="3316" spans="1:9" x14ac:dyDescent="0.25">
      <c r="A3316" t="s">
        <v>213</v>
      </c>
      <c r="B3316" s="26" t="str">
        <f>MID(tbl_forecast[[#This Row],[PACE Job Number]],3,3)</f>
        <v>NTX</v>
      </c>
      <c r="C3316" t="s">
        <v>13</v>
      </c>
      <c r="D3316" s="1">
        <v>43412</v>
      </c>
      <c r="E3316" s="1">
        <v>43397</v>
      </c>
      <c r="F3316" s="1">
        <v>43409</v>
      </c>
      <c r="G3316" s="1">
        <v>43409</v>
      </c>
      <c r="H3316" t="s">
        <v>9</v>
      </c>
      <c r="I3316" t="s">
        <v>10</v>
      </c>
    </row>
    <row r="3317" spans="1:9" x14ac:dyDescent="0.25">
      <c r="A3317" t="s">
        <v>4421</v>
      </c>
      <c r="B3317" s="26" t="str">
        <f>MID(tbl_forecast[[#This Row],[PACE Job Number]],3,3)</f>
        <v>NTX</v>
      </c>
      <c r="C3317" t="s">
        <v>13</v>
      </c>
      <c r="D3317" s="1">
        <v>43426</v>
      </c>
      <c r="E3317" s="1">
        <v>43537</v>
      </c>
      <c r="F3317" s="1">
        <v>43554</v>
      </c>
      <c r="G3317" s="1"/>
      <c r="H3317" t="s">
        <v>4664</v>
      </c>
      <c r="I3317" t="s">
        <v>4665</v>
      </c>
    </row>
    <row r="3318" spans="1:9" x14ac:dyDescent="0.25">
      <c r="A3318" t="s">
        <v>2427</v>
      </c>
      <c r="B3318" s="26" t="str">
        <f>MID(tbl_forecast[[#This Row],[PACE Job Number]],3,3)</f>
        <v>NTX</v>
      </c>
      <c r="C3318" t="s">
        <v>13</v>
      </c>
      <c r="D3318" s="1">
        <v>43426</v>
      </c>
      <c r="E3318" s="1">
        <v>43467</v>
      </c>
      <c r="F3318" s="1">
        <v>43495</v>
      </c>
      <c r="G3318" s="1"/>
      <c r="H3318" t="s">
        <v>4664</v>
      </c>
      <c r="I3318" t="s">
        <v>4665</v>
      </c>
    </row>
    <row r="3319" spans="1:9" x14ac:dyDescent="0.25">
      <c r="A3319" t="s">
        <v>3403</v>
      </c>
      <c r="B3319" s="26" t="str">
        <f>MID(tbl_forecast[[#This Row],[PACE Job Number]],3,3)</f>
        <v>NTX</v>
      </c>
      <c r="C3319" t="s">
        <v>13</v>
      </c>
      <c r="D3319" s="1">
        <v>43426</v>
      </c>
      <c r="E3319" s="1">
        <v>43428</v>
      </c>
      <c r="F3319" s="1">
        <v>43411</v>
      </c>
      <c r="G3319" s="1">
        <v>43411</v>
      </c>
      <c r="H3319" t="s">
        <v>9</v>
      </c>
      <c r="I3319" t="s">
        <v>10</v>
      </c>
    </row>
    <row r="3320" spans="1:9" x14ac:dyDescent="0.25">
      <c r="A3320" t="s">
        <v>1466</v>
      </c>
      <c r="B3320" s="26" t="str">
        <f>MID(tbl_forecast[[#This Row],[PACE Job Number]],3,3)</f>
        <v>ANM</v>
      </c>
      <c r="C3320" t="s">
        <v>13</v>
      </c>
      <c r="D3320" s="1">
        <v>43434</v>
      </c>
      <c r="E3320" s="1">
        <v>36524</v>
      </c>
      <c r="F3320" s="1">
        <v>43434</v>
      </c>
      <c r="G3320" s="1"/>
      <c r="H3320" t="s">
        <v>9</v>
      </c>
      <c r="I3320" t="s">
        <v>27</v>
      </c>
    </row>
    <row r="3321" spans="1:9" x14ac:dyDescent="0.25">
      <c r="A3321" t="s">
        <v>5566</v>
      </c>
      <c r="B3321" s="26" t="str">
        <f>MID(tbl_forecast[[#This Row],[PACE Job Number]],3,3)</f>
        <v>STX</v>
      </c>
      <c r="C3321" t="s">
        <v>13</v>
      </c>
      <c r="D3321" s="1">
        <v>43419</v>
      </c>
      <c r="E3321" s="1">
        <v>43403</v>
      </c>
      <c r="F3321" s="1">
        <v>43419</v>
      </c>
      <c r="G3321" s="1"/>
      <c r="H3321" t="s">
        <v>9</v>
      </c>
      <c r="I3321" t="s">
        <v>27</v>
      </c>
    </row>
    <row r="3322" spans="1:9" x14ac:dyDescent="0.25">
      <c r="A3322" t="s">
        <v>3467</v>
      </c>
      <c r="B3322" s="26" t="str">
        <f>MID(tbl_forecast[[#This Row],[PACE Job Number]],3,3)</f>
        <v>STX</v>
      </c>
      <c r="C3322" t="s">
        <v>13</v>
      </c>
      <c r="D3322" s="1">
        <v>43419</v>
      </c>
      <c r="E3322" s="1">
        <v>43434</v>
      </c>
      <c r="F3322" s="1">
        <v>43409</v>
      </c>
      <c r="G3322" s="1">
        <v>43409</v>
      </c>
      <c r="H3322" t="s">
        <v>9</v>
      </c>
      <c r="I3322" t="s">
        <v>10</v>
      </c>
    </row>
    <row r="3323" spans="1:9" x14ac:dyDescent="0.25">
      <c r="A3323" t="s">
        <v>5567</v>
      </c>
      <c r="B3323" s="26" t="str">
        <f>MID(tbl_forecast[[#This Row],[PACE Job Number]],3,3)</f>
        <v>STX</v>
      </c>
      <c r="C3323" t="s">
        <v>13</v>
      </c>
      <c r="D3323" s="1">
        <v>43407</v>
      </c>
      <c r="E3323" s="1">
        <v>43407</v>
      </c>
      <c r="F3323" s="1">
        <v>43473</v>
      </c>
      <c r="G3323" s="1"/>
      <c r="H3323" t="s">
        <v>4664</v>
      </c>
      <c r="I3323" t="s">
        <v>4666</v>
      </c>
    </row>
    <row r="3324" spans="1:9" x14ac:dyDescent="0.25">
      <c r="A3324" t="s">
        <v>635</v>
      </c>
      <c r="B3324" s="26" t="str">
        <f>MID(tbl_forecast[[#This Row],[PACE Job Number]],3,3)</f>
        <v>STX</v>
      </c>
      <c r="C3324" t="s">
        <v>13</v>
      </c>
      <c r="D3324" s="1">
        <v>43419</v>
      </c>
      <c r="E3324" s="1">
        <v>43464</v>
      </c>
      <c r="F3324" s="1">
        <v>43449</v>
      </c>
      <c r="G3324" s="1"/>
      <c r="H3324" t="s">
        <v>4664</v>
      </c>
      <c r="I3324" t="s">
        <v>5645</v>
      </c>
    </row>
    <row r="3325" spans="1:9" x14ac:dyDescent="0.25">
      <c r="A3325" t="s">
        <v>3357</v>
      </c>
      <c r="B3325" s="26" t="str">
        <f>MID(tbl_forecast[[#This Row],[PACE Job Number]],3,3)</f>
        <v>STX</v>
      </c>
      <c r="C3325" t="s">
        <v>13</v>
      </c>
      <c r="D3325" s="1">
        <v>43419</v>
      </c>
      <c r="E3325" s="1">
        <v>43434</v>
      </c>
      <c r="F3325" s="1">
        <v>43480</v>
      </c>
      <c r="G3325" s="1"/>
      <c r="H3325" t="s">
        <v>4664</v>
      </c>
      <c r="I3325" t="s">
        <v>5645</v>
      </c>
    </row>
    <row r="3326" spans="1:9" x14ac:dyDescent="0.25">
      <c r="A3326" t="s">
        <v>3270</v>
      </c>
      <c r="B3326" s="26" t="str">
        <f>MID(tbl_forecast[[#This Row],[PACE Job Number]],3,3)</f>
        <v>STX</v>
      </c>
      <c r="C3326" t="s">
        <v>13</v>
      </c>
      <c r="D3326" s="1">
        <v>43419</v>
      </c>
      <c r="E3326" s="1">
        <v>43403</v>
      </c>
      <c r="F3326" s="1">
        <v>43419</v>
      </c>
      <c r="G3326" s="1"/>
      <c r="H3326" t="s">
        <v>9</v>
      </c>
      <c r="I3326" t="s">
        <v>27</v>
      </c>
    </row>
    <row r="3327" spans="1:9" x14ac:dyDescent="0.25">
      <c r="A3327" t="s">
        <v>3409</v>
      </c>
      <c r="B3327" s="26" t="str">
        <f>MID(tbl_forecast[[#This Row],[PACE Job Number]],3,3)</f>
        <v>STX</v>
      </c>
      <c r="C3327" t="s">
        <v>13</v>
      </c>
      <c r="D3327" s="1">
        <v>43419</v>
      </c>
      <c r="E3327" s="1">
        <v>43434</v>
      </c>
      <c r="F3327" s="1">
        <v>43423</v>
      </c>
      <c r="G3327" s="1">
        <v>43423</v>
      </c>
      <c r="H3327" t="s">
        <v>9</v>
      </c>
      <c r="I3327" t="s">
        <v>10</v>
      </c>
    </row>
    <row r="3328" spans="1:9" x14ac:dyDescent="0.25">
      <c r="A3328" t="s">
        <v>5568</v>
      </c>
      <c r="B3328" s="26" t="str">
        <f>MID(tbl_forecast[[#This Row],[PACE Job Number]],3,3)</f>
        <v>STX</v>
      </c>
      <c r="C3328" t="s">
        <v>13</v>
      </c>
      <c r="D3328" s="1">
        <v>43419</v>
      </c>
      <c r="E3328" s="1">
        <v>43373</v>
      </c>
      <c r="F3328" s="1">
        <v>43423</v>
      </c>
      <c r="G3328" s="1">
        <v>43423</v>
      </c>
      <c r="H3328" t="s">
        <v>9</v>
      </c>
      <c r="I3328" t="s">
        <v>10</v>
      </c>
    </row>
    <row r="3329" spans="1:9" x14ac:dyDescent="0.25">
      <c r="A3329" t="s">
        <v>3350</v>
      </c>
      <c r="B3329" s="26" t="str">
        <f>MID(tbl_forecast[[#This Row],[PACE Job Number]],3,3)</f>
        <v>STX</v>
      </c>
      <c r="C3329" t="s">
        <v>13</v>
      </c>
      <c r="D3329" s="1">
        <v>43419</v>
      </c>
      <c r="E3329" s="1">
        <v>43434</v>
      </c>
      <c r="F3329" s="1">
        <v>43423</v>
      </c>
      <c r="G3329" s="1">
        <v>43423</v>
      </c>
      <c r="H3329" t="s">
        <v>9</v>
      </c>
      <c r="I3329" t="s">
        <v>10</v>
      </c>
    </row>
    <row r="3330" spans="1:9" x14ac:dyDescent="0.25">
      <c r="A3330" t="s">
        <v>82</v>
      </c>
      <c r="B3330" s="26" t="str">
        <f>MID(tbl_forecast[[#This Row],[PACE Job Number]],3,3)</f>
        <v>STX</v>
      </c>
      <c r="C3330" t="s">
        <v>13</v>
      </c>
      <c r="D3330" s="1">
        <v>43419</v>
      </c>
      <c r="E3330" s="1">
        <v>43446</v>
      </c>
      <c r="F3330" s="1">
        <v>43444</v>
      </c>
      <c r="G3330" s="1"/>
      <c r="H3330" t="s">
        <v>4664</v>
      </c>
      <c r="I3330" t="s">
        <v>5645</v>
      </c>
    </row>
    <row r="3331" spans="1:9" x14ac:dyDescent="0.25">
      <c r="A3331" t="s">
        <v>4424</v>
      </c>
      <c r="B3331" s="26" t="str">
        <f>MID(tbl_forecast[[#This Row],[PACE Job Number]],3,3)</f>
        <v>STX</v>
      </c>
      <c r="C3331" t="s">
        <v>13</v>
      </c>
      <c r="D3331" s="1">
        <v>43419</v>
      </c>
      <c r="E3331" s="1">
        <v>43434</v>
      </c>
      <c r="F3331" s="1">
        <v>43419</v>
      </c>
      <c r="G3331" s="1"/>
      <c r="H3331" t="s">
        <v>9</v>
      </c>
      <c r="I3331" t="s">
        <v>44</v>
      </c>
    </row>
    <row r="3332" spans="1:9" x14ac:dyDescent="0.25">
      <c r="A3332" t="s">
        <v>5569</v>
      </c>
      <c r="B3332" s="26" t="str">
        <f>MID(tbl_forecast[[#This Row],[PACE Job Number]],3,3)</f>
        <v>STX</v>
      </c>
      <c r="C3332" t="s">
        <v>13</v>
      </c>
      <c r="D3332" s="1">
        <v>43419</v>
      </c>
      <c r="E3332" s="1">
        <v>43585</v>
      </c>
      <c r="F3332" s="1">
        <v>43423</v>
      </c>
      <c r="G3332" s="1">
        <v>43423</v>
      </c>
      <c r="H3332" t="s">
        <v>9</v>
      </c>
      <c r="I3332" t="s">
        <v>10</v>
      </c>
    </row>
    <row r="3333" spans="1:9" x14ac:dyDescent="0.25">
      <c r="A3333" t="s">
        <v>4425</v>
      </c>
      <c r="B3333" s="26" t="str">
        <f>MID(tbl_forecast[[#This Row],[PACE Job Number]],3,3)</f>
        <v>STX</v>
      </c>
      <c r="C3333" t="s">
        <v>13</v>
      </c>
      <c r="D3333" s="1">
        <v>43419</v>
      </c>
      <c r="E3333" s="1">
        <v>43434</v>
      </c>
      <c r="F3333" s="1">
        <v>43417</v>
      </c>
      <c r="G3333" s="1">
        <v>43417</v>
      </c>
      <c r="H3333" t="s">
        <v>9</v>
      </c>
      <c r="I3333" t="s">
        <v>10</v>
      </c>
    </row>
    <row r="3334" spans="1:9" x14ac:dyDescent="0.25">
      <c r="A3334" t="s">
        <v>669</v>
      </c>
      <c r="B3334" s="26" t="str">
        <f>MID(tbl_forecast[[#This Row],[PACE Job Number]],3,3)</f>
        <v>STX</v>
      </c>
      <c r="C3334" t="s">
        <v>13</v>
      </c>
      <c r="D3334" s="1">
        <v>43419</v>
      </c>
      <c r="E3334" s="1">
        <v>43434</v>
      </c>
      <c r="F3334" s="1">
        <v>43425</v>
      </c>
      <c r="G3334" s="1">
        <v>43425</v>
      </c>
      <c r="H3334" t="s">
        <v>9</v>
      </c>
      <c r="I3334" t="s">
        <v>10</v>
      </c>
    </row>
    <row r="3335" spans="1:9" x14ac:dyDescent="0.25">
      <c r="A3335" t="s">
        <v>3213</v>
      </c>
      <c r="B3335" s="26" t="str">
        <f>MID(tbl_forecast[[#This Row],[PACE Job Number]],3,3)</f>
        <v>STX</v>
      </c>
      <c r="C3335" t="s">
        <v>13</v>
      </c>
      <c r="D3335" s="1">
        <v>43434</v>
      </c>
      <c r="E3335" s="1">
        <v>43434</v>
      </c>
      <c r="F3335" s="1">
        <v>43413</v>
      </c>
      <c r="G3335" s="1">
        <v>43413</v>
      </c>
      <c r="H3335" t="s">
        <v>9</v>
      </c>
      <c r="I3335" t="s">
        <v>10</v>
      </c>
    </row>
    <row r="3336" spans="1:9" x14ac:dyDescent="0.25">
      <c r="A3336" t="s">
        <v>5570</v>
      </c>
      <c r="B3336" s="26" t="str">
        <f>MID(tbl_forecast[[#This Row],[PACE Job Number]],3,3)</f>
        <v>STX</v>
      </c>
      <c r="C3336" t="s">
        <v>13</v>
      </c>
      <c r="D3336" s="1">
        <v>43419</v>
      </c>
      <c r="E3336" s="1">
        <v>43403</v>
      </c>
      <c r="F3336" s="1">
        <v>43423</v>
      </c>
      <c r="G3336" s="1">
        <v>43423</v>
      </c>
      <c r="H3336" t="s">
        <v>9</v>
      </c>
      <c r="I3336" t="s">
        <v>10</v>
      </c>
    </row>
    <row r="3337" spans="1:9" x14ac:dyDescent="0.25">
      <c r="A3337" t="s">
        <v>4427</v>
      </c>
      <c r="B3337" s="26" t="str">
        <f>MID(tbl_forecast[[#This Row],[PACE Job Number]],3,3)</f>
        <v>STX</v>
      </c>
      <c r="C3337" t="s">
        <v>13</v>
      </c>
      <c r="D3337" s="1">
        <v>43419</v>
      </c>
      <c r="E3337" s="1">
        <v>43434</v>
      </c>
      <c r="F3337" s="1">
        <v>43425</v>
      </c>
      <c r="G3337" s="1">
        <v>43425</v>
      </c>
      <c r="H3337" t="s">
        <v>9</v>
      </c>
      <c r="I3337" t="s">
        <v>10</v>
      </c>
    </row>
    <row r="3338" spans="1:9" x14ac:dyDescent="0.25">
      <c r="A3338" t="s">
        <v>5571</v>
      </c>
      <c r="B3338" s="26" t="str">
        <f>MID(tbl_forecast[[#This Row],[PACE Job Number]],3,3)</f>
        <v>STX</v>
      </c>
      <c r="C3338" t="s">
        <v>13</v>
      </c>
      <c r="D3338" s="1">
        <v>43419</v>
      </c>
      <c r="E3338" s="1">
        <v>43403</v>
      </c>
      <c r="F3338" s="1">
        <v>43419</v>
      </c>
      <c r="G3338" s="1"/>
      <c r="H3338" t="s">
        <v>9</v>
      </c>
      <c r="I3338" t="s">
        <v>27</v>
      </c>
    </row>
    <row r="3339" spans="1:9" x14ac:dyDescent="0.25">
      <c r="A3339" t="s">
        <v>5572</v>
      </c>
      <c r="B3339" s="26" t="str">
        <f>MID(tbl_forecast[[#This Row],[PACE Job Number]],3,3)</f>
        <v>STX</v>
      </c>
      <c r="C3339" t="s">
        <v>13</v>
      </c>
      <c r="D3339" s="1">
        <v>43419</v>
      </c>
      <c r="E3339" s="1">
        <v>43403</v>
      </c>
      <c r="F3339" s="1">
        <v>43425</v>
      </c>
      <c r="G3339" s="1">
        <v>43425</v>
      </c>
      <c r="H3339" t="s">
        <v>9</v>
      </c>
      <c r="I3339" t="s">
        <v>10</v>
      </c>
    </row>
    <row r="3340" spans="1:9" x14ac:dyDescent="0.25">
      <c r="A3340" t="s">
        <v>4428</v>
      </c>
      <c r="B3340" s="26" t="str">
        <f>MID(tbl_forecast[[#This Row],[PACE Job Number]],3,3)</f>
        <v>STX</v>
      </c>
      <c r="C3340" t="s">
        <v>13</v>
      </c>
      <c r="D3340" s="1">
        <v>43434</v>
      </c>
      <c r="E3340" s="1">
        <v>43453</v>
      </c>
      <c r="F3340" s="1">
        <v>43453</v>
      </c>
      <c r="G3340" s="1"/>
      <c r="H3340" t="s">
        <v>4664</v>
      </c>
      <c r="I3340" t="s">
        <v>4665</v>
      </c>
    </row>
    <row r="3341" spans="1:9" x14ac:dyDescent="0.25">
      <c r="A3341" t="s">
        <v>4585</v>
      </c>
      <c r="B3341" s="26" t="str">
        <f>MID(tbl_forecast[[#This Row],[PACE Job Number]],3,3)</f>
        <v>STX</v>
      </c>
      <c r="C3341" t="s">
        <v>13</v>
      </c>
      <c r="D3341" s="1">
        <v>43434</v>
      </c>
      <c r="E3341" s="1">
        <v>43434</v>
      </c>
      <c r="F3341" s="1">
        <v>43434</v>
      </c>
      <c r="G3341" s="1"/>
      <c r="H3341" t="s">
        <v>9</v>
      </c>
      <c r="I3341" t="s">
        <v>27</v>
      </c>
    </row>
    <row r="3342" spans="1:9" x14ac:dyDescent="0.25">
      <c r="A3342" t="s">
        <v>4216</v>
      </c>
      <c r="B3342" s="26" t="str">
        <f>MID(tbl_forecast[[#This Row],[PACE Job Number]],3,3)</f>
        <v>ANM</v>
      </c>
      <c r="C3342" t="s">
        <v>13</v>
      </c>
      <c r="D3342" s="1">
        <v>43434</v>
      </c>
      <c r="E3342" s="1">
        <v>36524</v>
      </c>
      <c r="F3342" s="1">
        <v>43418</v>
      </c>
      <c r="G3342" s="1">
        <v>43418</v>
      </c>
      <c r="H3342" t="s">
        <v>9</v>
      </c>
      <c r="I3342" t="s">
        <v>10</v>
      </c>
    </row>
    <row r="3343" spans="1:9" x14ac:dyDescent="0.25">
      <c r="A3343" t="s">
        <v>5573</v>
      </c>
      <c r="B3343" s="26" t="str">
        <f>MID(tbl_forecast[[#This Row],[PACE Job Number]],3,3)</f>
        <v>ANM</v>
      </c>
      <c r="C3343" t="s">
        <v>13</v>
      </c>
      <c r="D3343" s="1">
        <v>43434</v>
      </c>
      <c r="E3343" s="1">
        <v>36524</v>
      </c>
      <c r="F3343" s="1">
        <v>43434</v>
      </c>
      <c r="G3343" s="1"/>
      <c r="H3343" t="s">
        <v>9</v>
      </c>
      <c r="I3343" t="s">
        <v>27</v>
      </c>
    </row>
    <row r="3344" spans="1:9" x14ac:dyDescent="0.25">
      <c r="A3344" t="s">
        <v>5574</v>
      </c>
      <c r="B3344" s="26" t="str">
        <f>MID(tbl_forecast[[#This Row],[PACE Job Number]],3,3)</f>
        <v>NTX</v>
      </c>
      <c r="C3344" t="s">
        <v>13</v>
      </c>
      <c r="D3344" s="1">
        <v>43434</v>
      </c>
      <c r="E3344" s="1">
        <v>43503</v>
      </c>
      <c r="F3344" s="1">
        <v>43464</v>
      </c>
      <c r="G3344" s="1"/>
      <c r="H3344" t="s">
        <v>4664</v>
      </c>
      <c r="I3344" t="s">
        <v>4665</v>
      </c>
    </row>
    <row r="3345" spans="1:9" x14ac:dyDescent="0.25">
      <c r="A3345" t="s">
        <v>4524</v>
      </c>
      <c r="B3345" s="26" t="str">
        <f>MID(tbl_forecast[[#This Row],[PACE Job Number]],3,3)</f>
        <v>NTX</v>
      </c>
      <c r="C3345" t="s">
        <v>13</v>
      </c>
      <c r="D3345" s="1">
        <v>43406</v>
      </c>
      <c r="E3345" s="1">
        <v>43434</v>
      </c>
      <c r="F3345" s="1">
        <v>43406</v>
      </c>
      <c r="G3345" s="1">
        <v>43406</v>
      </c>
      <c r="H3345" t="s">
        <v>9</v>
      </c>
      <c r="I3345" t="s">
        <v>10</v>
      </c>
    </row>
    <row r="3346" spans="1:9" x14ac:dyDescent="0.25">
      <c r="A3346" t="s">
        <v>4429</v>
      </c>
      <c r="B3346" s="26" t="str">
        <f>MID(tbl_forecast[[#This Row],[PACE Job Number]],3,3)</f>
        <v>STX</v>
      </c>
      <c r="C3346" t="s">
        <v>13</v>
      </c>
      <c r="D3346" s="1">
        <v>43419</v>
      </c>
      <c r="E3346" s="1">
        <v>43464</v>
      </c>
      <c r="F3346" s="1">
        <v>43419</v>
      </c>
      <c r="G3346" s="1"/>
      <c r="H3346" t="s">
        <v>9</v>
      </c>
      <c r="I3346" t="s">
        <v>44</v>
      </c>
    </row>
    <row r="3347" spans="1:9" x14ac:dyDescent="0.25">
      <c r="A3347" t="s">
        <v>3268</v>
      </c>
      <c r="B3347" s="26" t="str">
        <f>MID(tbl_forecast[[#This Row],[PACE Job Number]],3,3)</f>
        <v>STX</v>
      </c>
      <c r="C3347" t="s">
        <v>13</v>
      </c>
      <c r="D3347" s="1">
        <v>43419</v>
      </c>
      <c r="E3347" s="1">
        <v>43464</v>
      </c>
      <c r="F3347" s="1">
        <v>43417</v>
      </c>
      <c r="G3347" s="1">
        <v>43417</v>
      </c>
      <c r="H3347" t="s">
        <v>9</v>
      </c>
      <c r="I3347" t="s">
        <v>10</v>
      </c>
    </row>
    <row r="3348" spans="1:9" x14ac:dyDescent="0.25">
      <c r="A3348" t="s">
        <v>4430</v>
      </c>
      <c r="B3348" s="26" t="str">
        <f>MID(tbl_forecast[[#This Row],[PACE Job Number]],3,3)</f>
        <v>STX</v>
      </c>
      <c r="C3348" t="s">
        <v>13</v>
      </c>
      <c r="D3348" s="1">
        <v>43419</v>
      </c>
      <c r="E3348" s="1">
        <v>43464</v>
      </c>
      <c r="F3348" s="1">
        <v>43419</v>
      </c>
      <c r="G3348" s="1"/>
      <c r="H3348" t="s">
        <v>9</v>
      </c>
      <c r="I3348" t="s">
        <v>44</v>
      </c>
    </row>
    <row r="3349" spans="1:9" x14ac:dyDescent="0.25">
      <c r="A3349" t="s">
        <v>3228</v>
      </c>
      <c r="B3349" s="26" t="str">
        <f>MID(tbl_forecast[[#This Row],[PACE Job Number]],3,3)</f>
        <v>STX</v>
      </c>
      <c r="C3349" t="s">
        <v>13</v>
      </c>
      <c r="D3349" s="1">
        <v>43419</v>
      </c>
      <c r="E3349" s="1">
        <v>43464</v>
      </c>
      <c r="F3349" s="1">
        <v>43417</v>
      </c>
      <c r="G3349" s="1">
        <v>43417</v>
      </c>
      <c r="H3349" t="s">
        <v>9</v>
      </c>
      <c r="I3349" t="s">
        <v>10</v>
      </c>
    </row>
    <row r="3350" spans="1:9" x14ac:dyDescent="0.25">
      <c r="A3350" t="s">
        <v>527</v>
      </c>
      <c r="B3350" s="26" t="str">
        <f>MID(tbl_forecast[[#This Row],[PACE Job Number]],3,3)</f>
        <v>STX</v>
      </c>
      <c r="C3350" t="s">
        <v>13</v>
      </c>
      <c r="D3350" s="1">
        <v>43434</v>
      </c>
      <c r="E3350" s="1">
        <v>43434</v>
      </c>
      <c r="F3350" s="1">
        <v>43434</v>
      </c>
      <c r="G3350" s="1"/>
      <c r="H3350" t="s">
        <v>9</v>
      </c>
      <c r="I3350" t="s">
        <v>27</v>
      </c>
    </row>
    <row r="3351" spans="1:9" x14ac:dyDescent="0.25">
      <c r="A3351" t="s">
        <v>4431</v>
      </c>
      <c r="B3351" s="26" t="str">
        <f>MID(tbl_forecast[[#This Row],[PACE Job Number]],3,3)</f>
        <v>STX</v>
      </c>
      <c r="C3351" t="s">
        <v>13</v>
      </c>
      <c r="D3351" s="1">
        <v>43419</v>
      </c>
      <c r="E3351" s="1">
        <v>43434</v>
      </c>
      <c r="F3351" s="1">
        <v>43423</v>
      </c>
      <c r="G3351" s="1">
        <v>43423</v>
      </c>
      <c r="H3351" t="s">
        <v>9</v>
      </c>
      <c r="I3351" t="s">
        <v>10</v>
      </c>
    </row>
    <row r="3352" spans="1:9" x14ac:dyDescent="0.25">
      <c r="A3352" t="s">
        <v>4432</v>
      </c>
      <c r="B3352" s="26" t="str">
        <f>MID(tbl_forecast[[#This Row],[PACE Job Number]],3,3)</f>
        <v>STX</v>
      </c>
      <c r="C3352" t="s">
        <v>13</v>
      </c>
      <c r="D3352" s="1">
        <v>43419</v>
      </c>
      <c r="E3352" s="1">
        <v>43464</v>
      </c>
      <c r="F3352" s="1">
        <v>43419</v>
      </c>
      <c r="G3352" s="1"/>
      <c r="H3352" t="s">
        <v>9</v>
      </c>
      <c r="I3352" t="s">
        <v>44</v>
      </c>
    </row>
    <row r="3353" spans="1:9" x14ac:dyDescent="0.25">
      <c r="A3353" t="s">
        <v>664</v>
      </c>
      <c r="B3353" s="26" t="str">
        <f>MID(tbl_forecast[[#This Row],[PACE Job Number]],3,3)</f>
        <v>STX</v>
      </c>
      <c r="C3353" t="s">
        <v>13</v>
      </c>
      <c r="D3353" s="1">
        <v>43434</v>
      </c>
      <c r="E3353" s="1">
        <v>43434</v>
      </c>
      <c r="F3353" s="1">
        <v>43434</v>
      </c>
      <c r="G3353" s="1"/>
      <c r="H3353" t="s">
        <v>9</v>
      </c>
      <c r="I3353" t="s">
        <v>27</v>
      </c>
    </row>
    <row r="3354" spans="1:9" x14ac:dyDescent="0.25">
      <c r="A3354" t="s">
        <v>126</v>
      </c>
      <c r="B3354" s="26" t="str">
        <f>MID(tbl_forecast[[#This Row],[PACE Job Number]],3,3)</f>
        <v>WSH</v>
      </c>
      <c r="C3354" t="s">
        <v>13</v>
      </c>
      <c r="D3354" s="1">
        <v>43434</v>
      </c>
      <c r="E3354" s="1">
        <v>43449</v>
      </c>
      <c r="F3354" s="1">
        <v>43434</v>
      </c>
      <c r="G3354" s="1"/>
      <c r="H3354" t="s">
        <v>9</v>
      </c>
      <c r="I3354" t="s">
        <v>44</v>
      </c>
    </row>
    <row r="3355" spans="1:9" x14ac:dyDescent="0.25">
      <c r="A3355" t="s">
        <v>4581</v>
      </c>
      <c r="B3355" s="26" t="str">
        <f>MID(tbl_forecast[[#This Row],[PACE Job Number]],3,3)</f>
        <v>WSH</v>
      </c>
      <c r="C3355" t="s">
        <v>13</v>
      </c>
      <c r="D3355" s="1">
        <v>43434</v>
      </c>
      <c r="E3355" s="1">
        <v>43375</v>
      </c>
      <c r="F3355" s="1">
        <v>43434</v>
      </c>
      <c r="G3355" s="1"/>
      <c r="H3355" t="s">
        <v>9</v>
      </c>
      <c r="I3355" t="s">
        <v>27</v>
      </c>
    </row>
    <row r="3356" spans="1:9" x14ac:dyDescent="0.25">
      <c r="A3356" t="s">
        <v>3925</v>
      </c>
      <c r="B3356" s="26" t="str">
        <f>MID(tbl_forecast[[#This Row],[PACE Job Number]],3,3)</f>
        <v>WSH</v>
      </c>
      <c r="C3356" t="s">
        <v>13</v>
      </c>
      <c r="D3356" s="1">
        <v>43406</v>
      </c>
      <c r="E3356" s="1">
        <v>43449</v>
      </c>
      <c r="F3356" s="1">
        <v>43406</v>
      </c>
      <c r="G3356" s="1">
        <v>43406</v>
      </c>
      <c r="H3356" t="s">
        <v>9</v>
      </c>
      <c r="I3356" t="s">
        <v>10</v>
      </c>
    </row>
    <row r="3357" spans="1:9" x14ac:dyDescent="0.25">
      <c r="A3357" t="s">
        <v>3926</v>
      </c>
      <c r="B3357" s="26" t="str">
        <f>MID(tbl_forecast[[#This Row],[PACE Job Number]],3,3)</f>
        <v>WSH</v>
      </c>
      <c r="C3357" t="s">
        <v>13</v>
      </c>
      <c r="D3357" s="1">
        <v>43406</v>
      </c>
      <c r="E3357" s="1">
        <v>43449</v>
      </c>
      <c r="F3357" s="1">
        <v>43406</v>
      </c>
      <c r="G3357" s="1">
        <v>43406</v>
      </c>
      <c r="H3357" t="s">
        <v>9</v>
      </c>
      <c r="I3357" t="s">
        <v>10</v>
      </c>
    </row>
    <row r="3358" spans="1:9" x14ac:dyDescent="0.25">
      <c r="A3358" t="s">
        <v>3927</v>
      </c>
      <c r="B3358" s="26" t="str">
        <f>MID(tbl_forecast[[#This Row],[PACE Job Number]],3,3)</f>
        <v>WSH</v>
      </c>
      <c r="C3358" t="s">
        <v>13</v>
      </c>
      <c r="D3358" s="1">
        <v>43434</v>
      </c>
      <c r="E3358" s="1">
        <v>43294</v>
      </c>
      <c r="F3358" s="1">
        <v>43410</v>
      </c>
      <c r="G3358" s="1">
        <v>43410</v>
      </c>
      <c r="H3358" t="s">
        <v>9</v>
      </c>
      <c r="I3358" t="s">
        <v>10</v>
      </c>
    </row>
    <row r="3359" spans="1:9" x14ac:dyDescent="0.25">
      <c r="A3359" t="s">
        <v>2374</v>
      </c>
      <c r="B3359" s="26" t="str">
        <f>MID(tbl_forecast[[#This Row],[PACE Job Number]],3,3)</f>
        <v>NTX</v>
      </c>
      <c r="C3359" t="s">
        <v>13</v>
      </c>
      <c r="D3359" s="1">
        <v>43410</v>
      </c>
      <c r="E3359" s="1">
        <v>43438</v>
      </c>
      <c r="F3359" s="1">
        <v>43495</v>
      </c>
      <c r="G3359" s="1"/>
      <c r="H3359" t="s">
        <v>4664</v>
      </c>
      <c r="I3359" t="s">
        <v>5645</v>
      </c>
    </row>
    <row r="3360" spans="1:9" x14ac:dyDescent="0.25">
      <c r="A3360" t="s">
        <v>2375</v>
      </c>
      <c r="B3360" s="26" t="str">
        <f>MID(tbl_forecast[[#This Row],[PACE Job Number]],3,3)</f>
        <v>NTX</v>
      </c>
      <c r="C3360" t="s">
        <v>13</v>
      </c>
      <c r="D3360" s="1">
        <v>43410</v>
      </c>
      <c r="E3360" s="1">
        <v>43439</v>
      </c>
      <c r="F3360" s="1">
        <v>43495</v>
      </c>
      <c r="G3360" s="1"/>
      <c r="H3360" t="s">
        <v>4664</v>
      </c>
      <c r="I3360" t="s">
        <v>5645</v>
      </c>
    </row>
    <row r="3361" spans="1:9" x14ac:dyDescent="0.25">
      <c r="A3361" t="s">
        <v>87</v>
      </c>
      <c r="B3361" s="26" t="str">
        <f>MID(tbl_forecast[[#This Row],[PACE Job Number]],3,3)</f>
        <v>STX</v>
      </c>
      <c r="C3361" t="s">
        <v>13</v>
      </c>
      <c r="D3361" s="1">
        <v>43434</v>
      </c>
      <c r="E3361" s="1">
        <v>43434</v>
      </c>
      <c r="F3361" s="1">
        <v>43423</v>
      </c>
      <c r="G3361" s="1">
        <v>43423</v>
      </c>
      <c r="H3361" t="s">
        <v>9</v>
      </c>
      <c r="I3361" t="s">
        <v>10</v>
      </c>
    </row>
    <row r="3362" spans="1:9" x14ac:dyDescent="0.25">
      <c r="A3362" t="s">
        <v>5575</v>
      </c>
      <c r="B3362" s="26" t="str">
        <f>MID(tbl_forecast[[#This Row],[PACE Job Number]],3,3)</f>
        <v>STX</v>
      </c>
      <c r="C3362" t="s">
        <v>13</v>
      </c>
      <c r="D3362" s="1">
        <v>43434</v>
      </c>
      <c r="E3362" s="1">
        <v>43434</v>
      </c>
      <c r="F3362" s="1">
        <v>43423</v>
      </c>
      <c r="G3362" s="1">
        <v>43423</v>
      </c>
      <c r="H3362" t="s">
        <v>9</v>
      </c>
      <c r="I3362" t="s">
        <v>10</v>
      </c>
    </row>
    <row r="3363" spans="1:9" x14ac:dyDescent="0.25">
      <c r="A3363" t="s">
        <v>423</v>
      </c>
      <c r="B3363" s="26" t="str">
        <f>MID(tbl_forecast[[#This Row],[PACE Job Number]],3,3)</f>
        <v>STX</v>
      </c>
      <c r="C3363" t="s">
        <v>13</v>
      </c>
      <c r="D3363" s="1">
        <v>43434</v>
      </c>
      <c r="E3363" s="1">
        <v>43434</v>
      </c>
      <c r="F3363" s="1">
        <v>43423</v>
      </c>
      <c r="G3363" s="1">
        <v>43423</v>
      </c>
      <c r="H3363" t="s">
        <v>9</v>
      </c>
      <c r="I3363" t="s">
        <v>10</v>
      </c>
    </row>
    <row r="3364" spans="1:9" x14ac:dyDescent="0.25">
      <c r="A3364" t="s">
        <v>1074</v>
      </c>
      <c r="B3364" s="26" t="str">
        <f>MID(tbl_forecast[[#This Row],[PACE Job Number]],3,3)</f>
        <v>STX</v>
      </c>
      <c r="C3364" t="s">
        <v>13</v>
      </c>
      <c r="D3364" s="1">
        <v>43419</v>
      </c>
      <c r="E3364" s="1">
        <v>43372</v>
      </c>
      <c r="F3364" s="1">
        <v>43419</v>
      </c>
      <c r="G3364" s="1"/>
      <c r="H3364" t="s">
        <v>9</v>
      </c>
      <c r="I3364" t="s">
        <v>27</v>
      </c>
    </row>
    <row r="3365" spans="1:9" x14ac:dyDescent="0.25">
      <c r="A3365" t="s">
        <v>5576</v>
      </c>
      <c r="B3365" s="26" t="str">
        <f>MID(tbl_forecast[[#This Row],[PACE Job Number]],3,3)</f>
        <v>STX</v>
      </c>
      <c r="C3365" t="s">
        <v>13</v>
      </c>
      <c r="D3365" s="1">
        <v>43419</v>
      </c>
      <c r="E3365" s="1">
        <v>43353</v>
      </c>
      <c r="F3365" s="1">
        <v>43423</v>
      </c>
      <c r="G3365" s="1">
        <v>43423</v>
      </c>
      <c r="H3365" t="s">
        <v>9</v>
      </c>
      <c r="I3365" t="s">
        <v>10</v>
      </c>
    </row>
    <row r="3366" spans="1:9" x14ac:dyDescent="0.25">
      <c r="A3366" t="s">
        <v>5577</v>
      </c>
      <c r="B3366" s="26" t="str">
        <f>MID(tbl_forecast[[#This Row],[PACE Job Number]],3,3)</f>
        <v>STX</v>
      </c>
      <c r="C3366" t="s">
        <v>13</v>
      </c>
      <c r="D3366" s="1">
        <v>43419</v>
      </c>
      <c r="E3366" s="1">
        <v>43490</v>
      </c>
      <c r="F3366" s="1">
        <v>43423</v>
      </c>
      <c r="G3366" s="1">
        <v>43423</v>
      </c>
      <c r="H3366" t="s">
        <v>9</v>
      </c>
      <c r="I3366" t="s">
        <v>10</v>
      </c>
    </row>
    <row r="3367" spans="1:9" x14ac:dyDescent="0.25">
      <c r="A3367" t="s">
        <v>385</v>
      </c>
      <c r="B3367" s="26" t="str">
        <f>MID(tbl_forecast[[#This Row],[PACE Job Number]],3,3)</f>
        <v>WSH</v>
      </c>
      <c r="C3367" t="s">
        <v>13</v>
      </c>
      <c r="D3367" s="1">
        <v>43434</v>
      </c>
      <c r="E3367" s="1">
        <v>43314</v>
      </c>
      <c r="F3367" s="1">
        <v>43434</v>
      </c>
      <c r="G3367" s="1"/>
      <c r="H3367" t="s">
        <v>9</v>
      </c>
      <c r="I3367" t="s">
        <v>27</v>
      </c>
    </row>
    <row r="3368" spans="1:9" x14ac:dyDescent="0.25">
      <c r="A3368" t="s">
        <v>454</v>
      </c>
      <c r="B3368" s="26" t="str">
        <f>MID(tbl_forecast[[#This Row],[PACE Job Number]],3,3)</f>
        <v>WSH</v>
      </c>
      <c r="C3368" t="s">
        <v>13</v>
      </c>
      <c r="D3368" s="1">
        <v>43434</v>
      </c>
      <c r="E3368" s="1">
        <v>43314</v>
      </c>
      <c r="F3368" s="1">
        <v>43434</v>
      </c>
      <c r="G3368" s="1"/>
      <c r="H3368" t="s">
        <v>9</v>
      </c>
      <c r="I3368" t="s">
        <v>27</v>
      </c>
    </row>
    <row r="3369" spans="1:9" x14ac:dyDescent="0.25">
      <c r="A3369" t="s">
        <v>3850</v>
      </c>
      <c r="B3369" s="26" t="str">
        <f>MID(tbl_forecast[[#This Row],[PACE Job Number]],3,3)</f>
        <v>WSH</v>
      </c>
      <c r="C3369" t="s">
        <v>13</v>
      </c>
      <c r="D3369" s="1">
        <v>43434</v>
      </c>
      <c r="E3369" s="1">
        <v>43406</v>
      </c>
      <c r="F3369" s="1">
        <v>43434</v>
      </c>
      <c r="G3369" s="1"/>
      <c r="H3369" t="s">
        <v>9</v>
      </c>
      <c r="I3369" t="s">
        <v>27</v>
      </c>
    </row>
    <row r="3370" spans="1:9" x14ac:dyDescent="0.25">
      <c r="A3370" t="s">
        <v>3851</v>
      </c>
      <c r="B3370" s="26" t="str">
        <f>MID(tbl_forecast[[#This Row],[PACE Job Number]],3,3)</f>
        <v>WSH</v>
      </c>
      <c r="C3370" t="s">
        <v>13</v>
      </c>
      <c r="D3370" s="1">
        <v>43434</v>
      </c>
      <c r="E3370" s="1">
        <v>43406</v>
      </c>
      <c r="F3370" s="1">
        <v>43434</v>
      </c>
      <c r="G3370" s="1"/>
      <c r="H3370" t="s">
        <v>9</v>
      </c>
      <c r="I3370" t="s">
        <v>27</v>
      </c>
    </row>
    <row r="3371" spans="1:9" x14ac:dyDescent="0.25">
      <c r="A3371" t="s">
        <v>3852</v>
      </c>
      <c r="B3371" s="26" t="str">
        <f>MID(tbl_forecast[[#This Row],[PACE Job Number]],3,3)</f>
        <v>WSH</v>
      </c>
      <c r="C3371" t="s">
        <v>13</v>
      </c>
      <c r="D3371" s="1">
        <v>43434</v>
      </c>
      <c r="E3371" s="1">
        <v>43294</v>
      </c>
      <c r="F3371" s="1">
        <v>43410</v>
      </c>
      <c r="G3371" s="1">
        <v>43410</v>
      </c>
      <c r="H3371" t="s">
        <v>9</v>
      </c>
      <c r="I3371" t="s">
        <v>10</v>
      </c>
    </row>
    <row r="3372" spans="1:9" x14ac:dyDescent="0.25">
      <c r="A3372" t="s">
        <v>3853</v>
      </c>
      <c r="B3372" s="26" t="str">
        <f>MID(tbl_forecast[[#This Row],[PACE Job Number]],3,3)</f>
        <v>WSH</v>
      </c>
      <c r="C3372" t="s">
        <v>13</v>
      </c>
      <c r="D3372" s="1">
        <v>43434</v>
      </c>
      <c r="E3372" s="1">
        <v>43288</v>
      </c>
      <c r="F3372" s="1">
        <v>43435</v>
      </c>
      <c r="G3372" s="1"/>
      <c r="H3372" t="s">
        <v>9</v>
      </c>
      <c r="I3372" t="s">
        <v>27</v>
      </c>
    </row>
    <row r="3373" spans="1:9" x14ac:dyDescent="0.25">
      <c r="A3373" t="s">
        <v>3855</v>
      </c>
      <c r="B3373" s="26" t="str">
        <f>MID(tbl_forecast[[#This Row],[PACE Job Number]],3,3)</f>
        <v>WSH</v>
      </c>
      <c r="C3373" t="s">
        <v>13</v>
      </c>
      <c r="D3373" s="1">
        <v>43434</v>
      </c>
      <c r="E3373" s="1">
        <v>43406</v>
      </c>
      <c r="F3373" s="1">
        <v>43434</v>
      </c>
      <c r="G3373" s="1"/>
      <c r="H3373" t="s">
        <v>9</v>
      </c>
      <c r="I3373" t="s">
        <v>27</v>
      </c>
    </row>
    <row r="3374" spans="1:9" x14ac:dyDescent="0.25">
      <c r="A3374" t="s">
        <v>3856</v>
      </c>
      <c r="B3374" s="26" t="str">
        <f>MID(tbl_forecast[[#This Row],[PACE Job Number]],3,3)</f>
        <v>WSH</v>
      </c>
      <c r="C3374" t="s">
        <v>13</v>
      </c>
      <c r="D3374" s="1">
        <v>43434</v>
      </c>
      <c r="E3374" s="1">
        <v>43374</v>
      </c>
      <c r="F3374" s="1">
        <v>43434</v>
      </c>
      <c r="G3374" s="1"/>
      <c r="H3374" t="s">
        <v>9</v>
      </c>
      <c r="I3374" t="s">
        <v>27</v>
      </c>
    </row>
    <row r="3375" spans="1:9" x14ac:dyDescent="0.25">
      <c r="A3375" t="s">
        <v>143</v>
      </c>
      <c r="B3375" s="26" t="str">
        <f>MID(tbl_forecast[[#This Row],[PACE Job Number]],3,3)</f>
        <v>WSH</v>
      </c>
      <c r="C3375" t="s">
        <v>13</v>
      </c>
      <c r="D3375" s="1">
        <v>43434</v>
      </c>
      <c r="E3375" s="1">
        <v>43454</v>
      </c>
      <c r="F3375" s="1">
        <v>43434</v>
      </c>
      <c r="G3375" s="1"/>
      <c r="H3375" t="s">
        <v>9</v>
      </c>
      <c r="I3375" t="s">
        <v>44</v>
      </c>
    </row>
    <row r="3376" spans="1:9" x14ac:dyDescent="0.25">
      <c r="A3376" t="s">
        <v>3777</v>
      </c>
      <c r="B3376" s="26" t="str">
        <f>MID(tbl_forecast[[#This Row],[PACE Job Number]],3,3)</f>
        <v>WSH</v>
      </c>
      <c r="C3376" t="s">
        <v>13</v>
      </c>
      <c r="D3376" s="1">
        <v>43434</v>
      </c>
      <c r="E3376" s="1">
        <v>43294</v>
      </c>
      <c r="F3376" s="1">
        <v>43430</v>
      </c>
      <c r="G3376" s="1">
        <v>43430</v>
      </c>
      <c r="H3376" t="s">
        <v>9</v>
      </c>
      <c r="I3376" t="s">
        <v>10</v>
      </c>
    </row>
    <row r="3377" spans="1:9" x14ac:dyDescent="0.25">
      <c r="A3377" t="s">
        <v>3860</v>
      </c>
      <c r="B3377" s="26" t="str">
        <f>MID(tbl_forecast[[#This Row],[PACE Job Number]],3,3)</f>
        <v>WSH</v>
      </c>
      <c r="C3377" t="s">
        <v>13</v>
      </c>
      <c r="D3377" s="1">
        <v>43434</v>
      </c>
      <c r="E3377" s="1">
        <v>43406</v>
      </c>
      <c r="F3377" s="1">
        <v>43434</v>
      </c>
      <c r="G3377" s="1"/>
      <c r="H3377" t="s">
        <v>9</v>
      </c>
      <c r="I3377" t="s">
        <v>27</v>
      </c>
    </row>
    <row r="3378" spans="1:9" x14ac:dyDescent="0.25">
      <c r="A3378" t="s">
        <v>3778</v>
      </c>
      <c r="B3378" s="26" t="str">
        <f>MID(tbl_forecast[[#This Row],[PACE Job Number]],3,3)</f>
        <v>WSH</v>
      </c>
      <c r="C3378" t="s">
        <v>13</v>
      </c>
      <c r="D3378" s="1">
        <v>43434</v>
      </c>
      <c r="E3378" s="1">
        <v>43294</v>
      </c>
      <c r="F3378" s="1">
        <v>43430</v>
      </c>
      <c r="G3378" s="1">
        <v>43430</v>
      </c>
      <c r="H3378" t="s">
        <v>9</v>
      </c>
      <c r="I3378" t="s">
        <v>10</v>
      </c>
    </row>
    <row r="3379" spans="1:9" x14ac:dyDescent="0.25">
      <c r="A3379" t="s">
        <v>3862</v>
      </c>
      <c r="B3379" s="26" t="str">
        <f>MID(tbl_forecast[[#This Row],[PACE Job Number]],3,3)</f>
        <v>WSH</v>
      </c>
      <c r="C3379" t="s">
        <v>13</v>
      </c>
      <c r="D3379" s="1">
        <v>43434</v>
      </c>
      <c r="E3379" s="1">
        <v>43374</v>
      </c>
      <c r="F3379" s="1">
        <v>43434</v>
      </c>
      <c r="G3379" s="1"/>
      <c r="H3379" t="s">
        <v>9</v>
      </c>
      <c r="I3379" t="s">
        <v>27</v>
      </c>
    </row>
    <row r="3380" spans="1:9" x14ac:dyDescent="0.25">
      <c r="A3380" t="s">
        <v>5543</v>
      </c>
      <c r="B3380" s="26" t="str">
        <f>MID(tbl_forecast[[#This Row],[PACE Job Number]],3,3)</f>
        <v>STX</v>
      </c>
      <c r="C3380" t="s">
        <v>13</v>
      </c>
      <c r="D3380" s="1">
        <v>43434</v>
      </c>
      <c r="E3380" s="1">
        <v>43464</v>
      </c>
      <c r="F3380" s="1">
        <v>43464</v>
      </c>
      <c r="G3380" s="1"/>
      <c r="H3380" t="s">
        <v>4664</v>
      </c>
      <c r="I3380" t="s">
        <v>4665</v>
      </c>
    </row>
    <row r="3381" spans="1:9" x14ac:dyDescent="0.25">
      <c r="A3381" t="s">
        <v>5544</v>
      </c>
      <c r="B3381" s="26" t="str">
        <f>MID(tbl_forecast[[#This Row],[PACE Job Number]],3,3)</f>
        <v>STX</v>
      </c>
      <c r="C3381" t="s">
        <v>13</v>
      </c>
      <c r="D3381" s="1">
        <v>43434</v>
      </c>
      <c r="E3381" s="1">
        <v>43464</v>
      </c>
      <c r="F3381" s="1">
        <v>43464</v>
      </c>
      <c r="G3381" s="1"/>
      <c r="H3381" t="s">
        <v>4664</v>
      </c>
      <c r="I3381" t="s">
        <v>4665</v>
      </c>
    </row>
    <row r="3382" spans="1:9" x14ac:dyDescent="0.25">
      <c r="A3382" t="s">
        <v>295</v>
      </c>
      <c r="B3382" s="26" t="str">
        <f>MID(tbl_forecast[[#This Row],[PACE Job Number]],3,3)</f>
        <v>STX</v>
      </c>
      <c r="C3382" t="s">
        <v>13</v>
      </c>
      <c r="D3382" s="1">
        <v>43419</v>
      </c>
      <c r="E3382" s="1">
        <v>43434</v>
      </c>
      <c r="F3382" s="1">
        <v>43419</v>
      </c>
      <c r="G3382" s="1"/>
      <c r="H3382" t="s">
        <v>9</v>
      </c>
      <c r="I3382" t="s">
        <v>44</v>
      </c>
    </row>
    <row r="3383" spans="1:9" x14ac:dyDescent="0.25">
      <c r="A3383" t="s">
        <v>3314</v>
      </c>
      <c r="B3383" s="26" t="str">
        <f>MID(tbl_forecast[[#This Row],[PACE Job Number]],3,3)</f>
        <v>STX</v>
      </c>
      <c r="C3383" t="s">
        <v>13</v>
      </c>
      <c r="D3383" s="1">
        <v>43419</v>
      </c>
      <c r="E3383" s="1">
        <v>43434</v>
      </c>
      <c r="F3383" s="1">
        <v>43413</v>
      </c>
      <c r="G3383" s="1">
        <v>43413</v>
      </c>
      <c r="H3383" t="s">
        <v>9</v>
      </c>
      <c r="I3383" t="s">
        <v>10</v>
      </c>
    </row>
    <row r="3384" spans="1:9" x14ac:dyDescent="0.25">
      <c r="A3384" t="s">
        <v>3244</v>
      </c>
      <c r="B3384" s="26" t="str">
        <f>MID(tbl_forecast[[#This Row],[PACE Job Number]],3,3)</f>
        <v>STX</v>
      </c>
      <c r="C3384" t="s">
        <v>13</v>
      </c>
      <c r="D3384" s="1">
        <v>43419</v>
      </c>
      <c r="E3384" s="1">
        <v>43490</v>
      </c>
      <c r="F3384" s="1">
        <v>43419</v>
      </c>
      <c r="G3384" s="1"/>
      <c r="H3384" t="s">
        <v>9</v>
      </c>
      <c r="I3384" t="s">
        <v>44</v>
      </c>
    </row>
    <row r="3385" spans="1:9" x14ac:dyDescent="0.25">
      <c r="A3385" t="s">
        <v>3257</v>
      </c>
      <c r="B3385" s="26" t="str">
        <f>MID(tbl_forecast[[#This Row],[PACE Job Number]],3,3)</f>
        <v>STX</v>
      </c>
      <c r="C3385" t="s">
        <v>13</v>
      </c>
      <c r="D3385" s="1">
        <v>43434</v>
      </c>
      <c r="E3385" s="1">
        <v>43434</v>
      </c>
      <c r="F3385" s="1">
        <v>43423</v>
      </c>
      <c r="G3385" s="1">
        <v>43423</v>
      </c>
      <c r="H3385" t="s">
        <v>9</v>
      </c>
      <c r="I3385" t="s">
        <v>10</v>
      </c>
    </row>
    <row r="3386" spans="1:9" x14ac:dyDescent="0.25">
      <c r="A3386" t="s">
        <v>233</v>
      </c>
      <c r="B3386" s="26" t="str">
        <f>MID(tbl_forecast[[#This Row],[PACE Job Number]],3,3)</f>
        <v>STX</v>
      </c>
      <c r="C3386" t="s">
        <v>13</v>
      </c>
      <c r="D3386" s="1">
        <v>43434</v>
      </c>
      <c r="E3386" s="1">
        <v>43434</v>
      </c>
      <c r="F3386" s="1">
        <v>43423</v>
      </c>
      <c r="G3386" s="1">
        <v>43423</v>
      </c>
      <c r="H3386" t="s">
        <v>9</v>
      </c>
      <c r="I3386" t="s">
        <v>10</v>
      </c>
    </row>
    <row r="3387" spans="1:9" x14ac:dyDescent="0.25">
      <c r="A3387" t="s">
        <v>648</v>
      </c>
      <c r="B3387" s="26" t="str">
        <f>MID(tbl_forecast[[#This Row],[PACE Job Number]],3,3)</f>
        <v>STX</v>
      </c>
      <c r="C3387" t="s">
        <v>13</v>
      </c>
      <c r="D3387" s="1">
        <v>43419</v>
      </c>
      <c r="E3387" s="1">
        <v>43342</v>
      </c>
      <c r="F3387" s="1">
        <v>43434</v>
      </c>
      <c r="G3387" s="1"/>
      <c r="H3387" t="s">
        <v>4664</v>
      </c>
      <c r="I3387" t="s">
        <v>4666</v>
      </c>
    </row>
    <row r="3388" spans="1:9" x14ac:dyDescent="0.25">
      <c r="A3388" t="s">
        <v>448</v>
      </c>
      <c r="B3388" s="26" t="str">
        <f>MID(tbl_forecast[[#This Row],[PACE Job Number]],3,3)</f>
        <v>STX</v>
      </c>
      <c r="C3388" t="s">
        <v>13</v>
      </c>
      <c r="D3388" s="1">
        <v>43419</v>
      </c>
      <c r="E3388" s="1">
        <v>43434</v>
      </c>
      <c r="F3388" s="1">
        <v>43411</v>
      </c>
      <c r="G3388" s="1">
        <v>43411</v>
      </c>
      <c r="H3388" t="s">
        <v>9</v>
      </c>
      <c r="I3388" t="s">
        <v>10</v>
      </c>
    </row>
    <row r="3389" spans="1:9" x14ac:dyDescent="0.25">
      <c r="A3389" t="s">
        <v>4353</v>
      </c>
      <c r="B3389" s="26" t="str">
        <f>MID(tbl_forecast[[#This Row],[PACE Job Number]],3,3)</f>
        <v>STX</v>
      </c>
      <c r="C3389" t="s">
        <v>13</v>
      </c>
      <c r="D3389" s="1">
        <v>43419</v>
      </c>
      <c r="E3389" s="1">
        <v>43434</v>
      </c>
      <c r="F3389" s="1">
        <v>43419</v>
      </c>
      <c r="G3389" s="1"/>
      <c r="H3389" t="s">
        <v>9</v>
      </c>
      <c r="I3389" t="s">
        <v>44</v>
      </c>
    </row>
    <row r="3390" spans="1:9" x14ac:dyDescent="0.25">
      <c r="A3390" t="s">
        <v>4355</v>
      </c>
      <c r="B3390" s="26" t="str">
        <f>MID(tbl_forecast[[#This Row],[PACE Job Number]],3,3)</f>
        <v>STX</v>
      </c>
      <c r="C3390" t="s">
        <v>13</v>
      </c>
      <c r="D3390" s="1">
        <v>43419</v>
      </c>
      <c r="E3390" s="1">
        <v>43464</v>
      </c>
      <c r="F3390" s="1">
        <v>43423</v>
      </c>
      <c r="G3390" s="1">
        <v>43423</v>
      </c>
      <c r="H3390" t="s">
        <v>9</v>
      </c>
      <c r="I3390" t="s">
        <v>10</v>
      </c>
    </row>
    <row r="3391" spans="1:9" x14ac:dyDescent="0.25">
      <c r="A3391" t="s">
        <v>3988</v>
      </c>
      <c r="B3391" s="26" t="str">
        <f>MID(tbl_forecast[[#This Row],[PACE Job Number]],3,3)</f>
        <v>STX</v>
      </c>
      <c r="C3391" t="s">
        <v>13</v>
      </c>
      <c r="D3391" s="1">
        <v>43419</v>
      </c>
      <c r="E3391" s="1">
        <v>43434</v>
      </c>
      <c r="F3391" s="1">
        <v>43423</v>
      </c>
      <c r="G3391" s="1">
        <v>43423</v>
      </c>
      <c r="H3391" t="s">
        <v>9</v>
      </c>
      <c r="I3391" t="s">
        <v>10</v>
      </c>
    </row>
    <row r="3392" spans="1:9" x14ac:dyDescent="0.25">
      <c r="A3392" t="s">
        <v>744</v>
      </c>
      <c r="B3392" s="26" t="str">
        <f>MID(tbl_forecast[[#This Row],[PACE Job Number]],3,3)</f>
        <v>STX</v>
      </c>
      <c r="C3392" t="s">
        <v>13</v>
      </c>
      <c r="D3392" s="1">
        <v>43419</v>
      </c>
      <c r="E3392" s="1">
        <v>43434</v>
      </c>
      <c r="F3392" s="1">
        <v>43411</v>
      </c>
      <c r="G3392" s="1">
        <v>43411</v>
      </c>
      <c r="H3392" t="s">
        <v>9</v>
      </c>
      <c r="I3392" t="s">
        <v>10</v>
      </c>
    </row>
    <row r="3393" spans="1:9" x14ac:dyDescent="0.25">
      <c r="A3393" t="s">
        <v>4358</v>
      </c>
      <c r="B3393" s="26" t="str">
        <f>MID(tbl_forecast[[#This Row],[PACE Job Number]],3,3)</f>
        <v>STX</v>
      </c>
      <c r="C3393" t="s">
        <v>13</v>
      </c>
      <c r="D3393" s="1">
        <v>43419</v>
      </c>
      <c r="E3393" s="1">
        <v>43434</v>
      </c>
      <c r="F3393" s="1">
        <v>43419</v>
      </c>
      <c r="G3393" s="1"/>
      <c r="H3393" t="s">
        <v>9</v>
      </c>
      <c r="I3393" t="s">
        <v>44</v>
      </c>
    </row>
    <row r="3394" spans="1:9" x14ac:dyDescent="0.25">
      <c r="A3394" t="s">
        <v>5578</v>
      </c>
      <c r="B3394" s="26" t="str">
        <f>MID(tbl_forecast[[#This Row],[PACE Job Number]],3,3)</f>
        <v>STX</v>
      </c>
      <c r="C3394" t="s">
        <v>13</v>
      </c>
      <c r="D3394" s="1">
        <v>43434</v>
      </c>
      <c r="E3394" s="1">
        <v>43464</v>
      </c>
      <c r="F3394" s="1">
        <v>43464</v>
      </c>
      <c r="G3394" s="1"/>
      <c r="H3394" t="s">
        <v>4664</v>
      </c>
      <c r="I3394" t="s">
        <v>4665</v>
      </c>
    </row>
    <row r="3395" spans="1:9" x14ac:dyDescent="0.25">
      <c r="A3395" t="s">
        <v>287</v>
      </c>
      <c r="B3395" s="26" t="str">
        <f>MID(tbl_forecast[[#This Row],[PACE Job Number]],3,3)</f>
        <v>WSH</v>
      </c>
      <c r="C3395" t="s">
        <v>13</v>
      </c>
      <c r="D3395" s="1">
        <v>43434</v>
      </c>
      <c r="E3395" s="1">
        <v>43255</v>
      </c>
      <c r="F3395" s="1">
        <v>43410</v>
      </c>
      <c r="G3395" s="1">
        <v>43410</v>
      </c>
      <c r="H3395" t="s">
        <v>9</v>
      </c>
      <c r="I3395" t="s">
        <v>10</v>
      </c>
    </row>
    <row r="3396" spans="1:9" x14ac:dyDescent="0.25">
      <c r="A3396" t="s">
        <v>3886</v>
      </c>
      <c r="B3396" s="26" t="str">
        <f>MID(tbl_forecast[[#This Row],[PACE Job Number]],3,3)</f>
        <v>NTX</v>
      </c>
      <c r="C3396" t="s">
        <v>13</v>
      </c>
      <c r="D3396" s="1">
        <v>43426</v>
      </c>
      <c r="E3396" s="1">
        <v>43428</v>
      </c>
      <c r="F3396" s="1">
        <v>43411</v>
      </c>
      <c r="G3396" s="1">
        <v>43411</v>
      </c>
      <c r="H3396" t="s">
        <v>9</v>
      </c>
      <c r="I3396" t="s">
        <v>10</v>
      </c>
    </row>
    <row r="3397" spans="1:9" x14ac:dyDescent="0.25">
      <c r="A3397" t="s">
        <v>231</v>
      </c>
      <c r="B3397" s="26" t="str">
        <f>MID(tbl_forecast[[#This Row],[PACE Job Number]],3,3)</f>
        <v>NTX</v>
      </c>
      <c r="C3397" t="s">
        <v>13</v>
      </c>
      <c r="D3397" s="1">
        <v>43433</v>
      </c>
      <c r="E3397" s="1">
        <v>43439</v>
      </c>
      <c r="F3397" s="1">
        <v>43423</v>
      </c>
      <c r="G3397" s="1">
        <v>43423</v>
      </c>
      <c r="H3397" t="s">
        <v>9</v>
      </c>
      <c r="I3397" t="s">
        <v>10</v>
      </c>
    </row>
    <row r="3398" spans="1:9" x14ac:dyDescent="0.25">
      <c r="A3398" t="s">
        <v>3892</v>
      </c>
      <c r="B3398" s="26" t="str">
        <f>MID(tbl_forecast[[#This Row],[PACE Job Number]],3,3)</f>
        <v>NTX</v>
      </c>
      <c r="C3398" t="s">
        <v>13</v>
      </c>
      <c r="D3398" s="1">
        <v>43426</v>
      </c>
      <c r="E3398" s="1">
        <v>43428</v>
      </c>
      <c r="F3398" s="1">
        <v>43411</v>
      </c>
      <c r="G3398" s="1">
        <v>43411</v>
      </c>
      <c r="H3398" t="s">
        <v>9</v>
      </c>
      <c r="I3398" t="s">
        <v>10</v>
      </c>
    </row>
    <row r="3399" spans="1:9" x14ac:dyDescent="0.25">
      <c r="A3399" t="s">
        <v>47</v>
      </c>
      <c r="B3399" s="26" t="str">
        <f>MID(tbl_forecast[[#This Row],[PACE Job Number]],3,3)</f>
        <v>NTX</v>
      </c>
      <c r="C3399" t="s">
        <v>13</v>
      </c>
      <c r="D3399" s="1">
        <v>43433</v>
      </c>
      <c r="E3399" s="1">
        <v>43439</v>
      </c>
      <c r="F3399" s="1">
        <v>43423</v>
      </c>
      <c r="G3399" s="1">
        <v>43423</v>
      </c>
      <c r="H3399" t="s">
        <v>9</v>
      </c>
      <c r="I3399" t="s">
        <v>10</v>
      </c>
    </row>
    <row r="3400" spans="1:9" x14ac:dyDescent="0.25">
      <c r="A3400" t="s">
        <v>3893</v>
      </c>
      <c r="B3400" s="26" t="str">
        <f>MID(tbl_forecast[[#This Row],[PACE Job Number]],3,3)</f>
        <v>NTX</v>
      </c>
      <c r="C3400" t="s">
        <v>13</v>
      </c>
      <c r="D3400" s="1">
        <v>43426</v>
      </c>
      <c r="E3400" s="1">
        <v>43428</v>
      </c>
      <c r="F3400" s="1">
        <v>43411</v>
      </c>
      <c r="G3400" s="1">
        <v>43411</v>
      </c>
      <c r="H3400" t="s">
        <v>9</v>
      </c>
      <c r="I3400" t="s">
        <v>10</v>
      </c>
    </row>
    <row r="3401" spans="1:9" x14ac:dyDescent="0.25">
      <c r="A3401" t="s">
        <v>229</v>
      </c>
      <c r="B3401" s="26" t="str">
        <f>MID(tbl_forecast[[#This Row],[PACE Job Number]],3,3)</f>
        <v>NTX</v>
      </c>
      <c r="C3401" t="s">
        <v>13</v>
      </c>
      <c r="D3401" s="1">
        <v>43433</v>
      </c>
      <c r="E3401" s="1">
        <v>43439</v>
      </c>
      <c r="F3401" s="1">
        <v>43420</v>
      </c>
      <c r="G3401" s="1">
        <v>43420</v>
      </c>
      <c r="H3401" t="s">
        <v>9</v>
      </c>
      <c r="I3401" t="s">
        <v>10</v>
      </c>
    </row>
    <row r="3402" spans="1:9" x14ac:dyDescent="0.25">
      <c r="A3402" t="s">
        <v>2413</v>
      </c>
      <c r="B3402" s="26" t="str">
        <f>MID(tbl_forecast[[#This Row],[PACE Job Number]],3,3)</f>
        <v>NTX</v>
      </c>
      <c r="C3402" t="s">
        <v>13</v>
      </c>
      <c r="D3402" s="1">
        <v>43426</v>
      </c>
      <c r="E3402" s="1">
        <v>43467</v>
      </c>
      <c r="F3402" s="1">
        <v>43495</v>
      </c>
      <c r="G3402" s="1"/>
      <c r="H3402" t="s">
        <v>4664</v>
      </c>
      <c r="I3402" t="s">
        <v>4665</v>
      </c>
    </row>
    <row r="3403" spans="1:9" x14ac:dyDescent="0.25">
      <c r="A3403" t="s">
        <v>4403</v>
      </c>
      <c r="B3403" s="26" t="str">
        <f>MID(tbl_forecast[[#This Row],[PACE Job Number]],3,3)</f>
        <v>NTX</v>
      </c>
      <c r="C3403" t="s">
        <v>13</v>
      </c>
      <c r="D3403" s="1">
        <v>43426</v>
      </c>
      <c r="E3403" s="1">
        <v>43537</v>
      </c>
      <c r="F3403" s="1">
        <v>43554</v>
      </c>
      <c r="G3403" s="1"/>
      <c r="H3403" t="s">
        <v>4664</v>
      </c>
      <c r="I3403" t="s">
        <v>4665</v>
      </c>
    </row>
    <row r="3404" spans="1:9" x14ac:dyDescent="0.25">
      <c r="A3404" t="s">
        <v>2415</v>
      </c>
      <c r="B3404" s="26" t="str">
        <f>MID(tbl_forecast[[#This Row],[PACE Job Number]],3,3)</f>
        <v>NTX</v>
      </c>
      <c r="C3404" t="s">
        <v>13</v>
      </c>
      <c r="D3404" s="1">
        <v>43433</v>
      </c>
      <c r="E3404" s="1">
        <v>43434</v>
      </c>
      <c r="F3404" s="1">
        <v>43423</v>
      </c>
      <c r="G3404" s="1">
        <v>43423</v>
      </c>
      <c r="H3404" t="s">
        <v>9</v>
      </c>
      <c r="I3404" t="s">
        <v>10</v>
      </c>
    </row>
    <row r="3405" spans="1:9" x14ac:dyDescent="0.25">
      <c r="A3405" t="s">
        <v>2417</v>
      </c>
      <c r="B3405" s="26" t="str">
        <f>MID(tbl_forecast[[#This Row],[PACE Job Number]],3,3)</f>
        <v>NTX</v>
      </c>
      <c r="C3405" t="s">
        <v>13</v>
      </c>
      <c r="D3405" s="1">
        <v>43433</v>
      </c>
      <c r="E3405" s="1">
        <v>43434</v>
      </c>
      <c r="F3405" s="1">
        <v>43423</v>
      </c>
      <c r="G3405" s="1">
        <v>43423</v>
      </c>
      <c r="H3405" t="s">
        <v>9</v>
      </c>
      <c r="I3405" t="s">
        <v>10</v>
      </c>
    </row>
    <row r="3406" spans="1:9" x14ac:dyDescent="0.25">
      <c r="A3406" t="s">
        <v>3386</v>
      </c>
      <c r="B3406" s="26" t="str">
        <f>MID(tbl_forecast[[#This Row],[PACE Job Number]],3,3)</f>
        <v>NTX</v>
      </c>
      <c r="C3406" t="s">
        <v>13</v>
      </c>
      <c r="D3406" s="1">
        <v>43426</v>
      </c>
      <c r="E3406" s="1">
        <v>43428</v>
      </c>
      <c r="F3406" s="1">
        <v>43411</v>
      </c>
      <c r="G3406" s="1">
        <v>43411</v>
      </c>
      <c r="H3406" t="s">
        <v>9</v>
      </c>
      <c r="I3406" t="s">
        <v>10</v>
      </c>
    </row>
    <row r="3407" spans="1:9" x14ac:dyDescent="0.25">
      <c r="A3407" t="s">
        <v>212</v>
      </c>
      <c r="B3407" s="26" t="str">
        <f>MID(tbl_forecast[[#This Row],[PACE Job Number]],3,3)</f>
        <v>NTX</v>
      </c>
      <c r="C3407" t="s">
        <v>13</v>
      </c>
      <c r="D3407" s="1">
        <v>43412</v>
      </c>
      <c r="E3407" s="1">
        <v>43397</v>
      </c>
      <c r="F3407" s="1">
        <v>43409</v>
      </c>
      <c r="G3407" s="1">
        <v>43409</v>
      </c>
      <c r="H3407" t="s">
        <v>9</v>
      </c>
      <c r="I3407" t="s">
        <v>10</v>
      </c>
    </row>
    <row r="3408" spans="1:9" x14ac:dyDescent="0.25">
      <c r="A3408" t="s">
        <v>136</v>
      </c>
      <c r="B3408" s="26" t="str">
        <f>MID(tbl_forecast[[#This Row],[PACE Job Number]],3,3)</f>
        <v>WSH</v>
      </c>
      <c r="C3408" t="s">
        <v>13</v>
      </c>
      <c r="D3408" s="1">
        <v>43427</v>
      </c>
      <c r="E3408" s="1">
        <v>43297</v>
      </c>
      <c r="F3408" s="1">
        <v>43410</v>
      </c>
      <c r="G3408" s="1">
        <v>43410</v>
      </c>
      <c r="H3408" t="s">
        <v>9</v>
      </c>
      <c r="I3408" t="s">
        <v>10</v>
      </c>
    </row>
    <row r="3409" spans="1:9" x14ac:dyDescent="0.25">
      <c r="A3409" t="s">
        <v>4054</v>
      </c>
      <c r="B3409" s="26" t="str">
        <f>MID(tbl_forecast[[#This Row],[PACE Job Number]],3,3)</f>
        <v>WSH</v>
      </c>
      <c r="C3409" t="s">
        <v>13</v>
      </c>
      <c r="D3409" s="1">
        <v>43434</v>
      </c>
      <c r="E3409" s="1">
        <v>43255</v>
      </c>
      <c r="F3409" s="1">
        <v>43434</v>
      </c>
      <c r="G3409" s="1"/>
      <c r="H3409" t="s">
        <v>9</v>
      </c>
      <c r="I3409" t="s">
        <v>27</v>
      </c>
    </row>
    <row r="3410" spans="1:9" x14ac:dyDescent="0.25">
      <c r="A3410" t="s">
        <v>2960</v>
      </c>
      <c r="B3410" s="26" t="str">
        <f>MID(tbl_forecast[[#This Row],[PACE Job Number]],3,3)</f>
        <v>STX</v>
      </c>
      <c r="C3410" t="s">
        <v>13</v>
      </c>
      <c r="D3410" s="1">
        <v>43419</v>
      </c>
      <c r="E3410" s="1">
        <v>43403</v>
      </c>
      <c r="F3410" s="1">
        <v>43419</v>
      </c>
      <c r="G3410" s="1"/>
      <c r="H3410" t="s">
        <v>9</v>
      </c>
      <c r="I3410" t="s">
        <v>27</v>
      </c>
    </row>
    <row r="3411" spans="1:9" x14ac:dyDescent="0.25">
      <c r="A3411" t="s">
        <v>561</v>
      </c>
      <c r="B3411" s="26" t="str">
        <f>MID(tbl_forecast[[#This Row],[PACE Job Number]],3,3)</f>
        <v>STX</v>
      </c>
      <c r="C3411" t="s">
        <v>13</v>
      </c>
      <c r="D3411" s="1">
        <v>43434</v>
      </c>
      <c r="E3411" s="1">
        <v>43434</v>
      </c>
      <c r="F3411" s="1">
        <v>43434</v>
      </c>
      <c r="G3411" s="1"/>
      <c r="H3411" t="s">
        <v>9</v>
      </c>
      <c r="I3411" t="s">
        <v>27</v>
      </c>
    </row>
    <row r="3412" spans="1:9" x14ac:dyDescent="0.25">
      <c r="A3412" t="s">
        <v>3113</v>
      </c>
      <c r="B3412" s="26" t="str">
        <f>MID(tbl_forecast[[#This Row],[PACE Job Number]],3,3)</f>
        <v>STX</v>
      </c>
      <c r="C3412" t="s">
        <v>13</v>
      </c>
      <c r="D3412" s="1">
        <v>43419</v>
      </c>
      <c r="E3412" s="1">
        <v>43464</v>
      </c>
      <c r="F3412" s="1">
        <v>43417</v>
      </c>
      <c r="G3412" s="1">
        <v>43417</v>
      </c>
      <c r="H3412" t="s">
        <v>9</v>
      </c>
      <c r="I3412" t="s">
        <v>10</v>
      </c>
    </row>
    <row r="3413" spans="1:9" x14ac:dyDescent="0.25">
      <c r="A3413" t="s">
        <v>534</v>
      </c>
      <c r="B3413" s="26" t="str">
        <f>MID(tbl_forecast[[#This Row],[PACE Job Number]],3,3)</f>
        <v>STX</v>
      </c>
      <c r="C3413" t="s">
        <v>13</v>
      </c>
      <c r="D3413" s="1">
        <v>43419</v>
      </c>
      <c r="E3413" s="1">
        <v>43403</v>
      </c>
      <c r="F3413" s="1">
        <v>43419</v>
      </c>
      <c r="G3413" s="1"/>
      <c r="H3413" t="s">
        <v>9</v>
      </c>
      <c r="I3413" t="s">
        <v>27</v>
      </c>
    </row>
    <row r="3414" spans="1:9" x14ac:dyDescent="0.25">
      <c r="A3414" t="s">
        <v>4470</v>
      </c>
      <c r="B3414" s="26" t="str">
        <f>MID(tbl_forecast[[#This Row],[PACE Job Number]],3,3)</f>
        <v>STX</v>
      </c>
      <c r="C3414" t="s">
        <v>13</v>
      </c>
      <c r="D3414" s="1">
        <v>43419</v>
      </c>
      <c r="E3414" s="1">
        <v>43464</v>
      </c>
      <c r="F3414" s="1">
        <v>43419</v>
      </c>
      <c r="G3414" s="1"/>
      <c r="H3414" t="s">
        <v>9</v>
      </c>
      <c r="I3414" t="s">
        <v>44</v>
      </c>
    </row>
    <row r="3415" spans="1:9" x14ac:dyDescent="0.25">
      <c r="A3415" t="s">
        <v>3296</v>
      </c>
      <c r="B3415" s="26" t="str">
        <f>MID(tbl_forecast[[#This Row],[PACE Job Number]],3,3)</f>
        <v>STX</v>
      </c>
      <c r="C3415" t="s">
        <v>13</v>
      </c>
      <c r="D3415" s="1">
        <v>43419</v>
      </c>
      <c r="E3415" s="1">
        <v>43464</v>
      </c>
      <c r="F3415" s="1">
        <v>43417</v>
      </c>
      <c r="G3415" s="1">
        <v>43417</v>
      </c>
      <c r="H3415" t="s">
        <v>9</v>
      </c>
      <c r="I3415" t="s">
        <v>10</v>
      </c>
    </row>
    <row r="3416" spans="1:9" x14ac:dyDescent="0.25">
      <c r="A3416" t="s">
        <v>4471</v>
      </c>
      <c r="B3416" s="26" t="str">
        <f>MID(tbl_forecast[[#This Row],[PACE Job Number]],3,3)</f>
        <v>STX</v>
      </c>
      <c r="C3416" t="s">
        <v>13</v>
      </c>
      <c r="D3416" s="1">
        <v>43419</v>
      </c>
      <c r="E3416" s="1">
        <v>43434</v>
      </c>
      <c r="F3416" s="1">
        <v>43423</v>
      </c>
      <c r="G3416" s="1">
        <v>43423</v>
      </c>
      <c r="H3416" t="s">
        <v>9</v>
      </c>
      <c r="I3416" t="s">
        <v>10</v>
      </c>
    </row>
    <row r="3417" spans="1:9" x14ac:dyDescent="0.25">
      <c r="A3417" t="s">
        <v>524</v>
      </c>
      <c r="B3417" s="26" t="str">
        <f>MID(tbl_forecast[[#This Row],[PACE Job Number]],3,3)</f>
        <v>STX</v>
      </c>
      <c r="C3417" t="s">
        <v>13</v>
      </c>
      <c r="D3417" s="1">
        <v>43419</v>
      </c>
      <c r="E3417" s="1">
        <v>43342</v>
      </c>
      <c r="F3417" s="1">
        <v>43432</v>
      </c>
      <c r="G3417" s="1">
        <v>43432</v>
      </c>
      <c r="H3417" t="s">
        <v>9</v>
      </c>
      <c r="I3417" t="s">
        <v>10</v>
      </c>
    </row>
    <row r="3418" spans="1:9" x14ac:dyDescent="0.25">
      <c r="A3418" t="s">
        <v>790</v>
      </c>
      <c r="B3418" s="26" t="str">
        <f>MID(tbl_forecast[[#This Row],[PACE Job Number]],3,3)</f>
        <v>STX</v>
      </c>
      <c r="C3418" t="s">
        <v>13</v>
      </c>
      <c r="D3418" s="1">
        <v>43419</v>
      </c>
      <c r="E3418" s="1">
        <v>43342</v>
      </c>
      <c r="F3418" s="1">
        <v>43432</v>
      </c>
      <c r="G3418" s="1">
        <v>43432</v>
      </c>
      <c r="H3418" t="s">
        <v>9</v>
      </c>
      <c r="I3418" t="s">
        <v>10</v>
      </c>
    </row>
    <row r="3419" spans="1:9" x14ac:dyDescent="0.25">
      <c r="A3419" t="s">
        <v>4472</v>
      </c>
      <c r="B3419" s="26" t="str">
        <f>MID(tbl_forecast[[#This Row],[PACE Job Number]],3,3)</f>
        <v>STX</v>
      </c>
      <c r="C3419" t="s">
        <v>13</v>
      </c>
      <c r="D3419" s="1">
        <v>43419</v>
      </c>
      <c r="E3419" s="1">
        <v>43434</v>
      </c>
      <c r="F3419" s="1">
        <v>43423</v>
      </c>
      <c r="G3419" s="1">
        <v>43423</v>
      </c>
      <c r="H3419" t="s">
        <v>9</v>
      </c>
      <c r="I3419" t="s">
        <v>10</v>
      </c>
    </row>
    <row r="3420" spans="1:9" x14ac:dyDescent="0.25">
      <c r="A3420" t="s">
        <v>487</v>
      </c>
      <c r="B3420" s="26" t="str">
        <f>MID(tbl_forecast[[#This Row],[PACE Job Number]],3,3)</f>
        <v>STX</v>
      </c>
      <c r="C3420" t="s">
        <v>13</v>
      </c>
      <c r="D3420" s="1">
        <v>43419</v>
      </c>
      <c r="E3420" s="1">
        <v>43434</v>
      </c>
      <c r="F3420" s="1">
        <v>43411</v>
      </c>
      <c r="G3420" s="1">
        <v>43411</v>
      </c>
      <c r="H3420" t="s">
        <v>9</v>
      </c>
      <c r="I3420" t="s">
        <v>10</v>
      </c>
    </row>
    <row r="3421" spans="1:9" x14ac:dyDescent="0.25">
      <c r="A3421" t="s">
        <v>1088</v>
      </c>
      <c r="B3421" s="26" t="str">
        <f>MID(tbl_forecast[[#This Row],[PACE Job Number]],3,3)</f>
        <v>STX</v>
      </c>
      <c r="C3421" t="s">
        <v>13</v>
      </c>
      <c r="D3421" s="1">
        <v>43434</v>
      </c>
      <c r="E3421" s="1">
        <v>43434</v>
      </c>
      <c r="F3421" s="1">
        <v>43423</v>
      </c>
      <c r="G3421" s="1">
        <v>43423</v>
      </c>
      <c r="H3421" t="s">
        <v>9</v>
      </c>
      <c r="I3421" t="s">
        <v>10</v>
      </c>
    </row>
    <row r="3422" spans="1:9" x14ac:dyDescent="0.25">
      <c r="A3422" t="s">
        <v>32</v>
      </c>
      <c r="B3422" s="26" t="str">
        <f>MID(tbl_forecast[[#This Row],[PACE Job Number]],3,3)</f>
        <v>STX</v>
      </c>
      <c r="C3422" t="s">
        <v>13</v>
      </c>
      <c r="D3422" s="1">
        <v>43417</v>
      </c>
      <c r="E3422" s="1">
        <v>43417</v>
      </c>
      <c r="F3422" s="1">
        <v>43420</v>
      </c>
      <c r="G3422" s="1">
        <v>43420</v>
      </c>
      <c r="H3422" t="s">
        <v>9</v>
      </c>
      <c r="I3422" t="s">
        <v>10</v>
      </c>
    </row>
    <row r="3423" spans="1:9" x14ac:dyDescent="0.25">
      <c r="A3423" t="s">
        <v>196</v>
      </c>
      <c r="B3423" s="26" t="str">
        <f>MID(tbl_forecast[[#This Row],[PACE Job Number]],3,3)</f>
        <v>STX</v>
      </c>
      <c r="C3423" t="s">
        <v>13</v>
      </c>
      <c r="D3423" s="1">
        <v>43417</v>
      </c>
      <c r="E3423" s="1">
        <v>43417</v>
      </c>
      <c r="F3423" s="1">
        <v>43420</v>
      </c>
      <c r="G3423" s="1">
        <v>43420</v>
      </c>
      <c r="H3423" t="s">
        <v>9</v>
      </c>
      <c r="I3423" t="s">
        <v>10</v>
      </c>
    </row>
    <row r="3424" spans="1:9" x14ac:dyDescent="0.25">
      <c r="A3424" t="s">
        <v>3245</v>
      </c>
      <c r="B3424" s="26" t="str">
        <f>MID(tbl_forecast[[#This Row],[PACE Job Number]],3,3)</f>
        <v>STX</v>
      </c>
      <c r="C3424" t="s">
        <v>13</v>
      </c>
      <c r="D3424" s="1">
        <v>43419</v>
      </c>
      <c r="E3424" s="1">
        <v>43475</v>
      </c>
      <c r="F3424" s="1">
        <v>43419</v>
      </c>
      <c r="G3424" s="1"/>
      <c r="H3424" t="s">
        <v>9</v>
      </c>
      <c r="I3424" t="s">
        <v>44</v>
      </c>
    </row>
    <row r="3425" spans="1:9" x14ac:dyDescent="0.25">
      <c r="A3425" t="s">
        <v>4473</v>
      </c>
      <c r="B3425" s="26" t="str">
        <f>MID(tbl_forecast[[#This Row],[PACE Job Number]],3,3)</f>
        <v>STX</v>
      </c>
      <c r="C3425" t="s">
        <v>13</v>
      </c>
      <c r="D3425" s="1">
        <v>43419</v>
      </c>
      <c r="E3425" s="1">
        <v>43464</v>
      </c>
      <c r="F3425" s="1">
        <v>43419</v>
      </c>
      <c r="G3425" s="1"/>
      <c r="H3425" t="s">
        <v>9</v>
      </c>
      <c r="I3425" t="s">
        <v>44</v>
      </c>
    </row>
    <row r="3426" spans="1:9" x14ac:dyDescent="0.25">
      <c r="A3426" t="s">
        <v>4474</v>
      </c>
      <c r="B3426" s="26" t="str">
        <f>MID(tbl_forecast[[#This Row],[PACE Job Number]],3,3)</f>
        <v>STX</v>
      </c>
      <c r="C3426" t="s">
        <v>13</v>
      </c>
      <c r="D3426" s="1">
        <v>43419</v>
      </c>
      <c r="E3426" s="1">
        <v>43464</v>
      </c>
      <c r="F3426" s="1">
        <v>43419</v>
      </c>
      <c r="G3426" s="1"/>
      <c r="H3426" t="s">
        <v>9</v>
      </c>
      <c r="I3426" t="s">
        <v>44</v>
      </c>
    </row>
    <row r="3427" spans="1:9" x14ac:dyDescent="0.25">
      <c r="A3427" t="s">
        <v>5579</v>
      </c>
      <c r="B3427" s="26" t="str">
        <f>MID(tbl_forecast[[#This Row],[PACE Job Number]],3,3)</f>
        <v>STX</v>
      </c>
      <c r="C3427" t="s">
        <v>13</v>
      </c>
      <c r="D3427" s="1">
        <v>43434</v>
      </c>
      <c r="E3427" s="1">
        <v>43434</v>
      </c>
      <c r="F3427" s="1">
        <v>43434</v>
      </c>
      <c r="G3427" s="1"/>
      <c r="H3427" t="s">
        <v>9</v>
      </c>
      <c r="I3427" t="s">
        <v>27</v>
      </c>
    </row>
    <row r="3428" spans="1:9" x14ac:dyDescent="0.25">
      <c r="A3428" t="s">
        <v>5580</v>
      </c>
      <c r="B3428" s="26" t="str">
        <f>MID(tbl_forecast[[#This Row],[PACE Job Number]],3,3)</f>
        <v>STX</v>
      </c>
      <c r="C3428" t="s">
        <v>13</v>
      </c>
      <c r="D3428" s="1">
        <v>43434</v>
      </c>
      <c r="E3428" s="1">
        <v>43434</v>
      </c>
      <c r="F3428" s="1">
        <v>43434</v>
      </c>
      <c r="G3428" s="1"/>
      <c r="H3428" t="s">
        <v>9</v>
      </c>
      <c r="I3428" t="s">
        <v>27</v>
      </c>
    </row>
    <row r="3429" spans="1:9" x14ac:dyDescent="0.25">
      <c r="A3429" t="s">
        <v>3371</v>
      </c>
      <c r="B3429" s="26" t="str">
        <f>MID(tbl_forecast[[#This Row],[PACE Job Number]],3,3)</f>
        <v>NTX</v>
      </c>
      <c r="C3429" t="s">
        <v>13</v>
      </c>
      <c r="D3429" s="1">
        <v>43426</v>
      </c>
      <c r="E3429" s="1">
        <v>43428</v>
      </c>
      <c r="F3429" s="1">
        <v>43411</v>
      </c>
      <c r="G3429" s="1">
        <v>43411</v>
      </c>
      <c r="H3429" t="s">
        <v>9</v>
      </c>
      <c r="I3429" t="s">
        <v>10</v>
      </c>
    </row>
    <row r="3430" spans="1:9" x14ac:dyDescent="0.25">
      <c r="A3430" t="s">
        <v>4399</v>
      </c>
      <c r="B3430" s="26" t="str">
        <f>MID(tbl_forecast[[#This Row],[PACE Job Number]],3,3)</f>
        <v>STX</v>
      </c>
      <c r="C3430" t="s">
        <v>13</v>
      </c>
      <c r="D3430" s="1">
        <v>43419</v>
      </c>
      <c r="E3430" s="1">
        <v>43464</v>
      </c>
      <c r="F3430" s="1">
        <v>43419</v>
      </c>
      <c r="G3430" s="1"/>
      <c r="H3430" t="s">
        <v>9</v>
      </c>
      <c r="I3430" t="s">
        <v>44</v>
      </c>
    </row>
    <row r="3431" spans="1:9" x14ac:dyDescent="0.25">
      <c r="A3431" t="s">
        <v>3943</v>
      </c>
      <c r="B3431" s="26" t="str">
        <f>MID(tbl_forecast[[#This Row],[PACE Job Number]],3,3)</f>
        <v>STX</v>
      </c>
      <c r="C3431" t="s">
        <v>13</v>
      </c>
      <c r="D3431" s="1">
        <v>43419</v>
      </c>
      <c r="E3431" s="1">
        <v>43433</v>
      </c>
      <c r="F3431" s="1">
        <v>43412</v>
      </c>
      <c r="G3431" s="1">
        <v>43412</v>
      </c>
      <c r="H3431" t="s">
        <v>9</v>
      </c>
      <c r="I3431" t="s">
        <v>10</v>
      </c>
    </row>
    <row r="3432" spans="1:9" x14ac:dyDescent="0.25">
      <c r="A3432" t="s">
        <v>5581</v>
      </c>
      <c r="B3432" s="26" t="str">
        <f>MID(tbl_forecast[[#This Row],[PACE Job Number]],3,3)</f>
        <v>STX</v>
      </c>
      <c r="C3432" t="s">
        <v>13</v>
      </c>
      <c r="D3432" s="1">
        <v>43419</v>
      </c>
      <c r="E3432" s="1">
        <v>43403</v>
      </c>
      <c r="F3432" s="1">
        <v>43419</v>
      </c>
      <c r="G3432" s="1"/>
      <c r="H3432" t="s">
        <v>9</v>
      </c>
      <c r="I3432" t="s">
        <v>27</v>
      </c>
    </row>
    <row r="3433" spans="1:9" x14ac:dyDescent="0.25">
      <c r="A3433" t="s">
        <v>4409</v>
      </c>
      <c r="B3433" s="26" t="str">
        <f>MID(tbl_forecast[[#This Row],[PACE Job Number]],3,3)</f>
        <v>STX</v>
      </c>
      <c r="C3433" t="s">
        <v>13</v>
      </c>
      <c r="D3433" s="1">
        <v>43419</v>
      </c>
      <c r="E3433" s="1">
        <v>43464</v>
      </c>
      <c r="F3433" s="1">
        <v>43419</v>
      </c>
      <c r="G3433" s="1"/>
      <c r="H3433" t="s">
        <v>9</v>
      </c>
      <c r="I3433" t="s">
        <v>44</v>
      </c>
    </row>
    <row r="3434" spans="1:9" x14ac:dyDescent="0.25">
      <c r="A3434" t="s">
        <v>4410</v>
      </c>
      <c r="B3434" s="26" t="str">
        <f>MID(tbl_forecast[[#This Row],[PACE Job Number]],3,3)</f>
        <v>STX</v>
      </c>
      <c r="C3434" t="s">
        <v>13</v>
      </c>
      <c r="D3434" s="1">
        <v>43419</v>
      </c>
      <c r="E3434" s="1">
        <v>43464</v>
      </c>
      <c r="F3434" s="1">
        <v>43419</v>
      </c>
      <c r="G3434" s="1"/>
      <c r="H3434" t="s">
        <v>9</v>
      </c>
      <c r="I3434" t="s">
        <v>44</v>
      </c>
    </row>
    <row r="3435" spans="1:9" x14ac:dyDescent="0.25">
      <c r="A3435" t="s">
        <v>4411</v>
      </c>
      <c r="B3435" s="26" t="str">
        <f>MID(tbl_forecast[[#This Row],[PACE Job Number]],3,3)</f>
        <v>STX</v>
      </c>
      <c r="C3435" t="s">
        <v>13</v>
      </c>
      <c r="D3435" s="1">
        <v>43419</v>
      </c>
      <c r="E3435" s="1">
        <v>43464</v>
      </c>
      <c r="F3435" s="1">
        <v>43419</v>
      </c>
      <c r="G3435" s="1"/>
      <c r="H3435" t="s">
        <v>9</v>
      </c>
      <c r="I3435" t="s">
        <v>44</v>
      </c>
    </row>
    <row r="3436" spans="1:9" x14ac:dyDescent="0.25">
      <c r="A3436" t="s">
        <v>4412</v>
      </c>
      <c r="B3436" s="26" t="str">
        <f>MID(tbl_forecast[[#This Row],[PACE Job Number]],3,3)</f>
        <v>STX</v>
      </c>
      <c r="C3436" t="s">
        <v>13</v>
      </c>
      <c r="D3436" s="1">
        <v>43419</v>
      </c>
      <c r="E3436" s="1">
        <v>43464</v>
      </c>
      <c r="F3436" s="1">
        <v>43419</v>
      </c>
      <c r="G3436" s="1"/>
      <c r="H3436" t="s">
        <v>9</v>
      </c>
      <c r="I3436" t="s">
        <v>44</v>
      </c>
    </row>
    <row r="3437" spans="1:9" x14ac:dyDescent="0.25">
      <c r="A3437" t="s">
        <v>3472</v>
      </c>
      <c r="B3437" s="26" t="str">
        <f>MID(tbl_forecast[[#This Row],[PACE Job Number]],3,3)</f>
        <v>STX</v>
      </c>
      <c r="C3437" t="s">
        <v>13</v>
      </c>
      <c r="D3437" s="1">
        <v>43419</v>
      </c>
      <c r="E3437" s="1">
        <v>43464</v>
      </c>
      <c r="F3437" s="1">
        <v>43449</v>
      </c>
      <c r="G3437" s="1"/>
      <c r="H3437" t="s">
        <v>4664</v>
      </c>
      <c r="I3437" t="s">
        <v>5645</v>
      </c>
    </row>
    <row r="3438" spans="1:9" x14ac:dyDescent="0.25">
      <c r="A3438" t="s">
        <v>5582</v>
      </c>
      <c r="B3438" s="26" t="str">
        <f>MID(tbl_forecast[[#This Row],[PACE Job Number]],3,3)</f>
        <v>STX</v>
      </c>
      <c r="C3438" t="s">
        <v>13</v>
      </c>
      <c r="D3438" s="1">
        <v>43419</v>
      </c>
      <c r="E3438" s="1">
        <v>43403</v>
      </c>
      <c r="F3438" s="1">
        <v>43419</v>
      </c>
      <c r="G3438" s="1"/>
      <c r="H3438" t="s">
        <v>9</v>
      </c>
      <c r="I3438" t="s">
        <v>27</v>
      </c>
    </row>
    <row r="3439" spans="1:9" x14ac:dyDescent="0.25">
      <c r="A3439" t="s">
        <v>3479</v>
      </c>
      <c r="B3439" s="26" t="str">
        <f>MID(tbl_forecast[[#This Row],[PACE Job Number]],3,3)</f>
        <v>STX</v>
      </c>
      <c r="C3439" t="s">
        <v>13</v>
      </c>
      <c r="D3439" s="1">
        <v>43419</v>
      </c>
      <c r="E3439" s="1">
        <v>43434</v>
      </c>
      <c r="F3439" s="1">
        <v>43419</v>
      </c>
      <c r="G3439" s="1"/>
      <c r="H3439" t="s">
        <v>9</v>
      </c>
      <c r="I3439" t="s">
        <v>44</v>
      </c>
    </row>
    <row r="3440" spans="1:9" x14ac:dyDescent="0.25">
      <c r="A3440" t="s">
        <v>372</v>
      </c>
      <c r="B3440" s="26" t="str">
        <f>MID(tbl_forecast[[#This Row],[PACE Job Number]],3,3)</f>
        <v>STX</v>
      </c>
      <c r="C3440" t="s">
        <v>13</v>
      </c>
      <c r="D3440" s="1">
        <v>43434</v>
      </c>
      <c r="E3440" s="1">
        <v>43434</v>
      </c>
      <c r="F3440" s="1">
        <v>43411</v>
      </c>
      <c r="G3440" s="1">
        <v>43411</v>
      </c>
      <c r="H3440" t="s">
        <v>9</v>
      </c>
      <c r="I3440" t="s">
        <v>10</v>
      </c>
    </row>
    <row r="3441" spans="1:9" x14ac:dyDescent="0.25">
      <c r="A3441" t="s">
        <v>3254</v>
      </c>
      <c r="B3441" s="26" t="str">
        <f>MID(tbl_forecast[[#This Row],[PACE Job Number]],3,3)</f>
        <v>STX</v>
      </c>
      <c r="C3441" t="s">
        <v>13</v>
      </c>
      <c r="D3441" s="1">
        <v>43419</v>
      </c>
      <c r="E3441" s="1">
        <v>43464</v>
      </c>
      <c r="F3441" s="1">
        <v>43449</v>
      </c>
      <c r="G3441" s="1"/>
      <c r="H3441" t="s">
        <v>4664</v>
      </c>
      <c r="I3441" t="s">
        <v>5645</v>
      </c>
    </row>
    <row r="3442" spans="1:9" x14ac:dyDescent="0.25">
      <c r="A3442" t="s">
        <v>3487</v>
      </c>
      <c r="B3442" s="26" t="str">
        <f>MID(tbl_forecast[[#This Row],[PACE Job Number]],3,3)</f>
        <v>STX</v>
      </c>
      <c r="C3442" t="s">
        <v>13</v>
      </c>
      <c r="D3442" s="1">
        <v>43434</v>
      </c>
      <c r="E3442" s="1">
        <v>43434</v>
      </c>
      <c r="F3442" s="1">
        <v>43413</v>
      </c>
      <c r="G3442" s="1">
        <v>43413</v>
      </c>
      <c r="H3442" t="s">
        <v>9</v>
      </c>
      <c r="I3442" t="s">
        <v>10</v>
      </c>
    </row>
    <row r="3443" spans="1:9" x14ac:dyDescent="0.25">
      <c r="A3443" t="s">
        <v>5583</v>
      </c>
      <c r="B3443" s="26" t="str">
        <f>MID(tbl_forecast[[#This Row],[PACE Job Number]],3,3)</f>
        <v>STX</v>
      </c>
      <c r="C3443" t="s">
        <v>13</v>
      </c>
      <c r="D3443" s="1">
        <v>43419</v>
      </c>
      <c r="E3443" s="1">
        <v>43434</v>
      </c>
      <c r="F3443" s="1">
        <v>43454</v>
      </c>
      <c r="G3443" s="1"/>
      <c r="H3443" t="s">
        <v>4664</v>
      </c>
      <c r="I3443" t="s">
        <v>5645</v>
      </c>
    </row>
    <row r="3444" spans="1:9" x14ac:dyDescent="0.25">
      <c r="A3444" t="s">
        <v>5584</v>
      </c>
      <c r="B3444" s="26" t="str">
        <f>MID(tbl_forecast[[#This Row],[PACE Job Number]],3,3)</f>
        <v>STX</v>
      </c>
      <c r="C3444" t="s">
        <v>13</v>
      </c>
      <c r="D3444" s="1">
        <v>43434</v>
      </c>
      <c r="E3444" s="1">
        <v>43434</v>
      </c>
      <c r="F3444" s="1">
        <v>43432</v>
      </c>
      <c r="G3444" s="1">
        <v>43432</v>
      </c>
      <c r="H3444" t="s">
        <v>9</v>
      </c>
      <c r="I3444" t="s">
        <v>10</v>
      </c>
    </row>
    <row r="3445" spans="1:9" x14ac:dyDescent="0.25">
      <c r="A3445" t="s">
        <v>3959</v>
      </c>
      <c r="B3445" s="26" t="str">
        <f>MID(tbl_forecast[[#This Row],[PACE Job Number]],3,3)</f>
        <v>NTX</v>
      </c>
      <c r="C3445" t="s">
        <v>13</v>
      </c>
      <c r="D3445" s="1">
        <v>43430</v>
      </c>
      <c r="E3445" s="1">
        <v>43412</v>
      </c>
      <c r="F3445" s="1">
        <v>43412</v>
      </c>
      <c r="G3445" s="1">
        <v>43412</v>
      </c>
      <c r="H3445" t="s">
        <v>9</v>
      </c>
      <c r="I3445" t="s">
        <v>10</v>
      </c>
    </row>
    <row r="3446" spans="1:9" x14ac:dyDescent="0.25">
      <c r="A3446" t="s">
        <v>2380</v>
      </c>
      <c r="B3446" s="26" t="str">
        <f>MID(tbl_forecast[[#This Row],[PACE Job Number]],3,3)</f>
        <v>NTX</v>
      </c>
      <c r="C3446" t="s">
        <v>13</v>
      </c>
      <c r="D3446" s="1">
        <v>43428</v>
      </c>
      <c r="E3446" s="1">
        <v>43463</v>
      </c>
      <c r="F3446" s="1">
        <v>43411</v>
      </c>
      <c r="G3446" s="1">
        <v>43411</v>
      </c>
      <c r="H3446" t="s">
        <v>9</v>
      </c>
      <c r="I3446" t="s">
        <v>10</v>
      </c>
    </row>
    <row r="3447" spans="1:9" x14ac:dyDescent="0.25">
      <c r="A3447" t="s">
        <v>3373</v>
      </c>
      <c r="B3447" s="26" t="str">
        <f>MID(tbl_forecast[[#This Row],[PACE Job Number]],3,3)</f>
        <v>NTX</v>
      </c>
      <c r="C3447" t="s">
        <v>13</v>
      </c>
      <c r="D3447" s="1">
        <v>43406</v>
      </c>
      <c r="E3447" s="1">
        <v>43434</v>
      </c>
      <c r="F3447" s="1">
        <v>43406</v>
      </c>
      <c r="G3447" s="1">
        <v>43406</v>
      </c>
      <c r="H3447" t="s">
        <v>9</v>
      </c>
      <c r="I3447" t="s">
        <v>10</v>
      </c>
    </row>
    <row r="3448" spans="1:9" x14ac:dyDescent="0.25">
      <c r="A3448" t="s">
        <v>70</v>
      </c>
      <c r="B3448" s="26" t="str">
        <f>MID(tbl_forecast[[#This Row],[PACE Job Number]],3,3)</f>
        <v>NTX</v>
      </c>
      <c r="C3448" t="s">
        <v>13</v>
      </c>
      <c r="D3448" s="1">
        <v>43429</v>
      </c>
      <c r="E3448" s="1">
        <v>43412</v>
      </c>
      <c r="F3448" s="1">
        <v>43464</v>
      </c>
      <c r="G3448" s="1"/>
      <c r="H3448" t="s">
        <v>4664</v>
      </c>
      <c r="I3448" t="s">
        <v>4666</v>
      </c>
    </row>
    <row r="3449" spans="1:9" x14ac:dyDescent="0.25">
      <c r="A3449" t="s">
        <v>1826</v>
      </c>
      <c r="B3449" s="26" t="str">
        <f>MID(tbl_forecast[[#This Row],[PACE Job Number]],3,3)</f>
        <v>NTX</v>
      </c>
      <c r="C3449" t="s">
        <v>13</v>
      </c>
      <c r="D3449" s="1">
        <v>43432</v>
      </c>
      <c r="E3449" s="1">
        <v>43488</v>
      </c>
      <c r="F3449" s="1">
        <v>43495</v>
      </c>
      <c r="G3449" s="1"/>
      <c r="H3449" t="s">
        <v>4664</v>
      </c>
      <c r="I3449" t="s">
        <v>4665</v>
      </c>
    </row>
    <row r="3450" spans="1:9" x14ac:dyDescent="0.25">
      <c r="A3450" t="s">
        <v>4528</v>
      </c>
      <c r="B3450" s="26" t="str">
        <f>MID(tbl_forecast[[#This Row],[PACE Job Number]],3,3)</f>
        <v>NTX</v>
      </c>
      <c r="C3450" t="s">
        <v>13</v>
      </c>
      <c r="D3450" s="1">
        <v>43417</v>
      </c>
      <c r="E3450" s="1">
        <v>43537</v>
      </c>
      <c r="F3450" s="1">
        <v>43554</v>
      </c>
      <c r="G3450" s="1"/>
      <c r="H3450" t="s">
        <v>4664</v>
      </c>
      <c r="I3450" t="s">
        <v>5645</v>
      </c>
    </row>
    <row r="3451" spans="1:9" x14ac:dyDescent="0.25">
      <c r="A3451" t="s">
        <v>3416</v>
      </c>
      <c r="B3451" s="26" t="str">
        <f>MID(tbl_forecast[[#This Row],[PACE Job Number]],3,3)</f>
        <v>WSH</v>
      </c>
      <c r="C3451" t="s">
        <v>13</v>
      </c>
      <c r="D3451" s="1">
        <v>43434</v>
      </c>
      <c r="E3451" s="1">
        <v>43375</v>
      </c>
      <c r="F3451" s="1">
        <v>43434</v>
      </c>
      <c r="G3451" s="1"/>
      <c r="H3451" t="s">
        <v>9</v>
      </c>
      <c r="I3451" t="s">
        <v>27</v>
      </c>
    </row>
    <row r="3452" spans="1:9" x14ac:dyDescent="0.25">
      <c r="A3452" t="s">
        <v>4268</v>
      </c>
      <c r="B3452" s="26" t="str">
        <f>MID(tbl_forecast[[#This Row],[PACE Job Number]],3,3)</f>
        <v>WSH</v>
      </c>
      <c r="C3452" t="s">
        <v>13</v>
      </c>
      <c r="D3452" s="1">
        <v>43434</v>
      </c>
      <c r="E3452" s="1">
        <v>43262</v>
      </c>
      <c r="F3452" s="1">
        <v>43434</v>
      </c>
      <c r="G3452" s="1"/>
      <c r="H3452" t="s">
        <v>9</v>
      </c>
      <c r="I3452" t="s">
        <v>27</v>
      </c>
    </row>
    <row r="3453" spans="1:9" x14ac:dyDescent="0.25">
      <c r="A3453" t="s">
        <v>3864</v>
      </c>
      <c r="B3453" s="26" t="str">
        <f>MID(tbl_forecast[[#This Row],[PACE Job Number]],3,3)</f>
        <v>WSH</v>
      </c>
      <c r="C3453" t="s">
        <v>13</v>
      </c>
      <c r="D3453" s="1">
        <v>43434</v>
      </c>
      <c r="E3453" s="1">
        <v>43406</v>
      </c>
      <c r="F3453" s="1">
        <v>43434</v>
      </c>
      <c r="G3453" s="1"/>
      <c r="H3453" t="s">
        <v>9</v>
      </c>
      <c r="I3453" t="s">
        <v>27</v>
      </c>
    </row>
    <row r="3454" spans="1:9" x14ac:dyDescent="0.25">
      <c r="A3454" t="s">
        <v>3450</v>
      </c>
      <c r="B3454" s="26" t="str">
        <f>MID(tbl_forecast[[#This Row],[PACE Job Number]],3,3)</f>
        <v>WSH</v>
      </c>
      <c r="C3454" t="s">
        <v>13</v>
      </c>
      <c r="D3454" s="1">
        <v>43434</v>
      </c>
      <c r="E3454" s="1">
        <v>43288</v>
      </c>
      <c r="F3454" s="1">
        <v>43434</v>
      </c>
      <c r="G3454" s="1"/>
      <c r="H3454" t="s">
        <v>9</v>
      </c>
      <c r="I3454" t="s">
        <v>27</v>
      </c>
    </row>
    <row r="3455" spans="1:9" x14ac:dyDescent="0.25">
      <c r="A3455" t="s">
        <v>5504</v>
      </c>
      <c r="B3455" s="26" t="str">
        <f>MID(tbl_forecast[[#This Row],[PACE Job Number]],3,3)</f>
        <v>WSH</v>
      </c>
      <c r="C3455" t="s">
        <v>13</v>
      </c>
      <c r="D3455" s="1">
        <v>43434</v>
      </c>
      <c r="E3455" s="1">
        <v>43288</v>
      </c>
      <c r="F3455" s="1">
        <v>43435</v>
      </c>
      <c r="G3455" s="1"/>
      <c r="H3455" t="s">
        <v>9</v>
      </c>
      <c r="I3455" t="s">
        <v>27</v>
      </c>
    </row>
    <row r="3456" spans="1:9" x14ac:dyDescent="0.25">
      <c r="A3456" t="s">
        <v>173</v>
      </c>
      <c r="B3456" s="26" t="str">
        <f>MID(tbl_forecast[[#This Row],[PACE Job Number]],3,3)</f>
        <v>WSH</v>
      </c>
      <c r="C3456" t="s">
        <v>13</v>
      </c>
      <c r="D3456" s="1">
        <v>43434</v>
      </c>
      <c r="E3456" s="1">
        <v>43454</v>
      </c>
      <c r="F3456" s="1">
        <v>43434</v>
      </c>
      <c r="G3456" s="1"/>
      <c r="H3456" t="s">
        <v>9</v>
      </c>
      <c r="I3456" t="s">
        <v>44</v>
      </c>
    </row>
    <row r="3457" spans="1:9" x14ac:dyDescent="0.25">
      <c r="A3457" t="s">
        <v>5505</v>
      </c>
      <c r="B3457" s="26" t="str">
        <f>MID(tbl_forecast[[#This Row],[PACE Job Number]],3,3)</f>
        <v>WSH</v>
      </c>
      <c r="C3457" t="s">
        <v>13</v>
      </c>
      <c r="D3457" s="1">
        <v>43434</v>
      </c>
      <c r="E3457" s="1">
        <v>43288</v>
      </c>
      <c r="F3457" s="1">
        <v>43435</v>
      </c>
      <c r="G3457" s="1"/>
      <c r="H3457" t="s">
        <v>9</v>
      </c>
      <c r="I3457" t="s">
        <v>27</v>
      </c>
    </row>
    <row r="3458" spans="1:9" x14ac:dyDescent="0.25">
      <c r="A3458" t="s">
        <v>3865</v>
      </c>
      <c r="B3458" s="26" t="str">
        <f>MID(tbl_forecast[[#This Row],[PACE Job Number]],3,3)</f>
        <v>WSH</v>
      </c>
      <c r="C3458" t="s">
        <v>13</v>
      </c>
      <c r="D3458" s="1">
        <v>43434</v>
      </c>
      <c r="E3458" s="1">
        <v>43374</v>
      </c>
      <c r="F3458" s="1">
        <v>43434</v>
      </c>
      <c r="G3458" s="1"/>
      <c r="H3458" t="s">
        <v>9</v>
      </c>
      <c r="I3458" t="s">
        <v>27</v>
      </c>
    </row>
    <row r="3459" spans="1:9" x14ac:dyDescent="0.25">
      <c r="A3459" t="s">
        <v>458</v>
      </c>
      <c r="B3459" s="26" t="str">
        <f>MID(tbl_forecast[[#This Row],[PACE Job Number]],3,3)</f>
        <v>WSH</v>
      </c>
      <c r="C3459" t="s">
        <v>13</v>
      </c>
      <c r="D3459" s="1">
        <v>43434</v>
      </c>
      <c r="E3459" s="1">
        <v>43314</v>
      </c>
      <c r="F3459" s="1">
        <v>43434</v>
      </c>
      <c r="G3459" s="1"/>
      <c r="H3459" t="s">
        <v>9</v>
      </c>
      <c r="I3459" t="s">
        <v>27</v>
      </c>
    </row>
    <row r="3460" spans="1:9" x14ac:dyDescent="0.25">
      <c r="A3460" t="s">
        <v>4272</v>
      </c>
      <c r="B3460" s="26" t="str">
        <f>MID(tbl_forecast[[#This Row],[PACE Job Number]],3,3)</f>
        <v>WSH</v>
      </c>
      <c r="C3460" t="s">
        <v>13</v>
      </c>
      <c r="D3460" s="1">
        <v>43434</v>
      </c>
      <c r="E3460" s="1">
        <v>43373</v>
      </c>
      <c r="F3460" s="1">
        <v>43424</v>
      </c>
      <c r="G3460" s="1">
        <v>43424</v>
      </c>
      <c r="H3460" t="s">
        <v>9</v>
      </c>
      <c r="I3460" t="s">
        <v>10</v>
      </c>
    </row>
    <row r="3461" spans="1:9" x14ac:dyDescent="0.25">
      <c r="A3461" t="s">
        <v>3871</v>
      </c>
      <c r="B3461" s="26" t="str">
        <f>MID(tbl_forecast[[#This Row],[PACE Job Number]],3,3)</f>
        <v>WSH</v>
      </c>
      <c r="C3461" t="s">
        <v>13</v>
      </c>
      <c r="D3461" s="1">
        <v>43434</v>
      </c>
      <c r="E3461" s="1">
        <v>36524</v>
      </c>
      <c r="F3461" s="1">
        <v>43434</v>
      </c>
      <c r="G3461" s="1"/>
      <c r="H3461" t="s">
        <v>9</v>
      </c>
      <c r="I3461" t="s">
        <v>27</v>
      </c>
    </row>
    <row r="3462" spans="1:9" x14ac:dyDescent="0.25">
      <c r="A3462" t="s">
        <v>117</v>
      </c>
      <c r="B3462" s="26" t="str">
        <f>MID(tbl_forecast[[#This Row],[PACE Job Number]],3,3)</f>
        <v>STX</v>
      </c>
      <c r="C3462" t="s">
        <v>13</v>
      </c>
      <c r="D3462" s="1">
        <v>43419</v>
      </c>
      <c r="E3462" s="1">
        <v>43464</v>
      </c>
      <c r="F3462" s="1">
        <v>43411</v>
      </c>
      <c r="G3462" s="1">
        <v>43411</v>
      </c>
      <c r="H3462" t="s">
        <v>9</v>
      </c>
      <c r="I3462" t="s">
        <v>10</v>
      </c>
    </row>
    <row r="3463" spans="1:9" x14ac:dyDescent="0.25">
      <c r="A3463" t="s">
        <v>720</v>
      </c>
      <c r="B3463" s="26" t="str">
        <f>MID(tbl_forecast[[#This Row],[PACE Job Number]],3,3)</f>
        <v>STX</v>
      </c>
      <c r="C3463" t="s">
        <v>13</v>
      </c>
      <c r="D3463" s="1">
        <v>43419</v>
      </c>
      <c r="E3463" s="1">
        <v>43434</v>
      </c>
      <c r="F3463" s="1">
        <v>43419</v>
      </c>
      <c r="G3463" s="1"/>
      <c r="H3463" t="s">
        <v>9</v>
      </c>
      <c r="I3463" t="s">
        <v>44</v>
      </c>
    </row>
    <row r="3464" spans="1:9" x14ac:dyDescent="0.25">
      <c r="A3464" t="s">
        <v>4414</v>
      </c>
      <c r="B3464" s="26" t="str">
        <f>MID(tbl_forecast[[#This Row],[PACE Job Number]],3,3)</f>
        <v>STX</v>
      </c>
      <c r="C3464" t="s">
        <v>13</v>
      </c>
      <c r="D3464" s="1">
        <v>43419</v>
      </c>
      <c r="E3464" s="1">
        <v>43434</v>
      </c>
      <c r="F3464" s="1">
        <v>43419</v>
      </c>
      <c r="G3464" s="1"/>
      <c r="H3464" t="s">
        <v>9</v>
      </c>
      <c r="I3464" t="s">
        <v>44</v>
      </c>
    </row>
    <row r="3465" spans="1:9" x14ac:dyDescent="0.25">
      <c r="A3465" t="s">
        <v>563</v>
      </c>
      <c r="B3465" s="26" t="str">
        <f>MID(tbl_forecast[[#This Row],[PACE Job Number]],3,3)</f>
        <v>STX</v>
      </c>
      <c r="C3465" t="s">
        <v>13</v>
      </c>
      <c r="D3465" s="1">
        <v>43419</v>
      </c>
      <c r="E3465" s="1">
        <v>43342</v>
      </c>
      <c r="F3465" s="1">
        <v>43413</v>
      </c>
      <c r="G3465" s="1">
        <v>43413</v>
      </c>
      <c r="H3465" t="s">
        <v>9</v>
      </c>
      <c r="I3465" t="s">
        <v>10</v>
      </c>
    </row>
    <row r="3466" spans="1:9" x14ac:dyDescent="0.25">
      <c r="A3466" t="s">
        <v>633</v>
      </c>
      <c r="B3466" s="26" t="str">
        <f>MID(tbl_forecast[[#This Row],[PACE Job Number]],3,3)</f>
        <v>STX</v>
      </c>
      <c r="C3466" t="s">
        <v>13</v>
      </c>
      <c r="D3466" s="1">
        <v>43419</v>
      </c>
      <c r="E3466" s="1">
        <v>43464</v>
      </c>
      <c r="F3466" s="1">
        <v>43449</v>
      </c>
      <c r="G3466" s="1"/>
      <c r="H3466" t="s">
        <v>4664</v>
      </c>
      <c r="I3466" t="s">
        <v>5645</v>
      </c>
    </row>
    <row r="3467" spans="1:9" x14ac:dyDescent="0.25">
      <c r="A3467" t="s">
        <v>301</v>
      </c>
      <c r="B3467" s="26" t="str">
        <f>MID(tbl_forecast[[#This Row],[PACE Job Number]],3,3)</f>
        <v>WSH</v>
      </c>
      <c r="C3467" t="s">
        <v>13</v>
      </c>
      <c r="D3467" s="1">
        <v>43434</v>
      </c>
      <c r="E3467" s="1">
        <v>43252</v>
      </c>
      <c r="F3467" s="1">
        <v>43434</v>
      </c>
      <c r="G3467" s="1"/>
      <c r="H3467" t="s">
        <v>9</v>
      </c>
      <c r="I3467" t="s">
        <v>27</v>
      </c>
    </row>
    <row r="3468" spans="1:9" x14ac:dyDescent="0.25">
      <c r="A3468" t="s">
        <v>4535</v>
      </c>
      <c r="B3468" s="26" t="str">
        <f>MID(tbl_forecast[[#This Row],[PACE Job Number]],3,3)</f>
        <v>WSH</v>
      </c>
      <c r="C3468" t="s">
        <v>13</v>
      </c>
      <c r="D3468" s="1">
        <v>43434</v>
      </c>
      <c r="E3468" s="1">
        <v>36524</v>
      </c>
      <c r="F3468" s="1">
        <v>43434</v>
      </c>
      <c r="G3468" s="1"/>
      <c r="H3468" t="s">
        <v>9</v>
      </c>
      <c r="I3468" t="s">
        <v>27</v>
      </c>
    </row>
    <row r="3469" spans="1:9" x14ac:dyDescent="0.25">
      <c r="A3469" t="s">
        <v>325</v>
      </c>
      <c r="B3469" s="26" t="str">
        <f>MID(tbl_forecast[[#This Row],[PACE Job Number]],3,3)</f>
        <v>WSH</v>
      </c>
      <c r="C3469" t="s">
        <v>13</v>
      </c>
      <c r="D3469" s="1">
        <v>43434</v>
      </c>
      <c r="E3469" s="1">
        <v>43449</v>
      </c>
      <c r="F3469" s="1">
        <v>43420</v>
      </c>
      <c r="G3469" s="1">
        <v>43420</v>
      </c>
      <c r="H3469" t="s">
        <v>9</v>
      </c>
      <c r="I3469" t="s">
        <v>10</v>
      </c>
    </row>
    <row r="3470" spans="1:9" x14ac:dyDescent="0.25">
      <c r="A3470" t="s">
        <v>3418</v>
      </c>
      <c r="B3470" s="26" t="str">
        <f>MID(tbl_forecast[[#This Row],[PACE Job Number]],3,3)</f>
        <v>WSH</v>
      </c>
      <c r="C3470" t="s">
        <v>13</v>
      </c>
      <c r="D3470" s="1">
        <v>43434</v>
      </c>
      <c r="E3470" s="1">
        <v>43449</v>
      </c>
      <c r="F3470" s="1">
        <v>43434</v>
      </c>
      <c r="G3470" s="1"/>
      <c r="H3470" t="s">
        <v>9</v>
      </c>
      <c r="I3470" t="s">
        <v>44</v>
      </c>
    </row>
    <row r="3471" spans="1:9" x14ac:dyDescent="0.25">
      <c r="A3471" t="s">
        <v>367</v>
      </c>
      <c r="B3471" s="26" t="str">
        <f>MID(tbl_forecast[[#This Row],[PACE Job Number]],3,3)</f>
        <v>WSH</v>
      </c>
      <c r="C3471" t="s">
        <v>13</v>
      </c>
      <c r="D3471" s="1">
        <v>43434</v>
      </c>
      <c r="E3471" s="1">
        <v>43299</v>
      </c>
      <c r="F3471" s="1">
        <v>43410</v>
      </c>
      <c r="G3471" s="1">
        <v>43410</v>
      </c>
      <c r="H3471" t="s">
        <v>9</v>
      </c>
      <c r="I3471" t="s">
        <v>10</v>
      </c>
    </row>
    <row r="3472" spans="1:9" x14ac:dyDescent="0.25">
      <c r="A3472" t="s">
        <v>3922</v>
      </c>
      <c r="B3472" s="26" t="str">
        <f>MID(tbl_forecast[[#This Row],[PACE Job Number]],3,3)</f>
        <v>WSH</v>
      </c>
      <c r="C3472" t="s">
        <v>13</v>
      </c>
      <c r="D3472" s="1">
        <v>43434</v>
      </c>
      <c r="E3472" s="1">
        <v>43449</v>
      </c>
      <c r="F3472" s="1">
        <v>43434</v>
      </c>
      <c r="G3472" s="1"/>
      <c r="H3472" t="s">
        <v>9</v>
      </c>
      <c r="I3472" t="s">
        <v>44</v>
      </c>
    </row>
    <row r="3473" spans="1:9" x14ac:dyDescent="0.25">
      <c r="A3473" t="s">
        <v>108</v>
      </c>
      <c r="B3473" s="26" t="str">
        <f>MID(tbl_forecast[[#This Row],[PACE Job Number]],3,3)</f>
        <v>WSH</v>
      </c>
      <c r="C3473" t="s">
        <v>13</v>
      </c>
      <c r="D3473" s="1">
        <v>43434</v>
      </c>
      <c r="E3473" s="1">
        <v>43230</v>
      </c>
      <c r="F3473" s="1">
        <v>43434</v>
      </c>
      <c r="G3473" s="1"/>
      <c r="H3473" t="s">
        <v>9</v>
      </c>
      <c r="I3473" t="s">
        <v>27</v>
      </c>
    </row>
    <row r="3474" spans="1:9" x14ac:dyDescent="0.25">
      <c r="A3474" t="s">
        <v>5585</v>
      </c>
      <c r="B3474" s="26" t="str">
        <f>MID(tbl_forecast[[#This Row],[PACE Job Number]],3,3)</f>
        <v>STX</v>
      </c>
      <c r="C3474" t="s">
        <v>13</v>
      </c>
      <c r="D3474" s="1">
        <v>43434</v>
      </c>
      <c r="E3474" s="1">
        <v>43464</v>
      </c>
      <c r="F3474" s="1">
        <v>43464</v>
      </c>
      <c r="G3474" s="1"/>
      <c r="H3474" t="s">
        <v>4664</v>
      </c>
      <c r="I3474" t="s">
        <v>4665</v>
      </c>
    </row>
    <row r="3475" spans="1:9" x14ac:dyDescent="0.25">
      <c r="A3475" t="s">
        <v>425</v>
      </c>
      <c r="B3475" s="26" t="str">
        <f>MID(tbl_forecast[[#This Row],[PACE Job Number]],3,3)</f>
        <v>STX</v>
      </c>
      <c r="C3475" t="s">
        <v>13</v>
      </c>
      <c r="D3475" s="1">
        <v>43419</v>
      </c>
      <c r="E3475" s="1">
        <v>43434</v>
      </c>
      <c r="F3475" s="1">
        <v>43411</v>
      </c>
      <c r="G3475" s="1">
        <v>43411</v>
      </c>
      <c r="H3475" t="s">
        <v>9</v>
      </c>
      <c r="I3475" t="s">
        <v>10</v>
      </c>
    </row>
    <row r="3476" spans="1:9" x14ac:dyDescent="0.25">
      <c r="A3476" t="s">
        <v>3455</v>
      </c>
      <c r="B3476" s="26" t="str">
        <f>MID(tbl_forecast[[#This Row],[PACE Job Number]],3,3)</f>
        <v>WSH</v>
      </c>
      <c r="C3476" t="s">
        <v>13</v>
      </c>
      <c r="D3476" s="1">
        <v>43434</v>
      </c>
      <c r="E3476" s="1">
        <v>43392</v>
      </c>
      <c r="F3476" s="1">
        <v>43405</v>
      </c>
      <c r="G3476" s="1">
        <v>43405</v>
      </c>
      <c r="H3476" t="s">
        <v>9</v>
      </c>
      <c r="I3476" t="s">
        <v>10</v>
      </c>
    </row>
    <row r="3477" spans="1:9" x14ac:dyDescent="0.25">
      <c r="A3477" t="s">
        <v>228</v>
      </c>
      <c r="B3477" s="26" t="str">
        <f>MID(tbl_forecast[[#This Row],[PACE Job Number]],3,3)</f>
        <v>WSH</v>
      </c>
      <c r="C3477" t="s">
        <v>13</v>
      </c>
      <c r="D3477" s="1">
        <v>43434</v>
      </c>
      <c r="E3477" s="1">
        <v>43344</v>
      </c>
      <c r="F3477" s="1">
        <v>43434</v>
      </c>
      <c r="G3477" s="1"/>
      <c r="H3477" t="s">
        <v>9</v>
      </c>
      <c r="I3477" t="s">
        <v>27</v>
      </c>
    </row>
    <row r="3478" spans="1:9" x14ac:dyDescent="0.25">
      <c r="A3478" t="s">
        <v>320</v>
      </c>
      <c r="B3478" s="26" t="str">
        <f>MID(tbl_forecast[[#This Row],[PACE Job Number]],3,3)</f>
        <v>WSH</v>
      </c>
      <c r="C3478" t="s">
        <v>13</v>
      </c>
      <c r="D3478" s="1">
        <v>43434</v>
      </c>
      <c r="E3478" s="1">
        <v>43344</v>
      </c>
      <c r="F3478" s="1">
        <v>43434</v>
      </c>
      <c r="G3478" s="1"/>
      <c r="H3478" t="s">
        <v>9</v>
      </c>
      <c r="I3478" t="s">
        <v>27</v>
      </c>
    </row>
    <row r="3479" spans="1:9" x14ac:dyDescent="0.25">
      <c r="A3479" t="s">
        <v>182</v>
      </c>
      <c r="B3479" s="26" t="str">
        <f>MID(tbl_forecast[[#This Row],[PACE Job Number]],3,3)</f>
        <v>WSH</v>
      </c>
      <c r="C3479" t="s">
        <v>13</v>
      </c>
      <c r="D3479" s="1">
        <v>43434</v>
      </c>
      <c r="E3479" s="1">
        <v>43449</v>
      </c>
      <c r="F3479" s="1">
        <v>43434</v>
      </c>
      <c r="G3479" s="1"/>
      <c r="H3479" t="s">
        <v>9</v>
      </c>
      <c r="I3479" t="s">
        <v>44</v>
      </c>
    </row>
    <row r="3480" spans="1:9" x14ac:dyDescent="0.25">
      <c r="A3480" t="s">
        <v>4511</v>
      </c>
      <c r="B3480" s="26" t="str">
        <f>MID(tbl_forecast[[#This Row],[PACE Job Number]],3,3)</f>
        <v>NTX</v>
      </c>
      <c r="C3480" t="s">
        <v>13</v>
      </c>
      <c r="D3480" s="1">
        <v>43426</v>
      </c>
      <c r="E3480" s="1">
        <v>43423</v>
      </c>
      <c r="F3480" s="1">
        <v>43423</v>
      </c>
      <c r="G3480" s="1">
        <v>43423</v>
      </c>
      <c r="H3480" t="s">
        <v>9</v>
      </c>
      <c r="I3480" t="s">
        <v>10</v>
      </c>
    </row>
    <row r="3481" spans="1:9" x14ac:dyDescent="0.25">
      <c r="A3481" t="s">
        <v>321</v>
      </c>
      <c r="B3481" s="26" t="str">
        <f>MID(tbl_forecast[[#This Row],[PACE Job Number]],3,3)</f>
        <v>NTX</v>
      </c>
      <c r="C3481" t="s">
        <v>13</v>
      </c>
      <c r="D3481" s="1">
        <v>43406</v>
      </c>
      <c r="E3481" s="1">
        <v>43436</v>
      </c>
      <c r="F3481" s="1">
        <v>43406</v>
      </c>
      <c r="G3481" s="1">
        <v>43406</v>
      </c>
      <c r="H3481" t="s">
        <v>9</v>
      </c>
      <c r="I3481" t="s">
        <v>10</v>
      </c>
    </row>
    <row r="3482" spans="1:9" x14ac:dyDescent="0.25">
      <c r="A3482" t="s">
        <v>2351</v>
      </c>
      <c r="B3482" s="26" t="str">
        <f>MID(tbl_forecast[[#This Row],[PACE Job Number]],3,3)</f>
        <v>NTX</v>
      </c>
      <c r="C3482" t="s">
        <v>13</v>
      </c>
      <c r="D3482" s="1">
        <v>43428</v>
      </c>
      <c r="E3482" s="1">
        <v>43463</v>
      </c>
      <c r="F3482" s="1">
        <v>43411</v>
      </c>
      <c r="G3482" s="1">
        <v>43411</v>
      </c>
      <c r="H3482" t="s">
        <v>9</v>
      </c>
      <c r="I3482" t="s">
        <v>10</v>
      </c>
    </row>
    <row r="3483" spans="1:9" x14ac:dyDescent="0.25">
      <c r="A3483" t="s">
        <v>4541</v>
      </c>
      <c r="B3483" s="26" t="str">
        <f>MID(tbl_forecast[[#This Row],[PACE Job Number]],3,3)</f>
        <v>WSH</v>
      </c>
      <c r="C3483" t="s">
        <v>13</v>
      </c>
      <c r="D3483" s="1">
        <v>43434</v>
      </c>
      <c r="E3483" s="1">
        <v>36524</v>
      </c>
      <c r="F3483" s="1">
        <v>43432</v>
      </c>
      <c r="G3483" s="1">
        <v>43432</v>
      </c>
      <c r="H3483" t="s">
        <v>9</v>
      </c>
      <c r="I3483" t="s">
        <v>10</v>
      </c>
    </row>
    <row r="3484" spans="1:9" x14ac:dyDescent="0.25">
      <c r="A3484" t="s">
        <v>3924</v>
      </c>
      <c r="B3484" s="26" t="str">
        <f>MID(tbl_forecast[[#This Row],[PACE Job Number]],3,3)</f>
        <v>WSH</v>
      </c>
      <c r="C3484" t="s">
        <v>13</v>
      </c>
      <c r="D3484" s="1">
        <v>43434</v>
      </c>
      <c r="E3484" s="1">
        <v>36524</v>
      </c>
      <c r="F3484" s="1">
        <v>43434</v>
      </c>
      <c r="G3484" s="1"/>
      <c r="H3484" t="s">
        <v>9</v>
      </c>
      <c r="I3484" t="s">
        <v>27</v>
      </c>
    </row>
    <row r="3485" spans="1:9" x14ac:dyDescent="0.25">
      <c r="A3485" t="s">
        <v>3456</v>
      </c>
      <c r="B3485" s="26" t="str">
        <f>MID(tbl_forecast[[#This Row],[PACE Job Number]],3,3)</f>
        <v>WSH</v>
      </c>
      <c r="C3485" t="s">
        <v>13</v>
      </c>
      <c r="D3485" s="1">
        <v>43434</v>
      </c>
      <c r="E3485" s="1">
        <v>43449</v>
      </c>
      <c r="F3485" s="1">
        <v>43434</v>
      </c>
      <c r="G3485" s="1"/>
      <c r="H3485" t="s">
        <v>9</v>
      </c>
      <c r="I3485" t="s">
        <v>44</v>
      </c>
    </row>
    <row r="3486" spans="1:9" x14ac:dyDescent="0.25">
      <c r="A3486" t="s">
        <v>3432</v>
      </c>
      <c r="B3486" s="26" t="str">
        <f>MID(tbl_forecast[[#This Row],[PACE Job Number]],3,3)</f>
        <v>WSH</v>
      </c>
      <c r="C3486" t="s">
        <v>13</v>
      </c>
      <c r="D3486" s="1">
        <v>43434</v>
      </c>
      <c r="E3486" s="1">
        <v>43449</v>
      </c>
      <c r="F3486" s="1">
        <v>43434</v>
      </c>
      <c r="G3486" s="1"/>
      <c r="H3486" t="s">
        <v>9</v>
      </c>
      <c r="I3486" t="s">
        <v>44</v>
      </c>
    </row>
    <row r="3487" spans="1:9" x14ac:dyDescent="0.25">
      <c r="A3487" t="s">
        <v>4252</v>
      </c>
      <c r="B3487" s="26" t="str">
        <f>MID(tbl_forecast[[#This Row],[PACE Job Number]],3,3)</f>
        <v>WSH</v>
      </c>
      <c r="C3487" t="s">
        <v>13</v>
      </c>
      <c r="D3487" s="1">
        <v>43434</v>
      </c>
      <c r="E3487" s="1">
        <v>43223</v>
      </c>
      <c r="F3487" s="1">
        <v>43434</v>
      </c>
      <c r="G3487" s="1"/>
      <c r="H3487" t="s">
        <v>9</v>
      </c>
      <c r="I3487" t="s">
        <v>27</v>
      </c>
    </row>
    <row r="3488" spans="1:9" x14ac:dyDescent="0.25">
      <c r="A3488" t="s">
        <v>3385</v>
      </c>
      <c r="B3488" s="26" t="str">
        <f>MID(tbl_forecast[[#This Row],[PACE Job Number]],3,3)</f>
        <v>WSH</v>
      </c>
      <c r="C3488" t="s">
        <v>13</v>
      </c>
      <c r="D3488" s="1">
        <v>43434</v>
      </c>
      <c r="E3488" s="1">
        <v>43454</v>
      </c>
      <c r="F3488" s="1">
        <v>43434</v>
      </c>
      <c r="G3488" s="1"/>
      <c r="H3488" t="s">
        <v>9</v>
      </c>
      <c r="I3488" t="s">
        <v>44</v>
      </c>
    </row>
    <row r="3489" spans="1:9" x14ac:dyDescent="0.25">
      <c r="A3489" t="s">
        <v>3372</v>
      </c>
      <c r="B3489" s="26" t="str">
        <f>MID(tbl_forecast[[#This Row],[PACE Job Number]],3,3)</f>
        <v>WSH</v>
      </c>
      <c r="C3489" t="s">
        <v>13</v>
      </c>
      <c r="D3489" s="1">
        <v>43434</v>
      </c>
      <c r="E3489" s="1">
        <v>43454</v>
      </c>
      <c r="F3489" s="1">
        <v>43434</v>
      </c>
      <c r="G3489" s="1"/>
      <c r="H3489" t="s">
        <v>9</v>
      </c>
      <c r="I3489" t="s">
        <v>44</v>
      </c>
    </row>
    <row r="3490" spans="1:9" x14ac:dyDescent="0.25">
      <c r="A3490" t="s">
        <v>4255</v>
      </c>
      <c r="B3490" s="26" t="str">
        <f>MID(tbl_forecast[[#This Row],[PACE Job Number]],3,3)</f>
        <v>WSH</v>
      </c>
      <c r="C3490" t="s">
        <v>13</v>
      </c>
      <c r="D3490" s="1">
        <v>43434</v>
      </c>
      <c r="E3490" s="1">
        <v>43223</v>
      </c>
      <c r="F3490" s="1">
        <v>43433</v>
      </c>
      <c r="G3490" s="1">
        <v>43433</v>
      </c>
      <c r="H3490" t="s">
        <v>9</v>
      </c>
      <c r="I3490" t="s">
        <v>10</v>
      </c>
    </row>
    <row r="3491" spans="1:9" x14ac:dyDescent="0.25">
      <c r="A3491" t="s">
        <v>3394</v>
      </c>
      <c r="B3491" s="26" t="str">
        <f>MID(tbl_forecast[[#This Row],[PACE Job Number]],3,3)</f>
        <v>WSH</v>
      </c>
      <c r="C3491" t="s">
        <v>13</v>
      </c>
      <c r="D3491" s="1">
        <v>43434</v>
      </c>
      <c r="E3491" s="1">
        <v>43454</v>
      </c>
      <c r="F3491" s="1">
        <v>43434</v>
      </c>
      <c r="G3491" s="1"/>
      <c r="H3491" t="s">
        <v>9</v>
      </c>
      <c r="I3491" t="s">
        <v>44</v>
      </c>
    </row>
    <row r="3492" spans="1:9" x14ac:dyDescent="0.25">
      <c r="A3492" t="s">
        <v>4258</v>
      </c>
      <c r="B3492" s="26" t="str">
        <f>MID(tbl_forecast[[#This Row],[PACE Job Number]],3,3)</f>
        <v>WSH</v>
      </c>
      <c r="C3492" t="s">
        <v>13</v>
      </c>
      <c r="D3492" s="1">
        <v>43434</v>
      </c>
      <c r="E3492" s="1">
        <v>43223</v>
      </c>
      <c r="F3492" s="1">
        <v>43433</v>
      </c>
      <c r="G3492" s="1">
        <v>43433</v>
      </c>
      <c r="H3492" t="s">
        <v>9</v>
      </c>
      <c r="I3492" t="s">
        <v>10</v>
      </c>
    </row>
    <row r="3493" spans="1:9" x14ac:dyDescent="0.25">
      <c r="A3493" t="s">
        <v>4366</v>
      </c>
      <c r="B3493" s="26" t="str">
        <f>MID(tbl_forecast[[#This Row],[PACE Job Number]],3,3)</f>
        <v>STX</v>
      </c>
      <c r="C3493" t="s">
        <v>13</v>
      </c>
      <c r="D3493" s="1">
        <v>43419</v>
      </c>
      <c r="E3493" s="1">
        <v>43434</v>
      </c>
      <c r="F3493" s="1">
        <v>43419</v>
      </c>
      <c r="G3493" s="1"/>
      <c r="H3493" t="s">
        <v>9</v>
      </c>
      <c r="I3493" t="s">
        <v>44</v>
      </c>
    </row>
    <row r="3494" spans="1:9" x14ac:dyDescent="0.25">
      <c r="A3494" t="s">
        <v>389</v>
      </c>
      <c r="B3494" s="26" t="str">
        <f>MID(tbl_forecast[[#This Row],[PACE Job Number]],3,3)</f>
        <v>STX</v>
      </c>
      <c r="C3494" t="s">
        <v>13</v>
      </c>
      <c r="D3494" s="1">
        <v>43434</v>
      </c>
      <c r="E3494" s="1">
        <v>43434</v>
      </c>
      <c r="F3494" s="1">
        <v>43423</v>
      </c>
      <c r="G3494" s="1">
        <v>43423</v>
      </c>
      <c r="H3494" t="s">
        <v>9</v>
      </c>
      <c r="I3494" t="s">
        <v>10</v>
      </c>
    </row>
    <row r="3495" spans="1:9" x14ac:dyDescent="0.25">
      <c r="A3495" t="s">
        <v>5548</v>
      </c>
      <c r="B3495" s="26" t="str">
        <f>MID(tbl_forecast[[#This Row],[PACE Job Number]],3,3)</f>
        <v>STX</v>
      </c>
      <c r="C3495" t="s">
        <v>13</v>
      </c>
      <c r="D3495" s="1">
        <v>43434</v>
      </c>
      <c r="E3495" s="1">
        <v>43464</v>
      </c>
      <c r="F3495" s="1">
        <v>43464</v>
      </c>
      <c r="G3495" s="1"/>
      <c r="H3495" t="s">
        <v>4664</v>
      </c>
      <c r="I3495" t="s">
        <v>4665</v>
      </c>
    </row>
    <row r="3496" spans="1:9" x14ac:dyDescent="0.25">
      <c r="A3496" t="s">
        <v>3343</v>
      </c>
      <c r="B3496" s="26" t="str">
        <f>MID(tbl_forecast[[#This Row],[PACE Job Number]],3,3)</f>
        <v>STX</v>
      </c>
      <c r="C3496" t="s">
        <v>13</v>
      </c>
      <c r="D3496" s="1">
        <v>43419</v>
      </c>
      <c r="E3496" s="1">
        <v>43434</v>
      </c>
      <c r="F3496" s="1">
        <v>43413</v>
      </c>
      <c r="G3496" s="1">
        <v>43413</v>
      </c>
      <c r="H3496" t="s">
        <v>9</v>
      </c>
      <c r="I3496" t="s">
        <v>10</v>
      </c>
    </row>
    <row r="3497" spans="1:9" x14ac:dyDescent="0.25">
      <c r="A3497" t="s">
        <v>1002</v>
      </c>
      <c r="B3497" s="26" t="str">
        <f>MID(tbl_forecast[[#This Row],[PACE Job Number]],3,3)</f>
        <v>STX</v>
      </c>
      <c r="C3497" t="s">
        <v>13</v>
      </c>
      <c r="D3497" s="1">
        <v>43419</v>
      </c>
      <c r="E3497" s="1">
        <v>43434</v>
      </c>
      <c r="F3497" s="1">
        <v>43411</v>
      </c>
      <c r="G3497" s="1">
        <v>43411</v>
      </c>
      <c r="H3497" t="s">
        <v>9</v>
      </c>
      <c r="I3497" t="s">
        <v>10</v>
      </c>
    </row>
    <row r="3498" spans="1:9" x14ac:dyDescent="0.25">
      <c r="A3498" t="s">
        <v>3241</v>
      </c>
      <c r="B3498" s="26" t="str">
        <f>MID(tbl_forecast[[#This Row],[PACE Job Number]],3,3)</f>
        <v>STX</v>
      </c>
      <c r="C3498" t="s">
        <v>13</v>
      </c>
      <c r="D3498" s="1">
        <v>43419</v>
      </c>
      <c r="E3498" s="1">
        <v>43434</v>
      </c>
      <c r="F3498" s="1">
        <v>43419</v>
      </c>
      <c r="G3498" s="1"/>
      <c r="H3498" t="s">
        <v>9</v>
      </c>
      <c r="I3498" t="s">
        <v>44</v>
      </c>
    </row>
    <row r="3499" spans="1:9" x14ac:dyDescent="0.25">
      <c r="A3499" t="s">
        <v>742</v>
      </c>
      <c r="B3499" s="26" t="str">
        <f>MID(tbl_forecast[[#This Row],[PACE Job Number]],3,3)</f>
        <v>STX</v>
      </c>
      <c r="C3499" t="s">
        <v>13</v>
      </c>
      <c r="D3499" s="1">
        <v>43419</v>
      </c>
      <c r="E3499" s="1">
        <v>43434</v>
      </c>
      <c r="F3499" s="1">
        <v>43411</v>
      </c>
      <c r="G3499" s="1">
        <v>43411</v>
      </c>
      <c r="H3499" t="s">
        <v>9</v>
      </c>
      <c r="I3499" t="s">
        <v>10</v>
      </c>
    </row>
    <row r="3500" spans="1:9" x14ac:dyDescent="0.25">
      <c r="A3500" t="s">
        <v>4367</v>
      </c>
      <c r="B3500" s="26" t="str">
        <f>MID(tbl_forecast[[#This Row],[PACE Job Number]],3,3)</f>
        <v>STX</v>
      </c>
      <c r="C3500" t="s">
        <v>13</v>
      </c>
      <c r="D3500" s="1">
        <v>43419</v>
      </c>
      <c r="E3500" s="1">
        <v>43434</v>
      </c>
      <c r="F3500" s="1">
        <v>43419</v>
      </c>
      <c r="G3500" s="1"/>
      <c r="H3500" t="s">
        <v>9</v>
      </c>
      <c r="I3500" t="s">
        <v>44</v>
      </c>
    </row>
    <row r="3501" spans="1:9" x14ac:dyDescent="0.25">
      <c r="A3501" t="s">
        <v>5586</v>
      </c>
      <c r="B3501" s="26" t="str">
        <f>MID(tbl_forecast[[#This Row],[PACE Job Number]],3,3)</f>
        <v>STX</v>
      </c>
      <c r="C3501" t="s">
        <v>13</v>
      </c>
      <c r="D3501" s="1">
        <v>43419</v>
      </c>
      <c r="E3501" s="1">
        <v>43434</v>
      </c>
      <c r="F3501" s="1">
        <v>43423</v>
      </c>
      <c r="G3501" s="1">
        <v>43423</v>
      </c>
      <c r="H3501" t="s">
        <v>9</v>
      </c>
      <c r="I3501" t="s">
        <v>10</v>
      </c>
    </row>
    <row r="3502" spans="1:9" x14ac:dyDescent="0.25">
      <c r="A3502" t="s">
        <v>3543</v>
      </c>
      <c r="B3502" s="26" t="str">
        <f>MID(tbl_forecast[[#This Row],[PACE Job Number]],3,3)</f>
        <v>STX</v>
      </c>
      <c r="C3502" t="s">
        <v>13</v>
      </c>
      <c r="D3502" s="1">
        <v>43419</v>
      </c>
      <c r="E3502" s="1">
        <v>43403</v>
      </c>
      <c r="F3502" s="1">
        <v>43419</v>
      </c>
      <c r="G3502" s="1"/>
      <c r="H3502" t="s">
        <v>9</v>
      </c>
      <c r="I3502" t="s">
        <v>27</v>
      </c>
    </row>
    <row r="3503" spans="1:9" x14ac:dyDescent="0.25">
      <c r="A3503" t="s">
        <v>5587</v>
      </c>
      <c r="B3503" s="26" t="str">
        <f>MID(tbl_forecast[[#This Row],[PACE Job Number]],3,3)</f>
        <v>STX</v>
      </c>
      <c r="C3503" t="s">
        <v>13</v>
      </c>
      <c r="D3503" s="1">
        <v>43407</v>
      </c>
      <c r="E3503" s="1">
        <v>43407</v>
      </c>
      <c r="F3503" s="1">
        <v>43473</v>
      </c>
      <c r="G3503" s="1"/>
      <c r="H3503" t="s">
        <v>4664</v>
      </c>
      <c r="I3503" t="s">
        <v>4666</v>
      </c>
    </row>
    <row r="3504" spans="1:9" x14ac:dyDescent="0.25">
      <c r="A3504" t="s">
        <v>3106</v>
      </c>
      <c r="B3504" s="26" t="str">
        <f>MID(tbl_forecast[[#This Row],[PACE Job Number]],3,3)</f>
        <v>STX</v>
      </c>
      <c r="C3504" t="s">
        <v>13</v>
      </c>
      <c r="D3504" s="1">
        <v>43434</v>
      </c>
      <c r="E3504" s="1">
        <v>43434</v>
      </c>
      <c r="F3504" s="1">
        <v>43413</v>
      </c>
      <c r="G3504" s="1">
        <v>43413</v>
      </c>
      <c r="H3504" t="s">
        <v>9</v>
      </c>
      <c r="I3504" t="s">
        <v>10</v>
      </c>
    </row>
    <row r="3505" spans="1:9" x14ac:dyDescent="0.25">
      <c r="A3505" t="s">
        <v>4197</v>
      </c>
      <c r="B3505" s="26" t="str">
        <f>MID(tbl_forecast[[#This Row],[PACE Job Number]],3,3)</f>
        <v>WSH</v>
      </c>
      <c r="C3505" t="s">
        <v>13</v>
      </c>
      <c r="D3505" s="1">
        <v>43434</v>
      </c>
      <c r="E3505" s="1">
        <v>43262</v>
      </c>
      <c r="F3505" s="1">
        <v>43434</v>
      </c>
      <c r="G3505" s="1"/>
      <c r="H3505" t="s">
        <v>9</v>
      </c>
      <c r="I3505" t="s">
        <v>27</v>
      </c>
    </row>
    <row r="3506" spans="1:9" x14ac:dyDescent="0.25">
      <c r="A3506" t="s">
        <v>4559</v>
      </c>
      <c r="B3506" s="26" t="str">
        <f>MID(tbl_forecast[[#This Row],[PACE Job Number]],3,3)</f>
        <v>NTX</v>
      </c>
      <c r="C3506" t="s">
        <v>13</v>
      </c>
      <c r="D3506" s="1">
        <v>43417</v>
      </c>
      <c r="E3506" s="1">
        <v>43537</v>
      </c>
      <c r="F3506" s="1">
        <v>43554</v>
      </c>
      <c r="G3506" s="1"/>
      <c r="H3506" t="s">
        <v>4664</v>
      </c>
      <c r="I3506" t="s">
        <v>5645</v>
      </c>
    </row>
    <row r="3507" spans="1:9" x14ac:dyDescent="0.25">
      <c r="A3507" t="s">
        <v>1768</v>
      </c>
      <c r="B3507" s="26" t="str">
        <f>MID(tbl_forecast[[#This Row],[PACE Job Number]],3,3)</f>
        <v>NTX</v>
      </c>
      <c r="C3507" t="s">
        <v>13</v>
      </c>
      <c r="D3507" s="1">
        <v>43432</v>
      </c>
      <c r="E3507" s="1">
        <v>43488</v>
      </c>
      <c r="F3507" s="1">
        <v>43495</v>
      </c>
      <c r="G3507" s="1"/>
      <c r="H3507" t="s">
        <v>4664</v>
      </c>
      <c r="I3507" t="s">
        <v>4665</v>
      </c>
    </row>
    <row r="3508" spans="1:9" x14ac:dyDescent="0.25">
      <c r="A3508" t="s">
        <v>149</v>
      </c>
      <c r="B3508" s="26" t="str">
        <f>MID(tbl_forecast[[#This Row],[PACE Job Number]],3,3)</f>
        <v>NTX</v>
      </c>
      <c r="C3508" t="s">
        <v>13</v>
      </c>
      <c r="D3508" s="1">
        <v>43429</v>
      </c>
      <c r="E3508" s="1">
        <v>43412</v>
      </c>
      <c r="F3508" s="1">
        <v>43464</v>
      </c>
      <c r="G3508" s="1"/>
      <c r="H3508" t="s">
        <v>4664</v>
      </c>
      <c r="I3508" t="s">
        <v>4666</v>
      </c>
    </row>
    <row r="3509" spans="1:9" x14ac:dyDescent="0.25">
      <c r="A3509" t="s">
        <v>309</v>
      </c>
      <c r="B3509" s="26" t="str">
        <f>MID(tbl_forecast[[#This Row],[PACE Job Number]],3,3)</f>
        <v>NTX</v>
      </c>
      <c r="C3509" t="s">
        <v>13</v>
      </c>
      <c r="D3509" s="1">
        <v>43406</v>
      </c>
      <c r="E3509" s="1">
        <v>43436</v>
      </c>
      <c r="F3509" s="1">
        <v>43406</v>
      </c>
      <c r="G3509" s="1">
        <v>43406</v>
      </c>
      <c r="H3509" t="s">
        <v>9</v>
      </c>
      <c r="I3509" t="s">
        <v>10</v>
      </c>
    </row>
    <row r="3510" spans="1:9" x14ac:dyDescent="0.25">
      <c r="A3510" t="s">
        <v>2462</v>
      </c>
      <c r="B3510" s="26" t="str">
        <f>MID(tbl_forecast[[#This Row],[PACE Job Number]],3,3)</f>
        <v>NTX</v>
      </c>
      <c r="C3510" t="s">
        <v>13</v>
      </c>
      <c r="D3510" s="1">
        <v>43410</v>
      </c>
      <c r="E3510" s="1">
        <v>43380</v>
      </c>
      <c r="F3510" s="1">
        <v>43464</v>
      </c>
      <c r="G3510" s="1"/>
      <c r="H3510" t="s">
        <v>4664</v>
      </c>
      <c r="I3510" t="s">
        <v>4666</v>
      </c>
    </row>
    <row r="3511" spans="1:9" x14ac:dyDescent="0.25">
      <c r="A3511" t="s">
        <v>3466</v>
      </c>
      <c r="B3511" s="26" t="str">
        <f>MID(tbl_forecast[[#This Row],[PACE Job Number]],3,3)</f>
        <v>NTX</v>
      </c>
      <c r="C3511" t="s">
        <v>13</v>
      </c>
      <c r="D3511" s="1">
        <v>43426</v>
      </c>
      <c r="E3511" s="1">
        <v>43428</v>
      </c>
      <c r="F3511" s="1">
        <v>43411</v>
      </c>
      <c r="G3511" s="1">
        <v>43411</v>
      </c>
      <c r="H3511" t="s">
        <v>9</v>
      </c>
      <c r="I3511" t="s">
        <v>10</v>
      </c>
    </row>
    <row r="3512" spans="1:9" x14ac:dyDescent="0.25">
      <c r="A3512" t="s">
        <v>3905</v>
      </c>
      <c r="B3512" s="26" t="str">
        <f>MID(tbl_forecast[[#This Row],[PACE Job Number]],3,3)</f>
        <v>NTX</v>
      </c>
      <c r="C3512" t="s">
        <v>13</v>
      </c>
      <c r="D3512" s="1">
        <v>43426</v>
      </c>
      <c r="E3512" s="1">
        <v>43448</v>
      </c>
      <c r="F3512" s="1">
        <v>43464</v>
      </c>
      <c r="G3512" s="1"/>
      <c r="H3512" t="s">
        <v>4664</v>
      </c>
      <c r="I3512" t="s">
        <v>4665</v>
      </c>
    </row>
    <row r="3513" spans="1:9" x14ac:dyDescent="0.25">
      <c r="A3513" t="s">
        <v>4557</v>
      </c>
      <c r="B3513" s="26" t="str">
        <f>MID(tbl_forecast[[#This Row],[PACE Job Number]],3,3)</f>
        <v>STX</v>
      </c>
      <c r="C3513" t="s">
        <v>13</v>
      </c>
      <c r="D3513" s="1">
        <v>43419</v>
      </c>
      <c r="E3513" s="1">
        <v>43434</v>
      </c>
      <c r="F3513" s="1">
        <v>43395</v>
      </c>
      <c r="G3513" s="1">
        <v>43395</v>
      </c>
      <c r="H3513" t="s">
        <v>9</v>
      </c>
      <c r="I3513" t="s">
        <v>10</v>
      </c>
    </row>
    <row r="3514" spans="1:9" x14ac:dyDescent="0.25">
      <c r="A3514" t="s">
        <v>4486</v>
      </c>
      <c r="B3514" s="26" t="str">
        <f>MID(tbl_forecast[[#This Row],[PACE Job Number]],3,3)</f>
        <v>STX</v>
      </c>
      <c r="C3514" t="s">
        <v>13</v>
      </c>
      <c r="D3514" s="1">
        <v>43419</v>
      </c>
      <c r="E3514" s="1">
        <v>43373</v>
      </c>
      <c r="F3514" s="1">
        <v>43423</v>
      </c>
      <c r="G3514" s="1">
        <v>43423</v>
      </c>
      <c r="H3514" t="s">
        <v>9</v>
      </c>
      <c r="I3514" t="s">
        <v>10</v>
      </c>
    </row>
    <row r="3515" spans="1:9" x14ac:dyDescent="0.25">
      <c r="A3515" t="s">
        <v>3205</v>
      </c>
      <c r="B3515" s="26" t="str">
        <f>MID(tbl_forecast[[#This Row],[PACE Job Number]],3,3)</f>
        <v>STX</v>
      </c>
      <c r="C3515" t="s">
        <v>13</v>
      </c>
      <c r="D3515" s="1">
        <v>43434</v>
      </c>
      <c r="E3515" s="1">
        <v>43434</v>
      </c>
      <c r="F3515" s="1">
        <v>43413</v>
      </c>
      <c r="G3515" s="1">
        <v>43413</v>
      </c>
      <c r="H3515" t="s">
        <v>9</v>
      </c>
      <c r="I3515" t="s">
        <v>10</v>
      </c>
    </row>
    <row r="3516" spans="1:9" x14ac:dyDescent="0.25">
      <c r="A3516" t="s">
        <v>4516</v>
      </c>
      <c r="B3516" s="26" t="str">
        <f>MID(tbl_forecast[[#This Row],[PACE Job Number]],3,3)</f>
        <v>NTX</v>
      </c>
      <c r="C3516" t="s">
        <v>13</v>
      </c>
      <c r="D3516" s="1">
        <v>43406</v>
      </c>
      <c r="E3516" s="1">
        <v>43434</v>
      </c>
      <c r="F3516" s="1">
        <v>43406</v>
      </c>
      <c r="G3516" s="1">
        <v>43406</v>
      </c>
      <c r="H3516" t="s">
        <v>9</v>
      </c>
      <c r="I3516" t="s">
        <v>10</v>
      </c>
    </row>
    <row r="3517" spans="1:9" x14ac:dyDescent="0.25">
      <c r="A3517" t="s">
        <v>4517</v>
      </c>
      <c r="B3517" s="26" t="str">
        <f>MID(tbl_forecast[[#This Row],[PACE Job Number]],3,3)</f>
        <v>NTX</v>
      </c>
      <c r="C3517" t="s">
        <v>13</v>
      </c>
      <c r="D3517" s="1">
        <v>43406</v>
      </c>
      <c r="E3517" s="1">
        <v>43434</v>
      </c>
      <c r="F3517" s="1">
        <v>43406</v>
      </c>
      <c r="G3517" s="1">
        <v>43406</v>
      </c>
      <c r="H3517" t="s">
        <v>9</v>
      </c>
      <c r="I3517" t="s">
        <v>10</v>
      </c>
    </row>
    <row r="3518" spans="1:9" x14ac:dyDescent="0.25">
      <c r="A3518" t="s">
        <v>3417</v>
      </c>
      <c r="B3518" s="26" t="str">
        <f>MID(tbl_forecast[[#This Row],[PACE Job Number]],3,3)</f>
        <v>NTX</v>
      </c>
      <c r="C3518" t="s">
        <v>13</v>
      </c>
      <c r="D3518" s="1">
        <v>43406</v>
      </c>
      <c r="E3518" s="1">
        <v>43433</v>
      </c>
      <c r="F3518" s="1">
        <v>43406</v>
      </c>
      <c r="G3518" s="1">
        <v>43406</v>
      </c>
      <c r="H3518" t="s">
        <v>9</v>
      </c>
      <c r="I3518" t="s">
        <v>10</v>
      </c>
    </row>
    <row r="3519" spans="1:9" x14ac:dyDescent="0.25">
      <c r="A3519" t="s">
        <v>76</v>
      </c>
      <c r="B3519" s="26" t="str">
        <f>MID(tbl_forecast[[#This Row],[PACE Job Number]],3,3)</f>
        <v>WSH</v>
      </c>
      <c r="C3519" t="s">
        <v>13</v>
      </c>
      <c r="D3519" s="1">
        <v>43434</v>
      </c>
      <c r="E3519" s="1">
        <v>43230</v>
      </c>
      <c r="F3519" s="1">
        <v>43434</v>
      </c>
      <c r="G3519" s="1"/>
      <c r="H3519" t="s">
        <v>9</v>
      </c>
      <c r="I3519" t="s">
        <v>27</v>
      </c>
    </row>
    <row r="3520" spans="1:9" x14ac:dyDescent="0.25">
      <c r="A3520" t="s">
        <v>3435</v>
      </c>
      <c r="B3520" s="26" t="str">
        <f>MID(tbl_forecast[[#This Row],[PACE Job Number]],3,3)</f>
        <v>WSH</v>
      </c>
      <c r="C3520" t="s">
        <v>13</v>
      </c>
      <c r="D3520" s="1">
        <v>43434</v>
      </c>
      <c r="E3520" s="1">
        <v>43288</v>
      </c>
      <c r="F3520" s="1">
        <v>43434</v>
      </c>
      <c r="G3520" s="1"/>
      <c r="H3520" t="s">
        <v>9</v>
      </c>
      <c r="I3520" t="s">
        <v>27</v>
      </c>
    </row>
    <row r="3521" spans="1:9" x14ac:dyDescent="0.25">
      <c r="A3521" t="s">
        <v>4198</v>
      </c>
      <c r="B3521" s="26" t="str">
        <f>MID(tbl_forecast[[#This Row],[PACE Job Number]],3,3)</f>
        <v>WSH</v>
      </c>
      <c r="C3521" t="s">
        <v>13</v>
      </c>
      <c r="D3521" s="1">
        <v>43434</v>
      </c>
      <c r="E3521" s="1">
        <v>43373</v>
      </c>
      <c r="F3521" s="1">
        <v>43424</v>
      </c>
      <c r="G3521" s="1">
        <v>43424</v>
      </c>
      <c r="H3521" t="s">
        <v>9</v>
      </c>
      <c r="I3521" t="s">
        <v>10</v>
      </c>
    </row>
    <row r="3522" spans="1:9" x14ac:dyDescent="0.25">
      <c r="A3522" t="s">
        <v>5514</v>
      </c>
      <c r="B3522" s="26" t="str">
        <f>MID(tbl_forecast[[#This Row],[PACE Job Number]],3,3)</f>
        <v>WSH</v>
      </c>
      <c r="C3522" t="s">
        <v>13</v>
      </c>
      <c r="D3522" s="1">
        <v>43434</v>
      </c>
      <c r="E3522" s="1">
        <v>43436</v>
      </c>
      <c r="F3522" s="1">
        <v>43434</v>
      </c>
      <c r="G3522" s="1"/>
      <c r="H3522" t="s">
        <v>9</v>
      </c>
      <c r="I3522" t="s">
        <v>27</v>
      </c>
    </row>
    <row r="3523" spans="1:9" x14ac:dyDescent="0.25">
      <c r="A3523" t="s">
        <v>29</v>
      </c>
      <c r="B3523" s="26" t="str">
        <f>MID(tbl_forecast[[#This Row],[PACE Job Number]],3,3)</f>
        <v>WSH</v>
      </c>
      <c r="C3523" t="s">
        <v>13</v>
      </c>
      <c r="D3523" s="1">
        <v>43434</v>
      </c>
      <c r="E3523" s="1">
        <v>43299</v>
      </c>
      <c r="F3523" s="1">
        <v>43410</v>
      </c>
      <c r="G3523" s="1">
        <v>43410</v>
      </c>
      <c r="H3523" t="s">
        <v>9</v>
      </c>
      <c r="I3523" t="s">
        <v>10</v>
      </c>
    </row>
    <row r="3524" spans="1:9" x14ac:dyDescent="0.25">
      <c r="A3524" t="s">
        <v>311</v>
      </c>
      <c r="B3524" s="26" t="str">
        <f>MID(tbl_forecast[[#This Row],[PACE Job Number]],3,3)</f>
        <v>WSH</v>
      </c>
      <c r="C3524" t="s">
        <v>13</v>
      </c>
      <c r="D3524" s="1">
        <v>43434</v>
      </c>
      <c r="E3524" s="1">
        <v>43230</v>
      </c>
      <c r="F3524" s="1">
        <v>43434</v>
      </c>
      <c r="G3524" s="1"/>
      <c r="H3524" t="s">
        <v>9</v>
      </c>
      <c r="I3524" t="s">
        <v>27</v>
      </c>
    </row>
    <row r="3525" spans="1:9" x14ac:dyDescent="0.25">
      <c r="A3525" t="s">
        <v>364</v>
      </c>
      <c r="B3525" s="26" t="str">
        <f>MID(tbl_forecast[[#This Row],[PACE Job Number]],3,3)</f>
        <v>WSH</v>
      </c>
      <c r="C3525" t="s">
        <v>13</v>
      </c>
      <c r="D3525" s="1">
        <v>43434</v>
      </c>
      <c r="E3525" s="1">
        <v>43449</v>
      </c>
      <c r="F3525" s="1">
        <v>43434</v>
      </c>
      <c r="G3525" s="1"/>
      <c r="H3525" t="s">
        <v>9</v>
      </c>
      <c r="I3525" t="s">
        <v>44</v>
      </c>
    </row>
    <row r="3526" spans="1:9" x14ac:dyDescent="0.25">
      <c r="A3526" t="s">
        <v>3899</v>
      </c>
      <c r="B3526" s="26" t="str">
        <f>MID(tbl_forecast[[#This Row],[PACE Job Number]],3,3)</f>
        <v>WSH</v>
      </c>
      <c r="C3526" t="s">
        <v>13</v>
      </c>
      <c r="D3526" s="1">
        <v>43434</v>
      </c>
      <c r="E3526" s="1">
        <v>43449</v>
      </c>
      <c r="F3526" s="1">
        <v>43434</v>
      </c>
      <c r="G3526" s="1"/>
      <c r="H3526" t="s">
        <v>9</v>
      </c>
      <c r="I3526" t="s">
        <v>44</v>
      </c>
    </row>
    <row r="3527" spans="1:9" x14ac:dyDescent="0.25">
      <c r="A3527" t="s">
        <v>171</v>
      </c>
      <c r="B3527" s="26" t="str">
        <f>MID(tbl_forecast[[#This Row],[PACE Job Number]],3,3)</f>
        <v>WSH</v>
      </c>
      <c r="C3527" t="s">
        <v>13</v>
      </c>
      <c r="D3527" s="1">
        <v>43434</v>
      </c>
      <c r="E3527" s="1">
        <v>43449</v>
      </c>
      <c r="F3527" s="1">
        <v>43434</v>
      </c>
      <c r="G3527" s="1"/>
      <c r="H3527" t="s">
        <v>9</v>
      </c>
      <c r="I3527" t="s">
        <v>44</v>
      </c>
    </row>
    <row r="3528" spans="1:9" x14ac:dyDescent="0.25">
      <c r="A3528" t="s">
        <v>5516</v>
      </c>
      <c r="B3528" s="26" t="str">
        <f>MID(tbl_forecast[[#This Row],[PACE Job Number]],3,3)</f>
        <v>WSH</v>
      </c>
      <c r="C3528" t="s">
        <v>13</v>
      </c>
      <c r="D3528" s="1">
        <v>43434</v>
      </c>
      <c r="E3528" s="1">
        <v>43436</v>
      </c>
      <c r="F3528" s="1">
        <v>43434</v>
      </c>
      <c r="G3528" s="1"/>
      <c r="H3528" t="s">
        <v>9</v>
      </c>
      <c r="I3528" t="s">
        <v>27</v>
      </c>
    </row>
    <row r="3529" spans="1:9" x14ac:dyDescent="0.25">
      <c r="A3529" t="s">
        <v>5588</v>
      </c>
      <c r="B3529" s="26" t="str">
        <f>MID(tbl_forecast[[#This Row],[PACE Job Number]],3,3)</f>
        <v>WSH</v>
      </c>
      <c r="C3529" t="s">
        <v>13</v>
      </c>
      <c r="D3529" s="1">
        <v>43434</v>
      </c>
      <c r="E3529" s="1">
        <v>43406</v>
      </c>
      <c r="F3529" s="1">
        <v>43434</v>
      </c>
      <c r="G3529" s="1"/>
      <c r="H3529" t="s">
        <v>9</v>
      </c>
      <c r="I3529" t="s">
        <v>27</v>
      </c>
    </row>
    <row r="3530" spans="1:9" x14ac:dyDescent="0.25">
      <c r="A3530" t="s">
        <v>5589</v>
      </c>
      <c r="B3530" s="26" t="str">
        <f>MID(tbl_forecast[[#This Row],[PACE Job Number]],3,3)</f>
        <v>STX</v>
      </c>
      <c r="C3530" t="s">
        <v>13</v>
      </c>
      <c r="D3530" s="1">
        <v>43419</v>
      </c>
      <c r="E3530" s="1">
        <v>43585</v>
      </c>
      <c r="F3530" s="1">
        <v>43423</v>
      </c>
      <c r="G3530" s="1">
        <v>43423</v>
      </c>
      <c r="H3530" t="s">
        <v>9</v>
      </c>
      <c r="I3530" t="s">
        <v>10</v>
      </c>
    </row>
    <row r="3531" spans="1:9" x14ac:dyDescent="0.25">
      <c r="A3531" t="s">
        <v>5590</v>
      </c>
      <c r="B3531" s="26" t="str">
        <f>MID(tbl_forecast[[#This Row],[PACE Job Number]],3,3)</f>
        <v>STX</v>
      </c>
      <c r="C3531" t="s">
        <v>13</v>
      </c>
      <c r="D3531" s="1">
        <v>43419</v>
      </c>
      <c r="E3531" s="1">
        <v>43585</v>
      </c>
      <c r="F3531" s="1">
        <v>43423</v>
      </c>
      <c r="G3531" s="1">
        <v>43423</v>
      </c>
      <c r="H3531" t="s">
        <v>9</v>
      </c>
      <c r="I3531" t="s">
        <v>10</v>
      </c>
    </row>
    <row r="3532" spans="1:9" x14ac:dyDescent="0.25">
      <c r="A3532" t="s">
        <v>4488</v>
      </c>
      <c r="B3532" s="26" t="str">
        <f>MID(tbl_forecast[[#This Row],[PACE Job Number]],3,3)</f>
        <v>STX</v>
      </c>
      <c r="C3532" t="s">
        <v>13</v>
      </c>
      <c r="D3532" s="1">
        <v>43419</v>
      </c>
      <c r="E3532" s="1">
        <v>43434</v>
      </c>
      <c r="F3532" s="1">
        <v>43425</v>
      </c>
      <c r="G3532" s="1">
        <v>43425</v>
      </c>
      <c r="H3532" t="s">
        <v>9</v>
      </c>
      <c r="I3532" t="s">
        <v>10</v>
      </c>
    </row>
    <row r="3533" spans="1:9" x14ac:dyDescent="0.25">
      <c r="A3533" t="s">
        <v>5591</v>
      </c>
      <c r="B3533" s="26" t="str">
        <f>MID(tbl_forecast[[#This Row],[PACE Job Number]],3,3)</f>
        <v>STX</v>
      </c>
      <c r="C3533" t="s">
        <v>13</v>
      </c>
      <c r="D3533" s="1">
        <v>43434</v>
      </c>
      <c r="E3533" s="1">
        <v>43434</v>
      </c>
      <c r="F3533" s="1">
        <v>43432</v>
      </c>
      <c r="G3533" s="1">
        <v>43432</v>
      </c>
      <c r="H3533" t="s">
        <v>9</v>
      </c>
      <c r="I3533" t="s">
        <v>10</v>
      </c>
    </row>
    <row r="3534" spans="1:9" x14ac:dyDescent="0.25">
      <c r="A3534" t="s">
        <v>5592</v>
      </c>
      <c r="B3534" s="26" t="str">
        <f>MID(tbl_forecast[[#This Row],[PACE Job Number]],3,3)</f>
        <v>STX</v>
      </c>
      <c r="C3534" t="s">
        <v>13</v>
      </c>
      <c r="D3534" s="1">
        <v>43434</v>
      </c>
      <c r="E3534" s="1">
        <v>43434</v>
      </c>
      <c r="F3534" s="1">
        <v>43432</v>
      </c>
      <c r="G3534" s="1">
        <v>43432</v>
      </c>
      <c r="H3534" t="s">
        <v>9</v>
      </c>
      <c r="I3534" t="s">
        <v>10</v>
      </c>
    </row>
    <row r="3535" spans="1:9" x14ac:dyDescent="0.25">
      <c r="A3535" t="s">
        <v>3462</v>
      </c>
      <c r="B3535" s="26" t="str">
        <f>MID(tbl_forecast[[#This Row],[PACE Job Number]],3,3)</f>
        <v>STX</v>
      </c>
      <c r="C3535" t="s">
        <v>13</v>
      </c>
      <c r="D3535" s="1">
        <v>43419</v>
      </c>
      <c r="E3535" s="1">
        <v>43434</v>
      </c>
      <c r="F3535" s="1">
        <v>43419</v>
      </c>
      <c r="G3535" s="1"/>
      <c r="H3535" t="s">
        <v>9</v>
      </c>
      <c r="I3535" t="s">
        <v>44</v>
      </c>
    </row>
    <row r="3536" spans="1:9" x14ac:dyDescent="0.25">
      <c r="A3536" t="s">
        <v>4558</v>
      </c>
      <c r="B3536" s="26" t="str">
        <f>MID(tbl_forecast[[#This Row],[PACE Job Number]],3,3)</f>
        <v>STX</v>
      </c>
      <c r="C3536" t="s">
        <v>13</v>
      </c>
      <c r="D3536" s="1">
        <v>43434</v>
      </c>
      <c r="E3536" s="1">
        <v>43434</v>
      </c>
      <c r="F3536" s="1">
        <v>43395</v>
      </c>
      <c r="G3536" s="1">
        <v>43395</v>
      </c>
      <c r="H3536" t="s">
        <v>9</v>
      </c>
      <c r="I3536" t="s">
        <v>10</v>
      </c>
    </row>
    <row r="3537" spans="1:9" x14ac:dyDescent="0.25">
      <c r="A3537" t="s">
        <v>3356</v>
      </c>
      <c r="B3537" s="26" t="str">
        <f>MID(tbl_forecast[[#This Row],[PACE Job Number]],3,3)</f>
        <v>STX</v>
      </c>
      <c r="C3537" t="s">
        <v>13</v>
      </c>
      <c r="D3537" s="1">
        <v>43419</v>
      </c>
      <c r="E3537" s="1">
        <v>43434</v>
      </c>
      <c r="F3537" s="1">
        <v>43480</v>
      </c>
      <c r="G3537" s="1"/>
      <c r="H3537" t="s">
        <v>4664</v>
      </c>
      <c r="I3537" t="s">
        <v>5645</v>
      </c>
    </row>
    <row r="3538" spans="1:9" x14ac:dyDescent="0.25">
      <c r="A3538" t="s">
        <v>256</v>
      </c>
      <c r="B3538" s="26" t="str">
        <f>MID(tbl_forecast[[#This Row],[PACE Job Number]],3,3)</f>
        <v>STX</v>
      </c>
      <c r="C3538" t="s">
        <v>13</v>
      </c>
      <c r="D3538" s="1">
        <v>43434</v>
      </c>
      <c r="E3538" s="1">
        <v>43434</v>
      </c>
      <c r="F3538" s="1">
        <v>43411</v>
      </c>
      <c r="G3538" s="1">
        <v>43411</v>
      </c>
      <c r="H3538" t="s">
        <v>9</v>
      </c>
      <c r="I3538" t="s">
        <v>10</v>
      </c>
    </row>
    <row r="3539" spans="1:9" x14ac:dyDescent="0.25">
      <c r="A3539" t="s">
        <v>3277</v>
      </c>
      <c r="B3539" s="26" t="str">
        <f>MID(tbl_forecast[[#This Row],[PACE Job Number]],3,3)</f>
        <v>STX</v>
      </c>
      <c r="C3539" t="s">
        <v>13</v>
      </c>
      <c r="D3539" s="1">
        <v>43419</v>
      </c>
      <c r="E3539" s="1">
        <v>43464</v>
      </c>
      <c r="F3539" s="1">
        <v>43449</v>
      </c>
      <c r="G3539" s="1"/>
      <c r="H3539" t="s">
        <v>4664</v>
      </c>
      <c r="I3539" t="s">
        <v>5645</v>
      </c>
    </row>
    <row r="3540" spans="1:9" x14ac:dyDescent="0.25">
      <c r="A3540" t="s">
        <v>3377</v>
      </c>
      <c r="B3540" s="26" t="str">
        <f>MID(tbl_forecast[[#This Row],[PACE Job Number]],3,3)</f>
        <v>STX</v>
      </c>
      <c r="C3540" t="s">
        <v>13</v>
      </c>
      <c r="D3540" s="1">
        <v>43419</v>
      </c>
      <c r="E3540" s="1">
        <v>43434</v>
      </c>
      <c r="F3540" s="1">
        <v>43423</v>
      </c>
      <c r="G3540" s="1">
        <v>43423</v>
      </c>
      <c r="H3540" t="s">
        <v>9</v>
      </c>
      <c r="I3540" t="s">
        <v>10</v>
      </c>
    </row>
    <row r="3541" spans="1:9" x14ac:dyDescent="0.25">
      <c r="A3541" t="s">
        <v>4492</v>
      </c>
      <c r="B3541" s="26" t="str">
        <f>MID(tbl_forecast[[#This Row],[PACE Job Number]],3,3)</f>
        <v>STX</v>
      </c>
      <c r="C3541" t="s">
        <v>13</v>
      </c>
      <c r="D3541" s="1">
        <v>43419</v>
      </c>
      <c r="E3541" s="1">
        <v>43403</v>
      </c>
      <c r="F3541" s="1">
        <v>43423</v>
      </c>
      <c r="G3541" s="1">
        <v>43423</v>
      </c>
      <c r="H3541" t="s">
        <v>9</v>
      </c>
      <c r="I3541" t="s">
        <v>10</v>
      </c>
    </row>
    <row r="3542" spans="1:9" x14ac:dyDescent="0.25">
      <c r="A3542" t="s">
        <v>4498</v>
      </c>
      <c r="B3542" s="26" t="str">
        <f>MID(tbl_forecast[[#This Row],[PACE Job Number]],3,3)</f>
        <v>STX</v>
      </c>
      <c r="C3542" t="s">
        <v>13</v>
      </c>
      <c r="D3542" s="1">
        <v>43419</v>
      </c>
      <c r="E3542" s="1">
        <v>43434</v>
      </c>
      <c r="F3542" s="1">
        <v>43454</v>
      </c>
      <c r="G3542" s="1"/>
      <c r="H3542" t="s">
        <v>4664</v>
      </c>
      <c r="I3542" t="s">
        <v>5645</v>
      </c>
    </row>
    <row r="3543" spans="1:9" x14ac:dyDescent="0.25">
      <c r="A3543" t="s">
        <v>3496</v>
      </c>
      <c r="B3543" s="26" t="str">
        <f>MID(tbl_forecast[[#This Row],[PACE Job Number]],3,3)</f>
        <v>STX</v>
      </c>
      <c r="C3543" t="s">
        <v>13</v>
      </c>
      <c r="D3543" s="1">
        <v>43419</v>
      </c>
      <c r="E3543" s="1">
        <v>43434</v>
      </c>
      <c r="F3543" s="1">
        <v>43409</v>
      </c>
      <c r="G3543" s="1">
        <v>43409</v>
      </c>
      <c r="H3543" t="s">
        <v>9</v>
      </c>
      <c r="I3543" t="s">
        <v>10</v>
      </c>
    </row>
    <row r="3544" spans="1:9" x14ac:dyDescent="0.25">
      <c r="A3544" t="s">
        <v>4499</v>
      </c>
      <c r="B3544" s="26" t="str">
        <f>MID(tbl_forecast[[#This Row],[PACE Job Number]],3,3)</f>
        <v>STX</v>
      </c>
      <c r="C3544" t="s">
        <v>13</v>
      </c>
      <c r="D3544" s="1">
        <v>43419</v>
      </c>
      <c r="E3544" s="1">
        <v>43434</v>
      </c>
      <c r="F3544" s="1">
        <v>43419</v>
      </c>
      <c r="G3544" s="1"/>
      <c r="H3544" t="s">
        <v>9</v>
      </c>
      <c r="I3544" t="s">
        <v>44</v>
      </c>
    </row>
    <row r="3545" spans="1:9" x14ac:dyDescent="0.25">
      <c r="A3545" t="s">
        <v>133</v>
      </c>
      <c r="B3545" s="26" t="str">
        <f>MID(tbl_forecast[[#This Row],[PACE Job Number]],3,3)</f>
        <v>STX</v>
      </c>
      <c r="C3545" t="s">
        <v>13</v>
      </c>
      <c r="D3545" s="1">
        <v>43419</v>
      </c>
      <c r="E3545" s="1">
        <v>43464</v>
      </c>
      <c r="F3545" s="1">
        <v>43411</v>
      </c>
      <c r="G3545" s="1">
        <v>43411</v>
      </c>
      <c r="H3545" t="s">
        <v>9</v>
      </c>
      <c r="I3545" t="s">
        <v>10</v>
      </c>
    </row>
    <row r="3546" spans="1:9" x14ac:dyDescent="0.25">
      <c r="A3546" t="s">
        <v>285</v>
      </c>
      <c r="B3546" s="26" t="str">
        <f>MID(tbl_forecast[[#This Row],[PACE Job Number]],3,3)</f>
        <v>STX</v>
      </c>
      <c r="C3546" t="s">
        <v>13</v>
      </c>
      <c r="D3546" s="1">
        <v>43419</v>
      </c>
      <c r="E3546" s="1">
        <v>43446</v>
      </c>
      <c r="F3546" s="1">
        <v>43444</v>
      </c>
      <c r="G3546" s="1"/>
      <c r="H3546" t="s">
        <v>4664</v>
      </c>
      <c r="I3546" t="s">
        <v>5645</v>
      </c>
    </row>
    <row r="3547" spans="1:9" x14ac:dyDescent="0.25">
      <c r="A3547" t="s">
        <v>4500</v>
      </c>
      <c r="B3547" s="26" t="str">
        <f>MID(tbl_forecast[[#This Row],[PACE Job Number]],3,3)</f>
        <v>STX</v>
      </c>
      <c r="C3547" t="s">
        <v>13</v>
      </c>
      <c r="D3547" s="1">
        <v>43419</v>
      </c>
      <c r="E3547" s="1">
        <v>43434</v>
      </c>
      <c r="F3547" s="1">
        <v>43417</v>
      </c>
      <c r="G3547" s="1">
        <v>43417</v>
      </c>
      <c r="H3547" t="s">
        <v>9</v>
      </c>
      <c r="I3547" t="s">
        <v>10</v>
      </c>
    </row>
    <row r="3548" spans="1:9" x14ac:dyDescent="0.25">
      <c r="A3548" t="s">
        <v>4501</v>
      </c>
      <c r="B3548" s="26" t="str">
        <f>MID(tbl_forecast[[#This Row],[PACE Job Number]],3,3)</f>
        <v>STX</v>
      </c>
      <c r="C3548" t="s">
        <v>13</v>
      </c>
      <c r="D3548" s="1">
        <v>43419</v>
      </c>
      <c r="E3548" s="1">
        <v>43403</v>
      </c>
      <c r="F3548" s="1">
        <v>43419</v>
      </c>
      <c r="G3548" s="1"/>
      <c r="H3548" t="s">
        <v>9</v>
      </c>
      <c r="I3548" t="s">
        <v>27</v>
      </c>
    </row>
    <row r="3549" spans="1:9" x14ac:dyDescent="0.25">
      <c r="A3549" t="s">
        <v>4503</v>
      </c>
      <c r="B3549" s="26" t="str">
        <f>MID(tbl_forecast[[#This Row],[PACE Job Number]],3,3)</f>
        <v>NTX</v>
      </c>
      <c r="C3549" t="s">
        <v>13</v>
      </c>
      <c r="D3549" s="1">
        <v>43430</v>
      </c>
      <c r="E3549" s="1">
        <v>43453</v>
      </c>
      <c r="F3549" s="1">
        <v>43420</v>
      </c>
      <c r="G3549" s="1">
        <v>43420</v>
      </c>
      <c r="H3549" t="s">
        <v>9</v>
      </c>
      <c r="I3549" t="s">
        <v>10</v>
      </c>
    </row>
    <row r="3550" spans="1:9" x14ac:dyDescent="0.25">
      <c r="A3550" t="s">
        <v>3827</v>
      </c>
      <c r="B3550" s="26" t="str">
        <f>MID(tbl_forecast[[#This Row],[PACE Job Number]],3,3)</f>
        <v>NTX</v>
      </c>
      <c r="C3550" t="s">
        <v>13</v>
      </c>
      <c r="D3550" s="1">
        <v>43431</v>
      </c>
      <c r="E3550" s="1">
        <v>43447</v>
      </c>
      <c r="F3550" s="1">
        <v>43417</v>
      </c>
      <c r="G3550" s="1">
        <v>43417</v>
      </c>
      <c r="H3550" t="s">
        <v>9</v>
      </c>
      <c r="I3550" t="s">
        <v>10</v>
      </c>
    </row>
    <row r="3551" spans="1:9" x14ac:dyDescent="0.25">
      <c r="A3551" t="s">
        <v>3493</v>
      </c>
      <c r="B3551" s="26" t="str">
        <f>MID(tbl_forecast[[#This Row],[PACE Job Number]],3,3)</f>
        <v>NTX</v>
      </c>
      <c r="C3551" t="s">
        <v>13</v>
      </c>
      <c r="D3551" s="1">
        <v>43429</v>
      </c>
      <c r="E3551" s="1">
        <v>43411</v>
      </c>
      <c r="F3551" s="1">
        <v>43412</v>
      </c>
      <c r="G3551" s="1">
        <v>43412</v>
      </c>
      <c r="H3551" t="s">
        <v>9</v>
      </c>
      <c r="I3551" t="s">
        <v>10</v>
      </c>
    </row>
    <row r="3552" spans="1:9" x14ac:dyDescent="0.25">
      <c r="A3552" t="s">
        <v>4506</v>
      </c>
      <c r="B3552" s="26" t="str">
        <f>MID(tbl_forecast[[#This Row],[PACE Job Number]],3,3)</f>
        <v>NTX</v>
      </c>
      <c r="C3552" t="s">
        <v>13</v>
      </c>
      <c r="D3552" s="1">
        <v>43430</v>
      </c>
      <c r="E3552" s="1">
        <v>43453</v>
      </c>
      <c r="F3552" s="1">
        <v>43420</v>
      </c>
      <c r="G3552" s="1">
        <v>43420</v>
      </c>
      <c r="H3552" t="s">
        <v>9</v>
      </c>
      <c r="I3552" t="s">
        <v>10</v>
      </c>
    </row>
    <row r="3553" spans="1:9" x14ac:dyDescent="0.25">
      <c r="A3553" t="s">
        <v>4322</v>
      </c>
      <c r="B3553" s="26" t="str">
        <f>MID(tbl_forecast[[#This Row],[PACE Job Number]],3,3)</f>
        <v>STX</v>
      </c>
      <c r="C3553" t="s">
        <v>13</v>
      </c>
      <c r="D3553" s="1">
        <v>43419</v>
      </c>
      <c r="E3553" s="1">
        <v>43464</v>
      </c>
      <c r="F3553" s="1">
        <v>43419</v>
      </c>
      <c r="G3553" s="1"/>
      <c r="H3553" t="s">
        <v>9</v>
      </c>
      <c r="I3553" t="s">
        <v>44</v>
      </c>
    </row>
    <row r="3554" spans="1:9" x14ac:dyDescent="0.25">
      <c r="A3554" t="s">
        <v>3541</v>
      </c>
      <c r="B3554" s="26" t="str">
        <f>MID(tbl_forecast[[#This Row],[PACE Job Number]],3,3)</f>
        <v>STX</v>
      </c>
      <c r="C3554" t="s">
        <v>13</v>
      </c>
      <c r="D3554" s="1">
        <v>43419</v>
      </c>
      <c r="E3554" s="1">
        <v>43403</v>
      </c>
      <c r="F3554" s="1">
        <v>43419</v>
      </c>
      <c r="G3554" s="1"/>
      <c r="H3554" t="s">
        <v>9</v>
      </c>
      <c r="I3554" t="s">
        <v>27</v>
      </c>
    </row>
    <row r="3555" spans="1:9" x14ac:dyDescent="0.25">
      <c r="A3555" t="s">
        <v>3542</v>
      </c>
      <c r="B3555" s="26" t="str">
        <f>MID(tbl_forecast[[#This Row],[PACE Job Number]],3,3)</f>
        <v>STX</v>
      </c>
      <c r="C3555" t="s">
        <v>13</v>
      </c>
      <c r="D3555" s="1">
        <v>43419</v>
      </c>
      <c r="E3555" s="1">
        <v>43403</v>
      </c>
      <c r="F3555" s="1">
        <v>43419</v>
      </c>
      <c r="G3555" s="1"/>
      <c r="H3555" t="s">
        <v>9</v>
      </c>
      <c r="I3555" t="s">
        <v>27</v>
      </c>
    </row>
    <row r="3556" spans="1:9" x14ac:dyDescent="0.25">
      <c r="A3556" t="s">
        <v>3207</v>
      </c>
      <c r="B3556" s="26" t="str">
        <f>MID(tbl_forecast[[#This Row],[PACE Job Number]],3,3)</f>
        <v>STX</v>
      </c>
      <c r="C3556" t="s">
        <v>13</v>
      </c>
      <c r="D3556" s="1">
        <v>43434</v>
      </c>
      <c r="E3556" s="1">
        <v>43434</v>
      </c>
      <c r="F3556" s="1">
        <v>43411</v>
      </c>
      <c r="G3556" s="1">
        <v>43411</v>
      </c>
      <c r="H3556" t="s">
        <v>9</v>
      </c>
      <c r="I3556" t="s">
        <v>10</v>
      </c>
    </row>
    <row r="3557" spans="1:9" x14ac:dyDescent="0.25">
      <c r="A3557" t="s">
        <v>4561</v>
      </c>
      <c r="B3557" s="26" t="str">
        <f>MID(tbl_forecast[[#This Row],[PACE Job Number]],3,3)</f>
        <v>STX</v>
      </c>
      <c r="C3557" t="s">
        <v>13</v>
      </c>
      <c r="D3557" s="1">
        <v>43419</v>
      </c>
      <c r="E3557" s="1">
        <v>36524</v>
      </c>
      <c r="F3557" s="1">
        <v>43419</v>
      </c>
      <c r="G3557" s="1"/>
      <c r="H3557" t="s">
        <v>9</v>
      </c>
      <c r="I3557" t="s">
        <v>27</v>
      </c>
    </row>
    <row r="3558" spans="1:9" x14ac:dyDescent="0.25">
      <c r="A3558" t="s">
        <v>5456</v>
      </c>
      <c r="B3558" s="26" t="str">
        <f>MID(tbl_forecast[[#This Row],[PACE Job Number]],3,3)</f>
        <v>STX</v>
      </c>
      <c r="C3558" t="s">
        <v>13</v>
      </c>
      <c r="D3558" s="1">
        <v>43419</v>
      </c>
      <c r="E3558" s="1">
        <v>43403</v>
      </c>
      <c r="F3558" s="1">
        <v>43419</v>
      </c>
      <c r="G3558" s="1"/>
      <c r="H3558" t="s">
        <v>9</v>
      </c>
      <c r="I3558" t="s">
        <v>27</v>
      </c>
    </row>
    <row r="3559" spans="1:9" x14ac:dyDescent="0.25">
      <c r="A3559" t="s">
        <v>3309</v>
      </c>
      <c r="B3559" s="26" t="str">
        <f>MID(tbl_forecast[[#This Row],[PACE Job Number]],3,3)</f>
        <v>STX</v>
      </c>
      <c r="C3559" t="s">
        <v>13</v>
      </c>
      <c r="D3559" s="1">
        <v>43419</v>
      </c>
      <c r="E3559" s="1">
        <v>43464</v>
      </c>
      <c r="F3559" s="1">
        <v>43419</v>
      </c>
      <c r="G3559" s="1"/>
      <c r="H3559" t="s">
        <v>9</v>
      </c>
      <c r="I3559" t="s">
        <v>44</v>
      </c>
    </row>
    <row r="3560" spans="1:9" x14ac:dyDescent="0.25">
      <c r="A3560" t="s">
        <v>3315</v>
      </c>
      <c r="B3560" s="26" t="str">
        <f>MID(tbl_forecast[[#This Row],[PACE Job Number]],3,3)</f>
        <v>STX</v>
      </c>
      <c r="C3560" t="s">
        <v>13</v>
      </c>
      <c r="D3560" s="1">
        <v>43419</v>
      </c>
      <c r="E3560" s="1">
        <v>43464</v>
      </c>
      <c r="F3560" s="1">
        <v>43419</v>
      </c>
      <c r="G3560" s="1"/>
      <c r="H3560" t="s">
        <v>9</v>
      </c>
      <c r="I3560" t="s">
        <v>44</v>
      </c>
    </row>
    <row r="3561" spans="1:9" x14ac:dyDescent="0.25">
      <c r="A3561" t="s">
        <v>3475</v>
      </c>
      <c r="B3561" s="26" t="str">
        <f>MID(tbl_forecast[[#This Row],[PACE Job Number]],3,3)</f>
        <v>STX</v>
      </c>
      <c r="C3561" t="s">
        <v>13</v>
      </c>
      <c r="D3561" s="1">
        <v>43434</v>
      </c>
      <c r="E3561" s="1">
        <v>43434</v>
      </c>
      <c r="F3561" s="1">
        <v>43413</v>
      </c>
      <c r="G3561" s="1">
        <v>43413</v>
      </c>
      <c r="H3561" t="s">
        <v>9</v>
      </c>
      <c r="I3561" t="s">
        <v>10</v>
      </c>
    </row>
    <row r="3562" spans="1:9" x14ac:dyDescent="0.25">
      <c r="A3562" t="s">
        <v>4509</v>
      </c>
      <c r="B3562" s="26" t="str">
        <f>MID(tbl_forecast[[#This Row],[PACE Job Number]],3,3)</f>
        <v>STX</v>
      </c>
      <c r="C3562" t="s">
        <v>13</v>
      </c>
      <c r="D3562" s="1">
        <v>43434</v>
      </c>
      <c r="E3562" s="1">
        <v>43453</v>
      </c>
      <c r="F3562" s="1">
        <v>43453</v>
      </c>
      <c r="G3562" s="1"/>
      <c r="H3562" t="s">
        <v>4664</v>
      </c>
      <c r="I3562" t="s">
        <v>4665</v>
      </c>
    </row>
    <row r="3563" spans="1:9" x14ac:dyDescent="0.25">
      <c r="A3563" t="s">
        <v>3364</v>
      </c>
      <c r="B3563" s="26" t="str">
        <f>MID(tbl_forecast[[#This Row],[PACE Job Number]],3,3)</f>
        <v>STX</v>
      </c>
      <c r="C3563" t="s">
        <v>13</v>
      </c>
      <c r="D3563" s="1">
        <v>43419</v>
      </c>
      <c r="E3563" s="1">
        <v>43434</v>
      </c>
      <c r="F3563" s="1">
        <v>43423</v>
      </c>
      <c r="G3563" s="1">
        <v>43423</v>
      </c>
      <c r="H3563" t="s">
        <v>9</v>
      </c>
      <c r="I3563" t="s">
        <v>10</v>
      </c>
    </row>
    <row r="3564" spans="1:9" x14ac:dyDescent="0.25">
      <c r="A3564" t="s">
        <v>4595</v>
      </c>
      <c r="B3564" s="26" t="str">
        <f>MID(tbl_forecast[[#This Row],[PACE Job Number]],3,3)</f>
        <v>STX</v>
      </c>
      <c r="C3564" t="s">
        <v>13</v>
      </c>
      <c r="D3564" s="1">
        <v>43434</v>
      </c>
      <c r="E3564" s="1">
        <v>43434</v>
      </c>
      <c r="F3564" s="1">
        <v>43434</v>
      </c>
      <c r="G3564" s="1"/>
      <c r="H3564" t="s">
        <v>9</v>
      </c>
      <c r="I3564" t="s">
        <v>27</v>
      </c>
    </row>
    <row r="3565" spans="1:9" x14ac:dyDescent="0.25">
      <c r="A3565" t="s">
        <v>5593</v>
      </c>
      <c r="B3565" s="26" t="str">
        <f>MID(tbl_forecast[[#This Row],[PACE Job Number]],3,3)</f>
        <v>STX</v>
      </c>
      <c r="C3565" t="s">
        <v>13</v>
      </c>
      <c r="D3565" s="1">
        <v>43419</v>
      </c>
      <c r="E3565" s="1">
        <v>43585</v>
      </c>
      <c r="F3565" s="1">
        <v>43423</v>
      </c>
      <c r="G3565" s="1">
        <v>43423</v>
      </c>
      <c r="H3565" t="s">
        <v>9</v>
      </c>
      <c r="I3565" t="s">
        <v>10</v>
      </c>
    </row>
    <row r="3566" spans="1:9" x14ac:dyDescent="0.25">
      <c r="A3566" t="s">
        <v>3284</v>
      </c>
      <c r="B3566" s="26" t="str">
        <f>MID(tbl_forecast[[#This Row],[PACE Job Number]],3,3)</f>
        <v>STX</v>
      </c>
      <c r="C3566" t="s">
        <v>13</v>
      </c>
      <c r="D3566" s="1">
        <v>43419</v>
      </c>
      <c r="E3566" s="1">
        <v>43403</v>
      </c>
      <c r="F3566" s="1">
        <v>43419</v>
      </c>
      <c r="G3566" s="1"/>
      <c r="H3566" t="s">
        <v>9</v>
      </c>
      <c r="I3566" t="s">
        <v>27</v>
      </c>
    </row>
    <row r="3567" spans="1:9" x14ac:dyDescent="0.25">
      <c r="A3567" t="s">
        <v>551</v>
      </c>
      <c r="B3567" s="26" t="str">
        <f>MID(tbl_forecast[[#This Row],[PACE Job Number]],3,3)</f>
        <v>STX</v>
      </c>
      <c r="C3567" t="s">
        <v>13</v>
      </c>
      <c r="D3567" s="1">
        <v>43419</v>
      </c>
      <c r="E3567" s="1">
        <v>43403</v>
      </c>
      <c r="F3567" s="1">
        <v>43419</v>
      </c>
      <c r="G3567" s="1"/>
      <c r="H3567" t="s">
        <v>9</v>
      </c>
      <c r="I3567" t="s">
        <v>27</v>
      </c>
    </row>
    <row r="3568" spans="1:9" x14ac:dyDescent="0.25">
      <c r="A3568" t="s">
        <v>5594</v>
      </c>
      <c r="B3568" s="26" t="str">
        <f>MID(tbl_forecast[[#This Row],[PACE Job Number]],3,3)</f>
        <v>STX</v>
      </c>
      <c r="C3568" t="s">
        <v>13</v>
      </c>
      <c r="D3568" s="1">
        <v>43407</v>
      </c>
      <c r="E3568" s="1">
        <v>43407</v>
      </c>
      <c r="F3568" s="1">
        <v>43473</v>
      </c>
      <c r="G3568" s="1"/>
      <c r="H3568" t="s">
        <v>4664</v>
      </c>
      <c r="I3568" t="s">
        <v>4666</v>
      </c>
    </row>
    <row r="3569" spans="1:9" x14ac:dyDescent="0.25">
      <c r="A3569" t="s">
        <v>3355</v>
      </c>
      <c r="B3569" s="26" t="str">
        <f>MID(tbl_forecast[[#This Row],[PACE Job Number]],3,3)</f>
        <v>STX</v>
      </c>
      <c r="C3569" t="s">
        <v>13</v>
      </c>
      <c r="D3569" s="1">
        <v>43419</v>
      </c>
      <c r="E3569" s="1">
        <v>43464</v>
      </c>
      <c r="F3569" s="1">
        <v>43419</v>
      </c>
      <c r="G3569" s="1"/>
      <c r="H3569" t="s">
        <v>9</v>
      </c>
      <c r="I3569" t="s">
        <v>44</v>
      </c>
    </row>
    <row r="3570" spans="1:9" x14ac:dyDescent="0.25">
      <c r="A3570" t="s">
        <v>3963</v>
      </c>
      <c r="B3570" s="26" t="str">
        <f>MID(tbl_forecast[[#This Row],[PACE Job Number]],3,3)</f>
        <v>NTX</v>
      </c>
      <c r="C3570" t="s">
        <v>13</v>
      </c>
      <c r="D3570" s="1">
        <v>43430</v>
      </c>
      <c r="E3570" s="1">
        <v>43414</v>
      </c>
      <c r="F3570" s="1">
        <v>43464</v>
      </c>
      <c r="G3570" s="1"/>
      <c r="H3570" t="s">
        <v>4664</v>
      </c>
      <c r="I3570" t="s">
        <v>4666</v>
      </c>
    </row>
    <row r="3571" spans="1:9" x14ac:dyDescent="0.25">
      <c r="A3571" t="s">
        <v>3882</v>
      </c>
      <c r="B3571" s="26" t="str">
        <f>MID(tbl_forecast[[#This Row],[PACE Job Number]],3,3)</f>
        <v>NTX</v>
      </c>
      <c r="C3571" t="s">
        <v>13</v>
      </c>
      <c r="D3571" s="1">
        <v>43426</v>
      </c>
      <c r="E3571" s="1">
        <v>43448</v>
      </c>
      <c r="F3571" s="1">
        <v>43464</v>
      </c>
      <c r="G3571" s="1"/>
      <c r="H3571" t="s">
        <v>4664</v>
      </c>
      <c r="I3571" t="s">
        <v>4665</v>
      </c>
    </row>
    <row r="3572" spans="1:9" x14ac:dyDescent="0.25">
      <c r="A3572" t="s">
        <v>4274</v>
      </c>
      <c r="B3572" s="26" t="str">
        <f>MID(tbl_forecast[[#This Row],[PACE Job Number]],3,3)</f>
        <v>WSH</v>
      </c>
      <c r="C3572" t="s">
        <v>13</v>
      </c>
      <c r="D3572" s="1">
        <v>43434</v>
      </c>
      <c r="E3572" s="1">
        <v>36524</v>
      </c>
      <c r="F3572" s="1">
        <v>43434</v>
      </c>
      <c r="G3572" s="1"/>
      <c r="H3572" t="s">
        <v>9</v>
      </c>
      <c r="I3572" t="s">
        <v>27</v>
      </c>
    </row>
    <row r="3573" spans="1:9" x14ac:dyDescent="0.25">
      <c r="A3573" t="s">
        <v>4275</v>
      </c>
      <c r="B3573" s="26" t="str">
        <f>MID(tbl_forecast[[#This Row],[PACE Job Number]],3,3)</f>
        <v>WSH</v>
      </c>
      <c r="C3573" t="s">
        <v>13</v>
      </c>
      <c r="D3573" s="1">
        <v>43434</v>
      </c>
      <c r="E3573" s="1">
        <v>36524</v>
      </c>
      <c r="F3573" s="1">
        <v>43433</v>
      </c>
      <c r="G3573" s="1">
        <v>43433</v>
      </c>
      <c r="H3573" t="s">
        <v>9</v>
      </c>
      <c r="I3573" t="s">
        <v>10</v>
      </c>
    </row>
    <row r="3574" spans="1:9" x14ac:dyDescent="0.25">
      <c r="A3574" t="s">
        <v>3993</v>
      </c>
      <c r="B3574" s="26" t="str">
        <f>MID(tbl_forecast[[#This Row],[PACE Job Number]],3,3)</f>
        <v>WSH</v>
      </c>
      <c r="C3574" t="s">
        <v>13</v>
      </c>
      <c r="D3574" s="1">
        <v>43434</v>
      </c>
      <c r="E3574" s="1">
        <v>36524</v>
      </c>
      <c r="F3574" s="1">
        <v>43434</v>
      </c>
      <c r="G3574" s="1"/>
      <c r="H3574" t="s">
        <v>9</v>
      </c>
      <c r="I3574" t="s">
        <v>27</v>
      </c>
    </row>
    <row r="3575" spans="1:9" x14ac:dyDescent="0.25">
      <c r="A3575" t="s">
        <v>4021</v>
      </c>
      <c r="B3575" s="26" t="str">
        <f>MID(tbl_forecast[[#This Row],[PACE Job Number]],3,3)</f>
        <v>WSH</v>
      </c>
      <c r="C3575" t="s">
        <v>13</v>
      </c>
      <c r="D3575" s="1">
        <v>43434</v>
      </c>
      <c r="E3575" s="1">
        <v>36524</v>
      </c>
      <c r="F3575" s="1">
        <v>43431</v>
      </c>
      <c r="G3575" s="1">
        <v>43431</v>
      </c>
      <c r="H3575" t="s">
        <v>9</v>
      </c>
      <c r="I3575" t="s">
        <v>10</v>
      </c>
    </row>
    <row r="3576" spans="1:9" x14ac:dyDescent="0.25">
      <c r="A3576" t="s">
        <v>3877</v>
      </c>
      <c r="B3576" s="26" t="str">
        <f>MID(tbl_forecast[[#This Row],[PACE Job Number]],3,3)</f>
        <v>WSH</v>
      </c>
      <c r="C3576" t="s">
        <v>13</v>
      </c>
      <c r="D3576" s="1">
        <v>43434</v>
      </c>
      <c r="E3576" s="1">
        <v>36524</v>
      </c>
      <c r="F3576" s="1">
        <v>43432</v>
      </c>
      <c r="G3576" s="1">
        <v>43432</v>
      </c>
      <c r="H3576" t="s">
        <v>9</v>
      </c>
      <c r="I3576" t="s">
        <v>10</v>
      </c>
    </row>
    <row r="3577" spans="1:9" x14ac:dyDescent="0.25">
      <c r="A3577" t="s">
        <v>5595</v>
      </c>
      <c r="B3577" s="26" t="str">
        <f>MID(tbl_forecast[[#This Row],[PACE Job Number]],3,3)</f>
        <v>WSH</v>
      </c>
      <c r="C3577" t="s">
        <v>13</v>
      </c>
      <c r="D3577" s="1">
        <v>43434</v>
      </c>
      <c r="E3577" s="1">
        <v>36524</v>
      </c>
      <c r="F3577" s="1">
        <v>43434</v>
      </c>
      <c r="G3577" s="1"/>
      <c r="H3577" t="s">
        <v>9</v>
      </c>
      <c r="I3577" t="s">
        <v>27</v>
      </c>
    </row>
    <row r="3578" spans="1:9" x14ac:dyDescent="0.25">
      <c r="A3578" t="s">
        <v>4284</v>
      </c>
      <c r="B3578" s="26" t="str">
        <f>MID(tbl_forecast[[#This Row],[PACE Job Number]],3,3)</f>
        <v>WSH</v>
      </c>
      <c r="C3578" t="s">
        <v>13</v>
      </c>
      <c r="D3578" s="1">
        <v>43434</v>
      </c>
      <c r="E3578" s="1">
        <v>36524</v>
      </c>
      <c r="F3578" s="1">
        <v>43446</v>
      </c>
      <c r="G3578" s="1"/>
      <c r="H3578" t="s">
        <v>9</v>
      </c>
      <c r="I3578" t="s">
        <v>27</v>
      </c>
    </row>
    <row r="3579" spans="1:9" x14ac:dyDescent="0.25">
      <c r="A3579" t="s">
        <v>115</v>
      </c>
      <c r="B3579" s="26" t="str">
        <f>MID(tbl_forecast[[#This Row],[PACE Job Number]],3,3)</f>
        <v>WSH</v>
      </c>
      <c r="C3579" t="s">
        <v>13</v>
      </c>
      <c r="D3579" s="1">
        <v>43434</v>
      </c>
      <c r="E3579" s="1">
        <v>36524</v>
      </c>
      <c r="F3579" s="1">
        <v>43434</v>
      </c>
      <c r="G3579" s="1"/>
      <c r="H3579" t="s">
        <v>9</v>
      </c>
      <c r="I3579" t="s">
        <v>27</v>
      </c>
    </row>
    <row r="3580" spans="1:9" x14ac:dyDescent="0.25">
      <c r="A3580" t="s">
        <v>5551</v>
      </c>
      <c r="B3580" s="26" t="str">
        <f>MID(tbl_forecast[[#This Row],[PACE Job Number]],3,3)</f>
        <v>WSH</v>
      </c>
      <c r="C3580" t="s">
        <v>13</v>
      </c>
      <c r="D3580" s="1">
        <v>43434</v>
      </c>
      <c r="E3580" s="1">
        <v>36524</v>
      </c>
      <c r="F3580" s="1">
        <v>43434</v>
      </c>
      <c r="G3580" s="1"/>
      <c r="H3580" t="s">
        <v>9</v>
      </c>
      <c r="I3580" t="s">
        <v>27</v>
      </c>
    </row>
    <row r="3581" spans="1:9" x14ac:dyDescent="0.25">
      <c r="A3581" t="s">
        <v>4286</v>
      </c>
      <c r="B3581" s="26" t="str">
        <f>MID(tbl_forecast[[#This Row],[PACE Job Number]],3,3)</f>
        <v>WSH</v>
      </c>
      <c r="C3581" t="s">
        <v>13</v>
      </c>
      <c r="D3581" s="1">
        <v>43434</v>
      </c>
      <c r="E3581" s="1">
        <v>36524</v>
      </c>
      <c r="F3581" s="1">
        <v>43423</v>
      </c>
      <c r="G3581" s="1">
        <v>43423</v>
      </c>
      <c r="H3581" t="s">
        <v>9</v>
      </c>
      <c r="I3581" t="s">
        <v>10</v>
      </c>
    </row>
    <row r="3582" spans="1:9" x14ac:dyDescent="0.25">
      <c r="A3582" t="s">
        <v>4288</v>
      </c>
      <c r="B3582" s="26" t="str">
        <f>MID(tbl_forecast[[#This Row],[PACE Job Number]],3,3)</f>
        <v>WSH</v>
      </c>
      <c r="C3582" t="s">
        <v>13</v>
      </c>
      <c r="D3582" s="1">
        <v>43434</v>
      </c>
      <c r="E3582" s="1">
        <v>36524</v>
      </c>
      <c r="F3582" s="1">
        <v>43410</v>
      </c>
      <c r="G3582" s="1">
        <v>43410</v>
      </c>
      <c r="H3582" t="s">
        <v>9</v>
      </c>
      <c r="I3582" t="s">
        <v>10</v>
      </c>
    </row>
    <row r="3583" spans="1:9" x14ac:dyDescent="0.25">
      <c r="A3583" t="s">
        <v>3990</v>
      </c>
      <c r="B3583" s="26" t="str">
        <f>MID(tbl_forecast[[#This Row],[PACE Job Number]],3,3)</f>
        <v>WSH</v>
      </c>
      <c r="C3583" t="s">
        <v>13</v>
      </c>
      <c r="D3583" s="1">
        <v>43434</v>
      </c>
      <c r="E3583" s="1">
        <v>36524</v>
      </c>
      <c r="F3583" s="1">
        <v>43434</v>
      </c>
      <c r="G3583" s="1"/>
      <c r="H3583" t="s">
        <v>9</v>
      </c>
      <c r="I3583" t="s">
        <v>27</v>
      </c>
    </row>
    <row r="3584" spans="1:9" x14ac:dyDescent="0.25">
      <c r="A3584" t="s">
        <v>3944</v>
      </c>
      <c r="B3584" s="26" t="str">
        <f>MID(tbl_forecast[[#This Row],[PACE Job Number]],3,3)</f>
        <v>WSH</v>
      </c>
      <c r="C3584" t="s">
        <v>13</v>
      </c>
      <c r="D3584" s="1">
        <v>43434</v>
      </c>
      <c r="E3584" s="1">
        <v>36524</v>
      </c>
      <c r="F3584" s="1">
        <v>43420</v>
      </c>
      <c r="G3584" s="1">
        <v>43420</v>
      </c>
      <c r="H3584" t="s">
        <v>9</v>
      </c>
      <c r="I3584" t="s">
        <v>10</v>
      </c>
    </row>
    <row r="3585" spans="1:9" x14ac:dyDescent="0.25">
      <c r="A3585" t="s">
        <v>4562</v>
      </c>
      <c r="B3585" s="26" t="str">
        <f>MID(tbl_forecast[[#This Row],[PACE Job Number]],3,3)</f>
        <v>STX</v>
      </c>
      <c r="C3585" t="s">
        <v>13</v>
      </c>
      <c r="D3585" s="1">
        <v>43419</v>
      </c>
      <c r="E3585" s="1">
        <v>36524</v>
      </c>
      <c r="F3585" s="1">
        <v>43419</v>
      </c>
      <c r="G3585" s="1"/>
      <c r="H3585" t="s">
        <v>9</v>
      </c>
      <c r="I3585" t="s">
        <v>27</v>
      </c>
    </row>
    <row r="3586" spans="1:9" x14ac:dyDescent="0.25">
      <c r="A3586" t="s">
        <v>3447</v>
      </c>
      <c r="B3586" s="26" t="str">
        <f>MID(tbl_forecast[[#This Row],[PACE Job Number]],3,3)</f>
        <v>NTX</v>
      </c>
      <c r="C3586" t="s">
        <v>13</v>
      </c>
      <c r="D3586" s="1">
        <v>43426</v>
      </c>
      <c r="E3586" s="1">
        <v>43448</v>
      </c>
      <c r="F3586" s="1">
        <v>43432</v>
      </c>
      <c r="G3586" s="1">
        <v>43432</v>
      </c>
      <c r="H3586" t="s">
        <v>9</v>
      </c>
      <c r="I3586" t="s">
        <v>10</v>
      </c>
    </row>
    <row r="3587" spans="1:9" x14ac:dyDescent="0.25">
      <c r="A3587" t="s">
        <v>67</v>
      </c>
      <c r="B3587" s="26" t="str">
        <f>MID(tbl_forecast[[#This Row],[PACE Job Number]],3,3)</f>
        <v>NTX</v>
      </c>
      <c r="C3587" t="s">
        <v>13</v>
      </c>
      <c r="D3587" s="1">
        <v>43412</v>
      </c>
      <c r="E3587" s="1">
        <v>43397</v>
      </c>
      <c r="F3587" s="1">
        <v>43409</v>
      </c>
      <c r="G3587" s="1">
        <v>43409</v>
      </c>
      <c r="H3587" t="s">
        <v>9</v>
      </c>
      <c r="I3587" t="s">
        <v>10</v>
      </c>
    </row>
    <row r="3588" spans="1:9" x14ac:dyDescent="0.25">
      <c r="A3588" t="s">
        <v>294</v>
      </c>
      <c r="B3588" s="26" t="str">
        <f>MID(tbl_forecast[[#This Row],[PACE Job Number]],3,3)</f>
        <v>NTX</v>
      </c>
      <c r="C3588" t="s">
        <v>13</v>
      </c>
      <c r="D3588" s="1">
        <v>43412</v>
      </c>
      <c r="E3588" s="1">
        <v>43397</v>
      </c>
      <c r="F3588" s="1">
        <v>43409</v>
      </c>
      <c r="G3588" s="1">
        <v>43409</v>
      </c>
      <c r="H3588" t="s">
        <v>9</v>
      </c>
      <c r="I3588" t="s">
        <v>10</v>
      </c>
    </row>
    <row r="3589" spans="1:9" x14ac:dyDescent="0.25">
      <c r="A3589" t="s">
        <v>5596</v>
      </c>
      <c r="B3589" s="26" t="str">
        <f>MID(tbl_forecast[[#This Row],[PACE Job Number]],3,3)</f>
        <v>STX</v>
      </c>
      <c r="C3589" t="s">
        <v>13</v>
      </c>
      <c r="D3589" s="1">
        <v>43419</v>
      </c>
      <c r="E3589" s="1">
        <v>43585</v>
      </c>
      <c r="F3589" s="1">
        <v>43423</v>
      </c>
      <c r="G3589" s="1">
        <v>43423</v>
      </c>
      <c r="H3589" t="s">
        <v>9</v>
      </c>
      <c r="I3589" t="s">
        <v>10</v>
      </c>
    </row>
    <row r="3590" spans="1:9" x14ac:dyDescent="0.25">
      <c r="A3590" t="s">
        <v>4372</v>
      </c>
      <c r="B3590" s="26" t="str">
        <f>MID(tbl_forecast[[#This Row],[PACE Job Number]],3,3)</f>
        <v>STX</v>
      </c>
      <c r="C3590" t="s">
        <v>13</v>
      </c>
      <c r="D3590" s="1">
        <v>43419</v>
      </c>
      <c r="E3590" s="1">
        <v>43434</v>
      </c>
      <c r="F3590" s="1">
        <v>43425</v>
      </c>
      <c r="G3590" s="1">
        <v>43425</v>
      </c>
      <c r="H3590" t="s">
        <v>9</v>
      </c>
      <c r="I3590" t="s">
        <v>10</v>
      </c>
    </row>
    <row r="3591" spans="1:9" x14ac:dyDescent="0.25">
      <c r="A3591" t="s">
        <v>5597</v>
      </c>
      <c r="B3591" s="26" t="str">
        <f>MID(tbl_forecast[[#This Row],[PACE Job Number]],3,3)</f>
        <v>STX</v>
      </c>
      <c r="C3591" t="s">
        <v>13</v>
      </c>
      <c r="D3591" s="1">
        <v>43434</v>
      </c>
      <c r="E3591" s="1">
        <v>43434</v>
      </c>
      <c r="F3591" s="1">
        <v>43432</v>
      </c>
      <c r="G3591" s="1">
        <v>43432</v>
      </c>
      <c r="H3591" t="s">
        <v>9</v>
      </c>
      <c r="I3591" t="s">
        <v>10</v>
      </c>
    </row>
    <row r="3592" spans="1:9" x14ac:dyDescent="0.25">
      <c r="A3592" t="s">
        <v>3123</v>
      </c>
      <c r="B3592" s="26" t="str">
        <f>MID(tbl_forecast[[#This Row],[PACE Job Number]],3,3)</f>
        <v>STX</v>
      </c>
      <c r="C3592" t="s">
        <v>13</v>
      </c>
      <c r="D3592" s="1">
        <v>43434</v>
      </c>
      <c r="E3592" s="1">
        <v>43434</v>
      </c>
      <c r="F3592" s="1">
        <v>43413</v>
      </c>
      <c r="G3592" s="1">
        <v>43413</v>
      </c>
      <c r="H3592" t="s">
        <v>9</v>
      </c>
      <c r="I3592" t="s">
        <v>10</v>
      </c>
    </row>
    <row r="3593" spans="1:9" x14ac:dyDescent="0.25">
      <c r="A3593" t="s">
        <v>4374</v>
      </c>
      <c r="B3593" s="26" t="str">
        <f>MID(tbl_forecast[[#This Row],[PACE Job Number]],3,3)</f>
        <v>STX</v>
      </c>
      <c r="C3593" t="s">
        <v>13</v>
      </c>
      <c r="D3593" s="1">
        <v>43419</v>
      </c>
      <c r="E3593" s="1">
        <v>43464</v>
      </c>
      <c r="F3593" s="1">
        <v>43419</v>
      </c>
      <c r="G3593" s="1"/>
      <c r="H3593" t="s">
        <v>9</v>
      </c>
      <c r="I3593" t="s">
        <v>44</v>
      </c>
    </row>
    <row r="3594" spans="1:9" x14ac:dyDescent="0.25">
      <c r="A3594" t="s">
        <v>4375</v>
      </c>
      <c r="B3594" s="26" t="str">
        <f>MID(tbl_forecast[[#This Row],[PACE Job Number]],3,3)</f>
        <v>STX</v>
      </c>
      <c r="C3594" t="s">
        <v>13</v>
      </c>
      <c r="D3594" s="1">
        <v>43419</v>
      </c>
      <c r="E3594" s="1">
        <v>43434</v>
      </c>
      <c r="F3594" s="1">
        <v>43425</v>
      </c>
      <c r="G3594" s="1">
        <v>43425</v>
      </c>
      <c r="H3594" t="s">
        <v>9</v>
      </c>
      <c r="I3594" t="s">
        <v>10</v>
      </c>
    </row>
    <row r="3595" spans="1:9" x14ac:dyDescent="0.25">
      <c r="A3595" t="s">
        <v>5598</v>
      </c>
      <c r="B3595" s="26" t="str">
        <f>MID(tbl_forecast[[#This Row],[PACE Job Number]],3,3)</f>
        <v>STX</v>
      </c>
      <c r="C3595" t="s">
        <v>13</v>
      </c>
      <c r="D3595" s="1">
        <v>43434</v>
      </c>
      <c r="E3595" s="1">
        <v>43434</v>
      </c>
      <c r="F3595" s="1">
        <v>43432</v>
      </c>
      <c r="G3595" s="1">
        <v>43432</v>
      </c>
      <c r="H3595" t="s">
        <v>9</v>
      </c>
      <c r="I3595" t="s">
        <v>10</v>
      </c>
    </row>
    <row r="3596" spans="1:9" x14ac:dyDescent="0.25">
      <c r="A3596" t="s">
        <v>4376</v>
      </c>
      <c r="B3596" s="26" t="str">
        <f>MID(tbl_forecast[[#This Row],[PACE Job Number]],3,3)</f>
        <v>STX</v>
      </c>
      <c r="C3596" t="s">
        <v>13</v>
      </c>
      <c r="D3596" s="1">
        <v>43419</v>
      </c>
      <c r="E3596" s="1">
        <v>43434</v>
      </c>
      <c r="F3596" s="1">
        <v>43419</v>
      </c>
      <c r="G3596" s="1"/>
      <c r="H3596" t="s">
        <v>9</v>
      </c>
      <c r="I3596" t="s">
        <v>44</v>
      </c>
    </row>
    <row r="3597" spans="1:9" x14ac:dyDescent="0.25">
      <c r="A3597" t="s">
        <v>350</v>
      </c>
      <c r="B3597" s="26" t="str">
        <f>MID(tbl_forecast[[#This Row],[PACE Job Number]],3,3)</f>
        <v>WSH</v>
      </c>
      <c r="C3597" t="s">
        <v>13</v>
      </c>
      <c r="D3597" s="1">
        <v>43434</v>
      </c>
      <c r="E3597" s="1">
        <v>36524</v>
      </c>
      <c r="F3597" s="1">
        <v>43410</v>
      </c>
      <c r="G3597" s="1">
        <v>43410</v>
      </c>
      <c r="H3597" t="s">
        <v>9</v>
      </c>
      <c r="I3597" t="s">
        <v>10</v>
      </c>
    </row>
    <row r="3598" spans="1:9" x14ac:dyDescent="0.25">
      <c r="A3598" t="s">
        <v>3423</v>
      </c>
      <c r="B3598" s="26" t="str">
        <f>MID(tbl_forecast[[#This Row],[PACE Job Number]],3,3)</f>
        <v>NTX</v>
      </c>
      <c r="C3598" t="s">
        <v>13</v>
      </c>
      <c r="D3598" s="1">
        <v>43426</v>
      </c>
      <c r="E3598" s="1">
        <v>43411</v>
      </c>
      <c r="F3598" s="1">
        <v>43464</v>
      </c>
      <c r="G3598" s="1"/>
      <c r="H3598" t="s">
        <v>4664</v>
      </c>
      <c r="I3598" t="s">
        <v>4666</v>
      </c>
    </row>
    <row r="3599" spans="1:9" x14ac:dyDescent="0.25">
      <c r="A3599" t="s">
        <v>3419</v>
      </c>
      <c r="B3599" s="26" t="str">
        <f>MID(tbl_forecast[[#This Row],[PACE Job Number]],3,3)</f>
        <v>NTX</v>
      </c>
      <c r="C3599" t="s">
        <v>13</v>
      </c>
      <c r="D3599" s="1">
        <v>43426</v>
      </c>
      <c r="E3599" s="1">
        <v>43411</v>
      </c>
      <c r="F3599" s="1">
        <v>43464</v>
      </c>
      <c r="G3599" s="1"/>
      <c r="H3599" t="s">
        <v>4664</v>
      </c>
      <c r="I3599" t="s">
        <v>4666</v>
      </c>
    </row>
    <row r="3600" spans="1:9" x14ac:dyDescent="0.25">
      <c r="A3600" t="s">
        <v>3415</v>
      </c>
      <c r="B3600" s="26" t="str">
        <f>MID(tbl_forecast[[#This Row],[PACE Job Number]],3,3)</f>
        <v>NTX</v>
      </c>
      <c r="C3600" t="s">
        <v>13</v>
      </c>
      <c r="D3600" s="1">
        <v>43426</v>
      </c>
      <c r="E3600" s="1">
        <v>43411</v>
      </c>
      <c r="F3600" s="1">
        <v>43464</v>
      </c>
      <c r="G3600" s="1"/>
      <c r="H3600" t="s">
        <v>4664</v>
      </c>
      <c r="I3600" t="s">
        <v>4666</v>
      </c>
    </row>
    <row r="3601" spans="1:9" x14ac:dyDescent="0.25">
      <c r="A3601" t="s">
        <v>3445</v>
      </c>
      <c r="B3601" s="26" t="str">
        <f>MID(tbl_forecast[[#This Row],[PACE Job Number]],3,3)</f>
        <v>NTX</v>
      </c>
      <c r="C3601" t="s">
        <v>13</v>
      </c>
      <c r="D3601" s="1">
        <v>43426</v>
      </c>
      <c r="E3601" s="1">
        <v>43411</v>
      </c>
      <c r="F3601" s="1">
        <v>43464</v>
      </c>
      <c r="G3601" s="1"/>
      <c r="H3601" t="s">
        <v>4664</v>
      </c>
      <c r="I3601" t="s">
        <v>4666</v>
      </c>
    </row>
    <row r="3602" spans="1:9" x14ac:dyDescent="0.25">
      <c r="A3602" t="s">
        <v>4603</v>
      </c>
      <c r="B3602" s="26" t="str">
        <f>MID(tbl_forecast[[#This Row],[PACE Job Number]],3,3)</f>
        <v>ANM</v>
      </c>
      <c r="C3602" t="s">
        <v>17</v>
      </c>
      <c r="D3602" s="1">
        <v>43419</v>
      </c>
      <c r="E3602" s="1">
        <v>43084</v>
      </c>
      <c r="F3602" s="1">
        <v>43423</v>
      </c>
      <c r="G3602" s="1">
        <v>43423</v>
      </c>
      <c r="H3602" t="s">
        <v>9</v>
      </c>
      <c r="I3602" t="s">
        <v>10</v>
      </c>
    </row>
    <row r="3603" spans="1:9" x14ac:dyDescent="0.25">
      <c r="A3603" t="s">
        <v>3948</v>
      </c>
      <c r="B3603" s="26" t="str">
        <f>MID(tbl_forecast[[#This Row],[PACE Job Number]],3,3)</f>
        <v>STX</v>
      </c>
      <c r="C3603" t="s">
        <v>17</v>
      </c>
      <c r="D3603" s="1">
        <v>43434</v>
      </c>
      <c r="E3603" s="1">
        <v>43403</v>
      </c>
      <c r="F3603" s="1">
        <v>43434</v>
      </c>
      <c r="G3603" s="1">
        <v>43434</v>
      </c>
      <c r="H3603" t="s">
        <v>9</v>
      </c>
      <c r="I3603" t="s">
        <v>10</v>
      </c>
    </row>
    <row r="3604" spans="1:9" x14ac:dyDescent="0.25">
      <c r="A3604" t="s">
        <v>3949</v>
      </c>
      <c r="B3604" s="26" t="str">
        <f>MID(tbl_forecast[[#This Row],[PACE Job Number]],3,3)</f>
        <v>STX</v>
      </c>
      <c r="C3604" t="s">
        <v>17</v>
      </c>
      <c r="D3604" s="1">
        <v>43434</v>
      </c>
      <c r="E3604" s="1">
        <v>43403</v>
      </c>
      <c r="F3604" s="1">
        <v>43434</v>
      </c>
      <c r="G3604" s="1"/>
      <c r="H3604" t="s">
        <v>9</v>
      </c>
      <c r="I3604" t="s">
        <v>27</v>
      </c>
    </row>
    <row r="3605" spans="1:9" x14ac:dyDescent="0.25">
      <c r="A3605" t="s">
        <v>3950</v>
      </c>
      <c r="B3605" s="26" t="str">
        <f>MID(tbl_forecast[[#This Row],[PACE Job Number]],3,3)</f>
        <v>STX</v>
      </c>
      <c r="C3605" t="s">
        <v>17</v>
      </c>
      <c r="D3605" s="1">
        <v>43434</v>
      </c>
      <c r="E3605" s="1">
        <v>43403</v>
      </c>
      <c r="F3605" s="1">
        <v>43434</v>
      </c>
      <c r="G3605" s="1"/>
      <c r="H3605" t="s">
        <v>9</v>
      </c>
      <c r="I3605" t="s">
        <v>27</v>
      </c>
    </row>
    <row r="3606" spans="1:9" x14ac:dyDescent="0.25">
      <c r="A3606" t="s">
        <v>3397</v>
      </c>
      <c r="B3606" s="26" t="str">
        <f>MID(tbl_forecast[[#This Row],[PACE Job Number]],3,3)</f>
        <v>STX</v>
      </c>
      <c r="C3606" t="s">
        <v>17</v>
      </c>
      <c r="D3606" s="1">
        <v>43434</v>
      </c>
      <c r="E3606" s="1">
        <v>43434</v>
      </c>
      <c r="F3606" s="1">
        <v>43423</v>
      </c>
      <c r="G3606" s="1">
        <v>43423</v>
      </c>
      <c r="H3606" t="s">
        <v>9</v>
      </c>
      <c r="I3606" t="s">
        <v>10</v>
      </c>
    </row>
    <row r="3607" spans="1:9" x14ac:dyDescent="0.25">
      <c r="A3607" t="s">
        <v>3388</v>
      </c>
      <c r="B3607" s="26" t="str">
        <f>MID(tbl_forecast[[#This Row],[PACE Job Number]],3,3)</f>
        <v>STX</v>
      </c>
      <c r="C3607" t="s">
        <v>17</v>
      </c>
      <c r="D3607" s="1">
        <v>43434</v>
      </c>
      <c r="E3607" s="1">
        <v>43434</v>
      </c>
      <c r="F3607" s="1">
        <v>43423</v>
      </c>
      <c r="G3607" s="1">
        <v>43423</v>
      </c>
      <c r="H3607" t="s">
        <v>9</v>
      </c>
      <c r="I3607" t="s">
        <v>10</v>
      </c>
    </row>
    <row r="3608" spans="1:9" x14ac:dyDescent="0.25">
      <c r="A3608" t="s">
        <v>86</v>
      </c>
      <c r="B3608" s="26" t="str">
        <f>MID(tbl_forecast[[#This Row],[PACE Job Number]],3,3)</f>
        <v>STX</v>
      </c>
      <c r="C3608" t="s">
        <v>17</v>
      </c>
      <c r="D3608" s="1">
        <v>43418</v>
      </c>
      <c r="E3608" s="1">
        <v>43418</v>
      </c>
      <c r="F3608" s="1">
        <v>43423</v>
      </c>
      <c r="G3608" s="1">
        <v>43434</v>
      </c>
      <c r="H3608" t="s">
        <v>4664</v>
      </c>
      <c r="I3608" t="s">
        <v>10</v>
      </c>
    </row>
    <row r="3609" spans="1:9" x14ac:dyDescent="0.25">
      <c r="A3609" t="s">
        <v>3514</v>
      </c>
      <c r="B3609" s="26" t="str">
        <f>MID(tbl_forecast[[#This Row],[PACE Job Number]],3,3)</f>
        <v>STX</v>
      </c>
      <c r="C3609" t="s">
        <v>17</v>
      </c>
      <c r="D3609" s="1">
        <v>43434</v>
      </c>
      <c r="E3609" s="1">
        <v>43434</v>
      </c>
      <c r="F3609" s="1">
        <v>43434</v>
      </c>
      <c r="G3609" s="1"/>
      <c r="H3609" t="s">
        <v>9</v>
      </c>
      <c r="I3609" t="s">
        <v>27</v>
      </c>
    </row>
    <row r="3610" spans="1:9" x14ac:dyDescent="0.25">
      <c r="A3610" t="s">
        <v>2677</v>
      </c>
      <c r="B3610" s="26" t="str">
        <f>MID(tbl_forecast[[#This Row],[PACE Job Number]],3,3)</f>
        <v>STX</v>
      </c>
      <c r="C3610" t="s">
        <v>17</v>
      </c>
      <c r="D3610" s="1">
        <v>43405</v>
      </c>
      <c r="E3610" s="1">
        <v>43373</v>
      </c>
      <c r="F3610" s="1">
        <v>43405</v>
      </c>
      <c r="G3610" s="1">
        <v>43405</v>
      </c>
      <c r="H3610" t="s">
        <v>9</v>
      </c>
      <c r="I3610" t="s">
        <v>10</v>
      </c>
    </row>
    <row r="3611" spans="1:9" x14ac:dyDescent="0.25">
      <c r="A3611" t="s">
        <v>348</v>
      </c>
      <c r="B3611" s="26" t="str">
        <f>MID(tbl_forecast[[#This Row],[PACE Job Number]],3,3)</f>
        <v>STX</v>
      </c>
      <c r="C3611" t="s">
        <v>17</v>
      </c>
      <c r="D3611" s="1">
        <v>43418</v>
      </c>
      <c r="E3611" s="1">
        <v>43418</v>
      </c>
      <c r="F3611" s="1">
        <v>43423</v>
      </c>
      <c r="G3611" s="1">
        <v>43426</v>
      </c>
      <c r="H3611" t="s">
        <v>9</v>
      </c>
      <c r="I3611" t="s">
        <v>10</v>
      </c>
    </row>
    <row r="3612" spans="1:9" x14ac:dyDescent="0.25">
      <c r="A3612" t="s">
        <v>4060</v>
      </c>
      <c r="B3612" s="26" t="str">
        <f>MID(tbl_forecast[[#This Row],[PACE Job Number]],3,3)</f>
        <v>STX</v>
      </c>
      <c r="C3612" t="s">
        <v>17</v>
      </c>
      <c r="D3612" s="1">
        <v>43405</v>
      </c>
      <c r="E3612" s="1">
        <v>43434</v>
      </c>
      <c r="F3612" s="1">
        <v>43405</v>
      </c>
      <c r="G3612" s="1">
        <v>43405</v>
      </c>
      <c r="H3612" t="s">
        <v>9</v>
      </c>
      <c r="I3612" t="s">
        <v>10</v>
      </c>
    </row>
    <row r="3613" spans="1:9" x14ac:dyDescent="0.25">
      <c r="A3613" t="s">
        <v>4378</v>
      </c>
      <c r="B3613" s="26" t="str">
        <f>MID(tbl_forecast[[#This Row],[PACE Job Number]],3,3)</f>
        <v>STX</v>
      </c>
      <c r="C3613" t="s">
        <v>17</v>
      </c>
      <c r="D3613" s="1">
        <v>43419</v>
      </c>
      <c r="E3613" s="1">
        <v>43434</v>
      </c>
      <c r="F3613" s="1">
        <v>43419</v>
      </c>
      <c r="G3613" s="1"/>
      <c r="H3613" t="s">
        <v>9</v>
      </c>
      <c r="I3613" t="s">
        <v>44</v>
      </c>
    </row>
    <row r="3614" spans="1:9" x14ac:dyDescent="0.25">
      <c r="A3614" t="s">
        <v>4611</v>
      </c>
      <c r="B3614" s="26" t="str">
        <f>MID(tbl_forecast[[#This Row],[PACE Job Number]],3,3)</f>
        <v>STX</v>
      </c>
      <c r="C3614" t="s">
        <v>17</v>
      </c>
      <c r="D3614" s="1">
        <v>43405</v>
      </c>
      <c r="E3614" s="1">
        <v>43418</v>
      </c>
      <c r="F3614" s="1">
        <v>43405</v>
      </c>
      <c r="G3614" s="1">
        <v>43405</v>
      </c>
      <c r="H3614" t="s">
        <v>9</v>
      </c>
      <c r="I3614" t="s">
        <v>10</v>
      </c>
    </row>
    <row r="3615" spans="1:9" x14ac:dyDescent="0.25">
      <c r="A3615" t="s">
        <v>258</v>
      </c>
      <c r="B3615" s="26" t="str">
        <f>MID(tbl_forecast[[#This Row],[PACE Job Number]],3,3)</f>
        <v>STX</v>
      </c>
      <c r="C3615" t="s">
        <v>17</v>
      </c>
      <c r="D3615" s="1">
        <v>43406</v>
      </c>
      <c r="E3615" s="1">
        <v>43403</v>
      </c>
      <c r="F3615" s="1">
        <v>43406</v>
      </c>
      <c r="G3615" s="1">
        <v>43406</v>
      </c>
      <c r="H3615" t="s">
        <v>9</v>
      </c>
      <c r="I3615" t="s">
        <v>10</v>
      </c>
    </row>
    <row r="3616" spans="1:9" x14ac:dyDescent="0.25">
      <c r="A3616" t="s">
        <v>3954</v>
      </c>
      <c r="B3616" s="26" t="str">
        <f>MID(tbl_forecast[[#This Row],[PACE Job Number]],3,3)</f>
        <v>STX</v>
      </c>
      <c r="C3616" t="s">
        <v>17</v>
      </c>
      <c r="D3616" s="1">
        <v>43419</v>
      </c>
      <c r="E3616" s="1">
        <v>43403</v>
      </c>
      <c r="F3616" s="1">
        <v>43419</v>
      </c>
      <c r="G3616" s="1">
        <v>43433</v>
      </c>
      <c r="H3616" t="s">
        <v>9</v>
      </c>
      <c r="I3616" t="s">
        <v>10</v>
      </c>
    </row>
    <row r="3617" spans="1:9" x14ac:dyDescent="0.25">
      <c r="A3617" t="s">
        <v>195</v>
      </c>
      <c r="B3617" s="26" t="str">
        <f>MID(tbl_forecast[[#This Row],[PACE Job Number]],3,3)</f>
        <v>STX</v>
      </c>
      <c r="C3617" t="s">
        <v>17</v>
      </c>
      <c r="D3617" s="1">
        <v>43434</v>
      </c>
      <c r="E3617" s="1">
        <v>43434</v>
      </c>
      <c r="F3617" s="1">
        <v>43418</v>
      </c>
      <c r="G3617" s="1">
        <v>43418</v>
      </c>
      <c r="H3617" t="s">
        <v>9</v>
      </c>
      <c r="I3617" t="s">
        <v>10</v>
      </c>
    </row>
    <row r="3618" spans="1:9" x14ac:dyDescent="0.25">
      <c r="A3618" t="s">
        <v>3485</v>
      </c>
      <c r="B3618" s="26" t="str">
        <f>MID(tbl_forecast[[#This Row],[PACE Job Number]],3,3)</f>
        <v>STX</v>
      </c>
      <c r="C3618" t="s">
        <v>17</v>
      </c>
      <c r="D3618" s="1">
        <v>43434</v>
      </c>
      <c r="E3618" s="1">
        <v>43434</v>
      </c>
      <c r="F3618" s="1">
        <v>43416</v>
      </c>
      <c r="G3618" s="1">
        <v>43416</v>
      </c>
      <c r="H3618" t="s">
        <v>9</v>
      </c>
      <c r="I3618" t="s">
        <v>10</v>
      </c>
    </row>
    <row r="3619" spans="1:9" x14ac:dyDescent="0.25">
      <c r="A3619" t="s">
        <v>200</v>
      </c>
      <c r="B3619" s="26" t="str">
        <f>MID(tbl_forecast[[#This Row],[PACE Job Number]],3,3)</f>
        <v>STX</v>
      </c>
      <c r="C3619" t="s">
        <v>17</v>
      </c>
      <c r="D3619" s="1">
        <v>43434</v>
      </c>
      <c r="E3619" s="1">
        <v>43434</v>
      </c>
      <c r="F3619" s="1">
        <v>43434</v>
      </c>
      <c r="G3619" s="1"/>
      <c r="H3619" t="s">
        <v>9</v>
      </c>
      <c r="I3619" t="s">
        <v>27</v>
      </c>
    </row>
    <row r="3620" spans="1:9" x14ac:dyDescent="0.25">
      <c r="A3620" t="s">
        <v>3230</v>
      </c>
      <c r="B3620" s="26" t="str">
        <f>MID(tbl_forecast[[#This Row],[PACE Job Number]],3,3)</f>
        <v>STX</v>
      </c>
      <c r="C3620" t="s">
        <v>17</v>
      </c>
      <c r="D3620" s="1">
        <v>43419</v>
      </c>
      <c r="E3620" s="1">
        <v>43403</v>
      </c>
      <c r="F3620" s="1">
        <v>43419</v>
      </c>
      <c r="G3620" s="1"/>
      <c r="H3620" t="s">
        <v>9</v>
      </c>
      <c r="I3620" t="s">
        <v>27</v>
      </c>
    </row>
    <row r="3621" spans="1:9" x14ac:dyDescent="0.25">
      <c r="A3621" t="s">
        <v>3955</v>
      </c>
      <c r="B3621" s="26" t="str">
        <f>MID(tbl_forecast[[#This Row],[PACE Job Number]],3,3)</f>
        <v>STX</v>
      </c>
      <c r="C3621" t="s">
        <v>17</v>
      </c>
      <c r="D3621" s="1">
        <v>43434</v>
      </c>
      <c r="E3621" s="1">
        <v>43434</v>
      </c>
      <c r="F3621" s="1">
        <v>43434</v>
      </c>
      <c r="G3621" s="1"/>
      <c r="H3621" t="s">
        <v>9</v>
      </c>
      <c r="I3621" t="s">
        <v>27</v>
      </c>
    </row>
    <row r="3622" spans="1:9" x14ac:dyDescent="0.25">
      <c r="A3622" t="s">
        <v>3204</v>
      </c>
      <c r="B3622" s="26" t="str">
        <f>MID(tbl_forecast[[#This Row],[PACE Job Number]],3,3)</f>
        <v>STX</v>
      </c>
      <c r="C3622" t="s">
        <v>17</v>
      </c>
      <c r="D3622" s="1">
        <v>43419</v>
      </c>
      <c r="E3622" s="1">
        <v>43495</v>
      </c>
      <c r="F3622" s="1">
        <v>43419</v>
      </c>
      <c r="G3622" s="1"/>
      <c r="H3622" t="s">
        <v>9</v>
      </c>
      <c r="I3622" t="s">
        <v>44</v>
      </c>
    </row>
    <row r="3623" spans="1:9" x14ac:dyDescent="0.25">
      <c r="A3623" t="s">
        <v>252</v>
      </c>
      <c r="B3623" s="26" t="str">
        <f>MID(tbl_forecast[[#This Row],[PACE Job Number]],3,3)</f>
        <v>STX</v>
      </c>
      <c r="C3623" t="s">
        <v>17</v>
      </c>
      <c r="D3623" s="1">
        <v>43406</v>
      </c>
      <c r="E3623" s="1">
        <v>43403</v>
      </c>
      <c r="F3623" s="1">
        <v>43406</v>
      </c>
      <c r="G3623" s="1">
        <v>43406</v>
      </c>
      <c r="H3623" t="s">
        <v>9</v>
      </c>
      <c r="I3623" t="s">
        <v>10</v>
      </c>
    </row>
    <row r="3624" spans="1:9" x14ac:dyDescent="0.25">
      <c r="A3624" t="s">
        <v>4643</v>
      </c>
      <c r="B3624" s="26" t="str">
        <f>MID(tbl_forecast[[#This Row],[PACE Job Number]],3,3)</f>
        <v>STX</v>
      </c>
      <c r="C3624" t="s">
        <v>17</v>
      </c>
      <c r="D3624" s="1">
        <v>43434</v>
      </c>
      <c r="E3624" s="1">
        <v>43434</v>
      </c>
      <c r="F3624" s="1">
        <v>43434</v>
      </c>
      <c r="G3624" s="1">
        <v>43434</v>
      </c>
      <c r="H3624" t="s">
        <v>9</v>
      </c>
      <c r="I3624" t="s">
        <v>10</v>
      </c>
    </row>
    <row r="3625" spans="1:9" x14ac:dyDescent="0.25">
      <c r="A3625" t="s">
        <v>3465</v>
      </c>
      <c r="B3625" s="26" t="str">
        <f>MID(tbl_forecast[[#This Row],[PACE Job Number]],3,3)</f>
        <v>STX</v>
      </c>
      <c r="C3625" t="s">
        <v>17</v>
      </c>
      <c r="D3625" s="1">
        <v>43434</v>
      </c>
      <c r="E3625" s="1">
        <v>43434</v>
      </c>
      <c r="F3625" s="1">
        <v>43434</v>
      </c>
      <c r="G3625" s="1"/>
      <c r="H3625" t="s">
        <v>9</v>
      </c>
      <c r="I3625" t="s">
        <v>27</v>
      </c>
    </row>
    <row r="3626" spans="1:9" x14ac:dyDescent="0.25">
      <c r="A3626" t="s">
        <v>5553</v>
      </c>
      <c r="B3626" s="26" t="str">
        <f>MID(tbl_forecast[[#This Row],[PACE Job Number]],3,3)</f>
        <v>STX</v>
      </c>
      <c r="C3626" t="s">
        <v>17</v>
      </c>
      <c r="D3626" s="1">
        <v>43419</v>
      </c>
      <c r="E3626" s="1">
        <v>43396</v>
      </c>
      <c r="F3626" s="1">
        <v>43419</v>
      </c>
      <c r="G3626" s="1"/>
      <c r="H3626" t="s">
        <v>9</v>
      </c>
      <c r="I3626" t="s">
        <v>27</v>
      </c>
    </row>
    <row r="3627" spans="1:9" x14ac:dyDescent="0.25">
      <c r="A3627" t="s">
        <v>5599</v>
      </c>
      <c r="B3627" s="26" t="str">
        <f>MID(tbl_forecast[[#This Row],[PACE Job Number]],3,3)</f>
        <v>STX</v>
      </c>
      <c r="C3627" t="s">
        <v>17</v>
      </c>
      <c r="D3627" s="1">
        <v>43434</v>
      </c>
      <c r="E3627" s="1">
        <v>43434</v>
      </c>
      <c r="F3627" s="1">
        <v>43423</v>
      </c>
      <c r="G3627" s="1">
        <v>43423</v>
      </c>
      <c r="H3627" t="s">
        <v>9</v>
      </c>
      <c r="I3627" t="s">
        <v>10</v>
      </c>
    </row>
    <row r="3628" spans="1:9" x14ac:dyDescent="0.25">
      <c r="A3628" t="s">
        <v>4613</v>
      </c>
      <c r="B3628" s="26" t="str">
        <f>MID(tbl_forecast[[#This Row],[PACE Job Number]],3,3)</f>
        <v>STX</v>
      </c>
      <c r="C3628" t="s">
        <v>17</v>
      </c>
      <c r="D3628" s="1">
        <v>43434</v>
      </c>
      <c r="E3628" s="1">
        <v>43434</v>
      </c>
      <c r="F3628" s="1">
        <v>43434</v>
      </c>
      <c r="G3628" s="1"/>
      <c r="H3628" t="s">
        <v>9</v>
      </c>
      <c r="I3628" t="s">
        <v>27</v>
      </c>
    </row>
    <row r="3629" spans="1:9" x14ac:dyDescent="0.25">
      <c r="A3629" t="s">
        <v>4380</v>
      </c>
      <c r="B3629" s="26" t="str">
        <f>MID(tbl_forecast[[#This Row],[PACE Job Number]],3,3)</f>
        <v>STX</v>
      </c>
      <c r="C3629" t="s">
        <v>17</v>
      </c>
      <c r="D3629" s="1">
        <v>43419</v>
      </c>
      <c r="E3629" s="1">
        <v>43434</v>
      </c>
      <c r="F3629" s="1">
        <v>43419</v>
      </c>
      <c r="G3629" s="1"/>
      <c r="H3629" t="s">
        <v>9</v>
      </c>
      <c r="I3629" t="s">
        <v>44</v>
      </c>
    </row>
    <row r="3630" spans="1:9" x14ac:dyDescent="0.25">
      <c r="A3630" t="s">
        <v>347</v>
      </c>
      <c r="B3630" s="26" t="str">
        <f>MID(tbl_forecast[[#This Row],[PACE Job Number]],3,3)</f>
        <v>WSH</v>
      </c>
      <c r="C3630" t="s">
        <v>17</v>
      </c>
      <c r="D3630" s="1">
        <v>43405</v>
      </c>
      <c r="E3630" s="1">
        <v>43413</v>
      </c>
      <c r="F3630" s="1">
        <v>43405</v>
      </c>
      <c r="G3630" s="1">
        <v>43405</v>
      </c>
      <c r="H3630" t="s">
        <v>9</v>
      </c>
      <c r="I3630" t="s">
        <v>10</v>
      </c>
    </row>
    <row r="3631" spans="1:9" x14ac:dyDescent="0.25">
      <c r="A3631" t="s">
        <v>4571</v>
      </c>
      <c r="B3631" s="26" t="str">
        <f>MID(tbl_forecast[[#This Row],[PACE Job Number]],3,3)</f>
        <v>WSH</v>
      </c>
      <c r="C3631" t="s">
        <v>17</v>
      </c>
      <c r="D3631" s="1">
        <v>43434</v>
      </c>
      <c r="E3631" s="1">
        <v>43434</v>
      </c>
      <c r="F3631" s="1">
        <v>43419</v>
      </c>
      <c r="G3631" s="1">
        <v>43419</v>
      </c>
      <c r="H3631" t="s">
        <v>9</v>
      </c>
      <c r="I3631" t="s">
        <v>10</v>
      </c>
    </row>
    <row r="3632" spans="1:9" x14ac:dyDescent="0.25">
      <c r="A3632" t="s">
        <v>3983</v>
      </c>
      <c r="B3632" s="26" t="str">
        <f>MID(tbl_forecast[[#This Row],[PACE Job Number]],3,3)</f>
        <v>NTX</v>
      </c>
      <c r="C3632" t="s">
        <v>17</v>
      </c>
      <c r="D3632" s="1">
        <v>43405</v>
      </c>
      <c r="E3632" s="1">
        <v>43448</v>
      </c>
      <c r="F3632" s="1">
        <v>43405</v>
      </c>
      <c r="G3632" s="1">
        <v>43405</v>
      </c>
      <c r="H3632" t="s">
        <v>9</v>
      </c>
      <c r="I3632" t="s">
        <v>10</v>
      </c>
    </row>
    <row r="3633" spans="1:9" x14ac:dyDescent="0.25">
      <c r="A3633" t="s">
        <v>3984</v>
      </c>
      <c r="B3633" s="26" t="str">
        <f>MID(tbl_forecast[[#This Row],[PACE Job Number]],3,3)</f>
        <v>NTX</v>
      </c>
      <c r="C3633" t="s">
        <v>17</v>
      </c>
      <c r="D3633" s="1">
        <v>43408</v>
      </c>
      <c r="E3633" s="1">
        <v>43408</v>
      </c>
      <c r="F3633" s="1">
        <v>43408</v>
      </c>
      <c r="G3633" s="1"/>
      <c r="H3633" t="s">
        <v>9</v>
      </c>
      <c r="I3633" t="s">
        <v>27</v>
      </c>
    </row>
    <row r="3634" spans="1:9" x14ac:dyDescent="0.25">
      <c r="A3634" t="s">
        <v>4305</v>
      </c>
      <c r="B3634" s="26" t="str">
        <f>MID(tbl_forecast[[#This Row],[PACE Job Number]],3,3)</f>
        <v>NTX</v>
      </c>
      <c r="C3634" t="s">
        <v>17</v>
      </c>
      <c r="D3634" s="1">
        <v>43405</v>
      </c>
      <c r="E3634" s="1">
        <v>43469</v>
      </c>
      <c r="F3634" s="1">
        <v>43405</v>
      </c>
      <c r="G3634" s="1">
        <v>43405</v>
      </c>
      <c r="H3634" t="s">
        <v>9</v>
      </c>
      <c r="I3634" t="s">
        <v>10</v>
      </c>
    </row>
    <row r="3635" spans="1:9" x14ac:dyDescent="0.25">
      <c r="A3635" t="s">
        <v>2481</v>
      </c>
      <c r="B3635" s="26" t="str">
        <f>MID(tbl_forecast[[#This Row],[PACE Job Number]],3,3)</f>
        <v>NTX</v>
      </c>
      <c r="C3635" t="s">
        <v>17</v>
      </c>
      <c r="D3635" s="1">
        <v>43405</v>
      </c>
      <c r="E3635" s="1">
        <v>43471</v>
      </c>
      <c r="F3635" s="1">
        <v>43405</v>
      </c>
      <c r="G3635" s="1">
        <v>43405</v>
      </c>
      <c r="H3635" t="s">
        <v>9</v>
      </c>
      <c r="I3635" t="s">
        <v>10</v>
      </c>
    </row>
    <row r="3636" spans="1:9" x14ac:dyDescent="0.25">
      <c r="A3636" t="s">
        <v>4512</v>
      </c>
      <c r="B3636" s="26" t="str">
        <f>MID(tbl_forecast[[#This Row],[PACE Job Number]],3,3)</f>
        <v>NTX</v>
      </c>
      <c r="C3636" t="s">
        <v>17</v>
      </c>
      <c r="D3636" s="1">
        <v>43405</v>
      </c>
      <c r="E3636" s="1">
        <v>43456</v>
      </c>
      <c r="F3636" s="1">
        <v>43405</v>
      </c>
      <c r="G3636" s="1">
        <v>43405</v>
      </c>
      <c r="H3636" t="s">
        <v>9</v>
      </c>
      <c r="I3636" t="s">
        <v>10</v>
      </c>
    </row>
    <row r="3637" spans="1:9" x14ac:dyDescent="0.25">
      <c r="A3637" t="s">
        <v>618</v>
      </c>
      <c r="B3637" s="26" t="str">
        <f>MID(tbl_forecast[[#This Row],[PACE Job Number]],3,3)</f>
        <v>STX</v>
      </c>
      <c r="C3637" t="s">
        <v>17</v>
      </c>
      <c r="D3637" s="1">
        <v>43419</v>
      </c>
      <c r="E3637" s="1">
        <v>43453</v>
      </c>
      <c r="F3637" s="1">
        <v>43419</v>
      </c>
      <c r="G3637" s="1"/>
      <c r="H3637" t="s">
        <v>9</v>
      </c>
      <c r="I3637" t="s">
        <v>44</v>
      </c>
    </row>
    <row r="3638" spans="1:9" x14ac:dyDescent="0.25">
      <c r="A3638" t="s">
        <v>4314</v>
      </c>
      <c r="B3638" s="26" t="str">
        <f>MID(tbl_forecast[[#This Row],[PACE Job Number]],3,3)</f>
        <v>STX</v>
      </c>
      <c r="C3638" t="s">
        <v>17</v>
      </c>
      <c r="D3638" s="1">
        <v>43434</v>
      </c>
      <c r="E3638" s="1">
        <v>43434</v>
      </c>
      <c r="F3638" s="1">
        <v>43431</v>
      </c>
      <c r="G3638" s="1">
        <v>43431</v>
      </c>
      <c r="H3638" t="s">
        <v>9</v>
      </c>
      <c r="I3638" t="s">
        <v>10</v>
      </c>
    </row>
    <row r="3639" spans="1:9" x14ac:dyDescent="0.25">
      <c r="A3639" t="s">
        <v>2548</v>
      </c>
      <c r="B3639" s="26" t="str">
        <f>MID(tbl_forecast[[#This Row],[PACE Job Number]],3,3)</f>
        <v>STX</v>
      </c>
      <c r="C3639" t="s">
        <v>17</v>
      </c>
      <c r="D3639" s="1">
        <v>43434</v>
      </c>
      <c r="E3639" s="1">
        <v>43434</v>
      </c>
      <c r="F3639" s="1">
        <v>43411</v>
      </c>
      <c r="G3639" s="1">
        <v>43411</v>
      </c>
      <c r="H3639" t="s">
        <v>9</v>
      </c>
      <c r="I3639" t="s">
        <v>10</v>
      </c>
    </row>
    <row r="3640" spans="1:9" x14ac:dyDescent="0.25">
      <c r="A3640" t="s">
        <v>4315</v>
      </c>
      <c r="B3640" s="26" t="str">
        <f>MID(tbl_forecast[[#This Row],[PACE Job Number]],3,3)</f>
        <v>STX</v>
      </c>
      <c r="C3640" t="s">
        <v>17</v>
      </c>
      <c r="D3640" s="1">
        <v>43419</v>
      </c>
      <c r="E3640" s="1">
        <v>43453</v>
      </c>
      <c r="F3640" s="1">
        <v>43419</v>
      </c>
      <c r="G3640" s="1"/>
      <c r="H3640" t="s">
        <v>9</v>
      </c>
      <c r="I3640" t="s">
        <v>44</v>
      </c>
    </row>
    <row r="3641" spans="1:9" x14ac:dyDescent="0.25">
      <c r="A3641" t="s">
        <v>3460</v>
      </c>
      <c r="B3641" s="26" t="str">
        <f>MID(tbl_forecast[[#This Row],[PACE Job Number]],3,3)</f>
        <v>STX</v>
      </c>
      <c r="C3641" t="s">
        <v>17</v>
      </c>
      <c r="D3641" s="1">
        <v>43418</v>
      </c>
      <c r="E3641" s="1">
        <v>43403</v>
      </c>
      <c r="F3641" s="1">
        <v>43418</v>
      </c>
      <c r="G3641" s="1"/>
      <c r="H3641" t="s">
        <v>9</v>
      </c>
      <c r="I3641" t="s">
        <v>27</v>
      </c>
    </row>
    <row r="3642" spans="1:9" x14ac:dyDescent="0.25">
      <c r="A3642" t="s">
        <v>580</v>
      </c>
      <c r="B3642" s="26" t="str">
        <f>MID(tbl_forecast[[#This Row],[PACE Job Number]],3,3)</f>
        <v>STX</v>
      </c>
      <c r="C3642" t="s">
        <v>17</v>
      </c>
      <c r="D3642" s="1">
        <v>43405</v>
      </c>
      <c r="E3642" s="1">
        <v>43432</v>
      </c>
      <c r="F3642" s="1">
        <v>43405</v>
      </c>
      <c r="G3642" s="1">
        <v>43405</v>
      </c>
      <c r="H3642" t="s">
        <v>9</v>
      </c>
      <c r="I3642" t="s">
        <v>10</v>
      </c>
    </row>
    <row r="3643" spans="1:9" x14ac:dyDescent="0.25">
      <c r="A3643" t="s">
        <v>675</v>
      </c>
      <c r="B3643" s="26" t="str">
        <f>MID(tbl_forecast[[#This Row],[PACE Job Number]],3,3)</f>
        <v>STX</v>
      </c>
      <c r="C3643" t="s">
        <v>17</v>
      </c>
      <c r="D3643" s="1">
        <v>43434</v>
      </c>
      <c r="E3643" s="1">
        <v>43434</v>
      </c>
      <c r="F3643" s="1">
        <v>43423</v>
      </c>
      <c r="G3643" s="1">
        <v>43423</v>
      </c>
      <c r="H3643" t="s">
        <v>9</v>
      </c>
      <c r="I3643" t="s">
        <v>10</v>
      </c>
    </row>
    <row r="3644" spans="1:9" x14ac:dyDescent="0.25">
      <c r="A3644" t="s">
        <v>165</v>
      </c>
      <c r="B3644" s="26" t="str">
        <f>MID(tbl_forecast[[#This Row],[PACE Job Number]],3,3)</f>
        <v>STX</v>
      </c>
      <c r="C3644" t="s">
        <v>17</v>
      </c>
      <c r="D3644" s="1">
        <v>43405</v>
      </c>
      <c r="E3644" s="1">
        <v>43434</v>
      </c>
      <c r="F3644" s="1">
        <v>43405</v>
      </c>
      <c r="G3644" s="1">
        <v>43405</v>
      </c>
      <c r="H3644" t="s">
        <v>9</v>
      </c>
      <c r="I3644" t="s">
        <v>10</v>
      </c>
    </row>
    <row r="3645" spans="1:9" x14ac:dyDescent="0.25">
      <c r="A3645" t="s">
        <v>5600</v>
      </c>
      <c r="B3645" s="26" t="str">
        <f>MID(tbl_forecast[[#This Row],[PACE Job Number]],3,3)</f>
        <v>STX</v>
      </c>
      <c r="C3645" t="s">
        <v>17</v>
      </c>
      <c r="D3645" s="1">
        <v>43419</v>
      </c>
      <c r="E3645" s="1">
        <v>43434</v>
      </c>
      <c r="F3645" s="1">
        <v>43425</v>
      </c>
      <c r="G3645" s="1">
        <v>43425</v>
      </c>
      <c r="H3645" t="s">
        <v>9</v>
      </c>
      <c r="I3645" t="s">
        <v>10</v>
      </c>
    </row>
    <row r="3646" spans="1:9" x14ac:dyDescent="0.25">
      <c r="A3646" t="s">
        <v>4317</v>
      </c>
      <c r="B3646" s="26" t="str">
        <f>MID(tbl_forecast[[#This Row],[PACE Job Number]],3,3)</f>
        <v>STX</v>
      </c>
      <c r="C3646" t="s">
        <v>17</v>
      </c>
      <c r="D3646" s="1">
        <v>43434</v>
      </c>
      <c r="E3646" s="1">
        <v>43434</v>
      </c>
      <c r="F3646" s="1">
        <v>43434</v>
      </c>
      <c r="G3646" s="1">
        <v>43434</v>
      </c>
      <c r="H3646" t="s">
        <v>9</v>
      </c>
      <c r="I3646" t="s">
        <v>10</v>
      </c>
    </row>
    <row r="3647" spans="1:9" x14ac:dyDescent="0.25">
      <c r="A3647" t="s">
        <v>4318</v>
      </c>
      <c r="B3647" s="26" t="str">
        <f>MID(tbl_forecast[[#This Row],[PACE Job Number]],3,3)</f>
        <v>STX</v>
      </c>
      <c r="C3647" t="s">
        <v>17</v>
      </c>
      <c r="D3647" s="1">
        <v>43434</v>
      </c>
      <c r="E3647" s="1">
        <v>43434</v>
      </c>
      <c r="F3647" s="1">
        <v>43431</v>
      </c>
      <c r="G3647" s="1">
        <v>43431</v>
      </c>
      <c r="H3647" t="s">
        <v>9</v>
      </c>
      <c r="I3647" t="s">
        <v>10</v>
      </c>
    </row>
    <row r="3648" spans="1:9" x14ac:dyDescent="0.25">
      <c r="A3648" t="s">
        <v>640</v>
      </c>
      <c r="B3648" s="26" t="str">
        <f>MID(tbl_forecast[[#This Row],[PACE Job Number]],3,3)</f>
        <v>STX</v>
      </c>
      <c r="C3648" t="s">
        <v>17</v>
      </c>
      <c r="D3648" s="1">
        <v>43419</v>
      </c>
      <c r="E3648" s="1">
        <v>43434</v>
      </c>
      <c r="F3648" s="1">
        <v>43449</v>
      </c>
      <c r="G3648" s="1"/>
      <c r="H3648" t="s">
        <v>4664</v>
      </c>
      <c r="I3648" t="s">
        <v>5645</v>
      </c>
    </row>
    <row r="3649" spans="1:9" x14ac:dyDescent="0.25">
      <c r="A3649" t="s">
        <v>4030</v>
      </c>
      <c r="B3649" s="26" t="str">
        <f>MID(tbl_forecast[[#This Row],[PACE Job Number]],3,3)</f>
        <v>STX</v>
      </c>
      <c r="C3649" t="s">
        <v>17</v>
      </c>
      <c r="D3649" s="1">
        <v>43434</v>
      </c>
      <c r="E3649" s="1">
        <v>43434</v>
      </c>
      <c r="F3649" s="1">
        <v>43434</v>
      </c>
      <c r="G3649" s="1"/>
      <c r="H3649" t="s">
        <v>9</v>
      </c>
      <c r="I3649" t="s">
        <v>27</v>
      </c>
    </row>
    <row r="3650" spans="1:9" x14ac:dyDescent="0.25">
      <c r="A3650" t="s">
        <v>94</v>
      </c>
      <c r="B3650" s="26" t="str">
        <f>MID(tbl_forecast[[#This Row],[PACE Job Number]],3,3)</f>
        <v>STX</v>
      </c>
      <c r="C3650" t="s">
        <v>17</v>
      </c>
      <c r="D3650" s="1">
        <v>43434</v>
      </c>
      <c r="E3650" s="1">
        <v>43434</v>
      </c>
      <c r="F3650" s="1">
        <v>43434</v>
      </c>
      <c r="G3650" s="1"/>
      <c r="H3650" t="s">
        <v>9</v>
      </c>
      <c r="I3650" t="s">
        <v>27</v>
      </c>
    </row>
    <row r="3651" spans="1:9" x14ac:dyDescent="0.25">
      <c r="A3651" t="s">
        <v>4596</v>
      </c>
      <c r="B3651" s="26" t="str">
        <f>MID(tbl_forecast[[#This Row],[PACE Job Number]],3,3)</f>
        <v>STX</v>
      </c>
      <c r="C3651" t="s">
        <v>17</v>
      </c>
      <c r="D3651" s="1">
        <v>43406</v>
      </c>
      <c r="E3651" s="1">
        <v>43434</v>
      </c>
      <c r="F3651" s="1">
        <v>43406</v>
      </c>
      <c r="G3651" s="1">
        <v>43406</v>
      </c>
      <c r="H3651" t="s">
        <v>9</v>
      </c>
      <c r="I3651" t="s">
        <v>10</v>
      </c>
    </row>
    <row r="3652" spans="1:9" x14ac:dyDescent="0.25">
      <c r="A3652" t="s">
        <v>4320</v>
      </c>
      <c r="B3652" s="26" t="str">
        <f>MID(tbl_forecast[[#This Row],[PACE Job Number]],3,3)</f>
        <v>STX</v>
      </c>
      <c r="C3652" t="s">
        <v>17</v>
      </c>
      <c r="D3652" s="1">
        <v>43419</v>
      </c>
      <c r="E3652" s="1">
        <v>43434</v>
      </c>
      <c r="F3652" s="1">
        <v>43419</v>
      </c>
      <c r="G3652" s="1"/>
      <c r="H3652" t="s">
        <v>9</v>
      </c>
      <c r="I3652" t="s">
        <v>44</v>
      </c>
    </row>
    <row r="3653" spans="1:9" x14ac:dyDescent="0.25">
      <c r="A3653" t="s">
        <v>4031</v>
      </c>
      <c r="B3653" s="26" t="str">
        <f>MID(tbl_forecast[[#This Row],[PACE Job Number]],3,3)</f>
        <v>STX</v>
      </c>
      <c r="C3653" t="s">
        <v>17</v>
      </c>
      <c r="D3653" s="1">
        <v>43434</v>
      </c>
      <c r="E3653" s="1">
        <v>43434</v>
      </c>
      <c r="F3653" s="1">
        <v>43434</v>
      </c>
      <c r="G3653" s="1"/>
      <c r="H3653" t="s">
        <v>9</v>
      </c>
      <c r="I3653" t="s">
        <v>27</v>
      </c>
    </row>
    <row r="3654" spans="1:9" x14ac:dyDescent="0.25">
      <c r="A3654" t="s">
        <v>4321</v>
      </c>
      <c r="B3654" s="26" t="str">
        <f>MID(tbl_forecast[[#This Row],[PACE Job Number]],3,3)</f>
        <v>STX</v>
      </c>
      <c r="C3654" t="s">
        <v>17</v>
      </c>
      <c r="D3654" s="1">
        <v>43419</v>
      </c>
      <c r="E3654" s="1">
        <v>43434</v>
      </c>
      <c r="F3654" s="1">
        <v>43419</v>
      </c>
      <c r="G3654" s="1"/>
      <c r="H3654" t="s">
        <v>9</v>
      </c>
      <c r="I3654" t="s">
        <v>44</v>
      </c>
    </row>
    <row r="3655" spans="1:9" x14ac:dyDescent="0.25">
      <c r="A3655" t="s">
        <v>778</v>
      </c>
      <c r="B3655" s="26" t="str">
        <f>MID(tbl_forecast[[#This Row],[PACE Job Number]],3,3)</f>
        <v>STX</v>
      </c>
      <c r="C3655" t="s">
        <v>17</v>
      </c>
      <c r="D3655" s="1">
        <v>43419</v>
      </c>
      <c r="E3655" s="1">
        <v>43373</v>
      </c>
      <c r="F3655" s="1">
        <v>43419</v>
      </c>
      <c r="G3655" s="1"/>
      <c r="H3655" t="s">
        <v>9</v>
      </c>
      <c r="I3655" t="s">
        <v>27</v>
      </c>
    </row>
    <row r="3656" spans="1:9" x14ac:dyDescent="0.25">
      <c r="A3656" t="s">
        <v>189</v>
      </c>
      <c r="B3656" s="26" t="str">
        <f>MID(tbl_forecast[[#This Row],[PACE Job Number]],3,3)</f>
        <v>WSH</v>
      </c>
      <c r="C3656" t="s">
        <v>17</v>
      </c>
      <c r="D3656" s="1">
        <v>43434</v>
      </c>
      <c r="E3656" s="1">
        <v>43434</v>
      </c>
      <c r="F3656" s="1">
        <v>43430</v>
      </c>
      <c r="G3656" s="1">
        <v>43430</v>
      </c>
      <c r="H3656" t="s">
        <v>9</v>
      </c>
      <c r="I3656" t="s">
        <v>10</v>
      </c>
    </row>
    <row r="3657" spans="1:9" x14ac:dyDescent="0.25">
      <c r="A3657" t="s">
        <v>4203</v>
      </c>
      <c r="B3657" s="26" t="str">
        <f>MID(tbl_forecast[[#This Row],[PACE Job Number]],3,3)</f>
        <v>WSH</v>
      </c>
      <c r="C3657" t="s">
        <v>17</v>
      </c>
      <c r="D3657" s="1">
        <v>43434</v>
      </c>
      <c r="E3657" s="1">
        <v>43434</v>
      </c>
      <c r="F3657" s="1">
        <v>43432</v>
      </c>
      <c r="G3657" s="1">
        <v>43432</v>
      </c>
      <c r="H3657" t="s">
        <v>9</v>
      </c>
      <c r="I3657" t="s">
        <v>10</v>
      </c>
    </row>
    <row r="3658" spans="1:9" x14ac:dyDescent="0.25">
      <c r="A3658" t="s">
        <v>4000</v>
      </c>
      <c r="B3658" s="26" t="str">
        <f>MID(tbl_forecast[[#This Row],[PACE Job Number]],3,3)</f>
        <v>WSH</v>
      </c>
      <c r="C3658" t="s">
        <v>17</v>
      </c>
      <c r="D3658" s="1">
        <v>43434</v>
      </c>
      <c r="E3658" s="1">
        <v>43434</v>
      </c>
      <c r="F3658" s="1">
        <v>43434</v>
      </c>
      <c r="G3658" s="1"/>
      <c r="H3658" t="s">
        <v>9</v>
      </c>
      <c r="I3658" t="s">
        <v>27</v>
      </c>
    </row>
    <row r="3659" spans="1:9" x14ac:dyDescent="0.25">
      <c r="A3659" t="s">
        <v>4207</v>
      </c>
      <c r="B3659" s="26" t="str">
        <f>MID(tbl_forecast[[#This Row],[PACE Job Number]],3,3)</f>
        <v>WSH</v>
      </c>
      <c r="C3659" t="s">
        <v>17</v>
      </c>
      <c r="D3659" s="1">
        <v>43434</v>
      </c>
      <c r="E3659" s="1">
        <v>43434</v>
      </c>
      <c r="F3659" s="1">
        <v>43434</v>
      </c>
      <c r="G3659" s="1"/>
      <c r="H3659" t="s">
        <v>9</v>
      </c>
      <c r="I3659" t="s">
        <v>27</v>
      </c>
    </row>
    <row r="3660" spans="1:9" x14ac:dyDescent="0.25">
      <c r="A3660" t="s">
        <v>4001</v>
      </c>
      <c r="B3660" s="26" t="str">
        <f>MID(tbl_forecast[[#This Row],[PACE Job Number]],3,3)</f>
        <v>WSH</v>
      </c>
      <c r="C3660" t="s">
        <v>17</v>
      </c>
      <c r="D3660" s="1">
        <v>43434</v>
      </c>
      <c r="E3660" s="1">
        <v>43434</v>
      </c>
      <c r="F3660" s="1">
        <v>43430</v>
      </c>
      <c r="G3660" s="1">
        <v>43430</v>
      </c>
      <c r="H3660" t="s">
        <v>9</v>
      </c>
      <c r="I3660" t="s">
        <v>10</v>
      </c>
    </row>
    <row r="3661" spans="1:9" x14ac:dyDescent="0.25">
      <c r="A3661" t="s">
        <v>191</v>
      </c>
      <c r="B3661" s="26" t="str">
        <f>MID(tbl_forecast[[#This Row],[PACE Job Number]],3,3)</f>
        <v>WSH</v>
      </c>
      <c r="C3661" t="s">
        <v>17</v>
      </c>
      <c r="D3661" s="1">
        <v>43413</v>
      </c>
      <c r="E3661" s="1">
        <v>43413</v>
      </c>
      <c r="F3661" s="1">
        <v>43411</v>
      </c>
      <c r="G3661" s="1">
        <v>43411</v>
      </c>
      <c r="H3661" t="s">
        <v>9</v>
      </c>
      <c r="I3661" t="s">
        <v>10</v>
      </c>
    </row>
    <row r="3662" spans="1:9" x14ac:dyDescent="0.25">
      <c r="A3662" t="s">
        <v>78</v>
      </c>
      <c r="B3662" s="26" t="str">
        <f>MID(tbl_forecast[[#This Row],[PACE Job Number]],3,3)</f>
        <v>WSH</v>
      </c>
      <c r="C3662" t="s">
        <v>17</v>
      </c>
      <c r="D3662" s="1">
        <v>43434</v>
      </c>
      <c r="E3662" s="1">
        <v>43434</v>
      </c>
      <c r="F3662" s="1">
        <v>43434</v>
      </c>
      <c r="G3662" s="1"/>
      <c r="H3662" t="s">
        <v>9</v>
      </c>
      <c r="I3662" t="s">
        <v>27</v>
      </c>
    </row>
    <row r="3663" spans="1:9" x14ac:dyDescent="0.25">
      <c r="A3663" t="s">
        <v>3429</v>
      </c>
      <c r="B3663" s="26" t="str">
        <f>MID(tbl_forecast[[#This Row],[PACE Job Number]],3,3)</f>
        <v>WSH</v>
      </c>
      <c r="C3663" t="s">
        <v>17</v>
      </c>
      <c r="D3663" s="1">
        <v>43434</v>
      </c>
      <c r="E3663" s="1">
        <v>43434</v>
      </c>
      <c r="F3663" s="1">
        <v>43434</v>
      </c>
      <c r="G3663" s="1"/>
      <c r="H3663" t="s">
        <v>9</v>
      </c>
      <c r="I3663" t="s">
        <v>27</v>
      </c>
    </row>
    <row r="3664" spans="1:9" x14ac:dyDescent="0.25">
      <c r="A3664" t="s">
        <v>3904</v>
      </c>
      <c r="B3664" s="26" t="str">
        <f>MID(tbl_forecast[[#This Row],[PACE Job Number]],3,3)</f>
        <v>WSH</v>
      </c>
      <c r="C3664" t="s">
        <v>17</v>
      </c>
      <c r="D3664" s="1">
        <v>43434</v>
      </c>
      <c r="E3664" s="1">
        <v>43434</v>
      </c>
      <c r="F3664" s="1">
        <v>43430</v>
      </c>
      <c r="G3664" s="1">
        <v>43430</v>
      </c>
      <c r="H3664" t="s">
        <v>9</v>
      </c>
      <c r="I3664" t="s">
        <v>10</v>
      </c>
    </row>
    <row r="3665" spans="1:9" x14ac:dyDescent="0.25">
      <c r="A3665" t="s">
        <v>290</v>
      </c>
      <c r="B3665" s="26" t="str">
        <f>MID(tbl_forecast[[#This Row],[PACE Job Number]],3,3)</f>
        <v>WSH</v>
      </c>
      <c r="C3665" t="s">
        <v>17</v>
      </c>
      <c r="D3665" s="1">
        <v>43434</v>
      </c>
      <c r="E3665" s="1">
        <v>43434</v>
      </c>
      <c r="F3665" s="1">
        <v>43419</v>
      </c>
      <c r="G3665" s="1">
        <v>43419</v>
      </c>
      <c r="H3665" t="s">
        <v>9</v>
      </c>
      <c r="I3665" t="s">
        <v>10</v>
      </c>
    </row>
    <row r="3666" spans="1:9" x14ac:dyDescent="0.25">
      <c r="A3666" t="s">
        <v>197</v>
      </c>
      <c r="B3666" s="26" t="str">
        <f>MID(tbl_forecast[[#This Row],[PACE Job Number]],3,3)</f>
        <v>WSH</v>
      </c>
      <c r="C3666" t="s">
        <v>17</v>
      </c>
      <c r="D3666" s="1">
        <v>43434</v>
      </c>
      <c r="E3666" s="1">
        <v>43434</v>
      </c>
      <c r="F3666" s="1">
        <v>43430</v>
      </c>
      <c r="G3666" s="1">
        <v>43430</v>
      </c>
      <c r="H3666" t="s">
        <v>9</v>
      </c>
      <c r="I3666" t="s">
        <v>10</v>
      </c>
    </row>
    <row r="3667" spans="1:9" x14ac:dyDescent="0.25">
      <c r="A3667" t="s">
        <v>135</v>
      </c>
      <c r="B3667" s="26" t="str">
        <f>MID(tbl_forecast[[#This Row],[PACE Job Number]],3,3)</f>
        <v>WSH</v>
      </c>
      <c r="C3667" t="s">
        <v>17</v>
      </c>
      <c r="D3667" s="1">
        <v>43434</v>
      </c>
      <c r="E3667" s="1" t="s">
        <v>5646</v>
      </c>
      <c r="F3667" s="1" t="s">
        <v>5646</v>
      </c>
      <c r="G3667" s="1" t="s">
        <v>5646</v>
      </c>
      <c r="H3667" t="s">
        <v>5647</v>
      </c>
      <c r="I3667" t="s">
        <v>27</v>
      </c>
    </row>
    <row r="3668" spans="1:9" x14ac:dyDescent="0.25">
      <c r="A3668" t="s">
        <v>3817</v>
      </c>
      <c r="B3668" s="26" t="str">
        <f>MID(tbl_forecast[[#This Row],[PACE Job Number]],3,3)</f>
        <v>WSH</v>
      </c>
      <c r="C3668" t="s">
        <v>17</v>
      </c>
      <c r="D3668" s="1">
        <v>43434</v>
      </c>
      <c r="E3668" s="1">
        <v>43434</v>
      </c>
      <c r="F3668" s="1">
        <v>43430</v>
      </c>
      <c r="G3668" s="1">
        <v>43430</v>
      </c>
      <c r="H3668" t="s">
        <v>9</v>
      </c>
      <c r="I3668" t="s">
        <v>10</v>
      </c>
    </row>
    <row r="3669" spans="1:9" x14ac:dyDescent="0.25">
      <c r="A3669" t="s">
        <v>4002</v>
      </c>
      <c r="B3669" s="26" t="str">
        <f>MID(tbl_forecast[[#This Row],[PACE Job Number]],3,3)</f>
        <v>WSH</v>
      </c>
      <c r="C3669" t="s">
        <v>17</v>
      </c>
      <c r="D3669" s="1">
        <v>43434</v>
      </c>
      <c r="E3669" s="1">
        <v>43434</v>
      </c>
      <c r="F3669" s="1">
        <v>43434</v>
      </c>
      <c r="G3669" s="1"/>
      <c r="H3669" t="s">
        <v>9</v>
      </c>
      <c r="I3669" t="s">
        <v>27</v>
      </c>
    </row>
    <row r="3670" spans="1:9" x14ac:dyDescent="0.25">
      <c r="A3670" t="s">
        <v>113</v>
      </c>
      <c r="B3670" s="26" t="str">
        <f>MID(tbl_forecast[[#This Row],[PACE Job Number]],3,3)</f>
        <v>WSH</v>
      </c>
      <c r="C3670" t="s">
        <v>17</v>
      </c>
      <c r="D3670" s="1">
        <v>43434</v>
      </c>
      <c r="E3670" s="1">
        <v>43434</v>
      </c>
      <c r="F3670" s="1">
        <v>43430</v>
      </c>
      <c r="G3670" s="1">
        <v>43430</v>
      </c>
      <c r="H3670" t="s">
        <v>9</v>
      </c>
      <c r="I3670" t="s">
        <v>10</v>
      </c>
    </row>
    <row r="3671" spans="1:9" x14ac:dyDescent="0.25">
      <c r="A3671" t="s">
        <v>4641</v>
      </c>
      <c r="B3671" s="26" t="str">
        <f>MID(tbl_forecast[[#This Row],[PACE Job Number]],3,3)</f>
        <v>WSH</v>
      </c>
      <c r="C3671" t="s">
        <v>17</v>
      </c>
      <c r="D3671" s="1">
        <v>43413</v>
      </c>
      <c r="E3671" s="1">
        <v>43413</v>
      </c>
      <c r="F3671" s="1">
        <v>43430</v>
      </c>
      <c r="G3671" s="1">
        <v>43430</v>
      </c>
      <c r="H3671" t="s">
        <v>4664</v>
      </c>
      <c r="I3671" t="s">
        <v>10</v>
      </c>
    </row>
    <row r="3672" spans="1:9" x14ac:dyDescent="0.25">
      <c r="A3672" t="s">
        <v>3532</v>
      </c>
      <c r="B3672" s="26" t="str">
        <f>MID(tbl_forecast[[#This Row],[PACE Job Number]],3,3)</f>
        <v>WSH</v>
      </c>
      <c r="C3672" t="s">
        <v>17</v>
      </c>
      <c r="D3672" s="1">
        <v>43413</v>
      </c>
      <c r="E3672" s="1">
        <v>43413</v>
      </c>
      <c r="F3672" s="1">
        <v>43411</v>
      </c>
      <c r="G3672" s="1">
        <v>43411</v>
      </c>
      <c r="H3672" t="s">
        <v>9</v>
      </c>
      <c r="I3672" t="s">
        <v>10</v>
      </c>
    </row>
    <row r="3673" spans="1:9" x14ac:dyDescent="0.25">
      <c r="A3673" t="s">
        <v>401</v>
      </c>
      <c r="B3673" s="26" t="str">
        <f>MID(tbl_forecast[[#This Row],[PACE Job Number]],3,3)</f>
        <v>WSH</v>
      </c>
      <c r="C3673" t="s">
        <v>17</v>
      </c>
      <c r="D3673" s="1">
        <v>43434</v>
      </c>
      <c r="E3673" s="1">
        <v>43434</v>
      </c>
      <c r="F3673" s="1">
        <v>43423</v>
      </c>
      <c r="G3673" s="1">
        <v>43423</v>
      </c>
      <c r="H3673" t="s">
        <v>9</v>
      </c>
      <c r="I3673" t="s">
        <v>10</v>
      </c>
    </row>
    <row r="3674" spans="1:9" x14ac:dyDescent="0.25">
      <c r="A3674" t="s">
        <v>42</v>
      </c>
      <c r="B3674" s="26" t="str">
        <f>MID(tbl_forecast[[#This Row],[PACE Job Number]],3,3)</f>
        <v>WSH</v>
      </c>
      <c r="C3674" t="s">
        <v>17</v>
      </c>
      <c r="D3674" s="1">
        <v>43434</v>
      </c>
      <c r="E3674" s="1">
        <v>43434</v>
      </c>
      <c r="F3674" s="1">
        <v>43434</v>
      </c>
      <c r="G3674" s="1"/>
      <c r="H3674" t="s">
        <v>9</v>
      </c>
      <c r="I3674" t="s">
        <v>27</v>
      </c>
    </row>
    <row r="3675" spans="1:9" x14ac:dyDescent="0.25">
      <c r="A3675" t="s">
        <v>5601</v>
      </c>
      <c r="B3675" s="26" t="str">
        <f>MID(tbl_forecast[[#This Row],[PACE Job Number]],3,3)</f>
        <v>WSH</v>
      </c>
      <c r="C3675" t="s">
        <v>17</v>
      </c>
      <c r="D3675" s="1">
        <v>43406</v>
      </c>
      <c r="E3675" s="1">
        <v>43406</v>
      </c>
      <c r="F3675" s="1">
        <v>43418</v>
      </c>
      <c r="G3675" s="1">
        <v>43418</v>
      </c>
      <c r="H3675" t="s">
        <v>9</v>
      </c>
      <c r="I3675" t="s">
        <v>10</v>
      </c>
    </row>
    <row r="3676" spans="1:9" x14ac:dyDescent="0.25">
      <c r="A3676" t="s">
        <v>109</v>
      </c>
      <c r="B3676" s="26" t="str">
        <f>MID(tbl_forecast[[#This Row],[PACE Job Number]],3,3)</f>
        <v>WSH</v>
      </c>
      <c r="C3676" t="s">
        <v>17</v>
      </c>
      <c r="D3676" s="1">
        <v>43420</v>
      </c>
      <c r="E3676" s="1">
        <v>43420</v>
      </c>
      <c r="F3676" s="1">
        <v>43419</v>
      </c>
      <c r="G3676" s="1">
        <v>43419</v>
      </c>
      <c r="H3676" t="s">
        <v>9</v>
      </c>
      <c r="I3676" t="s">
        <v>10</v>
      </c>
    </row>
    <row r="3677" spans="1:9" x14ac:dyDescent="0.25">
      <c r="A3677" t="s">
        <v>3909</v>
      </c>
      <c r="B3677" s="26" t="str">
        <f>MID(tbl_forecast[[#This Row],[PACE Job Number]],3,3)</f>
        <v>WSH</v>
      </c>
      <c r="C3677" t="s">
        <v>17</v>
      </c>
      <c r="D3677" s="1">
        <v>43434</v>
      </c>
      <c r="E3677" s="1">
        <v>43434</v>
      </c>
      <c r="F3677" s="1">
        <v>43434</v>
      </c>
      <c r="G3677" s="1"/>
      <c r="H3677" t="s">
        <v>9</v>
      </c>
      <c r="I3677" t="s">
        <v>27</v>
      </c>
    </row>
    <row r="3678" spans="1:9" x14ac:dyDescent="0.25">
      <c r="A3678" t="s">
        <v>4637</v>
      </c>
      <c r="B3678" s="26" t="str">
        <f>MID(tbl_forecast[[#This Row],[PACE Job Number]],3,3)</f>
        <v>STX</v>
      </c>
      <c r="C3678" t="s">
        <v>17</v>
      </c>
      <c r="D3678" s="1">
        <v>43406</v>
      </c>
      <c r="E3678" s="1">
        <v>43434</v>
      </c>
      <c r="F3678" s="1">
        <v>43406</v>
      </c>
      <c r="G3678" s="1">
        <v>43406</v>
      </c>
      <c r="H3678" t="s">
        <v>9</v>
      </c>
      <c r="I3678" t="s">
        <v>10</v>
      </c>
    </row>
    <row r="3679" spans="1:9" x14ac:dyDescent="0.25">
      <c r="A3679" t="s">
        <v>3379</v>
      </c>
      <c r="B3679" s="26" t="str">
        <f>MID(tbl_forecast[[#This Row],[PACE Job Number]],3,3)</f>
        <v>STX</v>
      </c>
      <c r="C3679" t="s">
        <v>17</v>
      </c>
      <c r="D3679" s="1">
        <v>43419</v>
      </c>
      <c r="E3679" s="1">
        <v>43434</v>
      </c>
      <c r="F3679" s="1">
        <v>43419</v>
      </c>
      <c r="G3679" s="1"/>
      <c r="H3679" t="s">
        <v>9</v>
      </c>
      <c r="I3679" t="s">
        <v>44</v>
      </c>
    </row>
    <row r="3680" spans="1:9" x14ac:dyDescent="0.25">
      <c r="A3680" t="s">
        <v>175</v>
      </c>
      <c r="B3680" s="26" t="str">
        <f>MID(tbl_forecast[[#This Row],[PACE Job Number]],3,3)</f>
        <v>STX</v>
      </c>
      <c r="C3680" t="s">
        <v>17</v>
      </c>
      <c r="D3680" s="1">
        <v>43434</v>
      </c>
      <c r="E3680" s="1">
        <v>43434</v>
      </c>
      <c r="F3680" s="1">
        <v>43434</v>
      </c>
      <c r="G3680" s="1"/>
      <c r="H3680" t="s">
        <v>9</v>
      </c>
      <c r="I3680" t="s">
        <v>27</v>
      </c>
    </row>
    <row r="3681" spans="1:9" x14ac:dyDescent="0.25">
      <c r="A3681" t="s">
        <v>3274</v>
      </c>
      <c r="B3681" s="26" t="str">
        <f>MID(tbl_forecast[[#This Row],[PACE Job Number]],3,3)</f>
        <v>STX</v>
      </c>
      <c r="C3681" t="s">
        <v>17</v>
      </c>
      <c r="D3681" s="1">
        <v>43405</v>
      </c>
      <c r="E3681" s="1">
        <v>43404</v>
      </c>
      <c r="F3681" s="1">
        <v>43405</v>
      </c>
      <c r="G3681" s="1">
        <v>43405</v>
      </c>
      <c r="H3681" t="s">
        <v>9</v>
      </c>
      <c r="I3681" t="s">
        <v>10</v>
      </c>
    </row>
    <row r="3682" spans="1:9" x14ac:dyDescent="0.25">
      <c r="A3682" t="s">
        <v>5555</v>
      </c>
      <c r="B3682" s="26" t="str">
        <f>MID(tbl_forecast[[#This Row],[PACE Job Number]],3,3)</f>
        <v>STX</v>
      </c>
      <c r="C3682" t="s">
        <v>17</v>
      </c>
      <c r="D3682" s="1">
        <v>43419</v>
      </c>
      <c r="E3682" s="1">
        <v>43356</v>
      </c>
      <c r="F3682" s="1">
        <v>43419</v>
      </c>
      <c r="G3682" s="1"/>
      <c r="H3682" t="s">
        <v>9</v>
      </c>
      <c r="I3682" t="s">
        <v>27</v>
      </c>
    </row>
    <row r="3683" spans="1:9" x14ac:dyDescent="0.25">
      <c r="A3683" t="s">
        <v>3341</v>
      </c>
      <c r="B3683" s="26" t="str">
        <f>MID(tbl_forecast[[#This Row],[PACE Job Number]],3,3)</f>
        <v>STX</v>
      </c>
      <c r="C3683" t="s">
        <v>17</v>
      </c>
      <c r="D3683" s="1">
        <v>43419</v>
      </c>
      <c r="E3683" s="1">
        <v>43434</v>
      </c>
      <c r="F3683" s="1">
        <v>43419</v>
      </c>
      <c r="G3683" s="1"/>
      <c r="H3683" t="s">
        <v>9</v>
      </c>
      <c r="I3683" t="s">
        <v>44</v>
      </c>
    </row>
    <row r="3684" spans="1:9" x14ac:dyDescent="0.25">
      <c r="A3684" t="s">
        <v>3264</v>
      </c>
      <c r="B3684" s="26" t="str">
        <f>MID(tbl_forecast[[#This Row],[PACE Job Number]],3,3)</f>
        <v>STX</v>
      </c>
      <c r="C3684" t="s">
        <v>17</v>
      </c>
      <c r="D3684" s="1">
        <v>43405</v>
      </c>
      <c r="E3684" s="1">
        <v>43404</v>
      </c>
      <c r="F3684" s="1">
        <v>43405</v>
      </c>
      <c r="G3684" s="1">
        <v>43405</v>
      </c>
      <c r="H3684" t="s">
        <v>9</v>
      </c>
      <c r="I3684" t="s">
        <v>10</v>
      </c>
    </row>
    <row r="3685" spans="1:9" x14ac:dyDescent="0.25">
      <c r="A3685" t="s">
        <v>5556</v>
      </c>
      <c r="B3685" s="26" t="str">
        <f>MID(tbl_forecast[[#This Row],[PACE Job Number]],3,3)</f>
        <v>STX</v>
      </c>
      <c r="C3685" t="s">
        <v>17</v>
      </c>
      <c r="D3685" s="1">
        <v>43419</v>
      </c>
      <c r="E3685" s="1">
        <v>43440</v>
      </c>
      <c r="F3685" s="1">
        <v>43432</v>
      </c>
      <c r="G3685" s="1">
        <v>43432</v>
      </c>
      <c r="H3685" t="s">
        <v>9</v>
      </c>
      <c r="I3685" t="s">
        <v>10</v>
      </c>
    </row>
    <row r="3686" spans="1:9" x14ac:dyDescent="0.25">
      <c r="A3686" t="s">
        <v>5557</v>
      </c>
      <c r="B3686" s="26" t="str">
        <f>MID(tbl_forecast[[#This Row],[PACE Job Number]],3,3)</f>
        <v>STX</v>
      </c>
      <c r="C3686" t="s">
        <v>17</v>
      </c>
      <c r="D3686" s="1">
        <v>43419</v>
      </c>
      <c r="E3686" s="1">
        <v>43373</v>
      </c>
      <c r="F3686" s="1">
        <v>43419</v>
      </c>
      <c r="G3686" s="1"/>
      <c r="H3686" t="s">
        <v>9</v>
      </c>
      <c r="I3686" t="s">
        <v>27</v>
      </c>
    </row>
    <row r="3687" spans="1:9" x14ac:dyDescent="0.25">
      <c r="A3687" t="s">
        <v>543</v>
      </c>
      <c r="B3687" s="26" t="str">
        <f>MID(tbl_forecast[[#This Row],[PACE Job Number]],3,3)</f>
        <v>STX</v>
      </c>
      <c r="C3687" t="s">
        <v>17</v>
      </c>
      <c r="D3687" s="1">
        <v>43434</v>
      </c>
      <c r="E3687" s="1">
        <v>43434</v>
      </c>
      <c r="F3687" s="1">
        <v>43434</v>
      </c>
      <c r="G3687" s="1"/>
      <c r="H3687" t="s">
        <v>9</v>
      </c>
      <c r="I3687" t="s">
        <v>27</v>
      </c>
    </row>
    <row r="3688" spans="1:9" x14ac:dyDescent="0.25">
      <c r="A3688" t="s">
        <v>4600</v>
      </c>
      <c r="B3688" s="26" t="str">
        <f>MID(tbl_forecast[[#This Row],[PACE Job Number]],3,3)</f>
        <v>STX</v>
      </c>
      <c r="C3688" t="s">
        <v>17</v>
      </c>
      <c r="D3688" s="1">
        <v>43418</v>
      </c>
      <c r="E3688" s="1">
        <v>43418</v>
      </c>
      <c r="F3688" s="1">
        <v>43418</v>
      </c>
      <c r="G3688" s="1"/>
      <c r="H3688" t="s">
        <v>9</v>
      </c>
      <c r="I3688" t="s">
        <v>27</v>
      </c>
    </row>
    <row r="3689" spans="1:9" x14ac:dyDescent="0.25">
      <c r="A3689" t="s">
        <v>5602</v>
      </c>
      <c r="B3689" s="26" t="str">
        <f>MID(tbl_forecast[[#This Row],[PACE Job Number]],3,3)</f>
        <v>STX</v>
      </c>
      <c r="C3689" t="s">
        <v>17</v>
      </c>
      <c r="D3689" s="1">
        <v>43410</v>
      </c>
      <c r="E3689" s="1">
        <v>43373</v>
      </c>
      <c r="F3689" s="1">
        <v>43418</v>
      </c>
      <c r="G3689" s="1">
        <v>43418</v>
      </c>
      <c r="H3689" t="s">
        <v>9</v>
      </c>
      <c r="I3689" t="s">
        <v>10</v>
      </c>
    </row>
    <row r="3690" spans="1:9" x14ac:dyDescent="0.25">
      <c r="A3690" t="s">
        <v>4328</v>
      </c>
      <c r="B3690" s="26" t="str">
        <f>MID(tbl_forecast[[#This Row],[PACE Job Number]],3,3)</f>
        <v>STX</v>
      </c>
      <c r="C3690" t="s">
        <v>17</v>
      </c>
      <c r="D3690" s="1">
        <v>43434</v>
      </c>
      <c r="E3690" s="1">
        <v>43434</v>
      </c>
      <c r="F3690" s="1">
        <v>43433</v>
      </c>
      <c r="G3690" s="1">
        <v>43433</v>
      </c>
      <c r="H3690" t="s">
        <v>9</v>
      </c>
      <c r="I3690" t="s">
        <v>10</v>
      </c>
    </row>
    <row r="3691" spans="1:9" x14ac:dyDescent="0.25">
      <c r="A3691" t="s">
        <v>2568</v>
      </c>
      <c r="B3691" s="26" t="str">
        <f>MID(tbl_forecast[[#This Row],[PACE Job Number]],3,3)</f>
        <v>STX</v>
      </c>
      <c r="C3691" t="s">
        <v>17</v>
      </c>
      <c r="D3691" s="1">
        <v>43434</v>
      </c>
      <c r="E3691" s="1">
        <v>43434</v>
      </c>
      <c r="F3691" s="1">
        <v>43434</v>
      </c>
      <c r="G3691" s="1"/>
      <c r="H3691" t="s">
        <v>9</v>
      </c>
      <c r="I3691" t="s">
        <v>27</v>
      </c>
    </row>
    <row r="3692" spans="1:9" x14ac:dyDescent="0.25">
      <c r="A3692" t="s">
        <v>292</v>
      </c>
      <c r="B3692" s="26" t="str">
        <f>MID(tbl_forecast[[#This Row],[PACE Job Number]],3,3)</f>
        <v>STX</v>
      </c>
      <c r="C3692" t="s">
        <v>17</v>
      </c>
      <c r="D3692" s="1">
        <v>43419</v>
      </c>
      <c r="E3692" s="1">
        <v>43453</v>
      </c>
      <c r="F3692" s="1">
        <v>43419</v>
      </c>
      <c r="G3692" s="1"/>
      <c r="H3692" t="s">
        <v>9</v>
      </c>
      <c r="I3692" t="s">
        <v>44</v>
      </c>
    </row>
    <row r="3693" spans="1:9" x14ac:dyDescent="0.25">
      <c r="A3693" t="s">
        <v>390</v>
      </c>
      <c r="B3693" s="26" t="str">
        <f>MID(tbl_forecast[[#This Row],[PACE Job Number]],3,3)</f>
        <v>STX</v>
      </c>
      <c r="C3693" t="s">
        <v>17</v>
      </c>
      <c r="D3693" s="1">
        <v>43419</v>
      </c>
      <c r="E3693" s="1">
        <v>43440</v>
      </c>
      <c r="F3693" s="1">
        <v>43432</v>
      </c>
      <c r="G3693" s="1">
        <v>43432</v>
      </c>
      <c r="H3693" t="s">
        <v>9</v>
      </c>
      <c r="I3693" t="s">
        <v>10</v>
      </c>
    </row>
    <row r="3694" spans="1:9" x14ac:dyDescent="0.25">
      <c r="A3694" t="s">
        <v>587</v>
      </c>
      <c r="B3694" s="26" t="str">
        <f>MID(tbl_forecast[[#This Row],[PACE Job Number]],3,3)</f>
        <v>STX</v>
      </c>
      <c r="C3694" t="s">
        <v>17</v>
      </c>
      <c r="D3694" s="1">
        <v>43405</v>
      </c>
      <c r="E3694" s="1">
        <v>43424</v>
      </c>
      <c r="F3694" s="1">
        <v>43405</v>
      </c>
      <c r="G3694" s="1">
        <v>43405</v>
      </c>
      <c r="H3694" t="s">
        <v>9</v>
      </c>
      <c r="I3694" t="s">
        <v>10</v>
      </c>
    </row>
    <row r="3695" spans="1:9" x14ac:dyDescent="0.25">
      <c r="A3695" t="s">
        <v>4518</v>
      </c>
      <c r="B3695" s="26" t="str">
        <f>MID(tbl_forecast[[#This Row],[PACE Job Number]],3,3)</f>
        <v>STX</v>
      </c>
      <c r="C3695" t="s">
        <v>17</v>
      </c>
      <c r="D3695" s="1">
        <v>43419</v>
      </c>
      <c r="E3695" s="1">
        <v>43434</v>
      </c>
      <c r="F3695" s="1">
        <v>43423</v>
      </c>
      <c r="G3695" s="1">
        <v>43423</v>
      </c>
      <c r="H3695" t="s">
        <v>9</v>
      </c>
      <c r="I3695" t="s">
        <v>10</v>
      </c>
    </row>
    <row r="3696" spans="1:9" x14ac:dyDescent="0.25">
      <c r="A3696" t="s">
        <v>2584</v>
      </c>
      <c r="B3696" s="26" t="str">
        <f>MID(tbl_forecast[[#This Row],[PACE Job Number]],3,3)</f>
        <v>STX</v>
      </c>
      <c r="C3696" t="s">
        <v>17</v>
      </c>
      <c r="D3696" s="1">
        <v>43405</v>
      </c>
      <c r="E3696" s="1">
        <v>43405</v>
      </c>
      <c r="F3696" s="1">
        <v>43405</v>
      </c>
      <c r="G3696" s="1">
        <v>43405</v>
      </c>
      <c r="H3696" t="s">
        <v>9</v>
      </c>
      <c r="I3696" t="s">
        <v>10</v>
      </c>
    </row>
    <row r="3697" spans="1:9" x14ac:dyDescent="0.25">
      <c r="A3697" t="s">
        <v>2591</v>
      </c>
      <c r="B3697" s="26" t="str">
        <f>MID(tbl_forecast[[#This Row],[PACE Job Number]],3,3)</f>
        <v>STX</v>
      </c>
      <c r="C3697" t="s">
        <v>17</v>
      </c>
      <c r="D3697" s="1">
        <v>43405</v>
      </c>
      <c r="E3697" s="1">
        <v>43405</v>
      </c>
      <c r="F3697" s="1">
        <v>43405</v>
      </c>
      <c r="G3697" s="1">
        <v>43405</v>
      </c>
      <c r="H3697" t="s">
        <v>9</v>
      </c>
      <c r="I3697" t="s">
        <v>10</v>
      </c>
    </row>
    <row r="3698" spans="1:9" x14ac:dyDescent="0.25">
      <c r="A3698" t="s">
        <v>3279</v>
      </c>
      <c r="B3698" s="26" t="str">
        <f>MID(tbl_forecast[[#This Row],[PACE Job Number]],3,3)</f>
        <v>STX</v>
      </c>
      <c r="C3698" t="s">
        <v>17</v>
      </c>
      <c r="D3698" s="1">
        <v>43434</v>
      </c>
      <c r="E3698" s="1">
        <v>43434</v>
      </c>
      <c r="F3698" s="1">
        <v>43434</v>
      </c>
      <c r="G3698" s="1"/>
      <c r="H3698" t="s">
        <v>9</v>
      </c>
      <c r="I3698" t="s">
        <v>27</v>
      </c>
    </row>
    <row r="3699" spans="1:9" x14ac:dyDescent="0.25">
      <c r="A3699" t="s">
        <v>2581</v>
      </c>
      <c r="B3699" s="26" t="str">
        <f>MID(tbl_forecast[[#This Row],[PACE Job Number]],3,3)</f>
        <v>STX</v>
      </c>
      <c r="C3699" t="s">
        <v>17</v>
      </c>
      <c r="D3699" s="1">
        <v>43434</v>
      </c>
      <c r="E3699" s="1">
        <v>43434</v>
      </c>
      <c r="F3699" s="1">
        <v>43434</v>
      </c>
      <c r="G3699" s="1"/>
      <c r="H3699" t="s">
        <v>9</v>
      </c>
      <c r="I3699" t="s">
        <v>27</v>
      </c>
    </row>
    <row r="3700" spans="1:9" x14ac:dyDescent="0.25">
      <c r="A3700" t="s">
        <v>4334</v>
      </c>
      <c r="B3700" s="26" t="str">
        <f>MID(tbl_forecast[[#This Row],[PACE Job Number]],3,3)</f>
        <v>STX</v>
      </c>
      <c r="C3700" t="s">
        <v>17</v>
      </c>
      <c r="D3700" s="1">
        <v>43419</v>
      </c>
      <c r="E3700" s="1">
        <v>43453</v>
      </c>
      <c r="F3700" s="1">
        <v>43419</v>
      </c>
      <c r="G3700" s="1"/>
      <c r="H3700" t="s">
        <v>9</v>
      </c>
      <c r="I3700" t="s">
        <v>44</v>
      </c>
    </row>
    <row r="3701" spans="1:9" x14ac:dyDescent="0.25">
      <c r="A3701" t="s">
        <v>1724</v>
      </c>
      <c r="B3701" s="26" t="str">
        <f>MID(tbl_forecast[[#This Row],[PACE Job Number]],3,3)</f>
        <v>NTX</v>
      </c>
      <c r="C3701" t="s">
        <v>17</v>
      </c>
      <c r="D3701" s="1">
        <v>43408</v>
      </c>
      <c r="E3701" s="1">
        <v>43408</v>
      </c>
      <c r="F3701" s="1">
        <v>43433</v>
      </c>
      <c r="G3701" s="1">
        <v>43433</v>
      </c>
      <c r="H3701" t="s">
        <v>4664</v>
      </c>
      <c r="I3701" t="s">
        <v>10</v>
      </c>
    </row>
    <row r="3702" spans="1:9" x14ac:dyDescent="0.25">
      <c r="A3702" t="s">
        <v>4606</v>
      </c>
      <c r="B3702" s="26" t="str">
        <f>MID(tbl_forecast[[#This Row],[PACE Job Number]],3,3)</f>
        <v>ANM</v>
      </c>
      <c r="C3702" t="s">
        <v>17</v>
      </c>
      <c r="D3702" s="1">
        <v>43419</v>
      </c>
      <c r="E3702" s="1">
        <v>43084</v>
      </c>
      <c r="F3702" s="1">
        <v>43423</v>
      </c>
      <c r="G3702" s="1">
        <v>43423</v>
      </c>
      <c r="H3702" t="s">
        <v>9</v>
      </c>
      <c r="I3702" t="s">
        <v>10</v>
      </c>
    </row>
    <row r="3703" spans="1:9" x14ac:dyDescent="0.25">
      <c r="A3703" t="s">
        <v>3369</v>
      </c>
      <c r="B3703" s="26" t="str">
        <f>MID(tbl_forecast[[#This Row],[PACE Job Number]],3,3)</f>
        <v>NTX</v>
      </c>
      <c r="C3703" t="s">
        <v>17</v>
      </c>
      <c r="D3703" s="1">
        <v>43408</v>
      </c>
      <c r="E3703" s="1">
        <v>43408</v>
      </c>
      <c r="F3703" s="1">
        <v>43417</v>
      </c>
      <c r="G3703" s="1">
        <v>43417</v>
      </c>
      <c r="H3703" t="s">
        <v>9</v>
      </c>
      <c r="I3703" t="s">
        <v>10</v>
      </c>
    </row>
    <row r="3704" spans="1:9" x14ac:dyDescent="0.25">
      <c r="A3704" t="s">
        <v>4539</v>
      </c>
      <c r="B3704" s="26" t="str">
        <f>MID(tbl_forecast[[#This Row],[PACE Job Number]],3,3)</f>
        <v>STX</v>
      </c>
      <c r="C3704" t="s">
        <v>17</v>
      </c>
      <c r="D3704" s="1">
        <v>43419</v>
      </c>
      <c r="E3704" s="1">
        <v>43325</v>
      </c>
      <c r="F3704" s="1">
        <v>43411</v>
      </c>
      <c r="G3704" s="1">
        <v>43411</v>
      </c>
      <c r="H3704" t="s">
        <v>9</v>
      </c>
      <c r="I3704" t="s">
        <v>10</v>
      </c>
    </row>
    <row r="3705" spans="1:9" x14ac:dyDescent="0.25">
      <c r="A3705" t="s">
        <v>2513</v>
      </c>
      <c r="B3705" s="26" t="str">
        <f>MID(tbl_forecast[[#This Row],[PACE Job Number]],3,3)</f>
        <v>STX</v>
      </c>
      <c r="C3705" t="s">
        <v>17</v>
      </c>
      <c r="D3705" s="1">
        <v>43419</v>
      </c>
      <c r="E3705" s="1">
        <v>43434</v>
      </c>
      <c r="F3705" s="1">
        <v>43419</v>
      </c>
      <c r="G3705" s="1"/>
      <c r="H3705" t="s">
        <v>9</v>
      </c>
      <c r="I3705" t="s">
        <v>44</v>
      </c>
    </row>
    <row r="3706" spans="1:9" x14ac:dyDescent="0.25">
      <c r="A3706" t="s">
        <v>2516</v>
      </c>
      <c r="B3706" s="26" t="str">
        <f>MID(tbl_forecast[[#This Row],[PACE Job Number]],3,3)</f>
        <v>STX</v>
      </c>
      <c r="C3706" t="s">
        <v>17</v>
      </c>
      <c r="D3706" s="1">
        <v>43419</v>
      </c>
      <c r="E3706" s="1">
        <v>43434</v>
      </c>
      <c r="F3706" s="1">
        <v>43419</v>
      </c>
      <c r="G3706" s="1"/>
      <c r="H3706" t="s">
        <v>9</v>
      </c>
      <c r="I3706" t="s">
        <v>44</v>
      </c>
    </row>
    <row r="3707" spans="1:9" x14ac:dyDescent="0.25">
      <c r="A3707" t="s">
        <v>211</v>
      </c>
      <c r="B3707" s="26" t="str">
        <f>MID(tbl_forecast[[#This Row],[PACE Job Number]],3,3)</f>
        <v>STX</v>
      </c>
      <c r="C3707" t="s">
        <v>17</v>
      </c>
      <c r="D3707" s="1">
        <v>43419</v>
      </c>
      <c r="E3707" s="1">
        <v>43303</v>
      </c>
      <c r="F3707" s="1">
        <v>43411</v>
      </c>
      <c r="G3707" s="1">
        <v>43411</v>
      </c>
      <c r="H3707" t="s">
        <v>9</v>
      </c>
      <c r="I3707" t="s">
        <v>10</v>
      </c>
    </row>
    <row r="3708" spans="1:9" x14ac:dyDescent="0.25">
      <c r="A3708" t="s">
        <v>257</v>
      </c>
      <c r="B3708" s="26" t="str">
        <f>MID(tbl_forecast[[#This Row],[PACE Job Number]],3,3)</f>
        <v>STX</v>
      </c>
      <c r="C3708" t="s">
        <v>17</v>
      </c>
      <c r="D3708" s="1">
        <v>43434</v>
      </c>
      <c r="E3708" s="1">
        <v>43434</v>
      </c>
      <c r="F3708" s="1">
        <v>43434</v>
      </c>
      <c r="G3708" s="1"/>
      <c r="H3708" t="s">
        <v>9</v>
      </c>
      <c r="I3708" t="s">
        <v>27</v>
      </c>
    </row>
    <row r="3709" spans="1:9" x14ac:dyDescent="0.25">
      <c r="A3709" t="s">
        <v>203</v>
      </c>
      <c r="B3709" s="26" t="str">
        <f>MID(tbl_forecast[[#This Row],[PACE Job Number]],3,3)</f>
        <v>STX</v>
      </c>
      <c r="C3709" t="s">
        <v>17</v>
      </c>
      <c r="D3709" s="1">
        <v>43434</v>
      </c>
      <c r="E3709" s="1">
        <v>43434</v>
      </c>
      <c r="F3709" s="1">
        <v>43434</v>
      </c>
      <c r="G3709" s="1"/>
      <c r="H3709" t="s">
        <v>9</v>
      </c>
      <c r="I3709" t="s">
        <v>27</v>
      </c>
    </row>
    <row r="3710" spans="1:9" x14ac:dyDescent="0.25">
      <c r="A3710" t="s">
        <v>4614</v>
      </c>
      <c r="B3710" s="26" t="str">
        <f>MID(tbl_forecast[[#This Row],[PACE Job Number]],3,3)</f>
        <v>STX</v>
      </c>
      <c r="C3710" t="s">
        <v>17</v>
      </c>
      <c r="D3710" s="1">
        <v>43418</v>
      </c>
      <c r="E3710" s="1">
        <v>43418</v>
      </c>
      <c r="F3710" s="1">
        <v>43430</v>
      </c>
      <c r="G3710" s="1">
        <v>43430</v>
      </c>
      <c r="H3710" t="s">
        <v>9</v>
      </c>
      <c r="I3710" t="s">
        <v>10</v>
      </c>
    </row>
    <row r="3711" spans="1:9" x14ac:dyDescent="0.25">
      <c r="A3711" t="s">
        <v>266</v>
      </c>
      <c r="B3711" s="26" t="str">
        <f>MID(tbl_forecast[[#This Row],[PACE Job Number]],3,3)</f>
        <v>STX</v>
      </c>
      <c r="C3711" t="s">
        <v>17</v>
      </c>
      <c r="D3711" s="1">
        <v>43418</v>
      </c>
      <c r="E3711" s="1">
        <v>43418</v>
      </c>
      <c r="F3711" s="1">
        <v>43423</v>
      </c>
      <c r="G3711" s="1">
        <v>43426</v>
      </c>
      <c r="H3711" t="s">
        <v>9</v>
      </c>
      <c r="I3711" t="s">
        <v>10</v>
      </c>
    </row>
    <row r="3712" spans="1:9" x14ac:dyDescent="0.25">
      <c r="A3712" t="s">
        <v>540</v>
      </c>
      <c r="B3712" s="26" t="str">
        <f>MID(tbl_forecast[[#This Row],[PACE Job Number]],3,3)</f>
        <v>STX</v>
      </c>
      <c r="C3712" t="s">
        <v>17</v>
      </c>
      <c r="D3712" s="1">
        <v>43434</v>
      </c>
      <c r="E3712" s="1">
        <v>43434</v>
      </c>
      <c r="F3712" s="1">
        <v>43434</v>
      </c>
      <c r="G3712" s="1"/>
      <c r="H3712" t="s">
        <v>9</v>
      </c>
      <c r="I3712" t="s">
        <v>27</v>
      </c>
    </row>
    <row r="3713" spans="1:9" x14ac:dyDescent="0.25">
      <c r="A3713" t="s">
        <v>3448</v>
      </c>
      <c r="B3713" s="26" t="str">
        <f>MID(tbl_forecast[[#This Row],[PACE Job Number]],3,3)</f>
        <v>STX</v>
      </c>
      <c r="C3713" t="s">
        <v>17</v>
      </c>
      <c r="D3713" s="1">
        <v>43419</v>
      </c>
      <c r="E3713" s="1">
        <v>43373</v>
      </c>
      <c r="F3713" s="1">
        <v>43423</v>
      </c>
      <c r="G3713" s="1">
        <v>43423</v>
      </c>
      <c r="H3713" t="s">
        <v>9</v>
      </c>
      <c r="I3713" t="s">
        <v>10</v>
      </c>
    </row>
    <row r="3714" spans="1:9" x14ac:dyDescent="0.25">
      <c r="A3714" t="s">
        <v>3407</v>
      </c>
      <c r="B3714" s="26" t="str">
        <f>MID(tbl_forecast[[#This Row],[PACE Job Number]],3,3)</f>
        <v>STX</v>
      </c>
      <c r="C3714" t="s">
        <v>17</v>
      </c>
      <c r="D3714" s="1">
        <v>43434</v>
      </c>
      <c r="E3714" s="1">
        <v>43434</v>
      </c>
      <c r="F3714" s="1">
        <v>43423</v>
      </c>
      <c r="G3714" s="1">
        <v>43423</v>
      </c>
      <c r="H3714" t="s">
        <v>9</v>
      </c>
      <c r="I3714" t="s">
        <v>10</v>
      </c>
    </row>
    <row r="3715" spans="1:9" x14ac:dyDescent="0.25">
      <c r="A3715" t="s">
        <v>726</v>
      </c>
      <c r="B3715" s="26" t="str">
        <f>MID(tbl_forecast[[#This Row],[PACE Job Number]],3,3)</f>
        <v>STX</v>
      </c>
      <c r="C3715" t="s">
        <v>17</v>
      </c>
      <c r="D3715" s="1">
        <v>43434</v>
      </c>
      <c r="E3715" s="1">
        <v>43434</v>
      </c>
      <c r="F3715" s="1">
        <v>43434</v>
      </c>
      <c r="G3715" s="1"/>
      <c r="H3715" t="s">
        <v>9</v>
      </c>
      <c r="I3715" t="s">
        <v>27</v>
      </c>
    </row>
    <row r="3716" spans="1:9" x14ac:dyDescent="0.25">
      <c r="A3716" t="s">
        <v>517</v>
      </c>
      <c r="B3716" s="26" t="str">
        <f>MID(tbl_forecast[[#This Row],[PACE Job Number]],3,3)</f>
        <v>STX</v>
      </c>
      <c r="C3716" t="s">
        <v>17</v>
      </c>
      <c r="D3716" s="1">
        <v>43434</v>
      </c>
      <c r="E3716" s="1">
        <v>43434</v>
      </c>
      <c r="F3716" s="1">
        <v>43434</v>
      </c>
      <c r="G3716" s="1"/>
      <c r="H3716" t="s">
        <v>9</v>
      </c>
      <c r="I3716" t="s">
        <v>27</v>
      </c>
    </row>
    <row r="3717" spans="1:9" x14ac:dyDescent="0.25">
      <c r="A3717" t="s">
        <v>4617</v>
      </c>
      <c r="B3717" s="26" t="str">
        <f>MID(tbl_forecast[[#This Row],[PACE Job Number]],3,3)</f>
        <v>STX</v>
      </c>
      <c r="C3717" t="s">
        <v>17</v>
      </c>
      <c r="D3717" s="1">
        <v>43418</v>
      </c>
      <c r="E3717" s="1">
        <v>43418</v>
      </c>
      <c r="F3717" s="1">
        <v>43430</v>
      </c>
      <c r="G3717" s="1">
        <v>43430</v>
      </c>
      <c r="H3717" t="s">
        <v>9</v>
      </c>
      <c r="I3717" t="s">
        <v>10</v>
      </c>
    </row>
    <row r="3718" spans="1:9" x14ac:dyDescent="0.25">
      <c r="A3718" t="s">
        <v>4618</v>
      </c>
      <c r="B3718" s="26" t="str">
        <f>MID(tbl_forecast[[#This Row],[PACE Job Number]],3,3)</f>
        <v>STX</v>
      </c>
      <c r="C3718" t="s">
        <v>17</v>
      </c>
      <c r="D3718" s="1">
        <v>43418</v>
      </c>
      <c r="E3718" s="1">
        <v>43418</v>
      </c>
      <c r="F3718" s="1">
        <v>43430</v>
      </c>
      <c r="G3718" s="1">
        <v>43430</v>
      </c>
      <c r="H3718" t="s">
        <v>9</v>
      </c>
      <c r="I3718" t="s">
        <v>10</v>
      </c>
    </row>
    <row r="3719" spans="1:9" x14ac:dyDescent="0.25">
      <c r="A3719" t="s">
        <v>4039</v>
      </c>
      <c r="B3719" s="26" t="str">
        <f>MID(tbl_forecast[[#This Row],[PACE Job Number]],3,3)</f>
        <v>STX</v>
      </c>
      <c r="C3719" t="s">
        <v>17</v>
      </c>
      <c r="D3719" s="1">
        <v>43419</v>
      </c>
      <c r="E3719" s="1">
        <v>43373</v>
      </c>
      <c r="F3719" s="1">
        <v>43419</v>
      </c>
      <c r="G3719" s="1"/>
      <c r="H3719" t="s">
        <v>9</v>
      </c>
      <c r="I3719" t="s">
        <v>27</v>
      </c>
    </row>
    <row r="3720" spans="1:9" x14ac:dyDescent="0.25">
      <c r="A3720" t="s">
        <v>284</v>
      </c>
      <c r="B3720" s="26" t="str">
        <f>MID(tbl_forecast[[#This Row],[PACE Job Number]],3,3)</f>
        <v>STX</v>
      </c>
      <c r="C3720" t="s">
        <v>17</v>
      </c>
      <c r="D3720" s="1">
        <v>43434</v>
      </c>
      <c r="E3720" s="1">
        <v>43434</v>
      </c>
      <c r="F3720" s="1">
        <v>43411</v>
      </c>
      <c r="G3720" s="1">
        <v>43411</v>
      </c>
      <c r="H3720" t="s">
        <v>9</v>
      </c>
      <c r="I3720" t="s">
        <v>10</v>
      </c>
    </row>
    <row r="3721" spans="1:9" x14ac:dyDescent="0.25">
      <c r="A3721" t="s">
        <v>3208</v>
      </c>
      <c r="B3721" s="26" t="str">
        <f>MID(tbl_forecast[[#This Row],[PACE Job Number]],3,3)</f>
        <v>STX</v>
      </c>
      <c r="C3721" t="s">
        <v>17</v>
      </c>
      <c r="D3721" s="1">
        <v>43419</v>
      </c>
      <c r="E3721" s="1">
        <v>43539</v>
      </c>
      <c r="F3721" s="1">
        <v>43419</v>
      </c>
      <c r="G3721" s="1"/>
      <c r="H3721" t="s">
        <v>9</v>
      </c>
      <c r="I3721" t="s">
        <v>44</v>
      </c>
    </row>
    <row r="3722" spans="1:9" x14ac:dyDescent="0.25">
      <c r="A3722" t="s">
        <v>3936</v>
      </c>
      <c r="B3722" s="26" t="str">
        <f>MID(tbl_forecast[[#This Row],[PACE Job Number]],3,3)</f>
        <v>STX</v>
      </c>
      <c r="C3722" t="s">
        <v>17</v>
      </c>
      <c r="D3722" s="1">
        <v>43434</v>
      </c>
      <c r="E3722" s="1">
        <v>43403</v>
      </c>
      <c r="F3722" s="1">
        <v>43434</v>
      </c>
      <c r="G3722" s="1">
        <v>43433</v>
      </c>
      <c r="H3722" t="s">
        <v>9</v>
      </c>
      <c r="I3722" t="s">
        <v>10</v>
      </c>
    </row>
    <row r="3723" spans="1:9" x14ac:dyDescent="0.25">
      <c r="A3723" t="s">
        <v>729</v>
      </c>
      <c r="B3723" s="26" t="str">
        <f>MID(tbl_forecast[[#This Row],[PACE Job Number]],3,3)</f>
        <v>STX</v>
      </c>
      <c r="C3723" t="s">
        <v>17</v>
      </c>
      <c r="D3723" s="1">
        <v>43419</v>
      </c>
      <c r="E3723" s="1">
        <v>43464</v>
      </c>
      <c r="F3723" s="1">
        <v>43419</v>
      </c>
      <c r="G3723" s="1"/>
      <c r="H3723" t="s">
        <v>9</v>
      </c>
      <c r="I3723" t="s">
        <v>44</v>
      </c>
    </row>
    <row r="3724" spans="1:9" x14ac:dyDescent="0.25">
      <c r="A3724" t="s">
        <v>4619</v>
      </c>
      <c r="B3724" s="26" t="str">
        <f>MID(tbl_forecast[[#This Row],[PACE Job Number]],3,3)</f>
        <v>STX</v>
      </c>
      <c r="C3724" t="s">
        <v>17</v>
      </c>
      <c r="D3724" s="1">
        <v>43418</v>
      </c>
      <c r="E3724" s="1">
        <v>43418</v>
      </c>
      <c r="F3724" s="1">
        <v>43430</v>
      </c>
      <c r="G3724" s="1">
        <v>43430</v>
      </c>
      <c r="H3724" t="s">
        <v>9</v>
      </c>
      <c r="I3724" t="s">
        <v>10</v>
      </c>
    </row>
    <row r="3725" spans="1:9" x14ac:dyDescent="0.25">
      <c r="A3725" t="s">
        <v>3938</v>
      </c>
      <c r="B3725" s="26" t="str">
        <f>MID(tbl_forecast[[#This Row],[PACE Job Number]],3,3)</f>
        <v>STX</v>
      </c>
      <c r="C3725" t="s">
        <v>17</v>
      </c>
      <c r="D3725" s="1">
        <v>43434</v>
      </c>
      <c r="E3725" s="1">
        <v>43403</v>
      </c>
      <c r="F3725" s="1">
        <v>43434</v>
      </c>
      <c r="G3725" s="1"/>
      <c r="H3725" t="s">
        <v>9</v>
      </c>
      <c r="I3725" t="s">
        <v>27</v>
      </c>
    </row>
    <row r="3726" spans="1:9" x14ac:dyDescent="0.25">
      <c r="A3726" t="s">
        <v>4040</v>
      </c>
      <c r="B3726" s="26" t="str">
        <f>MID(tbl_forecast[[#This Row],[PACE Job Number]],3,3)</f>
        <v>STX</v>
      </c>
      <c r="C3726" t="s">
        <v>17</v>
      </c>
      <c r="D3726" s="1">
        <v>43434</v>
      </c>
      <c r="E3726" s="1">
        <v>43434</v>
      </c>
      <c r="F3726" s="1">
        <v>43434</v>
      </c>
      <c r="G3726" s="1"/>
      <c r="H3726" t="s">
        <v>9</v>
      </c>
      <c r="I3726" t="s">
        <v>27</v>
      </c>
    </row>
    <row r="3727" spans="1:9" x14ac:dyDescent="0.25">
      <c r="A3727" t="s">
        <v>4391</v>
      </c>
      <c r="B3727" s="26" t="str">
        <f>MID(tbl_forecast[[#This Row],[PACE Job Number]],3,3)</f>
        <v>STX</v>
      </c>
      <c r="C3727" t="s">
        <v>17</v>
      </c>
      <c r="D3727" s="1">
        <v>43419</v>
      </c>
      <c r="E3727" s="1">
        <v>43373</v>
      </c>
      <c r="F3727" s="1">
        <v>43419</v>
      </c>
      <c r="G3727" s="1"/>
      <c r="H3727" t="s">
        <v>9</v>
      </c>
      <c r="I3727" t="s">
        <v>27</v>
      </c>
    </row>
    <row r="3728" spans="1:9" x14ac:dyDescent="0.25">
      <c r="A3728" t="s">
        <v>2685</v>
      </c>
      <c r="B3728" s="26" t="str">
        <f>MID(tbl_forecast[[#This Row],[PACE Job Number]],3,3)</f>
        <v>STX</v>
      </c>
      <c r="C3728" t="s">
        <v>17</v>
      </c>
      <c r="D3728" s="1">
        <v>43405</v>
      </c>
      <c r="E3728" s="1">
        <v>43373</v>
      </c>
      <c r="F3728" s="1">
        <v>43405</v>
      </c>
      <c r="G3728" s="1">
        <v>43405</v>
      </c>
      <c r="H3728" t="s">
        <v>9</v>
      </c>
      <c r="I3728" t="s">
        <v>10</v>
      </c>
    </row>
    <row r="3729" spans="1:9" x14ac:dyDescent="0.25">
      <c r="A3729" t="s">
        <v>4646</v>
      </c>
      <c r="B3729" s="26" t="str">
        <f>MID(tbl_forecast[[#This Row],[PACE Job Number]],3,3)</f>
        <v>STX</v>
      </c>
      <c r="C3729" t="s">
        <v>17</v>
      </c>
      <c r="D3729" s="1">
        <v>43434</v>
      </c>
      <c r="E3729" s="1">
        <v>43434</v>
      </c>
      <c r="F3729" s="1">
        <v>43434</v>
      </c>
      <c r="G3729" s="1">
        <v>43434</v>
      </c>
      <c r="H3729" t="s">
        <v>9</v>
      </c>
      <c r="I3729" t="s">
        <v>10</v>
      </c>
    </row>
    <row r="3730" spans="1:9" x14ac:dyDescent="0.25">
      <c r="A3730" t="s">
        <v>4607</v>
      </c>
      <c r="B3730" s="26" t="str">
        <f>MID(tbl_forecast[[#This Row],[PACE Job Number]],3,3)</f>
        <v>ANM</v>
      </c>
      <c r="C3730" t="s">
        <v>17</v>
      </c>
      <c r="D3730" s="1">
        <v>43419</v>
      </c>
      <c r="E3730" s="1">
        <v>36524</v>
      </c>
      <c r="F3730" s="1">
        <v>43431</v>
      </c>
      <c r="G3730" s="1"/>
      <c r="H3730" t="s">
        <v>9</v>
      </c>
      <c r="I3730" t="s">
        <v>27</v>
      </c>
    </row>
    <row r="3731" spans="1:9" x14ac:dyDescent="0.25">
      <c r="A3731" t="s">
        <v>3945</v>
      </c>
      <c r="B3731" s="26" t="str">
        <f>MID(tbl_forecast[[#This Row],[PACE Job Number]],3,3)</f>
        <v>NTX</v>
      </c>
      <c r="C3731" t="s">
        <v>17</v>
      </c>
      <c r="D3731" s="1">
        <v>43408</v>
      </c>
      <c r="E3731" s="1">
        <v>43408</v>
      </c>
      <c r="F3731" s="1">
        <v>43420</v>
      </c>
      <c r="G3731" s="1">
        <v>43420</v>
      </c>
      <c r="H3731" t="s">
        <v>9</v>
      </c>
      <c r="I3731" t="s">
        <v>10</v>
      </c>
    </row>
    <row r="3732" spans="1:9" x14ac:dyDescent="0.25">
      <c r="A3732" t="s">
        <v>5603</v>
      </c>
      <c r="B3732" s="26" t="str">
        <f>MID(tbl_forecast[[#This Row],[PACE Job Number]],3,3)</f>
        <v>STX</v>
      </c>
      <c r="C3732" t="s">
        <v>17</v>
      </c>
      <c r="D3732" s="1">
        <v>43405</v>
      </c>
      <c r="E3732" s="1">
        <v>43419</v>
      </c>
      <c r="F3732" s="1">
        <v>43405</v>
      </c>
      <c r="G3732" s="1">
        <v>43405</v>
      </c>
      <c r="H3732" t="s">
        <v>9</v>
      </c>
      <c r="I3732" t="s">
        <v>10</v>
      </c>
    </row>
    <row r="3733" spans="1:9" x14ac:dyDescent="0.25">
      <c r="A3733" t="s">
        <v>4392</v>
      </c>
      <c r="B3733" s="26" t="str">
        <f>MID(tbl_forecast[[#This Row],[PACE Job Number]],3,3)</f>
        <v>STX</v>
      </c>
      <c r="C3733" t="s">
        <v>17</v>
      </c>
      <c r="D3733" s="1">
        <v>43419</v>
      </c>
      <c r="E3733" s="1">
        <v>43434</v>
      </c>
      <c r="F3733" s="1">
        <v>43419</v>
      </c>
      <c r="G3733" s="1"/>
      <c r="H3733" t="s">
        <v>9</v>
      </c>
      <c r="I3733" t="s">
        <v>44</v>
      </c>
    </row>
    <row r="3734" spans="1:9" x14ac:dyDescent="0.25">
      <c r="A3734" t="s">
        <v>4393</v>
      </c>
      <c r="B3734" s="26" t="str">
        <f>MID(tbl_forecast[[#This Row],[PACE Job Number]],3,3)</f>
        <v>STX</v>
      </c>
      <c r="C3734" t="s">
        <v>17</v>
      </c>
      <c r="D3734" s="1">
        <v>43419</v>
      </c>
      <c r="E3734" s="1">
        <v>43434</v>
      </c>
      <c r="F3734" s="1">
        <v>43419</v>
      </c>
      <c r="G3734" s="1"/>
      <c r="H3734" t="s">
        <v>9</v>
      </c>
      <c r="I3734" t="s">
        <v>44</v>
      </c>
    </row>
    <row r="3735" spans="1:9" x14ac:dyDescent="0.25">
      <c r="A3735" t="s">
        <v>656</v>
      </c>
      <c r="B3735" s="26" t="str">
        <f>MID(tbl_forecast[[#This Row],[PACE Job Number]],3,3)</f>
        <v>STX</v>
      </c>
      <c r="C3735" t="s">
        <v>17</v>
      </c>
      <c r="D3735" s="1">
        <v>43419</v>
      </c>
      <c r="E3735" s="1">
        <v>43464</v>
      </c>
      <c r="F3735" s="1">
        <v>43419</v>
      </c>
      <c r="G3735" s="1"/>
      <c r="H3735" t="s">
        <v>9</v>
      </c>
      <c r="I3735" t="s">
        <v>44</v>
      </c>
    </row>
    <row r="3736" spans="1:9" x14ac:dyDescent="0.25">
      <c r="A3736" t="s">
        <v>5604</v>
      </c>
      <c r="B3736" s="26" t="str">
        <f>MID(tbl_forecast[[#This Row],[PACE Job Number]],3,3)</f>
        <v>STX</v>
      </c>
      <c r="C3736" t="s">
        <v>17</v>
      </c>
      <c r="D3736" s="1">
        <v>43434</v>
      </c>
      <c r="E3736" s="1">
        <v>43434</v>
      </c>
      <c r="F3736" s="1">
        <v>43418</v>
      </c>
      <c r="G3736" s="1">
        <v>43418</v>
      </c>
      <c r="H3736" t="s">
        <v>9</v>
      </c>
      <c r="I3736" t="s">
        <v>10</v>
      </c>
    </row>
    <row r="3737" spans="1:9" x14ac:dyDescent="0.25">
      <c r="A3737" t="s">
        <v>4394</v>
      </c>
      <c r="B3737" s="26" t="str">
        <f>MID(tbl_forecast[[#This Row],[PACE Job Number]],3,3)</f>
        <v>STX</v>
      </c>
      <c r="C3737" t="s">
        <v>17</v>
      </c>
      <c r="D3737" s="1">
        <v>43419</v>
      </c>
      <c r="E3737" s="1">
        <v>43434</v>
      </c>
      <c r="F3737" s="1">
        <v>43419</v>
      </c>
      <c r="G3737" s="1"/>
      <c r="H3737" t="s">
        <v>9</v>
      </c>
      <c r="I3737" t="s">
        <v>44</v>
      </c>
    </row>
    <row r="3738" spans="1:9" x14ac:dyDescent="0.25">
      <c r="A3738" t="s">
        <v>514</v>
      </c>
      <c r="B3738" s="26" t="str">
        <f>MID(tbl_forecast[[#This Row],[PACE Job Number]],3,3)</f>
        <v>STX</v>
      </c>
      <c r="C3738" t="s">
        <v>17</v>
      </c>
      <c r="D3738" s="1">
        <v>43419</v>
      </c>
      <c r="E3738" s="1">
        <v>43464</v>
      </c>
      <c r="F3738" s="1">
        <v>43419</v>
      </c>
      <c r="G3738" s="1"/>
      <c r="H3738" t="s">
        <v>9</v>
      </c>
      <c r="I3738" t="s">
        <v>44</v>
      </c>
    </row>
    <row r="3739" spans="1:9" x14ac:dyDescent="0.25">
      <c r="A3739" t="s">
        <v>5560</v>
      </c>
      <c r="B3739" s="26" t="str">
        <f>MID(tbl_forecast[[#This Row],[PACE Job Number]],3,3)</f>
        <v>STX</v>
      </c>
      <c r="C3739" t="s">
        <v>17</v>
      </c>
      <c r="D3739" s="1">
        <v>43434</v>
      </c>
      <c r="E3739" s="1">
        <v>43434</v>
      </c>
      <c r="F3739" s="1">
        <v>43434</v>
      </c>
      <c r="G3739" s="1"/>
      <c r="H3739" t="s">
        <v>9</v>
      </c>
      <c r="I3739" t="s">
        <v>27</v>
      </c>
    </row>
    <row r="3740" spans="1:9" x14ac:dyDescent="0.25">
      <c r="A3740" t="s">
        <v>5561</v>
      </c>
      <c r="B3740" s="26" t="str">
        <f>MID(tbl_forecast[[#This Row],[PACE Job Number]],3,3)</f>
        <v>STX</v>
      </c>
      <c r="C3740" t="s">
        <v>17</v>
      </c>
      <c r="D3740" s="1">
        <v>43419</v>
      </c>
      <c r="E3740" s="1">
        <v>43373</v>
      </c>
      <c r="F3740" s="1">
        <v>43423</v>
      </c>
      <c r="G3740" s="1">
        <v>43423</v>
      </c>
      <c r="H3740" t="s">
        <v>9</v>
      </c>
      <c r="I3740" t="s">
        <v>10</v>
      </c>
    </row>
    <row r="3741" spans="1:9" x14ac:dyDescent="0.25">
      <c r="A3741" t="s">
        <v>4395</v>
      </c>
      <c r="B3741" s="26" t="str">
        <f>MID(tbl_forecast[[#This Row],[PACE Job Number]],3,3)</f>
        <v>STX</v>
      </c>
      <c r="C3741" t="s">
        <v>17</v>
      </c>
      <c r="D3741" s="1">
        <v>43419</v>
      </c>
      <c r="E3741" s="1">
        <v>43434</v>
      </c>
      <c r="F3741" s="1">
        <v>43419</v>
      </c>
      <c r="G3741" s="1"/>
      <c r="H3741" t="s">
        <v>9</v>
      </c>
      <c r="I3741" t="s">
        <v>44</v>
      </c>
    </row>
    <row r="3742" spans="1:9" x14ac:dyDescent="0.25">
      <c r="A3742" t="s">
        <v>3414</v>
      </c>
      <c r="B3742" s="26" t="str">
        <f>MID(tbl_forecast[[#This Row],[PACE Job Number]],3,3)</f>
        <v>STX</v>
      </c>
      <c r="C3742" t="s">
        <v>17</v>
      </c>
      <c r="D3742" s="1">
        <v>43419</v>
      </c>
      <c r="E3742" s="1">
        <v>43373</v>
      </c>
      <c r="F3742" s="1">
        <v>43423</v>
      </c>
      <c r="G3742" s="1">
        <v>43423</v>
      </c>
      <c r="H3742" t="s">
        <v>9</v>
      </c>
      <c r="I3742" t="s">
        <v>10</v>
      </c>
    </row>
    <row r="3743" spans="1:9" x14ac:dyDescent="0.25">
      <c r="A3743" t="s">
        <v>3438</v>
      </c>
      <c r="B3743" s="26" t="str">
        <f>MID(tbl_forecast[[#This Row],[PACE Job Number]],3,3)</f>
        <v>STX</v>
      </c>
      <c r="C3743" t="s">
        <v>17</v>
      </c>
      <c r="D3743" s="1">
        <v>43419</v>
      </c>
      <c r="E3743" s="1">
        <v>43373</v>
      </c>
      <c r="F3743" s="1">
        <v>43423</v>
      </c>
      <c r="G3743" s="1">
        <v>43423</v>
      </c>
      <c r="H3743" t="s">
        <v>9</v>
      </c>
      <c r="I3743" t="s">
        <v>10</v>
      </c>
    </row>
    <row r="3744" spans="1:9" x14ac:dyDescent="0.25">
      <c r="A3744" t="s">
        <v>4579</v>
      </c>
      <c r="B3744" s="26" t="str">
        <f>MID(tbl_forecast[[#This Row],[PACE Job Number]],3,3)</f>
        <v>STX</v>
      </c>
      <c r="C3744" t="s">
        <v>17</v>
      </c>
      <c r="D3744" s="1">
        <v>43405</v>
      </c>
      <c r="E3744" s="1">
        <v>43419</v>
      </c>
      <c r="F3744" s="1">
        <v>43405</v>
      </c>
      <c r="G3744" s="1">
        <v>43405</v>
      </c>
      <c r="H3744" t="s">
        <v>9</v>
      </c>
      <c r="I3744" t="s">
        <v>10</v>
      </c>
    </row>
    <row r="3745" spans="1:9" x14ac:dyDescent="0.25">
      <c r="A3745" t="s">
        <v>4620</v>
      </c>
      <c r="B3745" s="26" t="str">
        <f>MID(tbl_forecast[[#This Row],[PACE Job Number]],3,3)</f>
        <v>STX</v>
      </c>
      <c r="C3745" t="s">
        <v>17</v>
      </c>
      <c r="D3745" s="1">
        <v>43405</v>
      </c>
      <c r="E3745" s="1">
        <v>43418</v>
      </c>
      <c r="F3745" s="1">
        <v>43405</v>
      </c>
      <c r="G3745" s="1">
        <v>43405</v>
      </c>
      <c r="H3745" t="s">
        <v>9</v>
      </c>
      <c r="I3745" t="s">
        <v>10</v>
      </c>
    </row>
    <row r="3746" spans="1:9" x14ac:dyDescent="0.25">
      <c r="A3746" t="s">
        <v>4396</v>
      </c>
      <c r="B3746" s="26" t="str">
        <f>MID(tbl_forecast[[#This Row],[PACE Job Number]],3,3)</f>
        <v>STX</v>
      </c>
      <c r="C3746" t="s">
        <v>17</v>
      </c>
      <c r="D3746" s="1">
        <v>43419</v>
      </c>
      <c r="E3746" s="1">
        <v>43434</v>
      </c>
      <c r="F3746" s="1">
        <v>43419</v>
      </c>
      <c r="G3746" s="1"/>
      <c r="H3746" t="s">
        <v>9</v>
      </c>
      <c r="I3746" t="s">
        <v>44</v>
      </c>
    </row>
    <row r="3747" spans="1:9" x14ac:dyDescent="0.25">
      <c r="A3747" t="s">
        <v>717</v>
      </c>
      <c r="B3747" s="26" t="str">
        <f>MID(tbl_forecast[[#This Row],[PACE Job Number]],3,3)</f>
        <v>STX</v>
      </c>
      <c r="C3747" t="s">
        <v>17</v>
      </c>
      <c r="D3747" s="1">
        <v>43434</v>
      </c>
      <c r="E3747" s="1">
        <v>43434</v>
      </c>
      <c r="F3747" s="1">
        <v>43434</v>
      </c>
      <c r="G3747" s="1"/>
      <c r="H3747" t="s">
        <v>9</v>
      </c>
      <c r="I3747" t="s">
        <v>27</v>
      </c>
    </row>
    <row r="3748" spans="1:9" x14ac:dyDescent="0.25">
      <c r="A3748" t="s">
        <v>5605</v>
      </c>
      <c r="B3748" s="26" t="str">
        <f>MID(tbl_forecast[[#This Row],[PACE Job Number]],3,3)</f>
        <v>STX</v>
      </c>
      <c r="C3748" t="s">
        <v>17</v>
      </c>
      <c r="D3748" s="1">
        <v>43434</v>
      </c>
      <c r="E3748" s="1">
        <v>43434</v>
      </c>
      <c r="F3748" s="1">
        <v>43423</v>
      </c>
      <c r="G3748" s="1">
        <v>43423</v>
      </c>
      <c r="H3748" t="s">
        <v>9</v>
      </c>
      <c r="I3748" t="s">
        <v>10</v>
      </c>
    </row>
    <row r="3749" spans="1:9" x14ac:dyDescent="0.25">
      <c r="A3749" t="s">
        <v>3939</v>
      </c>
      <c r="B3749" s="26" t="str">
        <f>MID(tbl_forecast[[#This Row],[PACE Job Number]],3,3)</f>
        <v>STX</v>
      </c>
      <c r="C3749" t="s">
        <v>17</v>
      </c>
      <c r="D3749" s="1">
        <v>43434</v>
      </c>
      <c r="E3749" s="1">
        <v>43434</v>
      </c>
      <c r="F3749" s="1">
        <v>43416</v>
      </c>
      <c r="G3749" s="1">
        <v>43416</v>
      </c>
      <c r="H3749" t="s">
        <v>9</v>
      </c>
      <c r="I3749" t="s">
        <v>10</v>
      </c>
    </row>
    <row r="3750" spans="1:9" x14ac:dyDescent="0.25">
      <c r="A3750" t="s">
        <v>3940</v>
      </c>
      <c r="B3750" s="26" t="str">
        <f>MID(tbl_forecast[[#This Row],[PACE Job Number]],3,3)</f>
        <v>STX</v>
      </c>
      <c r="C3750" t="s">
        <v>17</v>
      </c>
      <c r="D3750" s="1">
        <v>43434</v>
      </c>
      <c r="E3750" s="1">
        <v>43403</v>
      </c>
      <c r="F3750" s="1">
        <v>43434</v>
      </c>
      <c r="G3750" s="1"/>
      <c r="H3750" t="s">
        <v>9</v>
      </c>
      <c r="I3750" t="s">
        <v>27</v>
      </c>
    </row>
    <row r="3751" spans="1:9" x14ac:dyDescent="0.25">
      <c r="A3751" t="s">
        <v>3115</v>
      </c>
      <c r="B3751" s="26" t="str">
        <f>MID(tbl_forecast[[#This Row],[PACE Job Number]],3,3)</f>
        <v>STX</v>
      </c>
      <c r="C3751" t="s">
        <v>17</v>
      </c>
      <c r="D3751" s="1">
        <v>43419</v>
      </c>
      <c r="E3751" s="1">
        <v>43403</v>
      </c>
      <c r="F3751" s="1">
        <v>43419</v>
      </c>
      <c r="G3751" s="1"/>
      <c r="H3751" t="s">
        <v>9</v>
      </c>
      <c r="I3751" t="s">
        <v>27</v>
      </c>
    </row>
    <row r="3752" spans="1:9" x14ac:dyDescent="0.25">
      <c r="A3752" t="s">
        <v>3941</v>
      </c>
      <c r="B3752" s="26" t="str">
        <f>MID(tbl_forecast[[#This Row],[PACE Job Number]],3,3)</f>
        <v>STX</v>
      </c>
      <c r="C3752" t="s">
        <v>17</v>
      </c>
      <c r="D3752" s="1">
        <v>43434</v>
      </c>
      <c r="E3752" s="1">
        <v>43434</v>
      </c>
      <c r="F3752" s="1">
        <v>43434</v>
      </c>
      <c r="G3752" s="1"/>
      <c r="H3752" t="s">
        <v>9</v>
      </c>
      <c r="I3752" t="s">
        <v>27</v>
      </c>
    </row>
    <row r="3753" spans="1:9" x14ac:dyDescent="0.25">
      <c r="A3753" t="s">
        <v>3942</v>
      </c>
      <c r="B3753" s="26" t="str">
        <f>MID(tbl_forecast[[#This Row],[PACE Job Number]],3,3)</f>
        <v>STX</v>
      </c>
      <c r="C3753" t="s">
        <v>17</v>
      </c>
      <c r="D3753" s="1">
        <v>43434</v>
      </c>
      <c r="E3753" s="1">
        <v>43434</v>
      </c>
      <c r="F3753" s="1">
        <v>43434</v>
      </c>
      <c r="G3753" s="1"/>
      <c r="H3753" t="s">
        <v>9</v>
      </c>
      <c r="I3753" t="s">
        <v>27</v>
      </c>
    </row>
    <row r="3754" spans="1:9" x14ac:dyDescent="0.25">
      <c r="A3754" t="s">
        <v>4398</v>
      </c>
      <c r="B3754" s="26" t="str">
        <f>MID(tbl_forecast[[#This Row],[PACE Job Number]],3,3)</f>
        <v>STX</v>
      </c>
      <c r="C3754" t="s">
        <v>17</v>
      </c>
      <c r="D3754" s="1">
        <v>43419</v>
      </c>
      <c r="E3754" s="1">
        <v>43434</v>
      </c>
      <c r="F3754" s="1">
        <v>43419</v>
      </c>
      <c r="G3754" s="1"/>
      <c r="H3754" t="s">
        <v>9</v>
      </c>
      <c r="I3754" t="s">
        <v>44</v>
      </c>
    </row>
    <row r="3755" spans="1:9" x14ac:dyDescent="0.25">
      <c r="A3755" t="s">
        <v>3910</v>
      </c>
      <c r="B3755" s="26" t="str">
        <f>MID(tbl_forecast[[#This Row],[PACE Job Number]],3,3)</f>
        <v>WSH</v>
      </c>
      <c r="C3755" t="s">
        <v>17</v>
      </c>
      <c r="D3755" s="1">
        <v>43434</v>
      </c>
      <c r="E3755" s="1">
        <v>43434</v>
      </c>
      <c r="F3755" s="1">
        <v>43430</v>
      </c>
      <c r="G3755" s="1">
        <v>43430</v>
      </c>
      <c r="H3755" t="s">
        <v>9</v>
      </c>
      <c r="I3755" t="s">
        <v>10</v>
      </c>
    </row>
    <row r="3756" spans="1:9" x14ac:dyDescent="0.25">
      <c r="A3756" t="s">
        <v>4003</v>
      </c>
      <c r="B3756" s="26" t="str">
        <f>MID(tbl_forecast[[#This Row],[PACE Job Number]],3,3)</f>
        <v>WSH</v>
      </c>
      <c r="C3756" t="s">
        <v>17</v>
      </c>
      <c r="D3756" s="1">
        <v>43434</v>
      </c>
      <c r="E3756" s="1">
        <v>43434</v>
      </c>
      <c r="F3756" s="1">
        <v>43430</v>
      </c>
      <c r="G3756" s="1">
        <v>43430</v>
      </c>
      <c r="H3756" t="s">
        <v>9</v>
      </c>
      <c r="I3756" t="s">
        <v>10</v>
      </c>
    </row>
    <row r="3757" spans="1:9" x14ac:dyDescent="0.25">
      <c r="A3757" t="s">
        <v>4520</v>
      </c>
      <c r="B3757" s="26" t="str">
        <f>MID(tbl_forecast[[#This Row],[PACE Job Number]],3,3)</f>
        <v>NTX</v>
      </c>
      <c r="C3757" t="s">
        <v>17</v>
      </c>
      <c r="D3757" s="1">
        <v>43406</v>
      </c>
      <c r="E3757" s="1">
        <v>43404</v>
      </c>
      <c r="F3757" s="1">
        <v>43431</v>
      </c>
      <c r="G3757" s="1">
        <v>43431</v>
      </c>
      <c r="H3757" t="s">
        <v>4664</v>
      </c>
      <c r="I3757" t="s">
        <v>10</v>
      </c>
    </row>
    <row r="3758" spans="1:9" x14ac:dyDescent="0.25">
      <c r="A3758" t="s">
        <v>4521</v>
      </c>
      <c r="B3758" s="26" t="str">
        <f>MID(tbl_forecast[[#This Row],[PACE Job Number]],3,3)</f>
        <v>NTX</v>
      </c>
      <c r="C3758" t="s">
        <v>17</v>
      </c>
      <c r="D3758" s="1">
        <v>43406</v>
      </c>
      <c r="E3758" s="1">
        <v>43404</v>
      </c>
      <c r="F3758" s="1">
        <v>43431</v>
      </c>
      <c r="G3758" s="1">
        <v>43431</v>
      </c>
      <c r="H3758" t="s">
        <v>4664</v>
      </c>
      <c r="I3758" t="s">
        <v>10</v>
      </c>
    </row>
    <row r="3759" spans="1:9" x14ac:dyDescent="0.25">
      <c r="A3759" t="s">
        <v>4335</v>
      </c>
      <c r="B3759" s="26" t="str">
        <f>MID(tbl_forecast[[#This Row],[PACE Job Number]],3,3)</f>
        <v>STX</v>
      </c>
      <c r="C3759" t="s">
        <v>17</v>
      </c>
      <c r="D3759" s="1">
        <v>43434</v>
      </c>
      <c r="E3759" s="1">
        <v>43434</v>
      </c>
      <c r="F3759" s="1">
        <v>43432</v>
      </c>
      <c r="G3759" s="1"/>
      <c r="H3759" t="s">
        <v>9</v>
      </c>
      <c r="I3759" t="s">
        <v>27</v>
      </c>
    </row>
    <row r="3760" spans="1:9" x14ac:dyDescent="0.25">
      <c r="A3760" t="s">
        <v>4336</v>
      </c>
      <c r="B3760" s="26" t="str">
        <f>MID(tbl_forecast[[#This Row],[PACE Job Number]],3,3)</f>
        <v>STX</v>
      </c>
      <c r="C3760" t="s">
        <v>17</v>
      </c>
      <c r="D3760" s="1">
        <v>43434</v>
      </c>
      <c r="E3760" s="1">
        <v>43434</v>
      </c>
      <c r="F3760" s="1">
        <v>43433</v>
      </c>
      <c r="G3760" s="1">
        <v>43433</v>
      </c>
      <c r="H3760" t="s">
        <v>9</v>
      </c>
      <c r="I3760" t="s">
        <v>10</v>
      </c>
    </row>
    <row r="3761" spans="1:9" x14ac:dyDescent="0.25">
      <c r="A3761" t="s">
        <v>4522</v>
      </c>
      <c r="B3761" s="26" t="str">
        <f>MID(tbl_forecast[[#This Row],[PACE Job Number]],3,3)</f>
        <v>STX</v>
      </c>
      <c r="C3761" t="s">
        <v>17</v>
      </c>
      <c r="D3761" s="1">
        <v>43419</v>
      </c>
      <c r="E3761" s="1">
        <v>43434</v>
      </c>
      <c r="F3761" s="1">
        <v>43423</v>
      </c>
      <c r="G3761" s="1">
        <v>43423</v>
      </c>
      <c r="H3761" t="s">
        <v>9</v>
      </c>
      <c r="I3761" t="s">
        <v>10</v>
      </c>
    </row>
    <row r="3762" spans="1:9" x14ac:dyDescent="0.25">
      <c r="A3762" t="s">
        <v>3133</v>
      </c>
      <c r="B3762" s="26" t="str">
        <f>MID(tbl_forecast[[#This Row],[PACE Job Number]],3,3)</f>
        <v>STX</v>
      </c>
      <c r="C3762" t="s">
        <v>17</v>
      </c>
      <c r="D3762" s="1">
        <v>43419</v>
      </c>
      <c r="E3762" s="1">
        <v>43440</v>
      </c>
      <c r="F3762" s="1">
        <v>43432</v>
      </c>
      <c r="G3762" s="1">
        <v>43432</v>
      </c>
      <c r="H3762" t="s">
        <v>9</v>
      </c>
      <c r="I3762" t="s">
        <v>10</v>
      </c>
    </row>
    <row r="3763" spans="1:9" x14ac:dyDescent="0.25">
      <c r="A3763" t="s">
        <v>3286</v>
      </c>
      <c r="B3763" s="26" t="str">
        <f>MID(tbl_forecast[[#This Row],[PACE Job Number]],3,3)</f>
        <v>STX</v>
      </c>
      <c r="C3763" t="s">
        <v>17</v>
      </c>
      <c r="D3763" s="1">
        <v>43405</v>
      </c>
      <c r="E3763" s="1">
        <v>43403</v>
      </c>
      <c r="F3763" s="1">
        <v>43405</v>
      </c>
      <c r="G3763" s="1">
        <v>43405</v>
      </c>
      <c r="H3763" t="s">
        <v>9</v>
      </c>
      <c r="I3763" t="s">
        <v>10</v>
      </c>
    </row>
    <row r="3764" spans="1:9" x14ac:dyDescent="0.25">
      <c r="A3764" t="s">
        <v>4004</v>
      </c>
      <c r="B3764" s="26" t="str">
        <f>MID(tbl_forecast[[#This Row],[PACE Job Number]],3,3)</f>
        <v>WSH</v>
      </c>
      <c r="C3764" t="s">
        <v>17</v>
      </c>
      <c r="D3764" s="1">
        <v>43434</v>
      </c>
      <c r="E3764" s="1">
        <v>43434</v>
      </c>
      <c r="F3764" s="1">
        <v>43434</v>
      </c>
      <c r="G3764" s="1"/>
      <c r="H3764" t="s">
        <v>9</v>
      </c>
      <c r="I3764" t="s">
        <v>27</v>
      </c>
    </row>
    <row r="3765" spans="1:9" x14ac:dyDescent="0.25">
      <c r="A3765" t="s">
        <v>79</v>
      </c>
      <c r="B3765" s="26" t="str">
        <f>MID(tbl_forecast[[#This Row],[PACE Job Number]],3,3)</f>
        <v>WSH</v>
      </c>
      <c r="C3765" t="s">
        <v>17</v>
      </c>
      <c r="D3765" s="1">
        <v>43434</v>
      </c>
      <c r="E3765" s="1">
        <v>43434</v>
      </c>
      <c r="F3765" s="1">
        <v>43430</v>
      </c>
      <c r="G3765" s="1">
        <v>43430</v>
      </c>
      <c r="H3765" t="s">
        <v>9</v>
      </c>
      <c r="I3765" t="s">
        <v>10</v>
      </c>
    </row>
    <row r="3766" spans="1:9" x14ac:dyDescent="0.25">
      <c r="A3766" t="s">
        <v>3515</v>
      </c>
      <c r="B3766" s="26" t="str">
        <f>MID(tbl_forecast[[#This Row],[PACE Job Number]],3,3)</f>
        <v>WSH</v>
      </c>
      <c r="C3766" t="s">
        <v>17</v>
      </c>
      <c r="D3766" s="1">
        <v>43413</v>
      </c>
      <c r="E3766" s="1">
        <v>43413</v>
      </c>
      <c r="F3766" s="1">
        <v>43411</v>
      </c>
      <c r="G3766" s="1">
        <v>43411</v>
      </c>
      <c r="H3766" t="s">
        <v>9</v>
      </c>
      <c r="I3766" t="s">
        <v>10</v>
      </c>
    </row>
    <row r="3767" spans="1:9" x14ac:dyDescent="0.25">
      <c r="A3767" t="s">
        <v>3912</v>
      </c>
      <c r="B3767" s="26" t="str">
        <f>MID(tbl_forecast[[#This Row],[PACE Job Number]],3,3)</f>
        <v>WSH</v>
      </c>
      <c r="C3767" t="s">
        <v>17</v>
      </c>
      <c r="D3767" s="1">
        <v>43434</v>
      </c>
      <c r="E3767" s="1">
        <v>43434</v>
      </c>
      <c r="F3767" s="1">
        <v>43434</v>
      </c>
      <c r="G3767" s="1"/>
      <c r="H3767" t="s">
        <v>9</v>
      </c>
      <c r="I3767" t="s">
        <v>27</v>
      </c>
    </row>
    <row r="3768" spans="1:9" x14ac:dyDescent="0.25">
      <c r="A3768" t="s">
        <v>4005</v>
      </c>
      <c r="B3768" s="26" t="str">
        <f>MID(tbl_forecast[[#This Row],[PACE Job Number]],3,3)</f>
        <v>WSH</v>
      </c>
      <c r="C3768" t="s">
        <v>17</v>
      </c>
      <c r="D3768" s="1">
        <v>43434</v>
      </c>
      <c r="E3768" s="1">
        <v>43434</v>
      </c>
      <c r="F3768" s="1">
        <v>43434</v>
      </c>
      <c r="G3768" s="1"/>
      <c r="H3768" t="s">
        <v>9</v>
      </c>
      <c r="I3768" t="s">
        <v>27</v>
      </c>
    </row>
    <row r="3769" spans="1:9" x14ac:dyDescent="0.25">
      <c r="A3769" t="s">
        <v>3523</v>
      </c>
      <c r="B3769" s="26" t="str">
        <f>MID(tbl_forecast[[#This Row],[PACE Job Number]],3,3)</f>
        <v>WSH</v>
      </c>
      <c r="C3769" t="s">
        <v>17</v>
      </c>
      <c r="D3769" s="1">
        <v>43413</v>
      </c>
      <c r="E3769" s="1">
        <v>43413</v>
      </c>
      <c r="F3769" s="1">
        <v>43411</v>
      </c>
      <c r="G3769" s="1">
        <v>43411</v>
      </c>
      <c r="H3769" t="s">
        <v>9</v>
      </c>
      <c r="I3769" t="s">
        <v>10</v>
      </c>
    </row>
    <row r="3770" spans="1:9" x14ac:dyDescent="0.25">
      <c r="A3770" t="s">
        <v>4006</v>
      </c>
      <c r="B3770" s="26" t="str">
        <f>MID(tbl_forecast[[#This Row],[PACE Job Number]],3,3)</f>
        <v>WSH</v>
      </c>
      <c r="C3770" t="s">
        <v>17</v>
      </c>
      <c r="D3770" s="1">
        <v>43434</v>
      </c>
      <c r="E3770" s="1">
        <v>43434</v>
      </c>
      <c r="F3770" s="1">
        <v>43434</v>
      </c>
      <c r="G3770" s="1"/>
      <c r="H3770" t="s">
        <v>9</v>
      </c>
      <c r="I3770" t="s">
        <v>27</v>
      </c>
    </row>
    <row r="3771" spans="1:9" x14ac:dyDescent="0.25">
      <c r="A3771" t="s">
        <v>4615</v>
      </c>
      <c r="B3771" s="26" t="str">
        <f>MID(tbl_forecast[[#This Row],[PACE Job Number]],3,3)</f>
        <v>WSH</v>
      </c>
      <c r="C3771" t="s">
        <v>17</v>
      </c>
      <c r="D3771" s="1">
        <v>43434</v>
      </c>
      <c r="E3771" s="1">
        <v>43434</v>
      </c>
      <c r="F3771" s="1">
        <v>43432</v>
      </c>
      <c r="G3771" s="1">
        <v>43432</v>
      </c>
      <c r="H3771" t="s">
        <v>9</v>
      </c>
      <c r="I3771" t="s">
        <v>10</v>
      </c>
    </row>
    <row r="3772" spans="1:9" x14ac:dyDescent="0.25">
      <c r="A3772" t="s">
        <v>271</v>
      </c>
      <c r="B3772" s="26" t="str">
        <f>MID(tbl_forecast[[#This Row],[PACE Job Number]],3,3)</f>
        <v>WSH</v>
      </c>
      <c r="C3772" t="s">
        <v>17</v>
      </c>
      <c r="D3772" s="1">
        <v>43434</v>
      </c>
      <c r="E3772" s="1">
        <v>43434</v>
      </c>
      <c r="F3772" s="1">
        <v>43434</v>
      </c>
      <c r="G3772" s="1"/>
      <c r="H3772" t="s">
        <v>9</v>
      </c>
      <c r="I3772" t="s">
        <v>27</v>
      </c>
    </row>
    <row r="3773" spans="1:9" x14ac:dyDescent="0.25">
      <c r="A3773" t="s">
        <v>138</v>
      </c>
      <c r="B3773" s="26" t="str">
        <f>MID(tbl_forecast[[#This Row],[PACE Job Number]],3,3)</f>
        <v>WSH</v>
      </c>
      <c r="C3773" t="s">
        <v>17</v>
      </c>
      <c r="D3773" s="1">
        <v>43434</v>
      </c>
      <c r="E3773" s="1">
        <v>43434</v>
      </c>
      <c r="F3773" s="1">
        <v>43417</v>
      </c>
      <c r="G3773" s="1">
        <v>43417</v>
      </c>
      <c r="H3773" t="s">
        <v>9</v>
      </c>
      <c r="I3773" t="s">
        <v>10</v>
      </c>
    </row>
    <row r="3774" spans="1:9" x14ac:dyDescent="0.25">
      <c r="A3774" t="s">
        <v>4008</v>
      </c>
      <c r="B3774" s="26" t="str">
        <f>MID(tbl_forecast[[#This Row],[PACE Job Number]],3,3)</f>
        <v>WSH</v>
      </c>
      <c r="C3774" t="s">
        <v>17</v>
      </c>
      <c r="D3774" s="1">
        <v>43434</v>
      </c>
      <c r="E3774" s="1">
        <v>43434</v>
      </c>
      <c r="F3774" s="1">
        <v>43434</v>
      </c>
      <c r="G3774" s="1"/>
      <c r="H3774" t="s">
        <v>9</v>
      </c>
      <c r="I3774" t="s">
        <v>27</v>
      </c>
    </row>
    <row r="3775" spans="1:9" x14ac:dyDescent="0.25">
      <c r="A3775" t="s">
        <v>185</v>
      </c>
      <c r="B3775" s="26" t="str">
        <f>MID(tbl_forecast[[#This Row],[PACE Job Number]],3,3)</f>
        <v>WSH</v>
      </c>
      <c r="C3775" t="s">
        <v>17</v>
      </c>
      <c r="D3775" s="1">
        <v>43434</v>
      </c>
      <c r="E3775" s="1">
        <v>43434</v>
      </c>
      <c r="F3775" s="1">
        <v>43430</v>
      </c>
      <c r="G3775" s="1">
        <v>43430</v>
      </c>
      <c r="H3775" t="s">
        <v>9</v>
      </c>
      <c r="I3775" t="s">
        <v>10</v>
      </c>
    </row>
    <row r="3776" spans="1:9" x14ac:dyDescent="0.25">
      <c r="A3776" t="s">
        <v>4009</v>
      </c>
      <c r="B3776" s="26" t="str">
        <f>MID(tbl_forecast[[#This Row],[PACE Job Number]],3,3)</f>
        <v>WSH</v>
      </c>
      <c r="C3776" t="s">
        <v>17</v>
      </c>
      <c r="D3776" s="1">
        <v>43434</v>
      </c>
      <c r="E3776" s="1">
        <v>43434</v>
      </c>
      <c r="F3776" s="1">
        <v>43434</v>
      </c>
      <c r="G3776" s="1"/>
      <c r="H3776" t="s">
        <v>9</v>
      </c>
      <c r="I3776" t="s">
        <v>27</v>
      </c>
    </row>
    <row r="3777" spans="1:9" x14ac:dyDescent="0.25">
      <c r="A3777" t="s">
        <v>240</v>
      </c>
      <c r="B3777" s="26" t="str">
        <f>MID(tbl_forecast[[#This Row],[PACE Job Number]],3,3)</f>
        <v>WSH</v>
      </c>
      <c r="C3777" t="s">
        <v>17</v>
      </c>
      <c r="D3777" s="1">
        <v>43434</v>
      </c>
      <c r="E3777" s="1">
        <v>43434</v>
      </c>
      <c r="F3777" s="1">
        <v>43434</v>
      </c>
      <c r="G3777" s="1"/>
      <c r="H3777" t="s">
        <v>9</v>
      </c>
      <c r="I3777" t="s">
        <v>27</v>
      </c>
    </row>
    <row r="3778" spans="1:9" x14ac:dyDescent="0.25">
      <c r="A3778" t="s">
        <v>3917</v>
      </c>
      <c r="B3778" s="26" t="str">
        <f>MID(tbl_forecast[[#This Row],[PACE Job Number]],3,3)</f>
        <v>WSH</v>
      </c>
      <c r="C3778" t="s">
        <v>17</v>
      </c>
      <c r="D3778" s="1">
        <v>43434</v>
      </c>
      <c r="E3778" s="1">
        <v>43434</v>
      </c>
      <c r="F3778" s="1">
        <v>43434</v>
      </c>
      <c r="G3778" s="1"/>
      <c r="H3778" t="s">
        <v>9</v>
      </c>
      <c r="I3778" t="s">
        <v>27</v>
      </c>
    </row>
    <row r="3779" spans="1:9" x14ac:dyDescent="0.25">
      <c r="A3779" t="s">
        <v>3918</v>
      </c>
      <c r="B3779" s="26" t="str">
        <f>MID(tbl_forecast[[#This Row],[PACE Job Number]],3,3)</f>
        <v>WSH</v>
      </c>
      <c r="C3779" t="s">
        <v>17</v>
      </c>
      <c r="D3779" s="1">
        <v>43434</v>
      </c>
      <c r="E3779" s="1">
        <v>43434</v>
      </c>
      <c r="F3779" s="1">
        <v>43434</v>
      </c>
      <c r="G3779" s="1"/>
      <c r="H3779" t="s">
        <v>9</v>
      </c>
      <c r="I3779" t="s">
        <v>27</v>
      </c>
    </row>
    <row r="3780" spans="1:9" x14ac:dyDescent="0.25">
      <c r="A3780" t="s">
        <v>3919</v>
      </c>
      <c r="B3780" s="26" t="str">
        <f>MID(tbl_forecast[[#This Row],[PACE Job Number]],3,3)</f>
        <v>WSH</v>
      </c>
      <c r="C3780" t="s">
        <v>17</v>
      </c>
      <c r="D3780" s="1">
        <v>43434</v>
      </c>
      <c r="E3780" s="1">
        <v>43434</v>
      </c>
      <c r="F3780" s="1">
        <v>43434</v>
      </c>
      <c r="G3780" s="1"/>
      <c r="H3780" t="s">
        <v>9</v>
      </c>
      <c r="I3780" t="s">
        <v>27</v>
      </c>
    </row>
    <row r="3781" spans="1:9" x14ac:dyDescent="0.25">
      <c r="A3781" t="s">
        <v>4010</v>
      </c>
      <c r="B3781" s="26" t="str">
        <f>MID(tbl_forecast[[#This Row],[PACE Job Number]],3,3)</f>
        <v>WSH</v>
      </c>
      <c r="C3781" t="s">
        <v>17</v>
      </c>
      <c r="D3781" s="1">
        <v>43434</v>
      </c>
      <c r="E3781" s="1">
        <v>43434</v>
      </c>
      <c r="F3781" s="1">
        <v>43434</v>
      </c>
      <c r="G3781" s="1"/>
      <c r="H3781" t="s">
        <v>9</v>
      </c>
      <c r="I3781" t="s">
        <v>27</v>
      </c>
    </row>
    <row r="3782" spans="1:9" x14ac:dyDescent="0.25">
      <c r="A3782" t="s">
        <v>4011</v>
      </c>
      <c r="B3782" s="26" t="str">
        <f>MID(tbl_forecast[[#This Row],[PACE Job Number]],3,3)</f>
        <v>WSH</v>
      </c>
      <c r="C3782" t="s">
        <v>17</v>
      </c>
      <c r="D3782" s="1">
        <v>43434</v>
      </c>
      <c r="E3782" s="1">
        <v>43434</v>
      </c>
      <c r="F3782" s="1">
        <v>43430</v>
      </c>
      <c r="G3782" s="1">
        <v>43430</v>
      </c>
      <c r="H3782" t="s">
        <v>9</v>
      </c>
      <c r="I3782" t="s">
        <v>10</v>
      </c>
    </row>
    <row r="3783" spans="1:9" x14ac:dyDescent="0.25">
      <c r="A3783" t="s">
        <v>101</v>
      </c>
      <c r="B3783" s="26" t="str">
        <f>MID(tbl_forecast[[#This Row],[PACE Job Number]],3,3)</f>
        <v>WSH</v>
      </c>
      <c r="C3783" t="s">
        <v>17</v>
      </c>
      <c r="D3783" s="1">
        <v>43434</v>
      </c>
      <c r="E3783" s="1">
        <v>43434</v>
      </c>
      <c r="F3783" s="1">
        <v>43434</v>
      </c>
      <c r="G3783" s="1"/>
      <c r="H3783" t="s">
        <v>9</v>
      </c>
      <c r="I3783" t="s">
        <v>27</v>
      </c>
    </row>
    <row r="3784" spans="1:9" x14ac:dyDescent="0.25">
      <c r="A3784" t="s">
        <v>4244</v>
      </c>
      <c r="B3784" s="26" t="str">
        <f>MID(tbl_forecast[[#This Row],[PACE Job Number]],3,3)</f>
        <v>WSH</v>
      </c>
      <c r="C3784" t="s">
        <v>17</v>
      </c>
      <c r="D3784" s="1">
        <v>43434</v>
      </c>
      <c r="E3784" s="1">
        <v>43434</v>
      </c>
      <c r="F3784" s="1">
        <v>43430</v>
      </c>
      <c r="G3784" s="1">
        <v>43430</v>
      </c>
      <c r="H3784" t="s">
        <v>9</v>
      </c>
      <c r="I3784" t="s">
        <v>10</v>
      </c>
    </row>
    <row r="3785" spans="1:9" x14ac:dyDescent="0.25">
      <c r="A3785" t="s">
        <v>3517</v>
      </c>
      <c r="B3785" s="26" t="str">
        <f>MID(tbl_forecast[[#This Row],[PACE Job Number]],3,3)</f>
        <v>WSH</v>
      </c>
      <c r="C3785" t="s">
        <v>17</v>
      </c>
      <c r="D3785" s="1">
        <v>43413</v>
      </c>
      <c r="E3785" s="1">
        <v>43413</v>
      </c>
      <c r="F3785" s="1">
        <v>43411</v>
      </c>
      <c r="G3785" s="1">
        <v>43411</v>
      </c>
      <c r="H3785" t="s">
        <v>9</v>
      </c>
      <c r="I3785" t="s">
        <v>10</v>
      </c>
    </row>
    <row r="3786" spans="1:9" x14ac:dyDescent="0.25">
      <c r="A3786" t="s">
        <v>4012</v>
      </c>
      <c r="B3786" s="26" t="str">
        <f>MID(tbl_forecast[[#This Row],[PACE Job Number]],3,3)</f>
        <v>WSH</v>
      </c>
      <c r="C3786" t="s">
        <v>17</v>
      </c>
      <c r="D3786" s="1">
        <v>43407</v>
      </c>
      <c r="E3786" s="1">
        <v>43407</v>
      </c>
      <c r="F3786" s="1">
        <v>43418</v>
      </c>
      <c r="G3786" s="1">
        <v>43418</v>
      </c>
      <c r="H3786" t="s">
        <v>9</v>
      </c>
      <c r="I3786" t="s">
        <v>10</v>
      </c>
    </row>
    <row r="3787" spans="1:9" x14ac:dyDescent="0.25">
      <c r="A3787" t="s">
        <v>4013</v>
      </c>
      <c r="B3787" s="26" t="str">
        <f>MID(tbl_forecast[[#This Row],[PACE Job Number]],3,3)</f>
        <v>WSH</v>
      </c>
      <c r="C3787" t="s">
        <v>17</v>
      </c>
      <c r="D3787" s="1">
        <v>43434</v>
      </c>
      <c r="E3787" s="1">
        <v>43434</v>
      </c>
      <c r="F3787" s="1">
        <v>43430</v>
      </c>
      <c r="G3787" s="1">
        <v>43430</v>
      </c>
      <c r="H3787" t="s">
        <v>9</v>
      </c>
      <c r="I3787" t="s">
        <v>10</v>
      </c>
    </row>
    <row r="3788" spans="1:9" x14ac:dyDescent="0.25">
      <c r="A3788" t="s">
        <v>359</v>
      </c>
      <c r="B3788" s="26" t="str">
        <f>MID(tbl_forecast[[#This Row],[PACE Job Number]],3,3)</f>
        <v>WSH</v>
      </c>
      <c r="C3788" t="s">
        <v>17</v>
      </c>
      <c r="D3788" s="1">
        <v>43434</v>
      </c>
      <c r="E3788" s="1">
        <v>43434</v>
      </c>
      <c r="F3788" s="1">
        <v>43434</v>
      </c>
      <c r="G3788" s="1"/>
      <c r="H3788" t="s">
        <v>9</v>
      </c>
      <c r="I3788" t="s">
        <v>27</v>
      </c>
    </row>
    <row r="3789" spans="1:9" x14ac:dyDescent="0.25">
      <c r="A3789" t="s">
        <v>3132</v>
      </c>
      <c r="B3789" s="26" t="str">
        <f>MID(tbl_forecast[[#This Row],[PACE Job Number]],3,3)</f>
        <v>STX</v>
      </c>
      <c r="C3789" t="s">
        <v>17</v>
      </c>
      <c r="D3789" s="1">
        <v>43434</v>
      </c>
      <c r="E3789" s="1">
        <v>43434</v>
      </c>
      <c r="F3789" s="1">
        <v>43434</v>
      </c>
      <c r="G3789" s="1"/>
      <c r="H3789" t="s">
        <v>9</v>
      </c>
      <c r="I3789" t="s">
        <v>27</v>
      </c>
    </row>
    <row r="3790" spans="1:9" x14ac:dyDescent="0.25">
      <c r="A3790" t="s">
        <v>4340</v>
      </c>
      <c r="B3790" s="26" t="str">
        <f>MID(tbl_forecast[[#This Row],[PACE Job Number]],3,3)</f>
        <v>STX</v>
      </c>
      <c r="C3790" t="s">
        <v>17</v>
      </c>
      <c r="D3790" s="1">
        <v>43419</v>
      </c>
      <c r="E3790" s="1">
        <v>43453</v>
      </c>
      <c r="F3790" s="1">
        <v>43419</v>
      </c>
      <c r="G3790" s="1"/>
      <c r="H3790" t="s">
        <v>9</v>
      </c>
      <c r="I3790" t="s">
        <v>44</v>
      </c>
    </row>
    <row r="3791" spans="1:9" x14ac:dyDescent="0.25">
      <c r="A3791" t="s">
        <v>3126</v>
      </c>
      <c r="B3791" s="26" t="str">
        <f>MID(tbl_forecast[[#This Row],[PACE Job Number]],3,3)</f>
        <v>STX</v>
      </c>
      <c r="C3791" t="s">
        <v>17</v>
      </c>
      <c r="D3791" s="1">
        <v>43419</v>
      </c>
      <c r="E3791" s="1">
        <v>43440</v>
      </c>
      <c r="F3791" s="1">
        <v>43432</v>
      </c>
      <c r="G3791" s="1">
        <v>43432</v>
      </c>
      <c r="H3791" t="s">
        <v>9</v>
      </c>
      <c r="I3791" t="s">
        <v>10</v>
      </c>
    </row>
    <row r="3792" spans="1:9" x14ac:dyDescent="0.25">
      <c r="A3792" t="s">
        <v>3226</v>
      </c>
      <c r="B3792" s="26" t="str">
        <f>MID(tbl_forecast[[#This Row],[PACE Job Number]],3,3)</f>
        <v>STX</v>
      </c>
      <c r="C3792" t="s">
        <v>17</v>
      </c>
      <c r="D3792" s="1">
        <v>43405</v>
      </c>
      <c r="E3792" s="1">
        <v>43403</v>
      </c>
      <c r="F3792" s="1">
        <v>43405</v>
      </c>
      <c r="G3792" s="1">
        <v>43405</v>
      </c>
      <c r="H3792" t="s">
        <v>9</v>
      </c>
      <c r="I3792" t="s">
        <v>10</v>
      </c>
    </row>
    <row r="3793" spans="1:9" x14ac:dyDescent="0.25">
      <c r="A3793" t="s">
        <v>4344</v>
      </c>
      <c r="B3793" s="26" t="str">
        <f>MID(tbl_forecast[[#This Row],[PACE Job Number]],3,3)</f>
        <v>STX</v>
      </c>
      <c r="C3793" t="s">
        <v>17</v>
      </c>
      <c r="D3793" s="1">
        <v>43434</v>
      </c>
      <c r="E3793" s="1">
        <v>43434</v>
      </c>
      <c r="F3793" s="1">
        <v>43433</v>
      </c>
      <c r="G3793" s="1">
        <v>43433</v>
      </c>
      <c r="H3793" t="s">
        <v>9</v>
      </c>
      <c r="I3793" t="s">
        <v>10</v>
      </c>
    </row>
    <row r="3794" spans="1:9" x14ac:dyDescent="0.25">
      <c r="A3794" t="s">
        <v>3406</v>
      </c>
      <c r="B3794" s="26" t="str">
        <f>MID(tbl_forecast[[#This Row],[PACE Job Number]],3,3)</f>
        <v>STX</v>
      </c>
      <c r="C3794" t="s">
        <v>17</v>
      </c>
      <c r="D3794" s="1">
        <v>43405</v>
      </c>
      <c r="E3794" s="1">
        <v>43403</v>
      </c>
      <c r="F3794" s="1">
        <v>43405</v>
      </c>
      <c r="G3794" s="1">
        <v>43405</v>
      </c>
      <c r="H3794" t="s">
        <v>9</v>
      </c>
      <c r="I3794" t="s">
        <v>10</v>
      </c>
    </row>
    <row r="3795" spans="1:9" x14ac:dyDescent="0.25">
      <c r="A3795" t="s">
        <v>511</v>
      </c>
      <c r="B3795" s="26" t="str">
        <f>MID(tbl_forecast[[#This Row],[PACE Job Number]],3,3)</f>
        <v>STX</v>
      </c>
      <c r="C3795" t="s">
        <v>17</v>
      </c>
      <c r="D3795" s="1">
        <v>43434</v>
      </c>
      <c r="E3795" s="1">
        <v>43434</v>
      </c>
      <c r="F3795" s="1">
        <v>43434</v>
      </c>
      <c r="G3795" s="1"/>
      <c r="H3795" t="s">
        <v>9</v>
      </c>
      <c r="I3795" t="s">
        <v>27</v>
      </c>
    </row>
    <row r="3796" spans="1:9" x14ac:dyDescent="0.25">
      <c r="A3796" t="s">
        <v>3212</v>
      </c>
      <c r="B3796" s="26" t="str">
        <f>MID(tbl_forecast[[#This Row],[PACE Job Number]],3,3)</f>
        <v>STX</v>
      </c>
      <c r="C3796" t="s">
        <v>17</v>
      </c>
      <c r="D3796" s="1">
        <v>43419</v>
      </c>
      <c r="E3796" s="1">
        <v>43440</v>
      </c>
      <c r="F3796" s="1">
        <v>43432</v>
      </c>
      <c r="G3796" s="1">
        <v>43432</v>
      </c>
      <c r="H3796" t="s">
        <v>9</v>
      </c>
      <c r="I3796" t="s">
        <v>10</v>
      </c>
    </row>
    <row r="3797" spans="1:9" x14ac:dyDescent="0.25">
      <c r="A3797" t="s">
        <v>3297</v>
      </c>
      <c r="B3797" s="26" t="str">
        <f>MID(tbl_forecast[[#This Row],[PACE Job Number]],3,3)</f>
        <v>STX</v>
      </c>
      <c r="C3797" t="s">
        <v>17</v>
      </c>
      <c r="D3797" s="1">
        <v>43434</v>
      </c>
      <c r="E3797" s="1">
        <v>43434</v>
      </c>
      <c r="F3797" s="1">
        <v>43434</v>
      </c>
      <c r="G3797" s="1"/>
      <c r="H3797" t="s">
        <v>9</v>
      </c>
      <c r="I3797" t="s">
        <v>27</v>
      </c>
    </row>
    <row r="3798" spans="1:9" x14ac:dyDescent="0.25">
      <c r="A3798" t="s">
        <v>2595</v>
      </c>
      <c r="B3798" s="26" t="str">
        <f>MID(tbl_forecast[[#This Row],[PACE Job Number]],3,3)</f>
        <v>STX</v>
      </c>
      <c r="C3798" t="s">
        <v>17</v>
      </c>
      <c r="D3798" s="1">
        <v>43405</v>
      </c>
      <c r="E3798" s="1">
        <v>43405</v>
      </c>
      <c r="F3798" s="1">
        <v>43405</v>
      </c>
      <c r="G3798" s="1">
        <v>43405</v>
      </c>
      <c r="H3798" t="s">
        <v>9</v>
      </c>
      <c r="I3798" t="s">
        <v>10</v>
      </c>
    </row>
    <row r="3799" spans="1:9" x14ac:dyDescent="0.25">
      <c r="A3799" t="s">
        <v>532</v>
      </c>
      <c r="B3799" s="26" t="str">
        <f>MID(tbl_forecast[[#This Row],[PACE Job Number]],3,3)</f>
        <v>STX</v>
      </c>
      <c r="C3799" t="s">
        <v>17</v>
      </c>
      <c r="D3799" s="1">
        <v>43418</v>
      </c>
      <c r="E3799" s="1">
        <v>43418</v>
      </c>
      <c r="F3799" s="1">
        <v>43418</v>
      </c>
      <c r="G3799" s="1"/>
      <c r="H3799" t="s">
        <v>9</v>
      </c>
      <c r="I3799" t="s">
        <v>27</v>
      </c>
    </row>
    <row r="3800" spans="1:9" x14ac:dyDescent="0.25">
      <c r="A3800" t="s">
        <v>5606</v>
      </c>
      <c r="B3800" s="26" t="str">
        <f>MID(tbl_forecast[[#This Row],[PACE Job Number]],3,3)</f>
        <v>STX</v>
      </c>
      <c r="C3800" t="s">
        <v>17</v>
      </c>
      <c r="D3800" s="1">
        <v>43410</v>
      </c>
      <c r="E3800" s="1">
        <v>43373</v>
      </c>
      <c r="F3800" s="1">
        <v>43418</v>
      </c>
      <c r="G3800" s="1">
        <v>43418</v>
      </c>
      <c r="H3800" t="s">
        <v>9</v>
      </c>
      <c r="I3800" t="s">
        <v>10</v>
      </c>
    </row>
    <row r="3801" spans="1:9" x14ac:dyDescent="0.25">
      <c r="A3801" t="s">
        <v>5563</v>
      </c>
      <c r="B3801" s="26" t="str">
        <f>MID(tbl_forecast[[#This Row],[PACE Job Number]],3,3)</f>
        <v>STX</v>
      </c>
      <c r="C3801" t="s">
        <v>17</v>
      </c>
      <c r="D3801" s="1">
        <v>43419</v>
      </c>
      <c r="E3801" s="1">
        <v>43440</v>
      </c>
      <c r="F3801" s="1">
        <v>43432</v>
      </c>
      <c r="G3801" s="1">
        <v>43432</v>
      </c>
      <c r="H3801" t="s">
        <v>9</v>
      </c>
      <c r="I3801" t="s">
        <v>10</v>
      </c>
    </row>
    <row r="3802" spans="1:9" x14ac:dyDescent="0.25">
      <c r="A3802" t="s">
        <v>5564</v>
      </c>
      <c r="B3802" s="26" t="str">
        <f>MID(tbl_forecast[[#This Row],[PACE Job Number]],3,3)</f>
        <v>STX</v>
      </c>
      <c r="C3802" t="s">
        <v>17</v>
      </c>
      <c r="D3802" s="1">
        <v>43419</v>
      </c>
      <c r="E3802" s="1">
        <v>43440</v>
      </c>
      <c r="F3802" s="1">
        <v>43432</v>
      </c>
      <c r="G3802" s="1">
        <v>43432</v>
      </c>
      <c r="H3802" t="s">
        <v>9</v>
      </c>
      <c r="I3802" t="s">
        <v>10</v>
      </c>
    </row>
    <row r="3803" spans="1:9" x14ac:dyDescent="0.25">
      <c r="A3803" t="s">
        <v>4601</v>
      </c>
      <c r="B3803" s="26" t="str">
        <f>MID(tbl_forecast[[#This Row],[PACE Job Number]],3,3)</f>
        <v>STX</v>
      </c>
      <c r="C3803" t="s">
        <v>17</v>
      </c>
      <c r="D3803" s="1">
        <v>43418</v>
      </c>
      <c r="E3803" s="1">
        <v>43418</v>
      </c>
      <c r="F3803" s="1">
        <v>43418</v>
      </c>
      <c r="G3803" s="1"/>
      <c r="H3803" t="s">
        <v>9</v>
      </c>
      <c r="I3803" t="s">
        <v>27</v>
      </c>
    </row>
    <row r="3804" spans="1:9" x14ac:dyDescent="0.25">
      <c r="A3804" t="s">
        <v>336</v>
      </c>
      <c r="B3804" s="26" t="str">
        <f>MID(tbl_forecast[[#This Row],[PACE Job Number]],3,3)</f>
        <v>NTX</v>
      </c>
      <c r="C3804" t="s">
        <v>17</v>
      </c>
      <c r="D3804" s="1">
        <v>43405</v>
      </c>
      <c r="E3804" s="1">
        <v>43399</v>
      </c>
      <c r="F3804" s="1">
        <v>43405</v>
      </c>
      <c r="G3804" s="1">
        <v>43405</v>
      </c>
      <c r="H3804" t="s">
        <v>9</v>
      </c>
      <c r="I3804" t="s">
        <v>10</v>
      </c>
    </row>
    <row r="3805" spans="1:9" x14ac:dyDescent="0.25">
      <c r="A3805" t="s">
        <v>4555</v>
      </c>
      <c r="B3805" s="26" t="str">
        <f>MID(tbl_forecast[[#This Row],[PACE Job Number]],3,3)</f>
        <v>NTX</v>
      </c>
      <c r="C3805" t="s">
        <v>17</v>
      </c>
      <c r="D3805" s="1">
        <v>43408</v>
      </c>
      <c r="E3805" s="1">
        <v>43408</v>
      </c>
      <c r="F3805" s="1">
        <v>43413</v>
      </c>
      <c r="G3805" s="1">
        <v>43413</v>
      </c>
      <c r="H3805" t="s">
        <v>9</v>
      </c>
      <c r="I3805" t="s">
        <v>10</v>
      </c>
    </row>
    <row r="3806" spans="1:9" x14ac:dyDescent="0.25">
      <c r="A3806" t="s">
        <v>582</v>
      </c>
      <c r="B3806" s="26" t="str">
        <f>MID(tbl_forecast[[#This Row],[PACE Job Number]],3,3)</f>
        <v>NTX</v>
      </c>
      <c r="C3806" t="s">
        <v>17</v>
      </c>
      <c r="D3806" s="1">
        <v>43430</v>
      </c>
      <c r="E3806" s="1">
        <v>43430</v>
      </c>
      <c r="F3806" s="1">
        <v>43430</v>
      </c>
      <c r="G3806" s="1"/>
      <c r="H3806" t="s">
        <v>9</v>
      </c>
      <c r="I3806" t="s">
        <v>27</v>
      </c>
    </row>
    <row r="3807" spans="1:9" x14ac:dyDescent="0.25">
      <c r="A3807" t="s">
        <v>3977</v>
      </c>
      <c r="B3807" s="26" t="str">
        <f>MID(tbl_forecast[[#This Row],[PACE Job Number]],3,3)</f>
        <v>NTX</v>
      </c>
      <c r="C3807" t="s">
        <v>17</v>
      </c>
      <c r="D3807" s="1">
        <v>43408</v>
      </c>
      <c r="E3807" s="1">
        <v>43408</v>
      </c>
      <c r="F3807" s="1">
        <v>43420</v>
      </c>
      <c r="G3807" s="1">
        <v>43420</v>
      </c>
      <c r="H3807" t="s">
        <v>9</v>
      </c>
      <c r="I3807" t="s">
        <v>10</v>
      </c>
    </row>
    <row r="3808" spans="1:9" x14ac:dyDescent="0.25">
      <c r="A3808" t="s">
        <v>1737</v>
      </c>
      <c r="B3808" s="26" t="str">
        <f>MID(tbl_forecast[[#This Row],[PACE Job Number]],3,3)</f>
        <v>NTX</v>
      </c>
      <c r="C3808" t="s">
        <v>17</v>
      </c>
      <c r="D3808" s="1">
        <v>43413</v>
      </c>
      <c r="E3808" s="1">
        <v>43518</v>
      </c>
      <c r="F3808" s="1">
        <v>43518</v>
      </c>
      <c r="G3808" s="1"/>
      <c r="H3808" t="s">
        <v>4664</v>
      </c>
      <c r="I3808" t="s">
        <v>5645</v>
      </c>
    </row>
    <row r="3809" spans="1:9" x14ac:dyDescent="0.25">
      <c r="A3809" t="s">
        <v>213</v>
      </c>
      <c r="B3809" s="26" t="str">
        <f>MID(tbl_forecast[[#This Row],[PACE Job Number]],3,3)</f>
        <v>NTX</v>
      </c>
      <c r="C3809" t="s">
        <v>17</v>
      </c>
      <c r="D3809" s="1">
        <v>43422</v>
      </c>
      <c r="E3809" s="1">
        <v>43422</v>
      </c>
      <c r="F3809" s="1">
        <v>43417</v>
      </c>
      <c r="G3809" s="1">
        <v>43417</v>
      </c>
      <c r="H3809" t="s">
        <v>9</v>
      </c>
      <c r="I3809" t="s">
        <v>10</v>
      </c>
    </row>
    <row r="3810" spans="1:9" x14ac:dyDescent="0.25">
      <c r="A3810" t="s">
        <v>2285</v>
      </c>
      <c r="B3810" s="26" t="str">
        <f>MID(tbl_forecast[[#This Row],[PACE Job Number]],3,3)</f>
        <v>NTX</v>
      </c>
      <c r="C3810" t="s">
        <v>17</v>
      </c>
      <c r="D3810" s="1">
        <v>43406</v>
      </c>
      <c r="E3810" s="1">
        <v>43406</v>
      </c>
      <c r="F3810" s="1">
        <v>43419</v>
      </c>
      <c r="G3810" s="1">
        <v>43434</v>
      </c>
      <c r="H3810" t="s">
        <v>4664</v>
      </c>
      <c r="I3810" t="s">
        <v>10</v>
      </c>
    </row>
    <row r="3811" spans="1:9" x14ac:dyDescent="0.25">
      <c r="A3811" t="s">
        <v>3403</v>
      </c>
      <c r="B3811" s="26" t="str">
        <f>MID(tbl_forecast[[#This Row],[PACE Job Number]],3,3)</f>
        <v>NTX</v>
      </c>
      <c r="C3811" t="s">
        <v>17</v>
      </c>
      <c r="D3811" s="1">
        <v>43408</v>
      </c>
      <c r="E3811" s="1">
        <v>43408</v>
      </c>
      <c r="F3811" s="1">
        <v>43417</v>
      </c>
      <c r="G3811" s="1">
        <v>43417</v>
      </c>
      <c r="H3811" t="s">
        <v>9</v>
      </c>
      <c r="I3811" t="s">
        <v>10</v>
      </c>
    </row>
    <row r="3812" spans="1:9" x14ac:dyDescent="0.25">
      <c r="A3812" t="s">
        <v>4550</v>
      </c>
      <c r="B3812" s="26" t="str">
        <f>MID(tbl_forecast[[#This Row],[PACE Job Number]],3,3)</f>
        <v>NTX</v>
      </c>
      <c r="C3812" t="s">
        <v>17</v>
      </c>
      <c r="D3812" s="1">
        <v>43406</v>
      </c>
      <c r="E3812" s="1">
        <v>43442</v>
      </c>
      <c r="F3812" s="1">
        <v>43406</v>
      </c>
      <c r="G3812" s="1">
        <v>43406</v>
      </c>
      <c r="H3812" t="s">
        <v>9</v>
      </c>
      <c r="I3812" t="s">
        <v>10</v>
      </c>
    </row>
    <row r="3813" spans="1:9" x14ac:dyDescent="0.25">
      <c r="A3813" t="s">
        <v>5607</v>
      </c>
      <c r="B3813" s="26" t="str">
        <f>MID(tbl_forecast[[#This Row],[PACE Job Number]],3,3)</f>
        <v>ANM</v>
      </c>
      <c r="C3813" t="s">
        <v>17</v>
      </c>
      <c r="D3813" s="1">
        <v>43419</v>
      </c>
      <c r="E3813" s="1">
        <v>36524</v>
      </c>
      <c r="F3813" s="1">
        <v>43423</v>
      </c>
      <c r="G3813" s="1">
        <v>43423</v>
      </c>
      <c r="H3813" t="s">
        <v>9</v>
      </c>
      <c r="I3813" t="s">
        <v>10</v>
      </c>
    </row>
    <row r="3814" spans="1:9" x14ac:dyDescent="0.25">
      <c r="A3814" t="s">
        <v>4610</v>
      </c>
      <c r="B3814" s="26" t="str">
        <f>MID(tbl_forecast[[#This Row],[PACE Job Number]],3,3)</f>
        <v>ANM</v>
      </c>
      <c r="C3814" t="s">
        <v>17</v>
      </c>
      <c r="D3814" s="1">
        <v>43419</v>
      </c>
      <c r="E3814" s="1">
        <v>36524</v>
      </c>
      <c r="F3814" s="1">
        <v>43431</v>
      </c>
      <c r="G3814" s="1"/>
      <c r="H3814" t="s">
        <v>9</v>
      </c>
      <c r="I3814" t="s">
        <v>27</v>
      </c>
    </row>
    <row r="3815" spans="1:9" x14ac:dyDescent="0.25">
      <c r="A3815" t="s">
        <v>1875</v>
      </c>
      <c r="B3815" s="26" t="str">
        <f>MID(tbl_forecast[[#This Row],[PACE Job Number]],3,3)</f>
        <v>NTX</v>
      </c>
      <c r="C3815" t="s">
        <v>17</v>
      </c>
      <c r="D3815" s="1">
        <v>43406</v>
      </c>
      <c r="E3815" s="1">
        <v>43442</v>
      </c>
      <c r="F3815" s="1">
        <v>43406</v>
      </c>
      <c r="G3815" s="1">
        <v>43406</v>
      </c>
      <c r="H3815" t="s">
        <v>9</v>
      </c>
      <c r="I3815" t="s">
        <v>10</v>
      </c>
    </row>
    <row r="3816" spans="1:9" x14ac:dyDescent="0.25">
      <c r="A3816" t="s">
        <v>3974</v>
      </c>
      <c r="B3816" s="26" t="str">
        <f>MID(tbl_forecast[[#This Row],[PACE Job Number]],3,3)</f>
        <v>NTX</v>
      </c>
      <c r="C3816" t="s">
        <v>17</v>
      </c>
      <c r="D3816" s="1">
        <v>43431</v>
      </c>
      <c r="E3816" s="1">
        <v>43431</v>
      </c>
      <c r="F3816" s="1">
        <v>43431</v>
      </c>
      <c r="G3816" s="1"/>
      <c r="H3816" t="s">
        <v>9</v>
      </c>
      <c r="I3816" t="s">
        <v>27</v>
      </c>
    </row>
    <row r="3817" spans="1:9" x14ac:dyDescent="0.25">
      <c r="A3817" t="s">
        <v>5566</v>
      </c>
      <c r="B3817" s="26" t="str">
        <f>MID(tbl_forecast[[#This Row],[PACE Job Number]],3,3)</f>
        <v>STX</v>
      </c>
      <c r="C3817" t="s">
        <v>17</v>
      </c>
      <c r="D3817" s="1">
        <v>43434</v>
      </c>
      <c r="E3817" s="1">
        <v>43434</v>
      </c>
      <c r="F3817" s="1">
        <v>43434</v>
      </c>
      <c r="G3817" s="1"/>
      <c r="H3817" t="s">
        <v>9</v>
      </c>
      <c r="I3817" t="s">
        <v>27</v>
      </c>
    </row>
    <row r="3818" spans="1:9" x14ac:dyDescent="0.25">
      <c r="A3818" t="s">
        <v>4627</v>
      </c>
      <c r="B3818" s="26" t="str">
        <f>MID(tbl_forecast[[#This Row],[PACE Job Number]],3,3)</f>
        <v>STX</v>
      </c>
      <c r="C3818" t="s">
        <v>17</v>
      </c>
      <c r="D3818" s="1">
        <v>43418</v>
      </c>
      <c r="E3818" s="1">
        <v>43403</v>
      </c>
      <c r="F3818" s="1">
        <v>43418</v>
      </c>
      <c r="G3818" s="1">
        <v>43433</v>
      </c>
      <c r="H3818" t="s">
        <v>4664</v>
      </c>
      <c r="I3818" t="s">
        <v>10</v>
      </c>
    </row>
    <row r="3819" spans="1:9" x14ac:dyDescent="0.25">
      <c r="A3819" t="s">
        <v>3529</v>
      </c>
      <c r="B3819" s="26" t="str">
        <f>MID(tbl_forecast[[#This Row],[PACE Job Number]],3,3)</f>
        <v>STX</v>
      </c>
      <c r="C3819" t="s">
        <v>17</v>
      </c>
      <c r="D3819" s="1">
        <v>43434</v>
      </c>
      <c r="E3819" s="1">
        <v>43434</v>
      </c>
      <c r="F3819" s="1">
        <v>43434</v>
      </c>
      <c r="G3819" s="1"/>
      <c r="H3819" t="s">
        <v>9</v>
      </c>
      <c r="I3819" t="s">
        <v>27</v>
      </c>
    </row>
    <row r="3820" spans="1:9" x14ac:dyDescent="0.25">
      <c r="A3820" t="s">
        <v>5608</v>
      </c>
      <c r="B3820" s="26" t="str">
        <f>MID(tbl_forecast[[#This Row],[PACE Job Number]],3,3)</f>
        <v>STX</v>
      </c>
      <c r="C3820" t="s">
        <v>17</v>
      </c>
      <c r="D3820" s="1">
        <v>43405</v>
      </c>
      <c r="E3820" s="1">
        <v>43432</v>
      </c>
      <c r="F3820" s="1">
        <v>43405</v>
      </c>
      <c r="G3820" s="1">
        <v>43405</v>
      </c>
      <c r="H3820" t="s">
        <v>9</v>
      </c>
      <c r="I3820" t="s">
        <v>10</v>
      </c>
    </row>
    <row r="3821" spans="1:9" x14ac:dyDescent="0.25">
      <c r="A3821" t="s">
        <v>5609</v>
      </c>
      <c r="B3821" s="26" t="str">
        <f>MID(tbl_forecast[[#This Row],[PACE Job Number]],3,3)</f>
        <v>STX</v>
      </c>
      <c r="C3821" t="s">
        <v>17</v>
      </c>
      <c r="D3821" s="1">
        <v>43419</v>
      </c>
      <c r="E3821" s="1">
        <v>43434</v>
      </c>
      <c r="F3821" s="1">
        <v>43419</v>
      </c>
      <c r="G3821" s="1">
        <v>43419</v>
      </c>
      <c r="H3821" t="s">
        <v>9</v>
      </c>
      <c r="I3821" t="s">
        <v>10</v>
      </c>
    </row>
    <row r="3822" spans="1:9" x14ac:dyDescent="0.25">
      <c r="A3822" t="s">
        <v>635</v>
      </c>
      <c r="B3822" s="26" t="str">
        <f>MID(tbl_forecast[[#This Row],[PACE Job Number]],3,3)</f>
        <v>STX</v>
      </c>
      <c r="C3822" t="s">
        <v>17</v>
      </c>
      <c r="D3822" s="1">
        <v>43419</v>
      </c>
      <c r="E3822" s="1">
        <v>43434</v>
      </c>
      <c r="F3822" s="1">
        <v>43449</v>
      </c>
      <c r="G3822" s="1"/>
      <c r="H3822" t="s">
        <v>4664</v>
      </c>
      <c r="I3822" t="s">
        <v>5645</v>
      </c>
    </row>
    <row r="3823" spans="1:9" x14ac:dyDescent="0.25">
      <c r="A3823" t="s">
        <v>528</v>
      </c>
      <c r="B3823" s="26" t="str">
        <f>MID(tbl_forecast[[#This Row],[PACE Job Number]],3,3)</f>
        <v>STX</v>
      </c>
      <c r="C3823" t="s">
        <v>17</v>
      </c>
      <c r="D3823" s="1">
        <v>43405</v>
      </c>
      <c r="E3823" s="1">
        <v>43373</v>
      </c>
      <c r="F3823" s="1">
        <v>43418</v>
      </c>
      <c r="G3823" s="1">
        <v>43418</v>
      </c>
      <c r="H3823" t="s">
        <v>9</v>
      </c>
      <c r="I3823" t="s">
        <v>10</v>
      </c>
    </row>
    <row r="3824" spans="1:9" x14ac:dyDescent="0.25">
      <c r="A3824" t="s">
        <v>606</v>
      </c>
      <c r="B3824" s="26" t="str">
        <f>MID(tbl_forecast[[#This Row],[PACE Job Number]],3,3)</f>
        <v>STX</v>
      </c>
      <c r="C3824" t="s">
        <v>17</v>
      </c>
      <c r="D3824" s="1">
        <v>43405</v>
      </c>
      <c r="E3824" s="1">
        <v>43342</v>
      </c>
      <c r="F3824" s="1">
        <v>43405</v>
      </c>
      <c r="G3824" s="1">
        <v>43405</v>
      </c>
      <c r="H3824" t="s">
        <v>9</v>
      </c>
      <c r="I3824" t="s">
        <v>10</v>
      </c>
    </row>
    <row r="3825" spans="1:9" x14ac:dyDescent="0.25">
      <c r="A3825" t="s">
        <v>3536</v>
      </c>
      <c r="B3825" s="26" t="str">
        <f>MID(tbl_forecast[[#This Row],[PACE Job Number]],3,3)</f>
        <v>STX</v>
      </c>
      <c r="C3825" t="s">
        <v>17</v>
      </c>
      <c r="D3825" s="1">
        <v>43405</v>
      </c>
      <c r="E3825" s="1">
        <v>43410</v>
      </c>
      <c r="F3825" s="1">
        <v>43405</v>
      </c>
      <c r="G3825" s="1">
        <v>43405</v>
      </c>
      <c r="H3825" t="s">
        <v>9</v>
      </c>
      <c r="I3825" t="s">
        <v>10</v>
      </c>
    </row>
    <row r="3826" spans="1:9" x14ac:dyDescent="0.25">
      <c r="A3826" t="s">
        <v>3263</v>
      </c>
      <c r="B3826" s="26" t="str">
        <f>MID(tbl_forecast[[#This Row],[PACE Job Number]],3,3)</f>
        <v>STX</v>
      </c>
      <c r="C3826" t="s">
        <v>17</v>
      </c>
      <c r="D3826" s="1">
        <v>43434</v>
      </c>
      <c r="E3826" s="1">
        <v>43434</v>
      </c>
      <c r="F3826" s="1">
        <v>43449</v>
      </c>
      <c r="G3826" s="1"/>
      <c r="H3826" t="s">
        <v>4664</v>
      </c>
      <c r="I3826" t="s">
        <v>4666</v>
      </c>
    </row>
    <row r="3827" spans="1:9" x14ac:dyDescent="0.25">
      <c r="A3827" t="s">
        <v>3409</v>
      </c>
      <c r="B3827" s="26" t="str">
        <f>MID(tbl_forecast[[#This Row],[PACE Job Number]],3,3)</f>
        <v>STX</v>
      </c>
      <c r="C3827" t="s">
        <v>17</v>
      </c>
      <c r="D3827" s="1">
        <v>43419</v>
      </c>
      <c r="E3827" s="1">
        <v>43453</v>
      </c>
      <c r="F3827" s="1">
        <v>43432</v>
      </c>
      <c r="G3827" s="1">
        <v>43432</v>
      </c>
      <c r="H3827" t="s">
        <v>9</v>
      </c>
      <c r="I3827" t="s">
        <v>10</v>
      </c>
    </row>
    <row r="3828" spans="1:9" x14ac:dyDescent="0.25">
      <c r="A3828" t="s">
        <v>5568</v>
      </c>
      <c r="B3828" s="26" t="str">
        <f>MID(tbl_forecast[[#This Row],[PACE Job Number]],3,3)</f>
        <v>STX</v>
      </c>
      <c r="C3828" t="s">
        <v>17</v>
      </c>
      <c r="D3828" s="1">
        <v>43434</v>
      </c>
      <c r="E3828" s="1">
        <v>43434</v>
      </c>
      <c r="F3828" s="1">
        <v>43431</v>
      </c>
      <c r="G3828" s="1">
        <v>43431</v>
      </c>
      <c r="H3828" t="s">
        <v>9</v>
      </c>
      <c r="I3828" t="s">
        <v>10</v>
      </c>
    </row>
    <row r="3829" spans="1:9" x14ac:dyDescent="0.25">
      <c r="A3829" t="s">
        <v>3350</v>
      </c>
      <c r="B3829" s="26" t="str">
        <f>MID(tbl_forecast[[#This Row],[PACE Job Number]],3,3)</f>
        <v>STX</v>
      </c>
      <c r="C3829" t="s">
        <v>17</v>
      </c>
      <c r="D3829" s="1">
        <v>43419</v>
      </c>
      <c r="E3829" s="1">
        <v>43453</v>
      </c>
      <c r="F3829" s="1">
        <v>43432</v>
      </c>
      <c r="G3829" s="1">
        <v>43432</v>
      </c>
      <c r="H3829" t="s">
        <v>9</v>
      </c>
      <c r="I3829" t="s">
        <v>10</v>
      </c>
    </row>
    <row r="3830" spans="1:9" x14ac:dyDescent="0.25">
      <c r="A3830" t="s">
        <v>4424</v>
      </c>
      <c r="B3830" s="26" t="str">
        <f>MID(tbl_forecast[[#This Row],[PACE Job Number]],3,3)</f>
        <v>STX</v>
      </c>
      <c r="C3830" t="s">
        <v>17</v>
      </c>
      <c r="D3830" s="1">
        <v>43419</v>
      </c>
      <c r="E3830" s="1">
        <v>43453</v>
      </c>
      <c r="F3830" s="1">
        <v>43419</v>
      </c>
      <c r="G3830" s="1"/>
      <c r="H3830" t="s">
        <v>9</v>
      </c>
      <c r="I3830" t="s">
        <v>44</v>
      </c>
    </row>
    <row r="3831" spans="1:9" x14ac:dyDescent="0.25">
      <c r="A3831" t="s">
        <v>1059</v>
      </c>
      <c r="B3831" s="26" t="str">
        <f>MID(tbl_forecast[[#This Row],[PACE Job Number]],3,3)</f>
        <v>STX</v>
      </c>
      <c r="C3831" t="s">
        <v>17</v>
      </c>
      <c r="D3831" s="1">
        <v>43418</v>
      </c>
      <c r="E3831" s="1">
        <v>43447</v>
      </c>
      <c r="F3831" s="1">
        <v>43447</v>
      </c>
      <c r="G3831" s="1"/>
      <c r="H3831" t="s">
        <v>4664</v>
      </c>
      <c r="I3831" t="s">
        <v>5645</v>
      </c>
    </row>
    <row r="3832" spans="1:9" x14ac:dyDescent="0.25">
      <c r="A3832" t="s">
        <v>5569</v>
      </c>
      <c r="B3832" s="26" t="str">
        <f>MID(tbl_forecast[[#This Row],[PACE Job Number]],3,3)</f>
        <v>STX</v>
      </c>
      <c r="C3832" t="s">
        <v>17</v>
      </c>
      <c r="D3832" s="1">
        <v>43434</v>
      </c>
      <c r="E3832" s="1">
        <v>43434</v>
      </c>
      <c r="F3832" s="1">
        <v>43430</v>
      </c>
      <c r="G3832" s="1">
        <v>43430</v>
      </c>
      <c r="H3832" t="s">
        <v>9</v>
      </c>
      <c r="I3832" t="s">
        <v>10</v>
      </c>
    </row>
    <row r="3833" spans="1:9" x14ac:dyDescent="0.25">
      <c r="A3833" t="s">
        <v>96</v>
      </c>
      <c r="B3833" s="26" t="str">
        <f>MID(tbl_forecast[[#This Row],[PACE Job Number]],3,3)</f>
        <v>STX</v>
      </c>
      <c r="C3833" t="s">
        <v>17</v>
      </c>
      <c r="D3833" s="1">
        <v>43405</v>
      </c>
      <c r="E3833" s="1">
        <v>43434</v>
      </c>
      <c r="F3833" s="1">
        <v>43405</v>
      </c>
      <c r="G3833" s="1">
        <v>43405</v>
      </c>
      <c r="H3833" t="s">
        <v>9</v>
      </c>
      <c r="I3833" t="s">
        <v>10</v>
      </c>
    </row>
    <row r="3834" spans="1:9" x14ac:dyDescent="0.25">
      <c r="A3834" t="s">
        <v>5570</v>
      </c>
      <c r="B3834" s="26" t="str">
        <f>MID(tbl_forecast[[#This Row],[PACE Job Number]],3,3)</f>
        <v>STX</v>
      </c>
      <c r="C3834" t="s">
        <v>17</v>
      </c>
      <c r="D3834" s="1">
        <v>43434</v>
      </c>
      <c r="E3834" s="1">
        <v>43434</v>
      </c>
      <c r="F3834" s="1">
        <v>43431</v>
      </c>
      <c r="G3834" s="1">
        <v>43431</v>
      </c>
      <c r="H3834" t="s">
        <v>9</v>
      </c>
      <c r="I3834" t="s">
        <v>10</v>
      </c>
    </row>
    <row r="3835" spans="1:9" x14ac:dyDescent="0.25">
      <c r="A3835" t="s">
        <v>4427</v>
      </c>
      <c r="B3835" s="26" t="str">
        <f>MID(tbl_forecast[[#This Row],[PACE Job Number]],3,3)</f>
        <v>STX</v>
      </c>
      <c r="C3835" t="s">
        <v>17</v>
      </c>
      <c r="D3835" s="1">
        <v>43419</v>
      </c>
      <c r="E3835" s="1">
        <v>43453</v>
      </c>
      <c r="F3835" s="1">
        <v>43432</v>
      </c>
      <c r="G3835" s="1">
        <v>43432</v>
      </c>
      <c r="H3835" t="s">
        <v>9</v>
      </c>
      <c r="I3835" t="s">
        <v>10</v>
      </c>
    </row>
    <row r="3836" spans="1:9" x14ac:dyDescent="0.25">
      <c r="A3836" t="s">
        <v>260</v>
      </c>
      <c r="B3836" s="26" t="str">
        <f>MID(tbl_forecast[[#This Row],[PACE Job Number]],3,3)</f>
        <v>STX</v>
      </c>
      <c r="C3836" t="s">
        <v>17</v>
      </c>
      <c r="D3836" s="1">
        <v>43434</v>
      </c>
      <c r="E3836" s="1">
        <v>43434</v>
      </c>
      <c r="F3836" s="1">
        <v>43434</v>
      </c>
      <c r="G3836" s="1"/>
      <c r="H3836" t="s">
        <v>9</v>
      </c>
      <c r="I3836" t="s">
        <v>27</v>
      </c>
    </row>
    <row r="3837" spans="1:9" x14ac:dyDescent="0.25">
      <c r="A3837" t="s">
        <v>5610</v>
      </c>
      <c r="B3837" s="26" t="str">
        <f>MID(tbl_forecast[[#This Row],[PACE Job Number]],3,3)</f>
        <v>STX</v>
      </c>
      <c r="C3837" t="s">
        <v>17</v>
      </c>
      <c r="D3837" s="1">
        <v>43419</v>
      </c>
      <c r="E3837" s="1">
        <v>43434</v>
      </c>
      <c r="F3837" s="1">
        <v>43425</v>
      </c>
      <c r="G3837" s="1">
        <v>43425</v>
      </c>
      <c r="H3837" t="s">
        <v>9</v>
      </c>
      <c r="I3837" t="s">
        <v>10</v>
      </c>
    </row>
    <row r="3838" spans="1:9" x14ac:dyDescent="0.25">
      <c r="A3838" t="s">
        <v>5571</v>
      </c>
      <c r="B3838" s="26" t="str">
        <f>MID(tbl_forecast[[#This Row],[PACE Job Number]],3,3)</f>
        <v>STX</v>
      </c>
      <c r="C3838" t="s">
        <v>17</v>
      </c>
      <c r="D3838" s="1">
        <v>43434</v>
      </c>
      <c r="E3838" s="1">
        <v>43434</v>
      </c>
      <c r="F3838" s="1">
        <v>43449</v>
      </c>
      <c r="G3838" s="1"/>
      <c r="H3838" t="s">
        <v>4664</v>
      </c>
      <c r="I3838" t="s">
        <v>4666</v>
      </c>
    </row>
    <row r="3839" spans="1:9" x14ac:dyDescent="0.25">
      <c r="A3839" t="s">
        <v>5572</v>
      </c>
      <c r="B3839" s="26" t="str">
        <f>MID(tbl_forecast[[#This Row],[PACE Job Number]],3,3)</f>
        <v>STX</v>
      </c>
      <c r="C3839" t="s">
        <v>17</v>
      </c>
      <c r="D3839" s="1">
        <v>43434</v>
      </c>
      <c r="E3839" s="1">
        <v>43434</v>
      </c>
      <c r="F3839" s="1">
        <v>43434</v>
      </c>
      <c r="G3839" s="1">
        <v>43434</v>
      </c>
      <c r="H3839" t="s">
        <v>9</v>
      </c>
      <c r="I3839" t="s">
        <v>10</v>
      </c>
    </row>
    <row r="3840" spans="1:9" x14ac:dyDescent="0.25">
      <c r="A3840" t="s">
        <v>434</v>
      </c>
      <c r="B3840" s="26" t="str">
        <f>MID(tbl_forecast[[#This Row],[PACE Job Number]],3,3)</f>
        <v>STX</v>
      </c>
      <c r="C3840" t="s">
        <v>17</v>
      </c>
      <c r="D3840" s="1">
        <v>43406</v>
      </c>
      <c r="E3840" s="1">
        <v>43406</v>
      </c>
      <c r="F3840" s="1">
        <v>43411</v>
      </c>
      <c r="G3840" s="1">
        <v>43411</v>
      </c>
      <c r="H3840" t="s">
        <v>9</v>
      </c>
      <c r="I3840" t="s">
        <v>10</v>
      </c>
    </row>
    <row r="3841" spans="1:9" x14ac:dyDescent="0.25">
      <c r="A3841" t="s">
        <v>3961</v>
      </c>
      <c r="B3841" s="26" t="str">
        <f>MID(tbl_forecast[[#This Row],[PACE Job Number]],3,3)</f>
        <v>STX</v>
      </c>
      <c r="C3841" t="s">
        <v>17</v>
      </c>
      <c r="D3841" s="1">
        <v>43419</v>
      </c>
      <c r="E3841" s="1">
        <v>43403</v>
      </c>
      <c r="F3841" s="1">
        <v>43425</v>
      </c>
      <c r="G3841" s="1">
        <v>43425</v>
      </c>
      <c r="H3841" t="s">
        <v>9</v>
      </c>
      <c r="I3841" t="s">
        <v>10</v>
      </c>
    </row>
    <row r="3842" spans="1:9" x14ac:dyDescent="0.25">
      <c r="A3842" t="s">
        <v>5611</v>
      </c>
      <c r="B3842" s="26" t="str">
        <f>MID(tbl_forecast[[#This Row],[PACE Job Number]],3,3)</f>
        <v>ANM</v>
      </c>
      <c r="C3842" t="s">
        <v>17</v>
      </c>
      <c r="D3842" s="1">
        <v>43419</v>
      </c>
      <c r="E3842" s="1">
        <v>36524</v>
      </c>
      <c r="F3842" s="1">
        <v>43423</v>
      </c>
      <c r="G3842" s="1">
        <v>43423</v>
      </c>
      <c r="H3842" t="s">
        <v>9</v>
      </c>
      <c r="I3842" t="s">
        <v>10</v>
      </c>
    </row>
    <row r="3843" spans="1:9" x14ac:dyDescent="0.25">
      <c r="A3843" t="s">
        <v>3995</v>
      </c>
      <c r="B3843" s="26" t="str">
        <f>MID(tbl_forecast[[#This Row],[PACE Job Number]],3,3)</f>
        <v>NTX</v>
      </c>
      <c r="C3843" t="s">
        <v>17</v>
      </c>
      <c r="D3843" s="1">
        <v>43427</v>
      </c>
      <c r="E3843" s="1">
        <v>43427</v>
      </c>
      <c r="F3843" s="1">
        <v>43420</v>
      </c>
      <c r="G3843" s="1">
        <v>43420</v>
      </c>
      <c r="H3843" t="s">
        <v>9</v>
      </c>
      <c r="I3843" t="s">
        <v>10</v>
      </c>
    </row>
    <row r="3844" spans="1:9" x14ac:dyDescent="0.25">
      <c r="A3844" t="s">
        <v>335</v>
      </c>
      <c r="B3844" s="26" t="str">
        <f>MID(tbl_forecast[[#This Row],[PACE Job Number]],3,3)</f>
        <v>NTX</v>
      </c>
      <c r="C3844" t="s">
        <v>17</v>
      </c>
      <c r="D3844" s="1">
        <v>43405</v>
      </c>
      <c r="E3844" s="1">
        <v>43399</v>
      </c>
      <c r="F3844" s="1">
        <v>43405</v>
      </c>
      <c r="G3844" s="1">
        <v>43405</v>
      </c>
      <c r="H3844" t="s">
        <v>9</v>
      </c>
      <c r="I3844" t="s">
        <v>10</v>
      </c>
    </row>
    <row r="3845" spans="1:9" x14ac:dyDescent="0.25">
      <c r="A3845" t="s">
        <v>2369</v>
      </c>
      <c r="B3845" s="26" t="str">
        <f>MID(tbl_forecast[[#This Row],[PACE Job Number]],3,3)</f>
        <v>NTX</v>
      </c>
      <c r="C3845" t="s">
        <v>17</v>
      </c>
      <c r="D3845" s="1">
        <v>43406</v>
      </c>
      <c r="E3845" s="1">
        <v>43533</v>
      </c>
      <c r="F3845" s="1">
        <v>43406</v>
      </c>
      <c r="G3845" s="1">
        <v>43406</v>
      </c>
      <c r="H3845" t="s">
        <v>9</v>
      </c>
      <c r="I3845" t="s">
        <v>10</v>
      </c>
    </row>
    <row r="3846" spans="1:9" x14ac:dyDescent="0.25">
      <c r="A3846" t="s">
        <v>1812</v>
      </c>
      <c r="B3846" s="26" t="str">
        <f>MID(tbl_forecast[[#This Row],[PACE Job Number]],3,3)</f>
        <v>NTX</v>
      </c>
      <c r="C3846" t="s">
        <v>17</v>
      </c>
      <c r="D3846" s="1">
        <v>43408</v>
      </c>
      <c r="E3846" s="1">
        <v>43408</v>
      </c>
      <c r="F3846" s="1">
        <v>43408</v>
      </c>
      <c r="G3846" s="1"/>
      <c r="H3846" t="s">
        <v>9</v>
      </c>
      <c r="I3846" t="s">
        <v>27</v>
      </c>
    </row>
    <row r="3847" spans="1:9" x14ac:dyDescent="0.25">
      <c r="A3847" t="s">
        <v>127</v>
      </c>
      <c r="B3847" s="26" t="str">
        <f>MID(tbl_forecast[[#This Row],[PACE Job Number]],3,3)</f>
        <v>NTX</v>
      </c>
      <c r="C3847" t="s">
        <v>17</v>
      </c>
      <c r="D3847" s="1">
        <v>43432</v>
      </c>
      <c r="E3847" s="1">
        <v>43432</v>
      </c>
      <c r="F3847" s="1">
        <v>43432</v>
      </c>
      <c r="G3847" s="1"/>
      <c r="H3847" t="s">
        <v>9</v>
      </c>
      <c r="I3847" t="s">
        <v>27</v>
      </c>
    </row>
    <row r="3848" spans="1:9" x14ac:dyDescent="0.25">
      <c r="A3848" t="s">
        <v>4524</v>
      </c>
      <c r="B3848" s="26" t="str">
        <f>MID(tbl_forecast[[#This Row],[PACE Job Number]],3,3)</f>
        <v>NTX</v>
      </c>
      <c r="C3848" t="s">
        <v>17</v>
      </c>
      <c r="D3848" s="1">
        <v>43408</v>
      </c>
      <c r="E3848" s="1">
        <v>43408</v>
      </c>
      <c r="F3848" s="1">
        <v>43413</v>
      </c>
      <c r="G3848" s="1">
        <v>43413</v>
      </c>
      <c r="H3848" t="s">
        <v>9</v>
      </c>
      <c r="I3848" t="s">
        <v>10</v>
      </c>
    </row>
    <row r="3849" spans="1:9" x14ac:dyDescent="0.25">
      <c r="A3849" t="s">
        <v>4650</v>
      </c>
      <c r="B3849" s="26" t="str">
        <f>MID(tbl_forecast[[#This Row],[PACE Job Number]],3,3)</f>
        <v>STX</v>
      </c>
      <c r="C3849" t="s">
        <v>17</v>
      </c>
      <c r="D3849" s="1">
        <v>43405</v>
      </c>
      <c r="E3849" s="1">
        <v>43434</v>
      </c>
      <c r="F3849" s="1">
        <v>43405</v>
      </c>
      <c r="G3849" s="1">
        <v>43405</v>
      </c>
      <c r="H3849" t="s">
        <v>9</v>
      </c>
      <c r="I3849" t="s">
        <v>10</v>
      </c>
    </row>
    <row r="3850" spans="1:9" x14ac:dyDescent="0.25">
      <c r="A3850" t="s">
        <v>4429</v>
      </c>
      <c r="B3850" s="26" t="str">
        <f>MID(tbl_forecast[[#This Row],[PACE Job Number]],3,3)</f>
        <v>STX</v>
      </c>
      <c r="C3850" t="s">
        <v>17</v>
      </c>
      <c r="D3850" s="1">
        <v>43419</v>
      </c>
      <c r="E3850" s="1">
        <v>43434</v>
      </c>
      <c r="F3850" s="1">
        <v>43419</v>
      </c>
      <c r="G3850" s="1"/>
      <c r="H3850" t="s">
        <v>9</v>
      </c>
      <c r="I3850" t="s">
        <v>44</v>
      </c>
    </row>
    <row r="3851" spans="1:9" x14ac:dyDescent="0.25">
      <c r="A3851" t="s">
        <v>5612</v>
      </c>
      <c r="B3851" s="26" t="str">
        <f>MID(tbl_forecast[[#This Row],[PACE Job Number]],3,3)</f>
        <v>STX</v>
      </c>
      <c r="C3851" t="s">
        <v>17</v>
      </c>
      <c r="D3851" s="1">
        <v>43419</v>
      </c>
      <c r="E3851" s="1">
        <v>43382</v>
      </c>
      <c r="F3851" s="1">
        <v>43425</v>
      </c>
      <c r="G3851" s="1">
        <v>43426</v>
      </c>
      <c r="H3851" t="s">
        <v>9</v>
      </c>
      <c r="I3851" t="s">
        <v>10</v>
      </c>
    </row>
    <row r="3852" spans="1:9" x14ac:dyDescent="0.25">
      <c r="A3852" t="s">
        <v>3268</v>
      </c>
      <c r="B3852" s="26" t="str">
        <f>MID(tbl_forecast[[#This Row],[PACE Job Number]],3,3)</f>
        <v>STX</v>
      </c>
      <c r="C3852" t="s">
        <v>17</v>
      </c>
      <c r="D3852" s="1">
        <v>43419</v>
      </c>
      <c r="E3852" s="1">
        <v>43434</v>
      </c>
      <c r="F3852" s="1">
        <v>43419</v>
      </c>
      <c r="G3852" s="1"/>
      <c r="H3852" t="s">
        <v>9</v>
      </c>
      <c r="I3852" t="s">
        <v>44</v>
      </c>
    </row>
    <row r="3853" spans="1:9" x14ac:dyDescent="0.25">
      <c r="A3853" t="s">
        <v>4430</v>
      </c>
      <c r="B3853" s="26" t="str">
        <f>MID(tbl_forecast[[#This Row],[PACE Job Number]],3,3)</f>
        <v>STX</v>
      </c>
      <c r="C3853" t="s">
        <v>17</v>
      </c>
      <c r="D3853" s="1">
        <v>43419</v>
      </c>
      <c r="E3853" s="1">
        <v>43434</v>
      </c>
      <c r="F3853" s="1">
        <v>43419</v>
      </c>
      <c r="G3853" s="1"/>
      <c r="H3853" t="s">
        <v>9</v>
      </c>
      <c r="I3853" t="s">
        <v>44</v>
      </c>
    </row>
    <row r="3854" spans="1:9" x14ac:dyDescent="0.25">
      <c r="A3854" t="s">
        <v>3228</v>
      </c>
      <c r="B3854" s="26" t="str">
        <f>MID(tbl_forecast[[#This Row],[PACE Job Number]],3,3)</f>
        <v>STX</v>
      </c>
      <c r="C3854" t="s">
        <v>17</v>
      </c>
      <c r="D3854" s="1">
        <v>43419</v>
      </c>
      <c r="E3854" s="1">
        <v>43434</v>
      </c>
      <c r="F3854" s="1">
        <v>43419</v>
      </c>
      <c r="G3854" s="1"/>
      <c r="H3854" t="s">
        <v>9</v>
      </c>
      <c r="I3854" t="s">
        <v>44</v>
      </c>
    </row>
    <row r="3855" spans="1:9" x14ac:dyDescent="0.25">
      <c r="A3855" t="s">
        <v>4652</v>
      </c>
      <c r="B3855" s="26" t="str">
        <f>MID(tbl_forecast[[#This Row],[PACE Job Number]],3,3)</f>
        <v>STX</v>
      </c>
      <c r="C3855" t="s">
        <v>17</v>
      </c>
      <c r="D3855" s="1">
        <v>43405</v>
      </c>
      <c r="E3855" s="1">
        <v>43434</v>
      </c>
      <c r="F3855" s="1">
        <v>43405</v>
      </c>
      <c r="G3855" s="1">
        <v>43405</v>
      </c>
      <c r="H3855" t="s">
        <v>9</v>
      </c>
      <c r="I3855" t="s">
        <v>10</v>
      </c>
    </row>
    <row r="3856" spans="1:9" x14ac:dyDescent="0.25">
      <c r="A3856" t="s">
        <v>3962</v>
      </c>
      <c r="B3856" s="26" t="str">
        <f>MID(tbl_forecast[[#This Row],[PACE Job Number]],3,3)</f>
        <v>STX</v>
      </c>
      <c r="C3856" t="s">
        <v>17</v>
      </c>
      <c r="D3856" s="1">
        <v>43419</v>
      </c>
      <c r="E3856" s="1">
        <v>43403</v>
      </c>
      <c r="F3856" s="1">
        <v>43425</v>
      </c>
      <c r="G3856" s="1">
        <v>43425</v>
      </c>
      <c r="H3856" t="s">
        <v>9</v>
      </c>
      <c r="I3856" t="s">
        <v>10</v>
      </c>
    </row>
    <row r="3857" spans="1:9" x14ac:dyDescent="0.25">
      <c r="A3857" t="s">
        <v>527</v>
      </c>
      <c r="B3857" s="26" t="str">
        <f>MID(tbl_forecast[[#This Row],[PACE Job Number]],3,3)</f>
        <v>STX</v>
      </c>
      <c r="C3857" t="s">
        <v>17</v>
      </c>
      <c r="D3857" s="1">
        <v>43419</v>
      </c>
      <c r="E3857" s="1">
        <v>43440</v>
      </c>
      <c r="F3857" s="1">
        <v>43440</v>
      </c>
      <c r="G3857" s="1"/>
      <c r="H3857" t="s">
        <v>4664</v>
      </c>
      <c r="I3857" t="s">
        <v>5645</v>
      </c>
    </row>
    <row r="3858" spans="1:9" x14ac:dyDescent="0.25">
      <c r="A3858" t="s">
        <v>4432</v>
      </c>
      <c r="B3858" s="26" t="str">
        <f>MID(tbl_forecast[[#This Row],[PACE Job Number]],3,3)</f>
        <v>STX</v>
      </c>
      <c r="C3858" t="s">
        <v>17</v>
      </c>
      <c r="D3858" s="1">
        <v>43419</v>
      </c>
      <c r="E3858" s="1">
        <v>43434</v>
      </c>
      <c r="F3858" s="1">
        <v>43419</v>
      </c>
      <c r="G3858" s="1"/>
      <c r="H3858" t="s">
        <v>9</v>
      </c>
      <c r="I3858" t="s">
        <v>44</v>
      </c>
    </row>
    <row r="3859" spans="1:9" x14ac:dyDescent="0.25">
      <c r="A3859" t="s">
        <v>664</v>
      </c>
      <c r="B3859" s="26" t="str">
        <f>MID(tbl_forecast[[#This Row],[PACE Job Number]],3,3)</f>
        <v>STX</v>
      </c>
      <c r="C3859" t="s">
        <v>17</v>
      </c>
      <c r="D3859" s="1">
        <v>43419</v>
      </c>
      <c r="E3859" s="1">
        <v>43440</v>
      </c>
      <c r="F3859" s="1">
        <v>43440</v>
      </c>
      <c r="G3859" s="1"/>
      <c r="H3859" t="s">
        <v>4664</v>
      </c>
      <c r="I3859" t="s">
        <v>5645</v>
      </c>
    </row>
    <row r="3860" spans="1:9" x14ac:dyDescent="0.25">
      <c r="A3860" t="s">
        <v>126</v>
      </c>
      <c r="B3860" s="26" t="str">
        <f>MID(tbl_forecast[[#This Row],[PACE Job Number]],3,3)</f>
        <v>WSH</v>
      </c>
      <c r="C3860" t="s">
        <v>17</v>
      </c>
      <c r="D3860" s="1">
        <v>43434</v>
      </c>
      <c r="E3860" s="1">
        <v>43434</v>
      </c>
      <c r="F3860" s="1">
        <v>43434</v>
      </c>
      <c r="G3860" s="1"/>
      <c r="H3860" t="s">
        <v>9</v>
      </c>
      <c r="I3860" t="s">
        <v>27</v>
      </c>
    </row>
    <row r="3861" spans="1:9" x14ac:dyDescent="0.25">
      <c r="A3861" t="s">
        <v>225</v>
      </c>
      <c r="B3861" s="26" t="str">
        <f>MID(tbl_forecast[[#This Row],[PACE Job Number]],3,3)</f>
        <v>WSH</v>
      </c>
      <c r="C3861" t="s">
        <v>17</v>
      </c>
      <c r="D3861" s="1">
        <v>43405</v>
      </c>
      <c r="E3861" s="1">
        <v>43413</v>
      </c>
      <c r="F3861" s="1">
        <v>43405</v>
      </c>
      <c r="G3861" s="1">
        <v>43405</v>
      </c>
      <c r="H3861" t="s">
        <v>9</v>
      </c>
      <c r="I3861" t="s">
        <v>10</v>
      </c>
    </row>
    <row r="3862" spans="1:9" x14ac:dyDescent="0.25">
      <c r="A3862" t="s">
        <v>4581</v>
      </c>
      <c r="B3862" s="26" t="str">
        <f>MID(tbl_forecast[[#This Row],[PACE Job Number]],3,3)</f>
        <v>WSH</v>
      </c>
      <c r="C3862" t="s">
        <v>17</v>
      </c>
      <c r="D3862" s="1">
        <v>43434</v>
      </c>
      <c r="E3862" s="1">
        <v>43434</v>
      </c>
      <c r="F3862" s="1">
        <v>43434</v>
      </c>
      <c r="G3862" s="1"/>
      <c r="H3862" t="s">
        <v>9</v>
      </c>
      <c r="I3862" t="s">
        <v>27</v>
      </c>
    </row>
    <row r="3863" spans="1:9" x14ac:dyDescent="0.25">
      <c r="A3863" t="s">
        <v>3458</v>
      </c>
      <c r="B3863" s="26" t="str">
        <f>MID(tbl_forecast[[#This Row],[PACE Job Number]],3,3)</f>
        <v>WSH</v>
      </c>
      <c r="C3863" t="s">
        <v>17</v>
      </c>
      <c r="D3863" s="1">
        <v>43434</v>
      </c>
      <c r="E3863" s="1">
        <v>43434</v>
      </c>
      <c r="F3863" s="1">
        <v>43419</v>
      </c>
      <c r="G3863" s="1">
        <v>43419</v>
      </c>
      <c r="H3863" t="s">
        <v>9</v>
      </c>
      <c r="I3863" t="s">
        <v>10</v>
      </c>
    </row>
    <row r="3864" spans="1:9" x14ac:dyDescent="0.25">
      <c r="A3864" t="s">
        <v>3925</v>
      </c>
      <c r="B3864" s="26" t="str">
        <f>MID(tbl_forecast[[#This Row],[PACE Job Number]],3,3)</f>
        <v>WSH</v>
      </c>
      <c r="C3864" t="s">
        <v>17</v>
      </c>
      <c r="D3864" s="1">
        <v>43434</v>
      </c>
      <c r="E3864" s="1">
        <v>43434</v>
      </c>
      <c r="F3864" s="1">
        <v>43430</v>
      </c>
      <c r="G3864" s="1">
        <v>43430</v>
      </c>
      <c r="H3864" t="s">
        <v>9</v>
      </c>
      <c r="I3864" t="s">
        <v>10</v>
      </c>
    </row>
    <row r="3865" spans="1:9" x14ac:dyDescent="0.25">
      <c r="A3865" t="s">
        <v>3926</v>
      </c>
      <c r="B3865" s="26" t="str">
        <f>MID(tbl_forecast[[#This Row],[PACE Job Number]],3,3)</f>
        <v>WSH</v>
      </c>
      <c r="C3865" t="s">
        <v>17</v>
      </c>
      <c r="D3865" s="1">
        <v>43434</v>
      </c>
      <c r="E3865" s="1">
        <v>43434</v>
      </c>
      <c r="F3865" s="1">
        <v>43430</v>
      </c>
      <c r="G3865" s="1">
        <v>43430</v>
      </c>
      <c r="H3865" t="s">
        <v>9</v>
      </c>
      <c r="I3865" t="s">
        <v>10</v>
      </c>
    </row>
    <row r="3866" spans="1:9" x14ac:dyDescent="0.25">
      <c r="A3866" t="s">
        <v>3927</v>
      </c>
      <c r="B3866" s="26" t="str">
        <f>MID(tbl_forecast[[#This Row],[PACE Job Number]],3,3)</f>
        <v>WSH</v>
      </c>
      <c r="C3866" t="s">
        <v>17</v>
      </c>
      <c r="D3866" s="1">
        <v>43434</v>
      </c>
      <c r="E3866" s="1">
        <v>43434</v>
      </c>
      <c r="F3866" s="1">
        <v>43419</v>
      </c>
      <c r="G3866" s="1">
        <v>43419</v>
      </c>
      <c r="H3866" t="s">
        <v>9</v>
      </c>
      <c r="I3866" t="s">
        <v>10</v>
      </c>
    </row>
    <row r="3867" spans="1:9" x14ac:dyDescent="0.25">
      <c r="A3867" t="s">
        <v>4267</v>
      </c>
      <c r="B3867" s="26" t="str">
        <f>MID(tbl_forecast[[#This Row],[PACE Job Number]],3,3)</f>
        <v>WSH</v>
      </c>
      <c r="C3867" t="s">
        <v>17</v>
      </c>
      <c r="D3867" s="1">
        <v>43434</v>
      </c>
      <c r="E3867" s="1">
        <v>43434</v>
      </c>
      <c r="F3867" s="1">
        <v>43419</v>
      </c>
      <c r="G3867" s="1">
        <v>43419</v>
      </c>
      <c r="H3867" t="s">
        <v>9</v>
      </c>
      <c r="I3867" t="s">
        <v>10</v>
      </c>
    </row>
    <row r="3868" spans="1:9" x14ac:dyDescent="0.25">
      <c r="A3868" t="s">
        <v>3441</v>
      </c>
      <c r="B3868" s="26" t="str">
        <f>MID(tbl_forecast[[#This Row],[PACE Job Number]],3,3)</f>
        <v>WSH</v>
      </c>
      <c r="C3868" t="s">
        <v>17</v>
      </c>
      <c r="D3868" s="1">
        <v>43413</v>
      </c>
      <c r="E3868" s="1">
        <v>43413</v>
      </c>
      <c r="F3868" s="1">
        <v>43410</v>
      </c>
      <c r="G3868" s="1">
        <v>43410</v>
      </c>
      <c r="H3868" t="s">
        <v>9</v>
      </c>
      <c r="I3868" t="s">
        <v>10</v>
      </c>
    </row>
    <row r="3869" spans="1:9" x14ac:dyDescent="0.25">
      <c r="A3869" t="s">
        <v>2374</v>
      </c>
      <c r="B3869" s="26" t="str">
        <f>MID(tbl_forecast[[#This Row],[PACE Job Number]],3,3)</f>
        <v>NTX</v>
      </c>
      <c r="C3869" t="s">
        <v>17</v>
      </c>
      <c r="D3869" s="1">
        <v>43430</v>
      </c>
      <c r="E3869" s="1">
        <v>43410</v>
      </c>
      <c r="F3869" s="1">
        <v>43430</v>
      </c>
      <c r="G3869" s="1"/>
      <c r="H3869" t="s">
        <v>9</v>
      </c>
      <c r="I3869" t="s">
        <v>27</v>
      </c>
    </row>
    <row r="3870" spans="1:9" x14ac:dyDescent="0.25">
      <c r="A3870" t="s">
        <v>2375</v>
      </c>
      <c r="B3870" s="26" t="str">
        <f>MID(tbl_forecast[[#This Row],[PACE Job Number]],3,3)</f>
        <v>NTX</v>
      </c>
      <c r="C3870" t="s">
        <v>17</v>
      </c>
      <c r="D3870" s="1">
        <v>43430</v>
      </c>
      <c r="E3870" s="1">
        <v>43410</v>
      </c>
      <c r="F3870" s="1">
        <v>43430</v>
      </c>
      <c r="G3870" s="1"/>
      <c r="H3870" t="s">
        <v>9</v>
      </c>
      <c r="I3870" t="s">
        <v>27</v>
      </c>
    </row>
    <row r="3871" spans="1:9" x14ac:dyDescent="0.25">
      <c r="A3871" t="s">
        <v>1202</v>
      </c>
      <c r="B3871" s="26" t="str">
        <f>MID(tbl_forecast[[#This Row],[PACE Job Number]],3,3)</f>
        <v>NTX</v>
      </c>
      <c r="C3871" t="s">
        <v>17</v>
      </c>
      <c r="D3871" s="1">
        <v>43421</v>
      </c>
      <c r="E3871" s="1">
        <v>43362</v>
      </c>
      <c r="F3871" s="1">
        <v>43421</v>
      </c>
      <c r="G3871" s="1"/>
      <c r="H3871" t="s">
        <v>9</v>
      </c>
      <c r="I3871" t="s">
        <v>27</v>
      </c>
    </row>
    <row r="3872" spans="1:9" x14ac:dyDescent="0.25">
      <c r="A3872" t="s">
        <v>3932</v>
      </c>
      <c r="B3872" s="26" t="str">
        <f>MID(tbl_forecast[[#This Row],[PACE Job Number]],3,3)</f>
        <v>NTX</v>
      </c>
      <c r="C3872" t="s">
        <v>17</v>
      </c>
      <c r="D3872" s="1">
        <v>43408</v>
      </c>
      <c r="E3872" s="1">
        <v>43408</v>
      </c>
      <c r="F3872" s="1">
        <v>43420</v>
      </c>
      <c r="G3872" s="1">
        <v>43420</v>
      </c>
      <c r="H3872" t="s">
        <v>9</v>
      </c>
      <c r="I3872" t="s">
        <v>10</v>
      </c>
    </row>
    <row r="3873" spans="1:9" x14ac:dyDescent="0.25">
      <c r="A3873" t="s">
        <v>5613</v>
      </c>
      <c r="B3873" s="26" t="str">
        <f>MID(tbl_forecast[[#This Row],[PACE Job Number]],3,3)</f>
        <v>STX</v>
      </c>
      <c r="C3873" t="s">
        <v>17</v>
      </c>
      <c r="D3873" s="1">
        <v>43410</v>
      </c>
      <c r="E3873" s="1">
        <v>43373</v>
      </c>
      <c r="F3873" s="1">
        <v>43418</v>
      </c>
      <c r="G3873" s="1">
        <v>43418</v>
      </c>
      <c r="H3873" t="s">
        <v>9</v>
      </c>
      <c r="I3873" t="s">
        <v>10</v>
      </c>
    </row>
    <row r="3874" spans="1:9" x14ac:dyDescent="0.25">
      <c r="A3874" t="s">
        <v>3101</v>
      </c>
      <c r="B3874" s="26" t="str">
        <f>MID(tbl_forecast[[#This Row],[PACE Job Number]],3,3)</f>
        <v>STX</v>
      </c>
      <c r="C3874" t="s">
        <v>17</v>
      </c>
      <c r="D3874" s="1">
        <v>43405</v>
      </c>
      <c r="E3874" s="1">
        <v>43403</v>
      </c>
      <c r="F3874" s="1">
        <v>43405</v>
      </c>
      <c r="G3874" s="1">
        <v>43405</v>
      </c>
      <c r="H3874" t="s">
        <v>9</v>
      </c>
      <c r="I3874" t="s">
        <v>10</v>
      </c>
    </row>
    <row r="3875" spans="1:9" x14ac:dyDescent="0.25">
      <c r="A3875" t="s">
        <v>2606</v>
      </c>
      <c r="B3875" s="26" t="str">
        <f>MID(tbl_forecast[[#This Row],[PACE Job Number]],3,3)</f>
        <v>STX</v>
      </c>
      <c r="C3875" t="s">
        <v>17</v>
      </c>
      <c r="D3875" s="1">
        <v>43405</v>
      </c>
      <c r="E3875" s="1">
        <v>43405</v>
      </c>
      <c r="F3875" s="1">
        <v>43405</v>
      </c>
      <c r="G3875" s="1">
        <v>43405</v>
      </c>
      <c r="H3875" t="s">
        <v>9</v>
      </c>
      <c r="I3875" t="s">
        <v>10</v>
      </c>
    </row>
    <row r="3876" spans="1:9" x14ac:dyDescent="0.25">
      <c r="A3876" t="s">
        <v>5575</v>
      </c>
      <c r="B3876" s="26" t="str">
        <f>MID(tbl_forecast[[#This Row],[PACE Job Number]],3,3)</f>
        <v>STX</v>
      </c>
      <c r="C3876" t="s">
        <v>17</v>
      </c>
      <c r="D3876" s="1">
        <v>43419</v>
      </c>
      <c r="E3876" s="1">
        <v>43440</v>
      </c>
      <c r="F3876" s="1">
        <v>43432</v>
      </c>
      <c r="G3876" s="1">
        <v>43432</v>
      </c>
      <c r="H3876" t="s">
        <v>9</v>
      </c>
      <c r="I3876" t="s">
        <v>10</v>
      </c>
    </row>
    <row r="3877" spans="1:9" x14ac:dyDescent="0.25">
      <c r="A3877" t="s">
        <v>423</v>
      </c>
      <c r="B3877" s="26" t="str">
        <f>MID(tbl_forecast[[#This Row],[PACE Job Number]],3,3)</f>
        <v>STX</v>
      </c>
      <c r="C3877" t="s">
        <v>17</v>
      </c>
      <c r="D3877" s="1">
        <v>43419</v>
      </c>
      <c r="E3877" s="1">
        <v>43440</v>
      </c>
      <c r="F3877" s="1">
        <v>43432</v>
      </c>
      <c r="G3877" s="1">
        <v>43432</v>
      </c>
      <c r="H3877" t="s">
        <v>9</v>
      </c>
      <c r="I3877" t="s">
        <v>10</v>
      </c>
    </row>
    <row r="3878" spans="1:9" x14ac:dyDescent="0.25">
      <c r="A3878" t="s">
        <v>1074</v>
      </c>
      <c r="B3878" s="26" t="str">
        <f>MID(tbl_forecast[[#This Row],[PACE Job Number]],3,3)</f>
        <v>STX</v>
      </c>
      <c r="C3878" t="s">
        <v>17</v>
      </c>
      <c r="D3878" s="1">
        <v>43434</v>
      </c>
      <c r="E3878" s="1">
        <v>43434</v>
      </c>
      <c r="F3878" s="1">
        <v>43434</v>
      </c>
      <c r="G3878" s="1"/>
      <c r="H3878" t="s">
        <v>9</v>
      </c>
      <c r="I3878" t="s">
        <v>27</v>
      </c>
    </row>
    <row r="3879" spans="1:9" x14ac:dyDescent="0.25">
      <c r="A3879" t="s">
        <v>5576</v>
      </c>
      <c r="B3879" s="26" t="str">
        <f>MID(tbl_forecast[[#This Row],[PACE Job Number]],3,3)</f>
        <v>STX</v>
      </c>
      <c r="C3879" t="s">
        <v>17</v>
      </c>
      <c r="D3879" s="1">
        <v>43434</v>
      </c>
      <c r="E3879" s="1">
        <v>43434</v>
      </c>
      <c r="F3879" s="1">
        <v>43432</v>
      </c>
      <c r="G3879" s="1">
        <v>43432</v>
      </c>
      <c r="H3879" t="s">
        <v>9</v>
      </c>
      <c r="I3879" t="s">
        <v>10</v>
      </c>
    </row>
    <row r="3880" spans="1:9" x14ac:dyDescent="0.25">
      <c r="A3880" t="s">
        <v>5577</v>
      </c>
      <c r="B3880" s="26" t="str">
        <f>MID(tbl_forecast[[#This Row],[PACE Job Number]],3,3)</f>
        <v>STX</v>
      </c>
      <c r="C3880" t="s">
        <v>17</v>
      </c>
      <c r="D3880" s="1">
        <v>43434</v>
      </c>
      <c r="E3880" s="1">
        <v>43434</v>
      </c>
      <c r="F3880" s="1">
        <v>43433</v>
      </c>
      <c r="G3880" s="1">
        <v>43433</v>
      </c>
      <c r="H3880" t="s">
        <v>9</v>
      </c>
      <c r="I3880" t="s">
        <v>10</v>
      </c>
    </row>
    <row r="3881" spans="1:9" x14ac:dyDescent="0.25">
      <c r="A3881" t="s">
        <v>760</v>
      </c>
      <c r="B3881" s="26" t="str">
        <f>MID(tbl_forecast[[#This Row],[PACE Job Number]],3,3)</f>
        <v>STX</v>
      </c>
      <c r="C3881" t="s">
        <v>17</v>
      </c>
      <c r="D3881" s="1">
        <v>43418</v>
      </c>
      <c r="E3881" s="1">
        <v>43418</v>
      </c>
      <c r="F3881" s="1">
        <v>43418</v>
      </c>
      <c r="G3881" s="1"/>
      <c r="H3881" t="s">
        <v>9</v>
      </c>
      <c r="I3881" t="s">
        <v>27</v>
      </c>
    </row>
    <row r="3882" spans="1:9" x14ac:dyDescent="0.25">
      <c r="A3882" t="s">
        <v>3846</v>
      </c>
      <c r="B3882" s="26" t="str">
        <f>MID(tbl_forecast[[#This Row],[PACE Job Number]],3,3)</f>
        <v>WSH</v>
      </c>
      <c r="C3882" t="s">
        <v>17</v>
      </c>
      <c r="D3882" s="1">
        <v>43434</v>
      </c>
      <c r="E3882" s="1">
        <v>43434</v>
      </c>
      <c r="F3882" s="1">
        <v>43430</v>
      </c>
      <c r="G3882" s="1">
        <v>43430</v>
      </c>
      <c r="H3882" t="s">
        <v>9</v>
      </c>
      <c r="I3882" t="s">
        <v>10</v>
      </c>
    </row>
    <row r="3883" spans="1:9" x14ac:dyDescent="0.25">
      <c r="A3883" t="s">
        <v>3412</v>
      </c>
      <c r="B3883" s="26" t="str">
        <f>MID(tbl_forecast[[#This Row],[PACE Job Number]],3,3)</f>
        <v>WSH</v>
      </c>
      <c r="C3883" t="s">
        <v>17</v>
      </c>
      <c r="D3883" s="1">
        <v>43434</v>
      </c>
      <c r="E3883" s="1">
        <v>43434</v>
      </c>
      <c r="F3883" s="1">
        <v>43419</v>
      </c>
      <c r="G3883" s="1">
        <v>43419</v>
      </c>
      <c r="H3883" t="s">
        <v>9</v>
      </c>
      <c r="I3883" t="s">
        <v>10</v>
      </c>
    </row>
    <row r="3884" spans="1:9" x14ac:dyDescent="0.25">
      <c r="A3884" t="s">
        <v>3847</v>
      </c>
      <c r="B3884" s="26" t="str">
        <f>MID(tbl_forecast[[#This Row],[PACE Job Number]],3,3)</f>
        <v>WSH</v>
      </c>
      <c r="C3884" t="s">
        <v>17</v>
      </c>
      <c r="D3884" s="1">
        <v>43434</v>
      </c>
      <c r="E3884" s="1">
        <v>43434</v>
      </c>
      <c r="F3884" s="1">
        <v>43411</v>
      </c>
      <c r="G3884" s="1">
        <v>43411</v>
      </c>
      <c r="H3884" t="s">
        <v>9</v>
      </c>
      <c r="I3884" t="s">
        <v>10</v>
      </c>
    </row>
    <row r="3885" spans="1:9" x14ac:dyDescent="0.25">
      <c r="A3885" t="s">
        <v>4582</v>
      </c>
      <c r="B3885" s="26" t="str">
        <f>MID(tbl_forecast[[#This Row],[PACE Job Number]],3,3)</f>
        <v>WSH</v>
      </c>
      <c r="C3885" t="s">
        <v>17</v>
      </c>
      <c r="D3885" s="1">
        <v>43434</v>
      </c>
      <c r="E3885" s="1">
        <v>43434</v>
      </c>
      <c r="F3885" s="1">
        <v>43418</v>
      </c>
      <c r="G3885" s="1">
        <v>43418</v>
      </c>
      <c r="H3885" t="s">
        <v>9</v>
      </c>
      <c r="I3885" t="s">
        <v>10</v>
      </c>
    </row>
    <row r="3886" spans="1:9" x14ac:dyDescent="0.25">
      <c r="A3886" t="s">
        <v>3850</v>
      </c>
      <c r="B3886" s="26" t="str">
        <f>MID(tbl_forecast[[#This Row],[PACE Job Number]],3,3)</f>
        <v>WSH</v>
      </c>
      <c r="C3886" t="s">
        <v>17</v>
      </c>
      <c r="D3886" s="1">
        <v>43434</v>
      </c>
      <c r="E3886" s="1">
        <v>43434</v>
      </c>
      <c r="F3886" s="1">
        <v>43434</v>
      </c>
      <c r="G3886" s="1"/>
      <c r="H3886" t="s">
        <v>9</v>
      </c>
      <c r="I3886" t="s">
        <v>27</v>
      </c>
    </row>
    <row r="3887" spans="1:9" x14ac:dyDescent="0.25">
      <c r="A3887" t="s">
        <v>3851</v>
      </c>
      <c r="B3887" s="26" t="str">
        <f>MID(tbl_forecast[[#This Row],[PACE Job Number]],3,3)</f>
        <v>WSH</v>
      </c>
      <c r="C3887" t="s">
        <v>17</v>
      </c>
      <c r="D3887" s="1">
        <v>43434</v>
      </c>
      <c r="E3887" s="1">
        <v>43434</v>
      </c>
      <c r="F3887" s="1">
        <v>43434</v>
      </c>
      <c r="G3887" s="1"/>
      <c r="H3887" t="s">
        <v>9</v>
      </c>
      <c r="I3887" t="s">
        <v>27</v>
      </c>
    </row>
    <row r="3888" spans="1:9" x14ac:dyDescent="0.25">
      <c r="A3888" t="s">
        <v>3852</v>
      </c>
      <c r="B3888" s="26" t="str">
        <f>MID(tbl_forecast[[#This Row],[PACE Job Number]],3,3)</f>
        <v>WSH</v>
      </c>
      <c r="C3888" t="s">
        <v>17</v>
      </c>
      <c r="D3888" s="1">
        <v>43434</v>
      </c>
      <c r="E3888" s="1">
        <v>43434</v>
      </c>
      <c r="F3888" s="1">
        <v>43419</v>
      </c>
      <c r="G3888" s="1">
        <v>43419</v>
      </c>
      <c r="H3888" t="s">
        <v>9</v>
      </c>
      <c r="I3888" t="s">
        <v>10</v>
      </c>
    </row>
    <row r="3889" spans="1:9" x14ac:dyDescent="0.25">
      <c r="A3889" t="s">
        <v>178</v>
      </c>
      <c r="B3889" s="26" t="str">
        <f>MID(tbl_forecast[[#This Row],[PACE Job Number]],3,3)</f>
        <v>WSH</v>
      </c>
      <c r="C3889" t="s">
        <v>17</v>
      </c>
      <c r="D3889" s="1">
        <v>43434</v>
      </c>
      <c r="E3889" s="1">
        <v>43434</v>
      </c>
      <c r="F3889" s="1">
        <v>43430</v>
      </c>
      <c r="G3889" s="1">
        <v>43430</v>
      </c>
      <c r="H3889" t="s">
        <v>9</v>
      </c>
      <c r="I3889" t="s">
        <v>10</v>
      </c>
    </row>
    <row r="3890" spans="1:9" x14ac:dyDescent="0.25">
      <c r="A3890" t="s">
        <v>184</v>
      </c>
      <c r="B3890" s="26" t="str">
        <f>MID(tbl_forecast[[#This Row],[PACE Job Number]],3,3)</f>
        <v>WSH</v>
      </c>
      <c r="C3890" t="s">
        <v>17</v>
      </c>
      <c r="D3890" s="1">
        <v>43434</v>
      </c>
      <c r="E3890" s="1">
        <v>43434</v>
      </c>
      <c r="F3890" s="1">
        <v>43434</v>
      </c>
      <c r="G3890" s="1"/>
      <c r="H3890" t="s">
        <v>9</v>
      </c>
      <c r="I3890" t="s">
        <v>27</v>
      </c>
    </row>
    <row r="3891" spans="1:9" x14ac:dyDescent="0.25">
      <c r="A3891" t="s">
        <v>3855</v>
      </c>
      <c r="B3891" s="26" t="str">
        <f>MID(tbl_forecast[[#This Row],[PACE Job Number]],3,3)</f>
        <v>WSH</v>
      </c>
      <c r="C3891" t="s">
        <v>17</v>
      </c>
      <c r="D3891" s="1">
        <v>43434</v>
      </c>
      <c r="E3891" s="1">
        <v>43434</v>
      </c>
      <c r="F3891" s="1">
        <v>43434</v>
      </c>
      <c r="G3891" s="1"/>
      <c r="H3891" t="s">
        <v>9</v>
      </c>
      <c r="I3891" t="s">
        <v>27</v>
      </c>
    </row>
    <row r="3892" spans="1:9" x14ac:dyDescent="0.25">
      <c r="A3892" t="s">
        <v>3856</v>
      </c>
      <c r="B3892" s="26" t="str">
        <f>MID(tbl_forecast[[#This Row],[PACE Job Number]],3,3)</f>
        <v>WSH</v>
      </c>
      <c r="C3892" t="s">
        <v>17</v>
      </c>
      <c r="D3892" s="1">
        <v>43434</v>
      </c>
      <c r="E3892" s="1">
        <v>43434</v>
      </c>
      <c r="F3892" s="1">
        <v>43434</v>
      </c>
      <c r="G3892" s="1"/>
      <c r="H3892" t="s">
        <v>9</v>
      </c>
      <c r="I3892" t="s">
        <v>27</v>
      </c>
    </row>
    <row r="3893" spans="1:9" x14ac:dyDescent="0.25">
      <c r="A3893" t="s">
        <v>143</v>
      </c>
      <c r="B3893" s="26" t="str">
        <f>MID(tbl_forecast[[#This Row],[PACE Job Number]],3,3)</f>
        <v>WSH</v>
      </c>
      <c r="C3893" t="s">
        <v>17</v>
      </c>
      <c r="D3893" s="1">
        <v>43434</v>
      </c>
      <c r="E3893" s="1">
        <v>43434</v>
      </c>
      <c r="F3893" s="1">
        <v>43434</v>
      </c>
      <c r="G3893" s="1"/>
      <c r="H3893" t="s">
        <v>9</v>
      </c>
      <c r="I3893" t="s">
        <v>27</v>
      </c>
    </row>
    <row r="3894" spans="1:9" x14ac:dyDescent="0.25">
      <c r="A3894" t="s">
        <v>81</v>
      </c>
      <c r="B3894" s="26" t="str">
        <f>MID(tbl_forecast[[#This Row],[PACE Job Number]],3,3)</f>
        <v>WSH</v>
      </c>
      <c r="C3894" t="s">
        <v>17</v>
      </c>
      <c r="D3894" s="1">
        <v>43434</v>
      </c>
      <c r="E3894" s="1">
        <v>43434</v>
      </c>
      <c r="F3894" s="1">
        <v>43434</v>
      </c>
      <c r="G3894" s="1"/>
      <c r="H3894" t="s">
        <v>9</v>
      </c>
      <c r="I3894" t="s">
        <v>27</v>
      </c>
    </row>
    <row r="3895" spans="1:9" x14ac:dyDescent="0.25">
      <c r="A3895" t="s">
        <v>3860</v>
      </c>
      <c r="B3895" s="26" t="str">
        <f>MID(tbl_forecast[[#This Row],[PACE Job Number]],3,3)</f>
        <v>WSH</v>
      </c>
      <c r="C3895" t="s">
        <v>17</v>
      </c>
      <c r="D3895" s="1">
        <v>43434</v>
      </c>
      <c r="E3895" s="1">
        <v>43434</v>
      </c>
      <c r="F3895" s="1">
        <v>43434</v>
      </c>
      <c r="G3895" s="1"/>
      <c r="H3895" t="s">
        <v>9</v>
      </c>
      <c r="I3895" t="s">
        <v>27</v>
      </c>
    </row>
    <row r="3896" spans="1:9" x14ac:dyDescent="0.25">
      <c r="A3896" t="s">
        <v>3862</v>
      </c>
      <c r="B3896" s="26" t="str">
        <f>MID(tbl_forecast[[#This Row],[PACE Job Number]],3,3)</f>
        <v>WSH</v>
      </c>
      <c r="C3896" t="s">
        <v>17</v>
      </c>
      <c r="D3896" s="1">
        <v>43434</v>
      </c>
      <c r="E3896" s="1">
        <v>43434</v>
      </c>
      <c r="F3896" s="1">
        <v>43434</v>
      </c>
      <c r="G3896" s="1"/>
      <c r="H3896" t="s">
        <v>9</v>
      </c>
      <c r="I3896" t="s">
        <v>27</v>
      </c>
    </row>
    <row r="3897" spans="1:9" x14ac:dyDescent="0.25">
      <c r="A3897" t="s">
        <v>2344</v>
      </c>
      <c r="B3897" s="26" t="str">
        <f>MID(tbl_forecast[[#This Row],[PACE Job Number]],3,3)</f>
        <v>NTX</v>
      </c>
      <c r="C3897" t="s">
        <v>17</v>
      </c>
      <c r="D3897" s="1">
        <v>43406</v>
      </c>
      <c r="E3897" s="1">
        <v>43533</v>
      </c>
      <c r="F3897" s="1">
        <v>43406</v>
      </c>
      <c r="G3897" s="1">
        <v>43406</v>
      </c>
      <c r="H3897" t="s">
        <v>9</v>
      </c>
      <c r="I3897" t="s">
        <v>10</v>
      </c>
    </row>
    <row r="3898" spans="1:9" x14ac:dyDescent="0.25">
      <c r="A3898" t="s">
        <v>295</v>
      </c>
      <c r="B3898" s="26" t="str">
        <f>MID(tbl_forecast[[#This Row],[PACE Job Number]],3,3)</f>
        <v>STX</v>
      </c>
      <c r="C3898" t="s">
        <v>17</v>
      </c>
      <c r="D3898" s="1">
        <v>43419</v>
      </c>
      <c r="E3898" s="1">
        <v>43453</v>
      </c>
      <c r="F3898" s="1">
        <v>43419</v>
      </c>
      <c r="G3898" s="1"/>
      <c r="H3898" t="s">
        <v>9</v>
      </c>
      <c r="I3898" t="s">
        <v>44</v>
      </c>
    </row>
    <row r="3899" spans="1:9" x14ac:dyDescent="0.25">
      <c r="A3899" t="s">
        <v>4526</v>
      </c>
      <c r="B3899" s="26" t="str">
        <f>MID(tbl_forecast[[#This Row],[PACE Job Number]],3,3)</f>
        <v>STX</v>
      </c>
      <c r="C3899" t="s">
        <v>17</v>
      </c>
      <c r="D3899" s="1">
        <v>43419</v>
      </c>
      <c r="E3899" s="1">
        <v>43434</v>
      </c>
      <c r="F3899" s="1">
        <v>43423</v>
      </c>
      <c r="G3899" s="1">
        <v>43423</v>
      </c>
      <c r="H3899" t="s">
        <v>9</v>
      </c>
      <c r="I3899" t="s">
        <v>10</v>
      </c>
    </row>
    <row r="3900" spans="1:9" x14ac:dyDescent="0.25">
      <c r="A3900" t="s">
        <v>3244</v>
      </c>
      <c r="B3900" s="26" t="str">
        <f>MID(tbl_forecast[[#This Row],[PACE Job Number]],3,3)</f>
        <v>STX</v>
      </c>
      <c r="C3900" t="s">
        <v>17</v>
      </c>
      <c r="D3900" s="1">
        <v>43434</v>
      </c>
      <c r="E3900" s="1">
        <v>43434</v>
      </c>
      <c r="F3900" s="1">
        <v>43434</v>
      </c>
      <c r="G3900" s="1"/>
      <c r="H3900" t="s">
        <v>9</v>
      </c>
      <c r="I3900" t="s">
        <v>27</v>
      </c>
    </row>
    <row r="3901" spans="1:9" x14ac:dyDescent="0.25">
      <c r="A3901" t="s">
        <v>3257</v>
      </c>
      <c r="B3901" s="26" t="str">
        <f>MID(tbl_forecast[[#This Row],[PACE Job Number]],3,3)</f>
        <v>STX</v>
      </c>
      <c r="C3901" t="s">
        <v>17</v>
      </c>
      <c r="D3901" s="1">
        <v>43419</v>
      </c>
      <c r="E3901" s="1">
        <v>43440</v>
      </c>
      <c r="F3901" s="1">
        <v>43432</v>
      </c>
      <c r="G3901" s="1">
        <v>43432</v>
      </c>
      <c r="H3901" t="s">
        <v>9</v>
      </c>
      <c r="I3901" t="s">
        <v>10</v>
      </c>
    </row>
    <row r="3902" spans="1:9" x14ac:dyDescent="0.25">
      <c r="A3902" t="s">
        <v>648</v>
      </c>
      <c r="B3902" s="26" t="str">
        <f>MID(tbl_forecast[[#This Row],[PACE Job Number]],3,3)</f>
        <v>STX</v>
      </c>
      <c r="C3902" t="s">
        <v>17</v>
      </c>
      <c r="D3902" s="1">
        <v>43434</v>
      </c>
      <c r="E3902" s="1">
        <v>43434</v>
      </c>
      <c r="F3902" s="1">
        <v>43434</v>
      </c>
      <c r="G3902" s="1"/>
      <c r="H3902" t="s">
        <v>9</v>
      </c>
      <c r="I3902" t="s">
        <v>27</v>
      </c>
    </row>
    <row r="3903" spans="1:9" x14ac:dyDescent="0.25">
      <c r="A3903" t="s">
        <v>577</v>
      </c>
      <c r="B3903" s="26" t="str">
        <f>MID(tbl_forecast[[#This Row],[PACE Job Number]],3,3)</f>
        <v>STX</v>
      </c>
      <c r="C3903" t="s">
        <v>17</v>
      </c>
      <c r="D3903" s="1">
        <v>43434</v>
      </c>
      <c r="E3903" s="1">
        <v>43434</v>
      </c>
      <c r="F3903" s="1">
        <v>43434</v>
      </c>
      <c r="G3903" s="1"/>
      <c r="H3903" t="s">
        <v>9</v>
      </c>
      <c r="I3903" t="s">
        <v>27</v>
      </c>
    </row>
    <row r="3904" spans="1:9" x14ac:dyDescent="0.25">
      <c r="A3904" t="s">
        <v>745</v>
      </c>
      <c r="B3904" s="26" t="str">
        <f>MID(tbl_forecast[[#This Row],[PACE Job Number]],3,3)</f>
        <v>STX</v>
      </c>
      <c r="C3904" t="s">
        <v>17</v>
      </c>
      <c r="D3904" s="1">
        <v>43405</v>
      </c>
      <c r="E3904" s="1">
        <v>43424</v>
      </c>
      <c r="F3904" s="1">
        <v>43405</v>
      </c>
      <c r="G3904" s="1">
        <v>43405</v>
      </c>
      <c r="H3904" t="s">
        <v>9</v>
      </c>
      <c r="I3904" t="s">
        <v>10</v>
      </c>
    </row>
    <row r="3905" spans="1:9" x14ac:dyDescent="0.25">
      <c r="A3905" t="s">
        <v>4353</v>
      </c>
      <c r="B3905" s="26" t="str">
        <f>MID(tbl_forecast[[#This Row],[PACE Job Number]],3,3)</f>
        <v>STX</v>
      </c>
      <c r="C3905" t="s">
        <v>17</v>
      </c>
      <c r="D3905" s="1">
        <v>43419</v>
      </c>
      <c r="E3905" s="1">
        <v>43453</v>
      </c>
      <c r="F3905" s="1">
        <v>43419</v>
      </c>
      <c r="G3905" s="1"/>
      <c r="H3905" t="s">
        <v>9</v>
      </c>
      <c r="I3905" t="s">
        <v>44</v>
      </c>
    </row>
    <row r="3906" spans="1:9" x14ac:dyDescent="0.25">
      <c r="A3906" t="s">
        <v>5614</v>
      </c>
      <c r="B3906" s="26" t="str">
        <f>MID(tbl_forecast[[#This Row],[PACE Job Number]],3,3)</f>
        <v>STX</v>
      </c>
      <c r="C3906" t="s">
        <v>17</v>
      </c>
      <c r="D3906" s="1">
        <v>43410</v>
      </c>
      <c r="E3906" s="1">
        <v>43373</v>
      </c>
      <c r="F3906" s="1">
        <v>43418</v>
      </c>
      <c r="G3906" s="1">
        <v>43418</v>
      </c>
      <c r="H3906" t="s">
        <v>9</v>
      </c>
      <c r="I3906" t="s">
        <v>10</v>
      </c>
    </row>
    <row r="3907" spans="1:9" x14ac:dyDescent="0.25">
      <c r="A3907" t="s">
        <v>4355</v>
      </c>
      <c r="B3907" s="26" t="str">
        <f>MID(tbl_forecast[[#This Row],[PACE Job Number]],3,3)</f>
        <v>STX</v>
      </c>
      <c r="C3907" t="s">
        <v>17</v>
      </c>
      <c r="D3907" s="1">
        <v>43434</v>
      </c>
      <c r="E3907" s="1">
        <v>43434</v>
      </c>
      <c r="F3907" s="1">
        <v>43432</v>
      </c>
      <c r="G3907" s="1"/>
      <c r="H3907" t="s">
        <v>9</v>
      </c>
      <c r="I3907" t="s">
        <v>27</v>
      </c>
    </row>
    <row r="3908" spans="1:9" x14ac:dyDescent="0.25">
      <c r="A3908" t="s">
        <v>721</v>
      </c>
      <c r="B3908" s="26" t="str">
        <f>MID(tbl_forecast[[#This Row],[PACE Job Number]],3,3)</f>
        <v>STX</v>
      </c>
      <c r="C3908" t="s">
        <v>17</v>
      </c>
      <c r="D3908" s="1">
        <v>43434</v>
      </c>
      <c r="E3908" s="1">
        <v>43434</v>
      </c>
      <c r="F3908" s="1">
        <v>43434</v>
      </c>
      <c r="G3908" s="1"/>
      <c r="H3908" t="s">
        <v>9</v>
      </c>
      <c r="I3908" t="s">
        <v>27</v>
      </c>
    </row>
    <row r="3909" spans="1:9" x14ac:dyDescent="0.25">
      <c r="A3909" t="s">
        <v>538</v>
      </c>
      <c r="B3909" s="26" t="str">
        <f>MID(tbl_forecast[[#This Row],[PACE Job Number]],3,3)</f>
        <v>STX</v>
      </c>
      <c r="C3909" t="s">
        <v>17</v>
      </c>
      <c r="D3909" s="1">
        <v>43434</v>
      </c>
      <c r="E3909" s="1">
        <v>43434</v>
      </c>
      <c r="F3909" s="1">
        <v>43434</v>
      </c>
      <c r="G3909" s="1"/>
      <c r="H3909" t="s">
        <v>9</v>
      </c>
      <c r="I3909" t="s">
        <v>27</v>
      </c>
    </row>
    <row r="3910" spans="1:9" x14ac:dyDescent="0.25">
      <c r="A3910" t="s">
        <v>4358</v>
      </c>
      <c r="B3910" s="26" t="str">
        <f>MID(tbl_forecast[[#This Row],[PACE Job Number]],3,3)</f>
        <v>STX</v>
      </c>
      <c r="C3910" t="s">
        <v>17</v>
      </c>
      <c r="D3910" s="1">
        <v>43419</v>
      </c>
      <c r="E3910" s="1">
        <v>43453</v>
      </c>
      <c r="F3910" s="1">
        <v>43419</v>
      </c>
      <c r="G3910" s="1"/>
      <c r="H3910" t="s">
        <v>9</v>
      </c>
      <c r="I3910" t="s">
        <v>44</v>
      </c>
    </row>
    <row r="3911" spans="1:9" x14ac:dyDescent="0.25">
      <c r="A3911" t="s">
        <v>516</v>
      </c>
      <c r="B3911" s="26" t="str">
        <f>MID(tbl_forecast[[#This Row],[PACE Job Number]],3,3)</f>
        <v>NTX</v>
      </c>
      <c r="C3911" t="s">
        <v>17</v>
      </c>
      <c r="D3911" s="1">
        <v>43408</v>
      </c>
      <c r="E3911" s="1">
        <v>43408</v>
      </c>
      <c r="F3911" s="1">
        <v>43408</v>
      </c>
      <c r="G3911" s="1"/>
      <c r="H3911" t="s">
        <v>9</v>
      </c>
      <c r="I3911" t="s">
        <v>27</v>
      </c>
    </row>
    <row r="3912" spans="1:9" x14ac:dyDescent="0.25">
      <c r="A3912" t="s">
        <v>328</v>
      </c>
      <c r="B3912" s="26" t="str">
        <f>MID(tbl_forecast[[#This Row],[PACE Job Number]],3,3)</f>
        <v>NTX</v>
      </c>
      <c r="C3912" t="s">
        <v>17</v>
      </c>
      <c r="D3912" s="1">
        <v>43405</v>
      </c>
      <c r="E3912" s="1">
        <v>43399</v>
      </c>
      <c r="F3912" s="1">
        <v>43405</v>
      </c>
      <c r="G3912" s="1">
        <v>43405</v>
      </c>
      <c r="H3912" t="s">
        <v>9</v>
      </c>
      <c r="I3912" t="s">
        <v>10</v>
      </c>
    </row>
    <row r="3913" spans="1:9" x14ac:dyDescent="0.25">
      <c r="A3913" t="s">
        <v>5615</v>
      </c>
      <c r="B3913" s="26" t="str">
        <f>MID(tbl_forecast[[#This Row],[PACE Job Number]],3,3)</f>
        <v>NTX</v>
      </c>
      <c r="C3913" t="s">
        <v>17</v>
      </c>
      <c r="D3913" s="1">
        <v>43430</v>
      </c>
      <c r="E3913" s="1">
        <v>43430</v>
      </c>
      <c r="F3913" s="1">
        <v>43410</v>
      </c>
      <c r="G3913" s="1">
        <v>43410</v>
      </c>
      <c r="H3913" t="s">
        <v>9</v>
      </c>
      <c r="I3913" t="s">
        <v>10</v>
      </c>
    </row>
    <row r="3914" spans="1:9" x14ac:dyDescent="0.25">
      <c r="A3914" t="s">
        <v>245</v>
      </c>
      <c r="B3914" s="26" t="str">
        <f>MID(tbl_forecast[[#This Row],[PACE Job Number]],3,3)</f>
        <v>NTX</v>
      </c>
      <c r="C3914" t="s">
        <v>17</v>
      </c>
      <c r="D3914" s="1">
        <v>43406</v>
      </c>
      <c r="E3914" s="1">
        <v>43430</v>
      </c>
      <c r="F3914" s="1">
        <v>43410</v>
      </c>
      <c r="G3914" s="1">
        <v>43410</v>
      </c>
      <c r="H3914" t="s">
        <v>9</v>
      </c>
      <c r="I3914" t="s">
        <v>10</v>
      </c>
    </row>
    <row r="3915" spans="1:9" x14ac:dyDescent="0.25">
      <c r="A3915" t="s">
        <v>3449</v>
      </c>
      <c r="B3915" s="26" t="str">
        <f>MID(tbl_forecast[[#This Row],[PACE Job Number]],3,3)</f>
        <v>NTX</v>
      </c>
      <c r="C3915" t="s">
        <v>17</v>
      </c>
      <c r="D3915" s="1">
        <v>43405</v>
      </c>
      <c r="E3915" s="1">
        <v>43396</v>
      </c>
      <c r="F3915" s="1">
        <v>43405</v>
      </c>
      <c r="G3915" s="1">
        <v>43405</v>
      </c>
      <c r="H3915" t="s">
        <v>9</v>
      </c>
      <c r="I3915" t="s">
        <v>10</v>
      </c>
    </row>
    <row r="3916" spans="1:9" x14ac:dyDescent="0.25">
      <c r="A3916" t="s">
        <v>129</v>
      </c>
      <c r="B3916" s="26" t="str">
        <f>MID(tbl_forecast[[#This Row],[PACE Job Number]],3,3)</f>
        <v>NTX</v>
      </c>
      <c r="C3916" t="s">
        <v>17</v>
      </c>
      <c r="D3916" s="1">
        <v>43432</v>
      </c>
      <c r="E3916" s="1">
        <v>43432</v>
      </c>
      <c r="F3916" s="1">
        <v>43432</v>
      </c>
      <c r="G3916" s="1"/>
      <c r="H3916" t="s">
        <v>9</v>
      </c>
      <c r="I3916" t="s">
        <v>27</v>
      </c>
    </row>
    <row r="3917" spans="1:9" x14ac:dyDescent="0.25">
      <c r="A3917" t="s">
        <v>3885</v>
      </c>
      <c r="B3917" s="26" t="str">
        <f>MID(tbl_forecast[[#This Row],[PACE Job Number]],3,3)</f>
        <v>NTX</v>
      </c>
      <c r="C3917" t="s">
        <v>17</v>
      </c>
      <c r="D3917" s="1">
        <v>43405</v>
      </c>
      <c r="E3917" s="1">
        <v>43396</v>
      </c>
      <c r="F3917" s="1">
        <v>43405</v>
      </c>
      <c r="G3917" s="1">
        <v>43405</v>
      </c>
      <c r="H3917" t="s">
        <v>9</v>
      </c>
      <c r="I3917" t="s">
        <v>10</v>
      </c>
    </row>
    <row r="3918" spans="1:9" x14ac:dyDescent="0.25">
      <c r="A3918" t="s">
        <v>3886</v>
      </c>
      <c r="B3918" s="26" t="str">
        <f>MID(tbl_forecast[[#This Row],[PACE Job Number]],3,3)</f>
        <v>NTX</v>
      </c>
      <c r="C3918" t="s">
        <v>17</v>
      </c>
      <c r="D3918" s="1">
        <v>43408</v>
      </c>
      <c r="E3918" s="1">
        <v>43408</v>
      </c>
      <c r="F3918" s="1">
        <v>43423</v>
      </c>
      <c r="G3918" s="1">
        <v>43423</v>
      </c>
      <c r="H3918" t="s">
        <v>4664</v>
      </c>
      <c r="I3918" t="s">
        <v>10</v>
      </c>
    </row>
    <row r="3919" spans="1:9" x14ac:dyDescent="0.25">
      <c r="A3919" t="s">
        <v>3486</v>
      </c>
      <c r="B3919" s="26" t="str">
        <f>MID(tbl_forecast[[#This Row],[PACE Job Number]],3,3)</f>
        <v>NTX</v>
      </c>
      <c r="C3919" t="s">
        <v>17</v>
      </c>
      <c r="D3919" s="1">
        <v>43426</v>
      </c>
      <c r="E3919" s="1">
        <v>43426</v>
      </c>
      <c r="F3919" s="1">
        <v>43413</v>
      </c>
      <c r="G3919" s="1">
        <v>43413</v>
      </c>
      <c r="H3919" t="s">
        <v>9</v>
      </c>
      <c r="I3919" t="s">
        <v>10</v>
      </c>
    </row>
    <row r="3920" spans="1:9" x14ac:dyDescent="0.25">
      <c r="A3920" t="s">
        <v>3489</v>
      </c>
      <c r="B3920" s="26" t="str">
        <f>MID(tbl_forecast[[#This Row],[PACE Job Number]],3,3)</f>
        <v>NTX</v>
      </c>
      <c r="C3920" t="s">
        <v>17</v>
      </c>
      <c r="D3920" s="1">
        <v>43426</v>
      </c>
      <c r="E3920" s="1">
        <v>43426</v>
      </c>
      <c r="F3920" s="1">
        <v>43413</v>
      </c>
      <c r="G3920" s="1">
        <v>43413</v>
      </c>
      <c r="H3920" t="s">
        <v>9</v>
      </c>
      <c r="I3920" t="s">
        <v>10</v>
      </c>
    </row>
    <row r="3921" spans="1:9" x14ac:dyDescent="0.25">
      <c r="A3921" t="s">
        <v>1729</v>
      </c>
      <c r="B3921" s="26" t="str">
        <f>MID(tbl_forecast[[#This Row],[PACE Job Number]],3,3)</f>
        <v>NTX</v>
      </c>
      <c r="C3921" t="s">
        <v>17</v>
      </c>
      <c r="D3921" s="1">
        <v>43408</v>
      </c>
      <c r="E3921" s="1">
        <v>43408</v>
      </c>
      <c r="F3921" s="1">
        <v>43408</v>
      </c>
      <c r="G3921" s="1"/>
      <c r="H3921" t="s">
        <v>9</v>
      </c>
      <c r="I3921" t="s">
        <v>27</v>
      </c>
    </row>
    <row r="3922" spans="1:9" x14ac:dyDescent="0.25">
      <c r="A3922" t="s">
        <v>3892</v>
      </c>
      <c r="B3922" s="26" t="str">
        <f>MID(tbl_forecast[[#This Row],[PACE Job Number]],3,3)</f>
        <v>NTX</v>
      </c>
      <c r="C3922" t="s">
        <v>17</v>
      </c>
      <c r="D3922" s="1">
        <v>43408</v>
      </c>
      <c r="E3922" s="1">
        <v>43408</v>
      </c>
      <c r="F3922" s="1">
        <v>43423</v>
      </c>
      <c r="G3922" s="1">
        <v>43423</v>
      </c>
      <c r="H3922" t="s">
        <v>4664</v>
      </c>
      <c r="I3922" t="s">
        <v>10</v>
      </c>
    </row>
    <row r="3923" spans="1:9" x14ac:dyDescent="0.25">
      <c r="A3923" t="s">
        <v>3893</v>
      </c>
      <c r="B3923" s="26" t="str">
        <f>MID(tbl_forecast[[#This Row],[PACE Job Number]],3,3)</f>
        <v>NTX</v>
      </c>
      <c r="C3923" t="s">
        <v>17</v>
      </c>
      <c r="D3923" s="1">
        <v>43408</v>
      </c>
      <c r="E3923" s="1">
        <v>43408</v>
      </c>
      <c r="F3923" s="1">
        <v>43423</v>
      </c>
      <c r="G3923" s="1">
        <v>43423</v>
      </c>
      <c r="H3923" t="s">
        <v>4664</v>
      </c>
      <c r="I3923" t="s">
        <v>10</v>
      </c>
    </row>
    <row r="3924" spans="1:9" x14ac:dyDescent="0.25">
      <c r="A3924" t="s">
        <v>4538</v>
      </c>
      <c r="B3924" s="26" t="str">
        <f>MID(tbl_forecast[[#This Row],[PACE Job Number]],3,3)</f>
        <v>NTX</v>
      </c>
      <c r="C3924" t="s">
        <v>17</v>
      </c>
      <c r="D3924" s="1">
        <v>43406</v>
      </c>
      <c r="E3924" s="1">
        <v>43442</v>
      </c>
      <c r="F3924" s="1">
        <v>43406</v>
      </c>
      <c r="G3924" s="1">
        <v>43406</v>
      </c>
      <c r="H3924" t="s">
        <v>9</v>
      </c>
      <c r="I3924" t="s">
        <v>10</v>
      </c>
    </row>
    <row r="3925" spans="1:9" x14ac:dyDescent="0.25">
      <c r="A3925" t="s">
        <v>4544</v>
      </c>
      <c r="B3925" s="26" t="str">
        <f>MID(tbl_forecast[[#This Row],[PACE Job Number]],3,3)</f>
        <v>NTX</v>
      </c>
      <c r="C3925" t="s">
        <v>17</v>
      </c>
      <c r="D3925" s="1">
        <v>43406</v>
      </c>
      <c r="E3925" s="1">
        <v>43442</v>
      </c>
      <c r="F3925" s="1">
        <v>43406</v>
      </c>
      <c r="G3925" s="1">
        <v>43406</v>
      </c>
      <c r="H3925" t="s">
        <v>9</v>
      </c>
      <c r="I3925" t="s">
        <v>10</v>
      </c>
    </row>
    <row r="3926" spans="1:9" x14ac:dyDescent="0.25">
      <c r="A3926" t="s">
        <v>3386</v>
      </c>
      <c r="B3926" s="26" t="str">
        <f>MID(tbl_forecast[[#This Row],[PACE Job Number]],3,3)</f>
        <v>NTX</v>
      </c>
      <c r="C3926" t="s">
        <v>17</v>
      </c>
      <c r="D3926" s="1">
        <v>43408</v>
      </c>
      <c r="E3926" s="1">
        <v>43408</v>
      </c>
      <c r="F3926" s="1">
        <v>43417</v>
      </c>
      <c r="G3926" s="1">
        <v>43417</v>
      </c>
      <c r="H3926" t="s">
        <v>9</v>
      </c>
      <c r="I3926" t="s">
        <v>10</v>
      </c>
    </row>
    <row r="3927" spans="1:9" x14ac:dyDescent="0.25">
      <c r="A3927" t="s">
        <v>4545</v>
      </c>
      <c r="B3927" s="26" t="str">
        <f>MID(tbl_forecast[[#This Row],[PACE Job Number]],3,3)</f>
        <v>NTX</v>
      </c>
      <c r="C3927" t="s">
        <v>17</v>
      </c>
      <c r="D3927" s="1">
        <v>43406</v>
      </c>
      <c r="E3927" s="1">
        <v>43442</v>
      </c>
      <c r="F3927" s="1">
        <v>43406</v>
      </c>
      <c r="G3927" s="1">
        <v>43406</v>
      </c>
      <c r="H3927" t="s">
        <v>9</v>
      </c>
      <c r="I3927" t="s">
        <v>10</v>
      </c>
    </row>
    <row r="3928" spans="1:9" x14ac:dyDescent="0.25">
      <c r="A3928" t="s">
        <v>212</v>
      </c>
      <c r="B3928" s="26" t="str">
        <f>MID(tbl_forecast[[#This Row],[PACE Job Number]],3,3)</f>
        <v>NTX</v>
      </c>
      <c r="C3928" t="s">
        <v>17</v>
      </c>
      <c r="D3928" s="1">
        <v>43422</v>
      </c>
      <c r="E3928" s="1">
        <v>43422</v>
      </c>
      <c r="F3928" s="1">
        <v>43417</v>
      </c>
      <c r="G3928" s="1">
        <v>43417</v>
      </c>
      <c r="H3928" t="s">
        <v>9</v>
      </c>
      <c r="I3928" t="s">
        <v>10</v>
      </c>
    </row>
    <row r="3929" spans="1:9" x14ac:dyDescent="0.25">
      <c r="A3929" t="s">
        <v>4602</v>
      </c>
      <c r="B3929" s="26" t="str">
        <f>MID(tbl_forecast[[#This Row],[PACE Job Number]],3,3)</f>
        <v>WSH</v>
      </c>
      <c r="C3929" t="s">
        <v>17</v>
      </c>
      <c r="D3929" s="1">
        <v>43405</v>
      </c>
      <c r="E3929" s="1">
        <v>43404</v>
      </c>
      <c r="F3929" s="1">
        <v>43405</v>
      </c>
      <c r="G3929" s="1">
        <v>43405</v>
      </c>
      <c r="H3929" t="s">
        <v>9</v>
      </c>
      <c r="I3929" t="s">
        <v>10</v>
      </c>
    </row>
    <row r="3930" spans="1:9" x14ac:dyDescent="0.25">
      <c r="A3930" t="s">
        <v>2960</v>
      </c>
      <c r="B3930" s="26" t="str">
        <f>MID(tbl_forecast[[#This Row],[PACE Job Number]],3,3)</f>
        <v>STX</v>
      </c>
      <c r="C3930" t="s">
        <v>17</v>
      </c>
      <c r="D3930" s="1">
        <v>43419</v>
      </c>
      <c r="E3930" s="1">
        <v>43373</v>
      </c>
      <c r="F3930" s="1">
        <v>43419</v>
      </c>
      <c r="G3930" s="1"/>
      <c r="H3930" t="s">
        <v>9</v>
      </c>
      <c r="I3930" t="s">
        <v>27</v>
      </c>
    </row>
    <row r="3931" spans="1:9" x14ac:dyDescent="0.25">
      <c r="A3931" t="s">
        <v>561</v>
      </c>
      <c r="B3931" s="26" t="str">
        <f>MID(tbl_forecast[[#This Row],[PACE Job Number]],3,3)</f>
        <v>STX</v>
      </c>
      <c r="C3931" t="s">
        <v>17</v>
      </c>
      <c r="D3931" s="1">
        <v>43419</v>
      </c>
      <c r="E3931" s="1">
        <v>43440</v>
      </c>
      <c r="F3931" s="1">
        <v>43440</v>
      </c>
      <c r="G3931" s="1"/>
      <c r="H3931" t="s">
        <v>4664</v>
      </c>
      <c r="I3931" t="s">
        <v>5645</v>
      </c>
    </row>
    <row r="3932" spans="1:9" x14ac:dyDescent="0.25">
      <c r="A3932" t="s">
        <v>3113</v>
      </c>
      <c r="B3932" s="26" t="str">
        <f>MID(tbl_forecast[[#This Row],[PACE Job Number]],3,3)</f>
        <v>STX</v>
      </c>
      <c r="C3932" t="s">
        <v>17</v>
      </c>
      <c r="D3932" s="1">
        <v>43419</v>
      </c>
      <c r="E3932" s="1">
        <v>43434</v>
      </c>
      <c r="F3932" s="1">
        <v>43419</v>
      </c>
      <c r="G3932" s="1"/>
      <c r="H3932" t="s">
        <v>9</v>
      </c>
      <c r="I3932" t="s">
        <v>44</v>
      </c>
    </row>
    <row r="3933" spans="1:9" x14ac:dyDescent="0.25">
      <c r="A3933" t="s">
        <v>534</v>
      </c>
      <c r="B3933" s="26" t="str">
        <f>MID(tbl_forecast[[#This Row],[PACE Job Number]],3,3)</f>
        <v>STX</v>
      </c>
      <c r="C3933" t="s">
        <v>17</v>
      </c>
      <c r="D3933" s="1">
        <v>43419</v>
      </c>
      <c r="E3933" s="1">
        <v>43373</v>
      </c>
      <c r="F3933" s="1">
        <v>43419</v>
      </c>
      <c r="G3933" s="1"/>
      <c r="H3933" t="s">
        <v>9</v>
      </c>
      <c r="I3933" t="s">
        <v>27</v>
      </c>
    </row>
    <row r="3934" spans="1:9" x14ac:dyDescent="0.25">
      <c r="A3934" t="s">
        <v>4656</v>
      </c>
      <c r="B3934" s="26" t="str">
        <f>MID(tbl_forecast[[#This Row],[PACE Job Number]],3,3)</f>
        <v>STX</v>
      </c>
      <c r="C3934" t="s">
        <v>17</v>
      </c>
      <c r="D3934" s="1">
        <v>43405</v>
      </c>
      <c r="E3934" s="1">
        <v>43434</v>
      </c>
      <c r="F3934" s="1">
        <v>43405</v>
      </c>
      <c r="G3934" s="1">
        <v>43405</v>
      </c>
      <c r="H3934" t="s">
        <v>9</v>
      </c>
      <c r="I3934" t="s">
        <v>10</v>
      </c>
    </row>
    <row r="3935" spans="1:9" x14ac:dyDescent="0.25">
      <c r="A3935" t="s">
        <v>3964</v>
      </c>
      <c r="B3935" s="26" t="str">
        <f>MID(tbl_forecast[[#This Row],[PACE Job Number]],3,3)</f>
        <v>STX</v>
      </c>
      <c r="C3935" t="s">
        <v>17</v>
      </c>
      <c r="D3935" s="1">
        <v>43419</v>
      </c>
      <c r="E3935" s="1">
        <v>43403</v>
      </c>
      <c r="F3935" s="1">
        <v>43425</v>
      </c>
      <c r="G3935" s="1">
        <v>43425</v>
      </c>
      <c r="H3935" t="s">
        <v>9</v>
      </c>
      <c r="I3935" t="s">
        <v>10</v>
      </c>
    </row>
    <row r="3936" spans="1:9" x14ac:dyDescent="0.25">
      <c r="A3936" t="s">
        <v>4657</v>
      </c>
      <c r="B3936" s="26" t="str">
        <f>MID(tbl_forecast[[#This Row],[PACE Job Number]],3,3)</f>
        <v>STX</v>
      </c>
      <c r="C3936" t="s">
        <v>17</v>
      </c>
      <c r="D3936" s="1">
        <v>43405</v>
      </c>
      <c r="E3936" s="1">
        <v>43434</v>
      </c>
      <c r="F3936" s="1">
        <v>43405</v>
      </c>
      <c r="G3936" s="1">
        <v>43405</v>
      </c>
      <c r="H3936" t="s">
        <v>9</v>
      </c>
      <c r="I3936" t="s">
        <v>10</v>
      </c>
    </row>
    <row r="3937" spans="1:9" x14ac:dyDescent="0.25">
      <c r="A3937" t="s">
        <v>4470</v>
      </c>
      <c r="B3937" s="26" t="str">
        <f>MID(tbl_forecast[[#This Row],[PACE Job Number]],3,3)</f>
        <v>STX</v>
      </c>
      <c r="C3937" t="s">
        <v>17</v>
      </c>
      <c r="D3937" s="1">
        <v>43419</v>
      </c>
      <c r="E3937" s="1">
        <v>43434</v>
      </c>
      <c r="F3937" s="1">
        <v>43419</v>
      </c>
      <c r="G3937" s="1"/>
      <c r="H3937" t="s">
        <v>9</v>
      </c>
      <c r="I3937" t="s">
        <v>44</v>
      </c>
    </row>
    <row r="3938" spans="1:9" x14ac:dyDescent="0.25">
      <c r="A3938" t="s">
        <v>3296</v>
      </c>
      <c r="B3938" s="26" t="str">
        <f>MID(tbl_forecast[[#This Row],[PACE Job Number]],3,3)</f>
        <v>STX</v>
      </c>
      <c r="C3938" t="s">
        <v>17</v>
      </c>
      <c r="D3938" s="1">
        <v>43419</v>
      </c>
      <c r="E3938" s="1">
        <v>43434</v>
      </c>
      <c r="F3938" s="1">
        <v>43419</v>
      </c>
      <c r="G3938" s="1"/>
      <c r="H3938" t="s">
        <v>9</v>
      </c>
      <c r="I3938" t="s">
        <v>44</v>
      </c>
    </row>
    <row r="3939" spans="1:9" x14ac:dyDescent="0.25">
      <c r="A3939" t="s">
        <v>524</v>
      </c>
      <c r="B3939" s="26" t="str">
        <f>MID(tbl_forecast[[#This Row],[PACE Job Number]],3,3)</f>
        <v>STX</v>
      </c>
      <c r="C3939" t="s">
        <v>17</v>
      </c>
      <c r="D3939" s="1">
        <v>43434</v>
      </c>
      <c r="E3939" s="1">
        <v>43434</v>
      </c>
      <c r="F3939" s="1">
        <v>43434</v>
      </c>
      <c r="G3939" s="1"/>
      <c r="H3939" t="s">
        <v>9</v>
      </c>
      <c r="I3939" t="s">
        <v>27</v>
      </c>
    </row>
    <row r="3940" spans="1:9" x14ac:dyDescent="0.25">
      <c r="A3940" t="s">
        <v>569</v>
      </c>
      <c r="B3940" s="26" t="str">
        <f>MID(tbl_forecast[[#This Row],[PACE Job Number]],3,3)</f>
        <v>STX</v>
      </c>
      <c r="C3940" t="s">
        <v>17</v>
      </c>
      <c r="D3940" s="1">
        <v>43418</v>
      </c>
      <c r="E3940" s="1">
        <v>43418</v>
      </c>
      <c r="F3940" s="1">
        <v>43418</v>
      </c>
      <c r="G3940" s="1"/>
      <c r="H3940" t="s">
        <v>9</v>
      </c>
      <c r="I3940" t="s">
        <v>27</v>
      </c>
    </row>
    <row r="3941" spans="1:9" x14ac:dyDescent="0.25">
      <c r="A3941" t="s">
        <v>639</v>
      </c>
      <c r="B3941" s="26" t="str">
        <f>MID(tbl_forecast[[#This Row],[PACE Job Number]],3,3)</f>
        <v>STX</v>
      </c>
      <c r="C3941" t="s">
        <v>17</v>
      </c>
      <c r="D3941" s="1">
        <v>43434</v>
      </c>
      <c r="E3941" s="1">
        <v>43434</v>
      </c>
      <c r="F3941" s="1">
        <v>43434</v>
      </c>
      <c r="G3941" s="1"/>
      <c r="H3941" t="s">
        <v>9</v>
      </c>
      <c r="I3941" t="s">
        <v>27</v>
      </c>
    </row>
    <row r="3942" spans="1:9" x14ac:dyDescent="0.25">
      <c r="A3942" t="s">
        <v>790</v>
      </c>
      <c r="B3942" s="26" t="str">
        <f>MID(tbl_forecast[[#This Row],[PACE Job Number]],3,3)</f>
        <v>STX</v>
      </c>
      <c r="C3942" t="s">
        <v>17</v>
      </c>
      <c r="D3942" s="1">
        <v>43434</v>
      </c>
      <c r="E3942" s="1">
        <v>43434</v>
      </c>
      <c r="F3942" s="1">
        <v>43434</v>
      </c>
      <c r="G3942" s="1"/>
      <c r="H3942" t="s">
        <v>9</v>
      </c>
      <c r="I3942" t="s">
        <v>27</v>
      </c>
    </row>
    <row r="3943" spans="1:9" x14ac:dyDescent="0.25">
      <c r="A3943" t="s">
        <v>4050</v>
      </c>
      <c r="B3943" s="26" t="str">
        <f>MID(tbl_forecast[[#This Row],[PACE Job Number]],3,3)</f>
        <v>STX</v>
      </c>
      <c r="C3943" t="s">
        <v>17</v>
      </c>
      <c r="D3943" s="1">
        <v>43434</v>
      </c>
      <c r="E3943" s="1">
        <v>43434</v>
      </c>
      <c r="F3943" s="1">
        <v>43434</v>
      </c>
      <c r="G3943" s="1"/>
      <c r="H3943" t="s">
        <v>9</v>
      </c>
      <c r="I3943" t="s">
        <v>27</v>
      </c>
    </row>
    <row r="3944" spans="1:9" x14ac:dyDescent="0.25">
      <c r="A3944" t="s">
        <v>1095</v>
      </c>
      <c r="B3944" s="26" t="str">
        <f>MID(tbl_forecast[[#This Row],[PACE Job Number]],3,3)</f>
        <v>STX</v>
      </c>
      <c r="C3944" t="s">
        <v>17</v>
      </c>
      <c r="D3944" s="1">
        <v>43418</v>
      </c>
      <c r="E3944" s="1">
        <v>43418</v>
      </c>
      <c r="F3944" s="1">
        <v>43430</v>
      </c>
      <c r="G3944" s="1">
        <v>43430</v>
      </c>
      <c r="H3944" t="s">
        <v>9</v>
      </c>
      <c r="I3944" t="s">
        <v>10</v>
      </c>
    </row>
    <row r="3945" spans="1:9" x14ac:dyDescent="0.25">
      <c r="A3945" t="s">
        <v>4634</v>
      </c>
      <c r="B3945" s="26" t="str">
        <f>MID(tbl_forecast[[#This Row],[PACE Job Number]],3,3)</f>
        <v>STX</v>
      </c>
      <c r="C3945" t="s">
        <v>17</v>
      </c>
      <c r="D3945" s="1">
        <v>43418</v>
      </c>
      <c r="E3945" s="1">
        <v>43418</v>
      </c>
      <c r="F3945" s="1">
        <v>43418</v>
      </c>
      <c r="G3945" s="1"/>
      <c r="H3945" t="s">
        <v>9</v>
      </c>
      <c r="I3945" t="s">
        <v>27</v>
      </c>
    </row>
    <row r="3946" spans="1:9" x14ac:dyDescent="0.25">
      <c r="A3946" t="s">
        <v>1088</v>
      </c>
      <c r="B3946" s="26" t="str">
        <f>MID(tbl_forecast[[#This Row],[PACE Job Number]],3,3)</f>
        <v>STX</v>
      </c>
      <c r="C3946" t="s">
        <v>17</v>
      </c>
      <c r="D3946" s="1">
        <v>43419</v>
      </c>
      <c r="E3946" s="1">
        <v>43440</v>
      </c>
      <c r="F3946" s="1">
        <v>43430</v>
      </c>
      <c r="G3946" s="1">
        <v>43430</v>
      </c>
      <c r="H3946" t="s">
        <v>9</v>
      </c>
      <c r="I3946" t="s">
        <v>10</v>
      </c>
    </row>
    <row r="3947" spans="1:9" x14ac:dyDescent="0.25">
      <c r="A3947" t="s">
        <v>32</v>
      </c>
      <c r="B3947" s="26" t="str">
        <f>MID(tbl_forecast[[#This Row],[PACE Job Number]],3,3)</f>
        <v>STX</v>
      </c>
      <c r="C3947" t="s">
        <v>17</v>
      </c>
      <c r="D3947" s="1">
        <v>43434</v>
      </c>
      <c r="E3947" s="1">
        <v>43434</v>
      </c>
      <c r="F3947" s="1">
        <v>43434</v>
      </c>
      <c r="G3947" s="1"/>
      <c r="H3947" t="s">
        <v>9</v>
      </c>
      <c r="I3947" t="s">
        <v>27</v>
      </c>
    </row>
    <row r="3948" spans="1:9" x14ac:dyDescent="0.25">
      <c r="A3948" t="s">
        <v>196</v>
      </c>
      <c r="B3948" s="26" t="str">
        <f>MID(tbl_forecast[[#This Row],[PACE Job Number]],3,3)</f>
        <v>STX</v>
      </c>
      <c r="C3948" t="s">
        <v>17</v>
      </c>
      <c r="D3948" s="1">
        <v>43434</v>
      </c>
      <c r="E3948" s="1">
        <v>43434</v>
      </c>
      <c r="F3948" s="1">
        <v>43434</v>
      </c>
      <c r="G3948" s="1"/>
      <c r="H3948" t="s">
        <v>9</v>
      </c>
      <c r="I3948" t="s">
        <v>27</v>
      </c>
    </row>
    <row r="3949" spans="1:9" x14ac:dyDescent="0.25">
      <c r="A3949" t="s">
        <v>842</v>
      </c>
      <c r="B3949" s="26" t="str">
        <f>MID(tbl_forecast[[#This Row],[PACE Job Number]],3,3)</f>
        <v>STX</v>
      </c>
      <c r="C3949" t="s">
        <v>17</v>
      </c>
      <c r="D3949" s="1">
        <v>43434</v>
      </c>
      <c r="E3949" s="1">
        <v>43434</v>
      </c>
      <c r="F3949" s="1">
        <v>43434</v>
      </c>
      <c r="G3949" s="1"/>
      <c r="H3949" t="s">
        <v>9</v>
      </c>
      <c r="I3949" t="s">
        <v>27</v>
      </c>
    </row>
    <row r="3950" spans="1:9" x14ac:dyDescent="0.25">
      <c r="A3950" t="s">
        <v>3965</v>
      </c>
      <c r="B3950" s="26" t="str">
        <f>MID(tbl_forecast[[#This Row],[PACE Job Number]],3,3)</f>
        <v>STX</v>
      </c>
      <c r="C3950" t="s">
        <v>17</v>
      </c>
      <c r="D3950" s="1">
        <v>43419</v>
      </c>
      <c r="E3950" s="1">
        <v>43403</v>
      </c>
      <c r="F3950" s="1">
        <v>43449</v>
      </c>
      <c r="G3950" s="1"/>
      <c r="H3950" t="s">
        <v>4664</v>
      </c>
      <c r="I3950" t="s">
        <v>4666</v>
      </c>
    </row>
    <row r="3951" spans="1:9" x14ac:dyDescent="0.25">
      <c r="A3951" t="s">
        <v>876</v>
      </c>
      <c r="B3951" s="26" t="str">
        <f>MID(tbl_forecast[[#This Row],[PACE Job Number]],3,3)</f>
        <v>STX</v>
      </c>
      <c r="C3951" t="s">
        <v>17</v>
      </c>
      <c r="D3951" s="1">
        <v>43405</v>
      </c>
      <c r="E3951" s="1">
        <v>43434</v>
      </c>
      <c r="F3951" s="1">
        <v>43405</v>
      </c>
      <c r="G3951" s="1">
        <v>43405</v>
      </c>
      <c r="H3951" t="s">
        <v>9</v>
      </c>
      <c r="I3951" t="s">
        <v>10</v>
      </c>
    </row>
    <row r="3952" spans="1:9" x14ac:dyDescent="0.25">
      <c r="A3952" t="s">
        <v>907</v>
      </c>
      <c r="B3952" s="26" t="str">
        <f>MID(tbl_forecast[[#This Row],[PACE Job Number]],3,3)</f>
        <v>STX</v>
      </c>
      <c r="C3952" t="s">
        <v>17</v>
      </c>
      <c r="D3952" s="1">
        <v>43405</v>
      </c>
      <c r="E3952" s="1">
        <v>43434</v>
      </c>
      <c r="F3952" s="1">
        <v>43405</v>
      </c>
      <c r="G3952" s="1">
        <v>43405</v>
      </c>
      <c r="H3952" t="s">
        <v>9</v>
      </c>
      <c r="I3952" t="s">
        <v>10</v>
      </c>
    </row>
    <row r="3953" spans="1:9" x14ac:dyDescent="0.25">
      <c r="A3953" t="s">
        <v>4473</v>
      </c>
      <c r="B3953" s="26" t="str">
        <f>MID(tbl_forecast[[#This Row],[PACE Job Number]],3,3)</f>
        <v>STX</v>
      </c>
      <c r="C3953" t="s">
        <v>17</v>
      </c>
      <c r="D3953" s="1">
        <v>43419</v>
      </c>
      <c r="E3953" s="1">
        <v>43434</v>
      </c>
      <c r="F3953" s="1">
        <v>43419</v>
      </c>
      <c r="G3953" s="1"/>
      <c r="H3953" t="s">
        <v>9</v>
      </c>
      <c r="I3953" t="s">
        <v>44</v>
      </c>
    </row>
    <row r="3954" spans="1:9" x14ac:dyDescent="0.25">
      <c r="A3954" t="s">
        <v>4474</v>
      </c>
      <c r="B3954" s="26" t="str">
        <f>MID(tbl_forecast[[#This Row],[PACE Job Number]],3,3)</f>
        <v>STX</v>
      </c>
      <c r="C3954" t="s">
        <v>17</v>
      </c>
      <c r="D3954" s="1">
        <v>43419</v>
      </c>
      <c r="E3954" s="1">
        <v>43434</v>
      </c>
      <c r="F3954" s="1">
        <v>43419</v>
      </c>
      <c r="G3954" s="1"/>
      <c r="H3954" t="s">
        <v>9</v>
      </c>
      <c r="I3954" t="s">
        <v>44</v>
      </c>
    </row>
    <row r="3955" spans="1:9" x14ac:dyDescent="0.25">
      <c r="A3955" t="s">
        <v>5579</v>
      </c>
      <c r="B3955" s="26" t="str">
        <f>MID(tbl_forecast[[#This Row],[PACE Job Number]],3,3)</f>
        <v>STX</v>
      </c>
      <c r="C3955" t="s">
        <v>17</v>
      </c>
      <c r="D3955" s="1">
        <v>43419</v>
      </c>
      <c r="E3955" s="1">
        <v>43440</v>
      </c>
      <c r="F3955" s="1">
        <v>43419</v>
      </c>
      <c r="G3955" s="1"/>
      <c r="H3955" t="s">
        <v>9</v>
      </c>
      <c r="I3955" t="s">
        <v>44</v>
      </c>
    </row>
    <row r="3956" spans="1:9" x14ac:dyDescent="0.25">
      <c r="A3956" t="s">
        <v>5580</v>
      </c>
      <c r="B3956" s="26" t="str">
        <f>MID(tbl_forecast[[#This Row],[PACE Job Number]],3,3)</f>
        <v>STX</v>
      </c>
      <c r="C3956" t="s">
        <v>17</v>
      </c>
      <c r="D3956" s="1">
        <v>43419</v>
      </c>
      <c r="E3956" s="1">
        <v>43440</v>
      </c>
      <c r="F3956" s="1">
        <v>43419</v>
      </c>
      <c r="G3956" s="1"/>
      <c r="H3956" t="s">
        <v>9</v>
      </c>
      <c r="I3956" t="s">
        <v>44</v>
      </c>
    </row>
    <row r="3957" spans="1:9" x14ac:dyDescent="0.25">
      <c r="A3957" t="s">
        <v>3371</v>
      </c>
      <c r="B3957" s="26" t="str">
        <f>MID(tbl_forecast[[#This Row],[PACE Job Number]],3,3)</f>
        <v>NTX</v>
      </c>
      <c r="C3957" t="s">
        <v>17</v>
      </c>
      <c r="D3957" s="1">
        <v>43408</v>
      </c>
      <c r="E3957" s="1">
        <v>43408</v>
      </c>
      <c r="F3957" s="1">
        <v>43417</v>
      </c>
      <c r="G3957" s="1">
        <v>43417</v>
      </c>
      <c r="H3957" t="s">
        <v>9</v>
      </c>
      <c r="I3957" t="s">
        <v>10</v>
      </c>
    </row>
    <row r="3958" spans="1:9" x14ac:dyDescent="0.25">
      <c r="A3958" t="s">
        <v>4399</v>
      </c>
      <c r="B3958" s="26" t="str">
        <f>MID(tbl_forecast[[#This Row],[PACE Job Number]],3,3)</f>
        <v>STX</v>
      </c>
      <c r="C3958" t="s">
        <v>17</v>
      </c>
      <c r="D3958" s="1">
        <v>43419</v>
      </c>
      <c r="E3958" s="1">
        <v>43434</v>
      </c>
      <c r="F3958" s="1">
        <v>43419</v>
      </c>
      <c r="G3958" s="1"/>
      <c r="H3958" t="s">
        <v>9</v>
      </c>
      <c r="I3958" t="s">
        <v>44</v>
      </c>
    </row>
    <row r="3959" spans="1:9" x14ac:dyDescent="0.25">
      <c r="A3959" t="s">
        <v>3943</v>
      </c>
      <c r="B3959" s="26" t="str">
        <f>MID(tbl_forecast[[#This Row],[PACE Job Number]],3,3)</f>
        <v>STX</v>
      </c>
      <c r="C3959" t="s">
        <v>17</v>
      </c>
      <c r="D3959" s="1">
        <v>43419</v>
      </c>
      <c r="E3959" s="1">
        <v>43403</v>
      </c>
      <c r="F3959" s="1">
        <v>43419</v>
      </c>
      <c r="G3959" s="1">
        <v>43433</v>
      </c>
      <c r="H3959" t="s">
        <v>9</v>
      </c>
      <c r="I3959" t="s">
        <v>10</v>
      </c>
    </row>
    <row r="3960" spans="1:9" x14ac:dyDescent="0.25">
      <c r="A3960" t="s">
        <v>4647</v>
      </c>
      <c r="B3960" s="26" t="str">
        <f>MID(tbl_forecast[[#This Row],[PACE Job Number]],3,3)</f>
        <v>STX</v>
      </c>
      <c r="C3960" t="s">
        <v>17</v>
      </c>
      <c r="D3960" s="1">
        <v>43434</v>
      </c>
      <c r="E3960" s="1">
        <v>43434</v>
      </c>
      <c r="F3960" s="1">
        <v>43434</v>
      </c>
      <c r="G3960" s="1">
        <v>43434</v>
      </c>
      <c r="H3960" t="s">
        <v>9</v>
      </c>
      <c r="I3960" t="s">
        <v>10</v>
      </c>
    </row>
    <row r="3961" spans="1:9" x14ac:dyDescent="0.25">
      <c r="A3961" t="s">
        <v>218</v>
      </c>
      <c r="B3961" s="26" t="str">
        <f>MID(tbl_forecast[[#This Row],[PACE Job Number]],3,3)</f>
        <v>STX</v>
      </c>
      <c r="C3961" t="s">
        <v>17</v>
      </c>
      <c r="D3961" s="1">
        <v>43434</v>
      </c>
      <c r="E3961" s="1">
        <v>43434</v>
      </c>
      <c r="F3961" s="1">
        <v>43434</v>
      </c>
      <c r="G3961" s="1">
        <v>43433</v>
      </c>
      <c r="H3961" t="s">
        <v>9</v>
      </c>
      <c r="I3961" t="s">
        <v>10</v>
      </c>
    </row>
    <row r="3962" spans="1:9" x14ac:dyDescent="0.25">
      <c r="A3962" t="s">
        <v>652</v>
      </c>
      <c r="B3962" s="26" t="str">
        <f>MID(tbl_forecast[[#This Row],[PACE Job Number]],3,3)</f>
        <v>STX</v>
      </c>
      <c r="C3962" t="s">
        <v>17</v>
      </c>
      <c r="D3962" s="1">
        <v>43419</v>
      </c>
      <c r="E3962" s="1">
        <v>43464</v>
      </c>
      <c r="F3962" s="1">
        <v>43419</v>
      </c>
      <c r="G3962" s="1"/>
      <c r="H3962" t="s">
        <v>9</v>
      </c>
      <c r="I3962" t="s">
        <v>44</v>
      </c>
    </row>
    <row r="3963" spans="1:9" x14ac:dyDescent="0.25">
      <c r="A3963" t="s">
        <v>3395</v>
      </c>
      <c r="B3963" s="26" t="str">
        <f>MID(tbl_forecast[[#This Row],[PACE Job Number]],3,3)</f>
        <v>STX</v>
      </c>
      <c r="C3963" t="s">
        <v>17</v>
      </c>
      <c r="D3963" s="1">
        <v>43434</v>
      </c>
      <c r="E3963" s="1">
        <v>43434</v>
      </c>
      <c r="F3963" s="1">
        <v>43423</v>
      </c>
      <c r="G3963" s="1">
        <v>43423</v>
      </c>
      <c r="H3963" t="s">
        <v>9</v>
      </c>
      <c r="I3963" t="s">
        <v>10</v>
      </c>
    </row>
    <row r="3964" spans="1:9" x14ac:dyDescent="0.25">
      <c r="A3964" t="s">
        <v>344</v>
      </c>
      <c r="B3964" s="26" t="str">
        <f>MID(tbl_forecast[[#This Row],[PACE Job Number]],3,3)</f>
        <v>STX</v>
      </c>
      <c r="C3964" t="s">
        <v>17</v>
      </c>
      <c r="D3964" s="1">
        <v>43405</v>
      </c>
      <c r="E3964" s="1">
        <v>43434</v>
      </c>
      <c r="F3964" s="1">
        <v>43405</v>
      </c>
      <c r="G3964" s="1">
        <v>43405</v>
      </c>
      <c r="H3964" t="s">
        <v>9</v>
      </c>
      <c r="I3964" t="s">
        <v>10</v>
      </c>
    </row>
    <row r="3965" spans="1:9" x14ac:dyDescent="0.25">
      <c r="A3965" t="s">
        <v>5581</v>
      </c>
      <c r="B3965" s="26" t="str">
        <f>MID(tbl_forecast[[#This Row],[PACE Job Number]],3,3)</f>
        <v>STX</v>
      </c>
      <c r="C3965" t="s">
        <v>17</v>
      </c>
      <c r="D3965" s="1">
        <v>43419</v>
      </c>
      <c r="E3965" s="1">
        <v>43373</v>
      </c>
      <c r="F3965" s="1">
        <v>43419</v>
      </c>
      <c r="G3965" s="1"/>
      <c r="H3965" t="s">
        <v>9</v>
      </c>
      <c r="I3965" t="s">
        <v>27</v>
      </c>
    </row>
    <row r="3966" spans="1:9" x14ac:dyDescent="0.25">
      <c r="A3966" t="s">
        <v>4625</v>
      </c>
      <c r="B3966" s="26" t="str">
        <f>MID(tbl_forecast[[#This Row],[PACE Job Number]],3,3)</f>
        <v>STX</v>
      </c>
      <c r="C3966" t="s">
        <v>17</v>
      </c>
      <c r="D3966" s="1">
        <v>43406</v>
      </c>
      <c r="E3966" s="1">
        <v>43403</v>
      </c>
      <c r="F3966" s="1">
        <v>43406</v>
      </c>
      <c r="G3966" s="1">
        <v>43406</v>
      </c>
      <c r="H3966" t="s">
        <v>9</v>
      </c>
      <c r="I3966" t="s">
        <v>10</v>
      </c>
    </row>
    <row r="3967" spans="1:9" x14ac:dyDescent="0.25">
      <c r="A3967" t="s">
        <v>4409</v>
      </c>
      <c r="B3967" s="26" t="str">
        <f>MID(tbl_forecast[[#This Row],[PACE Job Number]],3,3)</f>
        <v>STX</v>
      </c>
      <c r="C3967" t="s">
        <v>17</v>
      </c>
      <c r="D3967" s="1">
        <v>43419</v>
      </c>
      <c r="E3967" s="1">
        <v>43434</v>
      </c>
      <c r="F3967" s="1">
        <v>43419</v>
      </c>
      <c r="G3967" s="1"/>
      <c r="H3967" t="s">
        <v>9</v>
      </c>
      <c r="I3967" t="s">
        <v>44</v>
      </c>
    </row>
    <row r="3968" spans="1:9" x14ac:dyDescent="0.25">
      <c r="A3968" t="s">
        <v>747</v>
      </c>
      <c r="B3968" s="26" t="str">
        <f>MID(tbl_forecast[[#This Row],[PACE Job Number]],3,3)</f>
        <v>STX</v>
      </c>
      <c r="C3968" t="s">
        <v>17</v>
      </c>
      <c r="D3968" s="1">
        <v>43434</v>
      </c>
      <c r="E3968" s="1">
        <v>43434</v>
      </c>
      <c r="F3968" s="1">
        <v>43434</v>
      </c>
      <c r="G3968" s="1">
        <v>43433</v>
      </c>
      <c r="H3968" t="s">
        <v>9</v>
      </c>
      <c r="I3968" t="s">
        <v>10</v>
      </c>
    </row>
    <row r="3969" spans="1:9" x14ac:dyDescent="0.25">
      <c r="A3969" t="s">
        <v>4410</v>
      </c>
      <c r="B3969" s="26" t="str">
        <f>MID(tbl_forecast[[#This Row],[PACE Job Number]],3,3)</f>
        <v>STX</v>
      </c>
      <c r="C3969" t="s">
        <v>17</v>
      </c>
      <c r="D3969" s="1">
        <v>43419</v>
      </c>
      <c r="E3969" s="1">
        <v>43434</v>
      </c>
      <c r="F3969" s="1">
        <v>43419</v>
      </c>
      <c r="G3969" s="1"/>
      <c r="H3969" t="s">
        <v>9</v>
      </c>
      <c r="I3969" t="s">
        <v>44</v>
      </c>
    </row>
    <row r="3970" spans="1:9" x14ac:dyDescent="0.25">
      <c r="A3970" t="s">
        <v>4411</v>
      </c>
      <c r="B3970" s="26" t="str">
        <f>MID(tbl_forecast[[#This Row],[PACE Job Number]],3,3)</f>
        <v>STX</v>
      </c>
      <c r="C3970" t="s">
        <v>17</v>
      </c>
      <c r="D3970" s="1">
        <v>43419</v>
      </c>
      <c r="E3970" s="1">
        <v>43434</v>
      </c>
      <c r="F3970" s="1">
        <v>43419</v>
      </c>
      <c r="G3970" s="1"/>
      <c r="H3970" t="s">
        <v>9</v>
      </c>
      <c r="I3970" t="s">
        <v>44</v>
      </c>
    </row>
    <row r="3971" spans="1:9" x14ac:dyDescent="0.25">
      <c r="A3971" t="s">
        <v>4412</v>
      </c>
      <c r="B3971" s="26" t="str">
        <f>MID(tbl_forecast[[#This Row],[PACE Job Number]],3,3)</f>
        <v>STX</v>
      </c>
      <c r="C3971" t="s">
        <v>17</v>
      </c>
      <c r="D3971" s="1">
        <v>43419</v>
      </c>
      <c r="E3971" s="1">
        <v>43434</v>
      </c>
      <c r="F3971" s="1">
        <v>43419</v>
      </c>
      <c r="G3971" s="1"/>
      <c r="H3971" t="s">
        <v>9</v>
      </c>
      <c r="I3971" t="s">
        <v>44</v>
      </c>
    </row>
    <row r="3972" spans="1:9" x14ac:dyDescent="0.25">
      <c r="A3972" t="s">
        <v>209</v>
      </c>
      <c r="B3972" s="26" t="str">
        <f>MID(tbl_forecast[[#This Row],[PACE Job Number]],3,3)</f>
        <v>STX</v>
      </c>
      <c r="C3972" t="s">
        <v>17</v>
      </c>
      <c r="D3972" s="1">
        <v>43434</v>
      </c>
      <c r="E3972" s="1">
        <v>43434</v>
      </c>
      <c r="F3972" s="1">
        <v>43434</v>
      </c>
      <c r="G3972" s="1"/>
      <c r="H3972" t="s">
        <v>9</v>
      </c>
      <c r="I3972" t="s">
        <v>27</v>
      </c>
    </row>
    <row r="3973" spans="1:9" x14ac:dyDescent="0.25">
      <c r="A3973" t="s">
        <v>3472</v>
      </c>
      <c r="B3973" s="26" t="str">
        <f>MID(tbl_forecast[[#This Row],[PACE Job Number]],3,3)</f>
        <v>STX</v>
      </c>
      <c r="C3973" t="s">
        <v>17</v>
      </c>
      <c r="D3973" s="1">
        <v>43419</v>
      </c>
      <c r="E3973" s="1">
        <v>43434</v>
      </c>
      <c r="F3973" s="1">
        <v>43434</v>
      </c>
      <c r="G3973" s="1"/>
      <c r="H3973" t="s">
        <v>4664</v>
      </c>
      <c r="I3973" t="s">
        <v>5645</v>
      </c>
    </row>
    <row r="3974" spans="1:9" x14ac:dyDescent="0.25">
      <c r="A3974" t="s">
        <v>5582</v>
      </c>
      <c r="B3974" s="26" t="str">
        <f>MID(tbl_forecast[[#This Row],[PACE Job Number]],3,3)</f>
        <v>STX</v>
      </c>
      <c r="C3974" t="s">
        <v>17</v>
      </c>
      <c r="D3974" s="1">
        <v>43419</v>
      </c>
      <c r="E3974" s="1">
        <v>43373</v>
      </c>
      <c r="F3974" s="1">
        <v>43419</v>
      </c>
      <c r="G3974" s="1"/>
      <c r="H3974" t="s">
        <v>9</v>
      </c>
      <c r="I3974" t="s">
        <v>27</v>
      </c>
    </row>
    <row r="3975" spans="1:9" x14ac:dyDescent="0.25">
      <c r="A3975" t="s">
        <v>705</v>
      </c>
      <c r="B3975" s="26" t="str">
        <f>MID(tbl_forecast[[#This Row],[PACE Job Number]],3,3)</f>
        <v>STX</v>
      </c>
      <c r="C3975" t="s">
        <v>17</v>
      </c>
      <c r="D3975" s="1">
        <v>43405</v>
      </c>
      <c r="E3975" s="1">
        <v>43373</v>
      </c>
      <c r="F3975" s="1">
        <v>43418</v>
      </c>
      <c r="G3975" s="1">
        <v>43418</v>
      </c>
      <c r="H3975" t="s">
        <v>9</v>
      </c>
      <c r="I3975" t="s">
        <v>10</v>
      </c>
    </row>
    <row r="3976" spans="1:9" x14ac:dyDescent="0.25">
      <c r="A3976" t="s">
        <v>3254</v>
      </c>
      <c r="B3976" s="26" t="str">
        <f>MID(tbl_forecast[[#This Row],[PACE Job Number]],3,3)</f>
        <v>STX</v>
      </c>
      <c r="C3976" t="s">
        <v>17</v>
      </c>
      <c r="D3976" s="1">
        <v>43419</v>
      </c>
      <c r="E3976" s="1">
        <v>43434</v>
      </c>
      <c r="F3976" s="1">
        <v>43449</v>
      </c>
      <c r="G3976" s="1"/>
      <c r="H3976" t="s">
        <v>4664</v>
      </c>
      <c r="I3976" t="s">
        <v>5645</v>
      </c>
    </row>
    <row r="3977" spans="1:9" x14ac:dyDescent="0.25">
      <c r="A3977" t="s">
        <v>405</v>
      </c>
      <c r="B3977" s="26" t="str">
        <f>MID(tbl_forecast[[#This Row],[PACE Job Number]],3,3)</f>
        <v>STX</v>
      </c>
      <c r="C3977" t="s">
        <v>17</v>
      </c>
      <c r="D3977" s="1">
        <v>43418</v>
      </c>
      <c r="E3977" s="1">
        <v>43418</v>
      </c>
      <c r="F3977" s="1">
        <v>43423</v>
      </c>
      <c r="G3977" s="1">
        <v>43423</v>
      </c>
      <c r="H3977" t="s">
        <v>9</v>
      </c>
      <c r="I3977" t="s">
        <v>10</v>
      </c>
    </row>
    <row r="3978" spans="1:9" x14ac:dyDescent="0.25">
      <c r="A3978" t="s">
        <v>5584</v>
      </c>
      <c r="B3978" s="26" t="str">
        <f>MID(tbl_forecast[[#This Row],[PACE Job Number]],3,3)</f>
        <v>STX</v>
      </c>
      <c r="C3978" t="s">
        <v>17</v>
      </c>
      <c r="D3978" s="1">
        <v>43419</v>
      </c>
      <c r="E3978" s="1">
        <v>43440</v>
      </c>
      <c r="F3978" s="1">
        <v>43419</v>
      </c>
      <c r="G3978" s="1"/>
      <c r="H3978" t="s">
        <v>9</v>
      </c>
      <c r="I3978" t="s">
        <v>44</v>
      </c>
    </row>
    <row r="3979" spans="1:9" x14ac:dyDescent="0.25">
      <c r="A3979" t="s">
        <v>866</v>
      </c>
      <c r="B3979" s="26" t="str">
        <f>MID(tbl_forecast[[#This Row],[PACE Job Number]],3,3)</f>
        <v>STX</v>
      </c>
      <c r="C3979" t="s">
        <v>17</v>
      </c>
      <c r="D3979" s="1">
        <v>43405</v>
      </c>
      <c r="E3979" s="1">
        <v>43403</v>
      </c>
      <c r="F3979" s="1">
        <v>43405</v>
      </c>
      <c r="G3979" s="1">
        <v>43405</v>
      </c>
      <c r="H3979" t="s">
        <v>9</v>
      </c>
      <c r="I3979" t="s">
        <v>10</v>
      </c>
    </row>
    <row r="3980" spans="1:9" x14ac:dyDescent="0.25">
      <c r="A3980" t="s">
        <v>3373</v>
      </c>
      <c r="B3980" s="26" t="str">
        <f>MID(tbl_forecast[[#This Row],[PACE Job Number]],3,3)</f>
        <v>NTX</v>
      </c>
      <c r="C3980" t="s">
        <v>17</v>
      </c>
      <c r="D3980" s="1">
        <v>43408</v>
      </c>
      <c r="E3980" s="1">
        <v>43408</v>
      </c>
      <c r="F3980" s="1">
        <v>43413</v>
      </c>
      <c r="G3980" s="1">
        <v>43413</v>
      </c>
      <c r="H3980" t="s">
        <v>9</v>
      </c>
      <c r="I3980" t="s">
        <v>10</v>
      </c>
    </row>
    <row r="3981" spans="1:9" x14ac:dyDescent="0.25">
      <c r="A3981" t="s">
        <v>1826</v>
      </c>
      <c r="B3981" s="26" t="str">
        <f>MID(tbl_forecast[[#This Row],[PACE Job Number]],3,3)</f>
        <v>NTX</v>
      </c>
      <c r="C3981" t="s">
        <v>17</v>
      </c>
      <c r="D3981" s="1">
        <v>43413</v>
      </c>
      <c r="E3981" s="1">
        <v>43518</v>
      </c>
      <c r="F3981" s="1">
        <v>43518</v>
      </c>
      <c r="G3981" s="1"/>
      <c r="H3981" t="s">
        <v>4664</v>
      </c>
      <c r="I3981" t="s">
        <v>5645</v>
      </c>
    </row>
    <row r="3982" spans="1:9" x14ac:dyDescent="0.25">
      <c r="A3982" t="s">
        <v>583</v>
      </c>
      <c r="B3982" s="26" t="str">
        <f>MID(tbl_forecast[[#This Row],[PACE Job Number]],3,3)</f>
        <v>NTX</v>
      </c>
      <c r="C3982" t="s">
        <v>17</v>
      </c>
      <c r="D3982" s="1">
        <v>43408</v>
      </c>
      <c r="E3982" s="1">
        <v>43408</v>
      </c>
      <c r="F3982" s="1">
        <v>43408</v>
      </c>
      <c r="G3982" s="1"/>
      <c r="H3982" t="s">
        <v>9</v>
      </c>
      <c r="I3982" t="s">
        <v>27</v>
      </c>
    </row>
    <row r="3983" spans="1:9" x14ac:dyDescent="0.25">
      <c r="A3983" t="s">
        <v>80</v>
      </c>
      <c r="B3983" s="26" t="str">
        <f>MID(tbl_forecast[[#This Row],[PACE Job Number]],3,3)</f>
        <v>NTX</v>
      </c>
      <c r="C3983" t="s">
        <v>17</v>
      </c>
      <c r="D3983" s="1">
        <v>43405</v>
      </c>
      <c r="E3983" s="1">
        <v>43399</v>
      </c>
      <c r="F3983" s="1">
        <v>43405</v>
      </c>
      <c r="G3983" s="1">
        <v>43405</v>
      </c>
      <c r="H3983" t="s">
        <v>9</v>
      </c>
      <c r="I3983" t="s">
        <v>10</v>
      </c>
    </row>
    <row r="3984" spans="1:9" x14ac:dyDescent="0.25">
      <c r="A3984" t="s">
        <v>2381</v>
      </c>
      <c r="B3984" s="26" t="str">
        <f>MID(tbl_forecast[[#This Row],[PACE Job Number]],3,3)</f>
        <v>NTX</v>
      </c>
      <c r="C3984" t="s">
        <v>17</v>
      </c>
      <c r="D3984" s="1">
        <v>43406</v>
      </c>
      <c r="E3984" s="1">
        <v>43533</v>
      </c>
      <c r="F3984" s="1">
        <v>43406</v>
      </c>
      <c r="G3984" s="1">
        <v>43406</v>
      </c>
      <c r="H3984" t="s">
        <v>9</v>
      </c>
      <c r="I3984" t="s">
        <v>10</v>
      </c>
    </row>
    <row r="3985" spans="1:9" x14ac:dyDescent="0.25">
      <c r="A3985" t="s">
        <v>4019</v>
      </c>
      <c r="B3985" s="26" t="str">
        <f>MID(tbl_forecast[[#This Row],[PACE Job Number]],3,3)</f>
        <v>WSH</v>
      </c>
      <c r="C3985" t="s">
        <v>17</v>
      </c>
      <c r="D3985" s="1">
        <v>43405</v>
      </c>
      <c r="E3985" s="1">
        <v>43404</v>
      </c>
      <c r="F3985" s="1">
        <v>43405</v>
      </c>
      <c r="G3985" s="1">
        <v>43405</v>
      </c>
      <c r="H3985" t="s">
        <v>9</v>
      </c>
      <c r="I3985" t="s">
        <v>10</v>
      </c>
    </row>
    <row r="3986" spans="1:9" x14ac:dyDescent="0.25">
      <c r="A3986" t="s">
        <v>3779</v>
      </c>
      <c r="B3986" s="26" t="str">
        <f>MID(tbl_forecast[[#This Row],[PACE Job Number]],3,3)</f>
        <v>WSH</v>
      </c>
      <c r="C3986" t="s">
        <v>17</v>
      </c>
      <c r="D3986" s="1">
        <v>43434</v>
      </c>
      <c r="E3986" s="1">
        <v>43434</v>
      </c>
      <c r="F3986" s="1">
        <v>43430</v>
      </c>
      <c r="G3986" s="1">
        <v>43430</v>
      </c>
      <c r="H3986" t="s">
        <v>9</v>
      </c>
      <c r="I3986" t="s">
        <v>10</v>
      </c>
    </row>
    <row r="3987" spans="1:9" x14ac:dyDescent="0.25">
      <c r="A3987" t="s">
        <v>3416</v>
      </c>
      <c r="B3987" s="26" t="str">
        <f>MID(tbl_forecast[[#This Row],[PACE Job Number]],3,3)</f>
        <v>WSH</v>
      </c>
      <c r="C3987" t="s">
        <v>17</v>
      </c>
      <c r="D3987" s="1">
        <v>43434</v>
      </c>
      <c r="E3987" s="1">
        <v>43434</v>
      </c>
      <c r="F3987" s="1">
        <v>43434</v>
      </c>
      <c r="G3987" s="1"/>
      <c r="H3987" t="s">
        <v>9</v>
      </c>
      <c r="I3987" t="s">
        <v>27</v>
      </c>
    </row>
    <row r="3988" spans="1:9" x14ac:dyDescent="0.25">
      <c r="A3988" t="s">
        <v>4268</v>
      </c>
      <c r="B3988" s="26" t="str">
        <f>MID(tbl_forecast[[#This Row],[PACE Job Number]],3,3)</f>
        <v>WSH</v>
      </c>
      <c r="C3988" t="s">
        <v>17</v>
      </c>
      <c r="D3988" s="1">
        <v>43434</v>
      </c>
      <c r="E3988" s="1">
        <v>43434</v>
      </c>
      <c r="F3988" s="1">
        <v>43434</v>
      </c>
      <c r="G3988" s="1"/>
      <c r="H3988" t="s">
        <v>9</v>
      </c>
      <c r="I3988" t="s">
        <v>27</v>
      </c>
    </row>
    <row r="3989" spans="1:9" x14ac:dyDescent="0.25">
      <c r="A3989" t="s">
        <v>3864</v>
      </c>
      <c r="B3989" s="26" t="str">
        <f>MID(tbl_forecast[[#This Row],[PACE Job Number]],3,3)</f>
        <v>WSH</v>
      </c>
      <c r="C3989" t="s">
        <v>17</v>
      </c>
      <c r="D3989" s="1">
        <v>43434</v>
      </c>
      <c r="E3989" s="1">
        <v>43434</v>
      </c>
      <c r="F3989" s="1">
        <v>43434</v>
      </c>
      <c r="G3989" s="1"/>
      <c r="H3989" t="s">
        <v>9</v>
      </c>
      <c r="I3989" t="s">
        <v>27</v>
      </c>
    </row>
    <row r="3990" spans="1:9" x14ac:dyDescent="0.25">
      <c r="A3990" t="s">
        <v>3450</v>
      </c>
      <c r="B3990" s="26" t="str">
        <f>MID(tbl_forecast[[#This Row],[PACE Job Number]],3,3)</f>
        <v>WSH</v>
      </c>
      <c r="C3990" t="s">
        <v>17</v>
      </c>
      <c r="D3990" s="1">
        <v>43434</v>
      </c>
      <c r="E3990" s="1">
        <v>43434</v>
      </c>
      <c r="F3990" s="1">
        <v>43434</v>
      </c>
      <c r="G3990" s="1"/>
      <c r="H3990" t="s">
        <v>9</v>
      </c>
      <c r="I3990" t="s">
        <v>27</v>
      </c>
    </row>
    <row r="3991" spans="1:9" x14ac:dyDescent="0.25">
      <c r="A3991" t="s">
        <v>173</v>
      </c>
      <c r="B3991" s="26" t="str">
        <f>MID(tbl_forecast[[#This Row],[PACE Job Number]],3,3)</f>
        <v>WSH</v>
      </c>
      <c r="C3991" t="s">
        <v>17</v>
      </c>
      <c r="D3991" s="1">
        <v>43434</v>
      </c>
      <c r="E3991" s="1">
        <v>43434</v>
      </c>
      <c r="F3991" s="1">
        <v>43434</v>
      </c>
      <c r="G3991" s="1"/>
      <c r="H3991" t="s">
        <v>9</v>
      </c>
      <c r="I3991" t="s">
        <v>27</v>
      </c>
    </row>
    <row r="3992" spans="1:9" x14ac:dyDescent="0.25">
      <c r="A3992" t="s">
        <v>3780</v>
      </c>
      <c r="B3992" s="26" t="str">
        <f>MID(tbl_forecast[[#This Row],[PACE Job Number]],3,3)</f>
        <v>WSH</v>
      </c>
      <c r="C3992" t="s">
        <v>17</v>
      </c>
      <c r="D3992" s="1">
        <v>43434</v>
      </c>
      <c r="E3992" s="1">
        <v>43434</v>
      </c>
      <c r="F3992" s="1">
        <v>43430</v>
      </c>
      <c r="G3992" s="1">
        <v>43430</v>
      </c>
      <c r="H3992" t="s">
        <v>9</v>
      </c>
      <c r="I3992" t="s">
        <v>10</v>
      </c>
    </row>
    <row r="3993" spans="1:9" x14ac:dyDescent="0.25">
      <c r="A3993" t="s">
        <v>3865</v>
      </c>
      <c r="B3993" s="26" t="str">
        <f>MID(tbl_forecast[[#This Row],[PACE Job Number]],3,3)</f>
        <v>WSH</v>
      </c>
      <c r="C3993" t="s">
        <v>17</v>
      </c>
      <c r="D3993" s="1">
        <v>43434</v>
      </c>
      <c r="E3993" s="1">
        <v>43434</v>
      </c>
      <c r="F3993" s="1">
        <v>43434</v>
      </c>
      <c r="G3993" s="1"/>
      <c r="H3993" t="s">
        <v>9</v>
      </c>
      <c r="I3993" t="s">
        <v>27</v>
      </c>
    </row>
    <row r="3994" spans="1:9" x14ac:dyDescent="0.25">
      <c r="A3994" t="s">
        <v>3866</v>
      </c>
      <c r="B3994" s="26" t="str">
        <f>MID(tbl_forecast[[#This Row],[PACE Job Number]],3,3)</f>
        <v>WSH</v>
      </c>
      <c r="C3994" t="s">
        <v>17</v>
      </c>
      <c r="D3994" s="1">
        <v>43434</v>
      </c>
      <c r="E3994" s="1">
        <v>43434</v>
      </c>
      <c r="F3994" s="1">
        <v>43418</v>
      </c>
      <c r="G3994" s="1">
        <v>43418</v>
      </c>
      <c r="H3994" t="s">
        <v>9</v>
      </c>
      <c r="I3994" t="s">
        <v>10</v>
      </c>
    </row>
    <row r="3995" spans="1:9" x14ac:dyDescent="0.25">
      <c r="A3995" t="s">
        <v>3867</v>
      </c>
      <c r="B3995" s="26" t="str">
        <f>MID(tbl_forecast[[#This Row],[PACE Job Number]],3,3)</f>
        <v>WSH</v>
      </c>
      <c r="C3995" t="s">
        <v>17</v>
      </c>
      <c r="D3995" s="1">
        <v>43434</v>
      </c>
      <c r="E3995" s="1">
        <v>43434</v>
      </c>
      <c r="F3995" s="1">
        <v>43430</v>
      </c>
      <c r="G3995" s="1">
        <v>43430</v>
      </c>
      <c r="H3995" t="s">
        <v>9</v>
      </c>
      <c r="I3995" t="s">
        <v>10</v>
      </c>
    </row>
    <row r="3996" spans="1:9" x14ac:dyDescent="0.25">
      <c r="A3996" t="s">
        <v>4272</v>
      </c>
      <c r="B3996" s="26" t="str">
        <f>MID(tbl_forecast[[#This Row],[PACE Job Number]],3,3)</f>
        <v>WSH</v>
      </c>
      <c r="C3996" t="s">
        <v>17</v>
      </c>
      <c r="D3996" s="1">
        <v>43434</v>
      </c>
      <c r="E3996" s="1">
        <v>43434</v>
      </c>
      <c r="F3996" s="1">
        <v>43432</v>
      </c>
      <c r="G3996" s="1">
        <v>43432</v>
      </c>
      <c r="H3996" t="s">
        <v>9</v>
      </c>
      <c r="I3996" t="s">
        <v>10</v>
      </c>
    </row>
    <row r="3997" spans="1:9" x14ac:dyDescent="0.25">
      <c r="A3997" t="s">
        <v>3870</v>
      </c>
      <c r="B3997" s="26" t="str">
        <f>MID(tbl_forecast[[#This Row],[PACE Job Number]],3,3)</f>
        <v>WSH</v>
      </c>
      <c r="C3997" t="s">
        <v>17</v>
      </c>
      <c r="D3997" s="1">
        <v>43434</v>
      </c>
      <c r="E3997" s="1">
        <v>43434</v>
      </c>
      <c r="F3997" s="1">
        <v>43419</v>
      </c>
      <c r="G3997" s="1">
        <v>43419</v>
      </c>
      <c r="H3997" t="s">
        <v>9</v>
      </c>
      <c r="I3997" t="s">
        <v>10</v>
      </c>
    </row>
    <row r="3998" spans="1:9" x14ac:dyDescent="0.25">
      <c r="A3998" t="s">
        <v>3947</v>
      </c>
      <c r="B3998" s="26" t="str">
        <f>MID(tbl_forecast[[#This Row],[PACE Job Number]],3,3)</f>
        <v>WSH</v>
      </c>
      <c r="C3998" t="s">
        <v>17</v>
      </c>
      <c r="D3998" s="1">
        <v>43434</v>
      </c>
      <c r="E3998" s="1">
        <v>43434</v>
      </c>
      <c r="F3998" s="1">
        <v>43419</v>
      </c>
      <c r="G3998" s="1">
        <v>43419</v>
      </c>
      <c r="H3998" t="s">
        <v>9</v>
      </c>
      <c r="I3998" t="s">
        <v>10</v>
      </c>
    </row>
    <row r="3999" spans="1:9" x14ac:dyDescent="0.25">
      <c r="A3999" t="s">
        <v>3871</v>
      </c>
      <c r="B3999" s="26" t="str">
        <f>MID(tbl_forecast[[#This Row],[PACE Job Number]],3,3)</f>
        <v>WSH</v>
      </c>
      <c r="C3999" t="s">
        <v>17</v>
      </c>
      <c r="D3999" s="1">
        <v>43434</v>
      </c>
      <c r="E3999" s="1">
        <v>43434</v>
      </c>
      <c r="F3999" s="1">
        <v>43434</v>
      </c>
      <c r="G3999" s="1"/>
      <c r="H3999" t="s">
        <v>9</v>
      </c>
      <c r="I3999" t="s">
        <v>27</v>
      </c>
    </row>
    <row r="4000" spans="1:9" x14ac:dyDescent="0.25">
      <c r="A4000" t="s">
        <v>3872</v>
      </c>
      <c r="B4000" s="26" t="str">
        <f>MID(tbl_forecast[[#This Row],[PACE Job Number]],3,3)</f>
        <v>WSH</v>
      </c>
      <c r="C4000" t="s">
        <v>17</v>
      </c>
      <c r="D4000" s="1">
        <v>43434</v>
      </c>
      <c r="E4000" s="1">
        <v>43434</v>
      </c>
      <c r="F4000" s="1">
        <v>43411</v>
      </c>
      <c r="G4000" s="1">
        <v>43411</v>
      </c>
      <c r="H4000" t="s">
        <v>9</v>
      </c>
      <c r="I4000" t="s">
        <v>10</v>
      </c>
    </row>
    <row r="4001" spans="1:9" x14ac:dyDescent="0.25">
      <c r="A4001" t="s">
        <v>104</v>
      </c>
      <c r="B4001" s="26" t="str">
        <f>MID(tbl_forecast[[#This Row],[PACE Job Number]],3,3)</f>
        <v>WSH</v>
      </c>
      <c r="C4001" t="s">
        <v>17</v>
      </c>
      <c r="D4001" s="1">
        <v>43413</v>
      </c>
      <c r="E4001" s="1">
        <v>43413</v>
      </c>
      <c r="F4001" s="1">
        <v>43411</v>
      </c>
      <c r="G4001" s="1">
        <v>43411</v>
      </c>
      <c r="H4001" t="s">
        <v>9</v>
      </c>
      <c r="I4001" t="s">
        <v>10</v>
      </c>
    </row>
    <row r="4002" spans="1:9" x14ac:dyDescent="0.25">
      <c r="A4002" t="s">
        <v>4043</v>
      </c>
      <c r="B4002" s="26" t="str">
        <f>MID(tbl_forecast[[#This Row],[PACE Job Number]],3,3)</f>
        <v>WSH</v>
      </c>
      <c r="C4002" t="s">
        <v>17</v>
      </c>
      <c r="D4002" s="1">
        <v>43413</v>
      </c>
      <c r="E4002" s="1">
        <v>43413</v>
      </c>
      <c r="F4002" s="1">
        <v>43411</v>
      </c>
      <c r="G4002" s="1">
        <v>43411</v>
      </c>
      <c r="H4002" t="s">
        <v>9</v>
      </c>
      <c r="I4002" t="s">
        <v>10</v>
      </c>
    </row>
    <row r="4003" spans="1:9" x14ac:dyDescent="0.25">
      <c r="A4003" t="s">
        <v>117</v>
      </c>
      <c r="B4003" s="26" t="str">
        <f>MID(tbl_forecast[[#This Row],[PACE Job Number]],3,3)</f>
        <v>STX</v>
      </c>
      <c r="C4003" t="s">
        <v>17</v>
      </c>
      <c r="D4003" s="1">
        <v>43419</v>
      </c>
      <c r="E4003" s="1">
        <v>43434</v>
      </c>
      <c r="F4003" s="1">
        <v>43423</v>
      </c>
      <c r="G4003" s="1">
        <v>43423</v>
      </c>
      <c r="H4003" t="s">
        <v>9</v>
      </c>
      <c r="I4003" t="s">
        <v>10</v>
      </c>
    </row>
    <row r="4004" spans="1:9" x14ac:dyDescent="0.25">
      <c r="A4004" t="s">
        <v>4413</v>
      </c>
      <c r="B4004" s="26" t="str">
        <f>MID(tbl_forecast[[#This Row],[PACE Job Number]],3,3)</f>
        <v>STX</v>
      </c>
      <c r="C4004" t="s">
        <v>17</v>
      </c>
      <c r="D4004" s="1">
        <v>43419</v>
      </c>
      <c r="E4004" s="1">
        <v>43434</v>
      </c>
      <c r="F4004" s="1">
        <v>43449</v>
      </c>
      <c r="G4004" s="1"/>
      <c r="H4004" t="s">
        <v>4664</v>
      </c>
      <c r="I4004" t="s">
        <v>5645</v>
      </c>
    </row>
    <row r="4005" spans="1:9" x14ac:dyDescent="0.25">
      <c r="A4005" t="s">
        <v>720</v>
      </c>
      <c r="B4005" s="26" t="str">
        <f>MID(tbl_forecast[[#This Row],[PACE Job Number]],3,3)</f>
        <v>STX</v>
      </c>
      <c r="C4005" t="s">
        <v>17</v>
      </c>
      <c r="D4005" s="1">
        <v>43419</v>
      </c>
      <c r="E4005" s="1">
        <v>43453</v>
      </c>
      <c r="F4005" s="1">
        <v>43419</v>
      </c>
      <c r="G4005" s="1"/>
      <c r="H4005" t="s">
        <v>9</v>
      </c>
      <c r="I4005" t="s">
        <v>44</v>
      </c>
    </row>
    <row r="4006" spans="1:9" x14ac:dyDescent="0.25">
      <c r="A4006" t="s">
        <v>4414</v>
      </c>
      <c r="B4006" s="26" t="str">
        <f>MID(tbl_forecast[[#This Row],[PACE Job Number]],3,3)</f>
        <v>STX</v>
      </c>
      <c r="C4006" t="s">
        <v>17</v>
      </c>
      <c r="D4006" s="1">
        <v>43419</v>
      </c>
      <c r="E4006" s="1">
        <v>43453</v>
      </c>
      <c r="F4006" s="1">
        <v>43419</v>
      </c>
      <c r="G4006" s="1"/>
      <c r="H4006" t="s">
        <v>9</v>
      </c>
      <c r="I4006" t="s">
        <v>44</v>
      </c>
    </row>
    <row r="4007" spans="1:9" x14ac:dyDescent="0.25">
      <c r="A4007" t="s">
        <v>563</v>
      </c>
      <c r="B4007" s="26" t="str">
        <f>MID(tbl_forecast[[#This Row],[PACE Job Number]],3,3)</f>
        <v>STX</v>
      </c>
      <c r="C4007" t="s">
        <v>17</v>
      </c>
      <c r="D4007" s="1">
        <v>43434</v>
      </c>
      <c r="E4007" s="1">
        <v>43434</v>
      </c>
      <c r="F4007" s="1">
        <v>43423</v>
      </c>
      <c r="G4007" s="1">
        <v>43423</v>
      </c>
      <c r="H4007" t="s">
        <v>9</v>
      </c>
      <c r="I4007" t="s">
        <v>10</v>
      </c>
    </row>
    <row r="4008" spans="1:9" x14ac:dyDescent="0.25">
      <c r="A4008" t="s">
        <v>5616</v>
      </c>
      <c r="B4008" s="26" t="str">
        <f>MID(tbl_forecast[[#This Row],[PACE Job Number]],3,3)</f>
        <v>STX</v>
      </c>
      <c r="C4008" t="s">
        <v>17</v>
      </c>
      <c r="D4008" s="1">
        <v>43434</v>
      </c>
      <c r="E4008" s="1">
        <v>43434</v>
      </c>
      <c r="F4008" s="1">
        <v>43411</v>
      </c>
      <c r="G4008" s="1">
        <v>43411</v>
      </c>
      <c r="H4008" t="s">
        <v>9</v>
      </c>
      <c r="I4008" t="s">
        <v>10</v>
      </c>
    </row>
    <row r="4009" spans="1:9" x14ac:dyDescent="0.25">
      <c r="A4009" t="s">
        <v>5617</v>
      </c>
      <c r="B4009" s="26" t="str">
        <f>MID(tbl_forecast[[#This Row],[PACE Job Number]],3,3)</f>
        <v>STX</v>
      </c>
      <c r="C4009" t="s">
        <v>17</v>
      </c>
      <c r="D4009" s="1">
        <v>43434</v>
      </c>
      <c r="E4009" s="1">
        <v>43434</v>
      </c>
      <c r="F4009" s="1">
        <v>43434</v>
      </c>
      <c r="G4009" s="1">
        <v>43433</v>
      </c>
      <c r="H4009" t="s">
        <v>9</v>
      </c>
      <c r="I4009" t="s">
        <v>10</v>
      </c>
    </row>
    <row r="4010" spans="1:9" x14ac:dyDescent="0.25">
      <c r="A4010" t="s">
        <v>5618</v>
      </c>
      <c r="B4010" s="26" t="str">
        <f>MID(tbl_forecast[[#This Row],[PACE Job Number]],3,3)</f>
        <v>STX</v>
      </c>
      <c r="C4010" t="s">
        <v>17</v>
      </c>
      <c r="D4010" s="1">
        <v>43434</v>
      </c>
      <c r="E4010" s="1">
        <v>43434</v>
      </c>
      <c r="F4010" s="1">
        <v>43419</v>
      </c>
      <c r="G4010" s="1">
        <v>43419</v>
      </c>
      <c r="H4010" t="s">
        <v>9</v>
      </c>
      <c r="I4010" t="s">
        <v>10</v>
      </c>
    </row>
    <row r="4011" spans="1:9" x14ac:dyDescent="0.25">
      <c r="A4011" t="s">
        <v>633</v>
      </c>
      <c r="B4011" s="26" t="str">
        <f>MID(tbl_forecast[[#This Row],[PACE Job Number]],3,3)</f>
        <v>STX</v>
      </c>
      <c r="C4011" t="s">
        <v>17</v>
      </c>
      <c r="D4011" s="1">
        <v>43419</v>
      </c>
      <c r="E4011" s="1">
        <v>43434</v>
      </c>
      <c r="F4011" s="1">
        <v>43449</v>
      </c>
      <c r="G4011" s="1"/>
      <c r="H4011" t="s">
        <v>4664</v>
      </c>
      <c r="I4011" t="s">
        <v>5645</v>
      </c>
    </row>
    <row r="4012" spans="1:9" x14ac:dyDescent="0.25">
      <c r="A4012" t="s">
        <v>4577</v>
      </c>
      <c r="B4012" s="26" t="str">
        <f>MID(tbl_forecast[[#This Row],[PACE Job Number]],3,3)</f>
        <v>WSH</v>
      </c>
      <c r="C4012" t="s">
        <v>17</v>
      </c>
      <c r="D4012" s="1">
        <v>43434</v>
      </c>
      <c r="E4012" s="1">
        <v>43434</v>
      </c>
      <c r="F4012" s="1">
        <v>43432</v>
      </c>
      <c r="G4012" s="1">
        <v>43432</v>
      </c>
      <c r="H4012" t="s">
        <v>9</v>
      </c>
      <c r="I4012" t="s">
        <v>10</v>
      </c>
    </row>
    <row r="4013" spans="1:9" x14ac:dyDescent="0.25">
      <c r="A4013" t="s">
        <v>4246</v>
      </c>
      <c r="B4013" s="26" t="str">
        <f>MID(tbl_forecast[[#This Row],[PACE Job Number]],3,3)</f>
        <v>WSH</v>
      </c>
      <c r="C4013" t="s">
        <v>17</v>
      </c>
      <c r="D4013" s="1">
        <v>43434</v>
      </c>
      <c r="E4013" s="1">
        <v>43434</v>
      </c>
      <c r="F4013" s="1">
        <v>43430</v>
      </c>
      <c r="G4013" s="1">
        <v>43430</v>
      </c>
      <c r="H4013" t="s">
        <v>9</v>
      </c>
      <c r="I4013" t="s">
        <v>10</v>
      </c>
    </row>
    <row r="4014" spans="1:9" x14ac:dyDescent="0.25">
      <c r="A4014" t="s">
        <v>4616</v>
      </c>
      <c r="B4014" s="26" t="str">
        <f>MID(tbl_forecast[[#This Row],[PACE Job Number]],3,3)</f>
        <v>WSH</v>
      </c>
      <c r="C4014" t="s">
        <v>17</v>
      </c>
      <c r="D4014" s="1">
        <v>43434</v>
      </c>
      <c r="E4014" s="1">
        <v>43434</v>
      </c>
      <c r="F4014" s="1">
        <v>43411</v>
      </c>
      <c r="G4014" s="1">
        <v>43411</v>
      </c>
      <c r="H4014" t="s">
        <v>9</v>
      </c>
      <c r="I4014" t="s">
        <v>10</v>
      </c>
    </row>
    <row r="4015" spans="1:9" x14ac:dyDescent="0.25">
      <c r="A4015" t="s">
        <v>301</v>
      </c>
      <c r="B4015" s="26" t="str">
        <f>MID(tbl_forecast[[#This Row],[PACE Job Number]],3,3)</f>
        <v>WSH</v>
      </c>
      <c r="C4015" t="s">
        <v>17</v>
      </c>
      <c r="D4015" s="1">
        <v>43434</v>
      </c>
      <c r="E4015" s="1">
        <v>43434</v>
      </c>
      <c r="F4015" s="1">
        <v>43434</v>
      </c>
      <c r="G4015" s="1"/>
      <c r="H4015" t="s">
        <v>9</v>
      </c>
      <c r="I4015" t="s">
        <v>27</v>
      </c>
    </row>
    <row r="4016" spans="1:9" x14ac:dyDescent="0.25">
      <c r="A4016" t="s">
        <v>4535</v>
      </c>
      <c r="B4016" s="26" t="str">
        <f>MID(tbl_forecast[[#This Row],[PACE Job Number]],3,3)</f>
        <v>WSH</v>
      </c>
      <c r="C4016" t="s">
        <v>17</v>
      </c>
      <c r="D4016" s="1">
        <v>43434</v>
      </c>
      <c r="E4016" s="1">
        <v>43434</v>
      </c>
      <c r="F4016" s="1">
        <v>43434</v>
      </c>
      <c r="G4016" s="1"/>
      <c r="H4016" t="s">
        <v>9</v>
      </c>
      <c r="I4016" t="s">
        <v>27</v>
      </c>
    </row>
    <row r="4017" spans="1:9" x14ac:dyDescent="0.25">
      <c r="A4017" t="s">
        <v>325</v>
      </c>
      <c r="B4017" s="26" t="str">
        <f>MID(tbl_forecast[[#This Row],[PACE Job Number]],3,3)</f>
        <v>WSH</v>
      </c>
      <c r="C4017" t="s">
        <v>17</v>
      </c>
      <c r="D4017" s="1">
        <v>43434</v>
      </c>
      <c r="E4017" s="1">
        <v>43434</v>
      </c>
      <c r="F4017" s="1">
        <v>43434</v>
      </c>
      <c r="G4017" s="1"/>
      <c r="H4017" t="s">
        <v>9</v>
      </c>
      <c r="I4017" t="s">
        <v>27</v>
      </c>
    </row>
    <row r="4018" spans="1:9" x14ac:dyDescent="0.25">
      <c r="A4018" t="s">
        <v>158</v>
      </c>
      <c r="B4018" s="26" t="str">
        <f>MID(tbl_forecast[[#This Row],[PACE Job Number]],3,3)</f>
        <v>WSH</v>
      </c>
      <c r="C4018" t="s">
        <v>17</v>
      </c>
      <c r="D4018" s="1">
        <v>43434</v>
      </c>
      <c r="E4018" s="1">
        <v>43434</v>
      </c>
      <c r="F4018" s="1">
        <v>43417</v>
      </c>
      <c r="G4018" s="1">
        <v>43417</v>
      </c>
      <c r="H4018" t="s">
        <v>9</v>
      </c>
      <c r="I4018" t="s">
        <v>10</v>
      </c>
    </row>
    <row r="4019" spans="1:9" x14ac:dyDescent="0.25">
      <c r="A4019" t="s">
        <v>4578</v>
      </c>
      <c r="B4019" s="26" t="str">
        <f>MID(tbl_forecast[[#This Row],[PACE Job Number]],3,3)</f>
        <v>WSH</v>
      </c>
      <c r="C4019" t="s">
        <v>17</v>
      </c>
      <c r="D4019" s="1">
        <v>43434</v>
      </c>
      <c r="E4019" s="1">
        <v>43434</v>
      </c>
      <c r="F4019" s="1">
        <v>43419</v>
      </c>
      <c r="G4019" s="1">
        <v>43419</v>
      </c>
      <c r="H4019" t="s">
        <v>9</v>
      </c>
      <c r="I4019" t="s">
        <v>10</v>
      </c>
    </row>
    <row r="4020" spans="1:9" x14ac:dyDescent="0.25">
      <c r="A4020" t="s">
        <v>3418</v>
      </c>
      <c r="B4020" s="26" t="str">
        <f>MID(tbl_forecast[[#This Row],[PACE Job Number]],3,3)</f>
        <v>WSH</v>
      </c>
      <c r="C4020" t="s">
        <v>17</v>
      </c>
      <c r="D4020" s="1">
        <v>43434</v>
      </c>
      <c r="E4020" s="1">
        <v>43434</v>
      </c>
      <c r="F4020" s="1">
        <v>43434</v>
      </c>
      <c r="G4020" s="1"/>
      <c r="H4020" t="s">
        <v>9</v>
      </c>
      <c r="I4020" t="s">
        <v>27</v>
      </c>
    </row>
    <row r="4021" spans="1:9" x14ac:dyDescent="0.25">
      <c r="A4021" t="s">
        <v>367</v>
      </c>
      <c r="B4021" s="26" t="str">
        <f>MID(tbl_forecast[[#This Row],[PACE Job Number]],3,3)</f>
        <v>WSH</v>
      </c>
      <c r="C4021" t="s">
        <v>17</v>
      </c>
      <c r="D4021" s="1">
        <v>43420</v>
      </c>
      <c r="E4021" s="1">
        <v>43420</v>
      </c>
      <c r="F4021" s="1">
        <v>43419</v>
      </c>
      <c r="G4021" s="1">
        <v>43419</v>
      </c>
      <c r="H4021" t="s">
        <v>9</v>
      </c>
      <c r="I4021" t="s">
        <v>10</v>
      </c>
    </row>
    <row r="4022" spans="1:9" x14ac:dyDescent="0.25">
      <c r="A4022" t="s">
        <v>45</v>
      </c>
      <c r="B4022" s="26" t="str">
        <f>MID(tbl_forecast[[#This Row],[PACE Job Number]],3,3)</f>
        <v>WSH</v>
      </c>
      <c r="C4022" t="s">
        <v>17</v>
      </c>
      <c r="D4022" s="1">
        <v>43413</v>
      </c>
      <c r="E4022" s="1">
        <v>43413</v>
      </c>
      <c r="F4022" s="1">
        <v>43430</v>
      </c>
      <c r="G4022" s="1">
        <v>43430</v>
      </c>
      <c r="H4022" t="s">
        <v>4664</v>
      </c>
      <c r="I4022" t="s">
        <v>10</v>
      </c>
    </row>
    <row r="4023" spans="1:9" x14ac:dyDescent="0.25">
      <c r="A4023" t="s">
        <v>97</v>
      </c>
      <c r="B4023" s="26" t="str">
        <f>MID(tbl_forecast[[#This Row],[PACE Job Number]],3,3)</f>
        <v>WSH</v>
      </c>
      <c r="C4023" t="s">
        <v>17</v>
      </c>
      <c r="D4023" s="1">
        <v>43434</v>
      </c>
      <c r="E4023" s="1">
        <v>43434</v>
      </c>
      <c r="F4023" s="1">
        <v>43430</v>
      </c>
      <c r="G4023" s="1">
        <v>43430</v>
      </c>
      <c r="H4023" t="s">
        <v>9</v>
      </c>
      <c r="I4023" t="s">
        <v>10</v>
      </c>
    </row>
    <row r="4024" spans="1:9" x14ac:dyDescent="0.25">
      <c r="A4024" t="s">
        <v>4360</v>
      </c>
      <c r="B4024" s="26" t="str">
        <f>MID(tbl_forecast[[#This Row],[PACE Job Number]],3,3)</f>
        <v>NTX</v>
      </c>
      <c r="C4024" t="s">
        <v>17</v>
      </c>
      <c r="D4024" s="1">
        <v>43426</v>
      </c>
      <c r="E4024" s="1">
        <v>43426</v>
      </c>
      <c r="F4024" s="1">
        <v>43417</v>
      </c>
      <c r="G4024" s="1">
        <v>43417</v>
      </c>
      <c r="H4024" t="s">
        <v>9</v>
      </c>
      <c r="I4024" t="s">
        <v>10</v>
      </c>
    </row>
    <row r="4025" spans="1:9" x14ac:dyDescent="0.25">
      <c r="A4025" t="s">
        <v>3881</v>
      </c>
      <c r="B4025" s="26" t="str">
        <f>MID(tbl_forecast[[#This Row],[PACE Job Number]],3,3)</f>
        <v>NTX</v>
      </c>
      <c r="C4025" t="s">
        <v>17</v>
      </c>
      <c r="D4025" s="1">
        <v>43428</v>
      </c>
      <c r="E4025" s="1">
        <v>43428</v>
      </c>
      <c r="F4025" s="1">
        <v>43408</v>
      </c>
      <c r="G4025" s="1"/>
      <c r="H4025" t="s">
        <v>9</v>
      </c>
      <c r="I4025" t="s">
        <v>27</v>
      </c>
    </row>
    <row r="4026" spans="1:9" x14ac:dyDescent="0.25">
      <c r="A4026" t="s">
        <v>2383</v>
      </c>
      <c r="B4026" s="26" t="str">
        <f>MID(tbl_forecast[[#This Row],[PACE Job Number]],3,3)</f>
        <v>NTX</v>
      </c>
      <c r="C4026" t="s">
        <v>17</v>
      </c>
      <c r="D4026" s="1">
        <v>43429</v>
      </c>
      <c r="E4026" s="1">
        <v>43429</v>
      </c>
      <c r="F4026" s="1">
        <v>43429</v>
      </c>
      <c r="G4026" s="1"/>
      <c r="H4026" t="s">
        <v>9</v>
      </c>
      <c r="I4026" t="s">
        <v>27</v>
      </c>
    </row>
    <row r="4027" spans="1:9" x14ac:dyDescent="0.25">
      <c r="A4027" t="s">
        <v>4608</v>
      </c>
      <c r="B4027" s="26" t="str">
        <f>MID(tbl_forecast[[#This Row],[PACE Job Number]],3,3)</f>
        <v>STX</v>
      </c>
      <c r="C4027" t="s">
        <v>17</v>
      </c>
      <c r="D4027" s="1">
        <v>43418</v>
      </c>
      <c r="E4027" s="1">
        <v>43418</v>
      </c>
      <c r="F4027" s="1">
        <v>43418</v>
      </c>
      <c r="G4027" s="1"/>
      <c r="H4027" t="s">
        <v>9</v>
      </c>
      <c r="I4027" t="s">
        <v>27</v>
      </c>
    </row>
    <row r="4028" spans="1:9" x14ac:dyDescent="0.25">
      <c r="A4028" t="s">
        <v>4609</v>
      </c>
      <c r="B4028" s="26" t="str">
        <f>MID(tbl_forecast[[#This Row],[PACE Job Number]],3,3)</f>
        <v>STX</v>
      </c>
      <c r="C4028" t="s">
        <v>17</v>
      </c>
      <c r="D4028" s="1">
        <v>43418</v>
      </c>
      <c r="E4028" s="1">
        <v>43418</v>
      </c>
      <c r="F4028" s="1">
        <v>43418</v>
      </c>
      <c r="G4028" s="1"/>
      <c r="H4028" t="s">
        <v>9</v>
      </c>
      <c r="I4028" t="s">
        <v>27</v>
      </c>
    </row>
    <row r="4029" spans="1:9" x14ac:dyDescent="0.25">
      <c r="A4029" t="s">
        <v>595</v>
      </c>
      <c r="B4029" s="26" t="str">
        <f>MID(tbl_forecast[[#This Row],[PACE Job Number]],3,3)</f>
        <v>STX</v>
      </c>
      <c r="C4029" t="s">
        <v>17</v>
      </c>
      <c r="D4029" s="1">
        <v>43418</v>
      </c>
      <c r="E4029" s="1">
        <v>43418</v>
      </c>
      <c r="F4029" s="1">
        <v>43418</v>
      </c>
      <c r="G4029" s="1"/>
      <c r="H4029" t="s">
        <v>9</v>
      </c>
      <c r="I4029" t="s">
        <v>27</v>
      </c>
    </row>
    <row r="4030" spans="1:9" x14ac:dyDescent="0.25">
      <c r="A4030" t="s">
        <v>687</v>
      </c>
      <c r="B4030" s="26" t="str">
        <f>MID(tbl_forecast[[#This Row],[PACE Job Number]],3,3)</f>
        <v>STX</v>
      </c>
      <c r="C4030" t="s">
        <v>17</v>
      </c>
      <c r="D4030" s="1">
        <v>43418</v>
      </c>
      <c r="E4030" s="1">
        <v>43418</v>
      </c>
      <c r="F4030" s="1">
        <v>43418</v>
      </c>
      <c r="G4030" s="1"/>
      <c r="H4030" t="s">
        <v>9</v>
      </c>
      <c r="I4030" t="s">
        <v>27</v>
      </c>
    </row>
    <row r="4031" spans="1:9" x14ac:dyDescent="0.25">
      <c r="A4031" t="s">
        <v>259</v>
      </c>
      <c r="B4031" s="26" t="str">
        <f>MID(tbl_forecast[[#This Row],[PACE Job Number]],3,3)</f>
        <v>WSH</v>
      </c>
      <c r="C4031" t="s">
        <v>17</v>
      </c>
      <c r="D4031" s="1">
        <v>43420</v>
      </c>
      <c r="E4031" s="1">
        <v>43420</v>
      </c>
      <c r="F4031" s="1">
        <v>43411</v>
      </c>
      <c r="G4031" s="1">
        <v>43411</v>
      </c>
      <c r="H4031" t="s">
        <v>9</v>
      </c>
      <c r="I4031" t="s">
        <v>10</v>
      </c>
    </row>
    <row r="4032" spans="1:9" x14ac:dyDescent="0.25">
      <c r="A4032" t="s">
        <v>210</v>
      </c>
      <c r="B4032" s="26" t="str">
        <f>MID(tbl_forecast[[#This Row],[PACE Job Number]],3,3)</f>
        <v>WSH</v>
      </c>
      <c r="C4032" t="s">
        <v>17</v>
      </c>
      <c r="D4032" s="1">
        <v>43420</v>
      </c>
      <c r="E4032" s="1">
        <v>43420</v>
      </c>
      <c r="F4032" s="1">
        <v>43411</v>
      </c>
      <c r="G4032" s="1">
        <v>43411</v>
      </c>
      <c r="H4032" t="s">
        <v>9</v>
      </c>
      <c r="I4032" t="s">
        <v>10</v>
      </c>
    </row>
    <row r="4033" spans="1:9" x14ac:dyDescent="0.25">
      <c r="A4033" t="s">
        <v>3873</v>
      </c>
      <c r="B4033" s="26" t="str">
        <f>MID(tbl_forecast[[#This Row],[PACE Job Number]],3,3)</f>
        <v>WSH</v>
      </c>
      <c r="C4033" t="s">
        <v>17</v>
      </c>
      <c r="D4033" s="1">
        <v>43434</v>
      </c>
      <c r="E4033" s="1">
        <v>43434</v>
      </c>
      <c r="F4033" s="1">
        <v>43430</v>
      </c>
      <c r="G4033" s="1">
        <v>43430</v>
      </c>
      <c r="H4033" t="s">
        <v>9</v>
      </c>
      <c r="I4033" t="s">
        <v>10</v>
      </c>
    </row>
    <row r="4034" spans="1:9" x14ac:dyDescent="0.25">
      <c r="A4034" t="s">
        <v>228</v>
      </c>
      <c r="B4034" s="26" t="str">
        <f>MID(tbl_forecast[[#This Row],[PACE Job Number]],3,3)</f>
        <v>WSH</v>
      </c>
      <c r="C4034" t="s">
        <v>17</v>
      </c>
      <c r="D4034" s="1">
        <v>43434</v>
      </c>
      <c r="E4034" s="1">
        <v>43434</v>
      </c>
      <c r="F4034" s="1">
        <v>43434</v>
      </c>
      <c r="G4034" s="1"/>
      <c r="H4034" t="s">
        <v>9</v>
      </c>
      <c r="I4034" t="s">
        <v>27</v>
      </c>
    </row>
    <row r="4035" spans="1:9" x14ac:dyDescent="0.25">
      <c r="A4035" t="s">
        <v>320</v>
      </c>
      <c r="B4035" s="26" t="str">
        <f>MID(tbl_forecast[[#This Row],[PACE Job Number]],3,3)</f>
        <v>WSH</v>
      </c>
      <c r="C4035" t="s">
        <v>17</v>
      </c>
      <c r="D4035" s="1">
        <v>43434</v>
      </c>
      <c r="E4035" s="1">
        <v>43434</v>
      </c>
      <c r="F4035" s="1">
        <v>43434</v>
      </c>
      <c r="G4035" s="1"/>
      <c r="H4035" t="s">
        <v>9</v>
      </c>
      <c r="I4035" t="s">
        <v>27</v>
      </c>
    </row>
    <row r="4036" spans="1:9" x14ac:dyDescent="0.25">
      <c r="A4036" t="s">
        <v>4586</v>
      </c>
      <c r="B4036" s="26" t="str">
        <f>MID(tbl_forecast[[#This Row],[PACE Job Number]],3,3)</f>
        <v>WSH</v>
      </c>
      <c r="C4036" t="s">
        <v>17</v>
      </c>
      <c r="D4036" s="1">
        <v>43434</v>
      </c>
      <c r="E4036" s="1">
        <v>43434</v>
      </c>
      <c r="F4036" s="1">
        <v>43430</v>
      </c>
      <c r="G4036" s="1">
        <v>43430</v>
      </c>
      <c r="H4036" t="s">
        <v>9</v>
      </c>
      <c r="I4036" t="s">
        <v>10</v>
      </c>
    </row>
    <row r="4037" spans="1:9" x14ac:dyDescent="0.25">
      <c r="A4037" t="s">
        <v>3956</v>
      </c>
      <c r="B4037" s="26" t="str">
        <f>MID(tbl_forecast[[#This Row],[PACE Job Number]],3,3)</f>
        <v>WSH</v>
      </c>
      <c r="C4037" t="s">
        <v>17</v>
      </c>
      <c r="D4037" s="1">
        <v>43434</v>
      </c>
      <c r="E4037" s="1">
        <v>43434</v>
      </c>
      <c r="F4037" s="1">
        <v>43430</v>
      </c>
      <c r="G4037" s="1"/>
      <c r="H4037" t="s">
        <v>9</v>
      </c>
      <c r="I4037" t="s">
        <v>27</v>
      </c>
    </row>
    <row r="4038" spans="1:9" x14ac:dyDescent="0.25">
      <c r="A4038" t="s">
        <v>5547</v>
      </c>
      <c r="B4038" s="26" t="str">
        <f>MID(tbl_forecast[[#This Row],[PACE Job Number]],3,3)</f>
        <v>NTX</v>
      </c>
      <c r="C4038" t="s">
        <v>17</v>
      </c>
      <c r="D4038" s="1">
        <v>43429</v>
      </c>
      <c r="E4038" s="1">
        <v>43429</v>
      </c>
      <c r="F4038" s="1">
        <v>43413</v>
      </c>
      <c r="G4038" s="1">
        <v>43413</v>
      </c>
      <c r="H4038" t="s">
        <v>9</v>
      </c>
      <c r="I4038" t="s">
        <v>10</v>
      </c>
    </row>
    <row r="4039" spans="1:9" x14ac:dyDescent="0.25">
      <c r="A4039" t="s">
        <v>4511</v>
      </c>
      <c r="B4039" s="26" t="str">
        <f>MID(tbl_forecast[[#This Row],[PACE Job Number]],3,3)</f>
        <v>NTX</v>
      </c>
      <c r="C4039" t="s">
        <v>17</v>
      </c>
      <c r="D4039" s="1">
        <v>43406</v>
      </c>
      <c r="E4039" s="1">
        <v>43404</v>
      </c>
      <c r="F4039" s="1">
        <v>43431</v>
      </c>
      <c r="G4039" s="1">
        <v>43431</v>
      </c>
      <c r="H4039" t="s">
        <v>4664</v>
      </c>
      <c r="I4039" t="s">
        <v>10</v>
      </c>
    </row>
    <row r="4040" spans="1:9" x14ac:dyDescent="0.25">
      <c r="A4040" t="s">
        <v>3980</v>
      </c>
      <c r="B4040" s="26" t="str">
        <f>MID(tbl_forecast[[#This Row],[PACE Job Number]],3,3)</f>
        <v>NTX</v>
      </c>
      <c r="C4040" t="s">
        <v>17</v>
      </c>
      <c r="D4040" s="1">
        <v>43408</v>
      </c>
      <c r="E4040" s="1">
        <v>43408</v>
      </c>
      <c r="F4040" s="1">
        <v>43420</v>
      </c>
      <c r="G4040" s="1">
        <v>43420</v>
      </c>
      <c r="H4040" t="s">
        <v>9</v>
      </c>
      <c r="I4040" t="s">
        <v>10</v>
      </c>
    </row>
    <row r="4041" spans="1:9" x14ac:dyDescent="0.25">
      <c r="A4041" t="s">
        <v>334</v>
      </c>
      <c r="B4041" s="26" t="str">
        <f>MID(tbl_forecast[[#This Row],[PACE Job Number]],3,3)</f>
        <v>WSH</v>
      </c>
      <c r="C4041" t="s">
        <v>17</v>
      </c>
      <c r="D4041" s="1">
        <v>43434</v>
      </c>
      <c r="E4041" s="1">
        <v>43434</v>
      </c>
      <c r="F4041" s="1">
        <v>43430</v>
      </c>
      <c r="G4041" s="1">
        <v>43430</v>
      </c>
      <c r="H4041" t="s">
        <v>9</v>
      </c>
      <c r="I4041" t="s">
        <v>10</v>
      </c>
    </row>
    <row r="4042" spans="1:9" x14ac:dyDescent="0.25">
      <c r="A4042" t="s">
        <v>3519</v>
      </c>
      <c r="B4042" s="26" t="str">
        <f>MID(tbl_forecast[[#This Row],[PACE Job Number]],3,3)</f>
        <v>WSH</v>
      </c>
      <c r="C4042" t="s">
        <v>17</v>
      </c>
      <c r="D4042" s="1">
        <v>43434</v>
      </c>
      <c r="E4042" s="1">
        <v>43434</v>
      </c>
      <c r="F4042" s="1">
        <v>43430</v>
      </c>
      <c r="G4042" s="1">
        <v>43430</v>
      </c>
      <c r="H4042" t="s">
        <v>9</v>
      </c>
      <c r="I4042" t="s">
        <v>10</v>
      </c>
    </row>
    <row r="4043" spans="1:9" x14ac:dyDescent="0.25">
      <c r="A4043" t="s">
        <v>4541</v>
      </c>
      <c r="B4043" s="26" t="str">
        <f>MID(tbl_forecast[[#This Row],[PACE Job Number]],3,3)</f>
        <v>WSH</v>
      </c>
      <c r="C4043" t="s">
        <v>17</v>
      </c>
      <c r="D4043" s="1">
        <v>43434</v>
      </c>
      <c r="E4043" s="1">
        <v>43434</v>
      </c>
      <c r="F4043" s="1">
        <v>43434</v>
      </c>
      <c r="G4043" s="1"/>
      <c r="H4043" t="s">
        <v>9</v>
      </c>
      <c r="I4043" t="s">
        <v>27</v>
      </c>
    </row>
    <row r="4044" spans="1:9" x14ac:dyDescent="0.25">
      <c r="A4044" t="s">
        <v>3924</v>
      </c>
      <c r="B4044" s="26" t="str">
        <f>MID(tbl_forecast[[#This Row],[PACE Job Number]],3,3)</f>
        <v>WSH</v>
      </c>
      <c r="C4044" t="s">
        <v>17</v>
      </c>
      <c r="D4044" s="1">
        <v>43434</v>
      </c>
      <c r="E4044" s="1">
        <v>43434</v>
      </c>
      <c r="F4044" s="1">
        <v>43434</v>
      </c>
      <c r="G4044" s="1"/>
      <c r="H4044" t="s">
        <v>9</v>
      </c>
      <c r="I4044" t="s">
        <v>27</v>
      </c>
    </row>
    <row r="4045" spans="1:9" x14ac:dyDescent="0.25">
      <c r="A4045" t="s">
        <v>3456</v>
      </c>
      <c r="B4045" s="26" t="str">
        <f>MID(tbl_forecast[[#This Row],[PACE Job Number]],3,3)</f>
        <v>WSH</v>
      </c>
      <c r="C4045" t="s">
        <v>17</v>
      </c>
      <c r="D4045" s="1">
        <v>43434</v>
      </c>
      <c r="E4045" s="1">
        <v>43434</v>
      </c>
      <c r="F4045" s="1">
        <v>43434</v>
      </c>
      <c r="G4045" s="1"/>
      <c r="H4045" t="s">
        <v>9</v>
      </c>
      <c r="I4045" t="s">
        <v>27</v>
      </c>
    </row>
    <row r="4046" spans="1:9" x14ac:dyDescent="0.25">
      <c r="A4046" t="s">
        <v>3432</v>
      </c>
      <c r="B4046" s="26" t="str">
        <f>MID(tbl_forecast[[#This Row],[PACE Job Number]],3,3)</f>
        <v>WSH</v>
      </c>
      <c r="C4046" t="s">
        <v>17</v>
      </c>
      <c r="D4046" s="1">
        <v>43434</v>
      </c>
      <c r="E4046" s="1">
        <v>43434</v>
      </c>
      <c r="F4046" s="1">
        <v>43434</v>
      </c>
      <c r="G4046" s="1"/>
      <c r="H4046" t="s">
        <v>9</v>
      </c>
      <c r="I4046" t="s">
        <v>27</v>
      </c>
    </row>
    <row r="4047" spans="1:9" x14ac:dyDescent="0.25">
      <c r="A4047" t="s">
        <v>85</v>
      </c>
      <c r="B4047" s="26" t="str">
        <f>MID(tbl_forecast[[#This Row],[PACE Job Number]],3,3)</f>
        <v>WSH</v>
      </c>
      <c r="C4047" t="s">
        <v>17</v>
      </c>
      <c r="D4047" s="1">
        <v>43413</v>
      </c>
      <c r="E4047" s="1">
        <v>43413</v>
      </c>
      <c r="F4047" s="1">
        <v>43411</v>
      </c>
      <c r="G4047" s="1">
        <v>43411</v>
      </c>
      <c r="H4047" t="s">
        <v>9</v>
      </c>
      <c r="I4047" t="s">
        <v>10</v>
      </c>
    </row>
    <row r="4048" spans="1:9" x14ac:dyDescent="0.25">
      <c r="A4048" t="s">
        <v>4252</v>
      </c>
      <c r="B4048" s="26" t="str">
        <f>MID(tbl_forecast[[#This Row],[PACE Job Number]],3,3)</f>
        <v>WSH</v>
      </c>
      <c r="C4048" t="s">
        <v>17</v>
      </c>
      <c r="D4048" s="1">
        <v>43434</v>
      </c>
      <c r="E4048" s="1">
        <v>43434</v>
      </c>
      <c r="F4048" s="1">
        <v>43434</v>
      </c>
      <c r="G4048" s="1"/>
      <c r="H4048" t="s">
        <v>9</v>
      </c>
      <c r="I4048" t="s">
        <v>27</v>
      </c>
    </row>
    <row r="4049" spans="1:9" x14ac:dyDescent="0.25">
      <c r="A4049" t="s">
        <v>5619</v>
      </c>
      <c r="B4049" s="26" t="str">
        <f>MID(tbl_forecast[[#This Row],[PACE Job Number]],3,3)</f>
        <v>WSH</v>
      </c>
      <c r="C4049" t="s">
        <v>17</v>
      </c>
      <c r="D4049" s="1">
        <v>43406</v>
      </c>
      <c r="E4049" s="1">
        <v>43406</v>
      </c>
      <c r="F4049" s="1">
        <v>43418</v>
      </c>
      <c r="G4049" s="1">
        <v>43418</v>
      </c>
      <c r="H4049" t="s">
        <v>9</v>
      </c>
      <c r="I4049" t="s">
        <v>10</v>
      </c>
    </row>
    <row r="4050" spans="1:9" x14ac:dyDescent="0.25">
      <c r="A4050" t="s">
        <v>107</v>
      </c>
      <c r="B4050" s="26" t="str">
        <f>MID(tbl_forecast[[#This Row],[PACE Job Number]],3,3)</f>
        <v>WSH</v>
      </c>
      <c r="C4050" t="s">
        <v>17</v>
      </c>
      <c r="D4050" s="1">
        <v>43434</v>
      </c>
      <c r="E4050" s="1">
        <v>43434</v>
      </c>
      <c r="F4050" s="1">
        <v>43419</v>
      </c>
      <c r="G4050" s="1">
        <v>43419</v>
      </c>
      <c r="H4050" t="s">
        <v>9</v>
      </c>
      <c r="I4050" t="s">
        <v>10</v>
      </c>
    </row>
    <row r="4051" spans="1:9" x14ac:dyDescent="0.25">
      <c r="A4051" t="s">
        <v>4255</v>
      </c>
      <c r="B4051" s="26" t="str">
        <f>MID(tbl_forecast[[#This Row],[PACE Job Number]],3,3)</f>
        <v>WSH</v>
      </c>
      <c r="C4051" t="s">
        <v>17</v>
      </c>
      <c r="D4051" s="1">
        <v>43434</v>
      </c>
      <c r="E4051" s="1">
        <v>43434</v>
      </c>
      <c r="F4051" s="1">
        <v>43434</v>
      </c>
      <c r="G4051" s="1"/>
      <c r="H4051" t="s">
        <v>9</v>
      </c>
      <c r="I4051" t="s">
        <v>27</v>
      </c>
    </row>
    <row r="4052" spans="1:9" x14ac:dyDescent="0.25">
      <c r="A4052" t="s">
        <v>4258</v>
      </c>
      <c r="B4052" s="26" t="str">
        <f>MID(tbl_forecast[[#This Row],[PACE Job Number]],3,3)</f>
        <v>WSH</v>
      </c>
      <c r="C4052" t="s">
        <v>17</v>
      </c>
      <c r="D4052" s="1">
        <v>43434</v>
      </c>
      <c r="E4052" s="1">
        <v>43434</v>
      </c>
      <c r="F4052" s="1">
        <v>43434</v>
      </c>
      <c r="G4052" s="1"/>
      <c r="H4052" t="s">
        <v>9</v>
      </c>
      <c r="I4052" t="s">
        <v>27</v>
      </c>
    </row>
    <row r="4053" spans="1:9" x14ac:dyDescent="0.25">
      <c r="A4053" t="s">
        <v>4648</v>
      </c>
      <c r="B4053" s="26" t="str">
        <f>MID(tbl_forecast[[#This Row],[PACE Job Number]],3,3)</f>
        <v>WSH</v>
      </c>
      <c r="C4053" t="s">
        <v>17</v>
      </c>
      <c r="D4053" s="1">
        <v>43413</v>
      </c>
      <c r="E4053" s="1">
        <v>43413</v>
      </c>
      <c r="F4053" s="1">
        <v>43430</v>
      </c>
      <c r="G4053" s="1">
        <v>43430</v>
      </c>
      <c r="H4053" t="s">
        <v>4664</v>
      </c>
      <c r="I4053" t="s">
        <v>10</v>
      </c>
    </row>
    <row r="4054" spans="1:9" x14ac:dyDescent="0.25">
      <c r="A4054" t="s">
        <v>488</v>
      </c>
      <c r="B4054" s="26" t="str">
        <f>MID(tbl_forecast[[#This Row],[PACE Job Number]],3,3)</f>
        <v>WSH</v>
      </c>
      <c r="C4054" t="s">
        <v>17</v>
      </c>
      <c r="D4054" s="1">
        <v>43434</v>
      </c>
      <c r="E4054" s="1">
        <v>43434</v>
      </c>
      <c r="F4054" s="1">
        <v>43423</v>
      </c>
      <c r="G4054" s="1">
        <v>43423</v>
      </c>
      <c r="H4054" t="s">
        <v>9</v>
      </c>
      <c r="I4054" t="s">
        <v>10</v>
      </c>
    </row>
    <row r="4055" spans="1:9" x14ac:dyDescent="0.25">
      <c r="A4055" t="s">
        <v>4366</v>
      </c>
      <c r="B4055" s="26" t="str">
        <f>MID(tbl_forecast[[#This Row],[PACE Job Number]],3,3)</f>
        <v>STX</v>
      </c>
      <c r="C4055" t="s">
        <v>17</v>
      </c>
      <c r="D4055" s="1">
        <v>43419</v>
      </c>
      <c r="E4055" s="1">
        <v>43453</v>
      </c>
      <c r="F4055" s="1">
        <v>43419</v>
      </c>
      <c r="G4055" s="1"/>
      <c r="H4055" t="s">
        <v>9</v>
      </c>
      <c r="I4055" t="s">
        <v>44</v>
      </c>
    </row>
    <row r="4056" spans="1:9" x14ac:dyDescent="0.25">
      <c r="A4056" t="s">
        <v>389</v>
      </c>
      <c r="B4056" s="26" t="str">
        <f>MID(tbl_forecast[[#This Row],[PACE Job Number]],3,3)</f>
        <v>STX</v>
      </c>
      <c r="C4056" t="s">
        <v>17</v>
      </c>
      <c r="D4056" s="1">
        <v>43419</v>
      </c>
      <c r="E4056" s="1">
        <v>43440</v>
      </c>
      <c r="F4056" s="1">
        <v>43432</v>
      </c>
      <c r="G4056" s="1">
        <v>43432</v>
      </c>
      <c r="H4056" t="s">
        <v>9</v>
      </c>
      <c r="I4056" t="s">
        <v>10</v>
      </c>
    </row>
    <row r="4057" spans="1:9" x14ac:dyDescent="0.25">
      <c r="A4057" t="s">
        <v>4367</v>
      </c>
      <c r="B4057" s="26" t="str">
        <f>MID(tbl_forecast[[#This Row],[PACE Job Number]],3,3)</f>
        <v>STX</v>
      </c>
      <c r="C4057" t="s">
        <v>17</v>
      </c>
      <c r="D4057" s="1">
        <v>43419</v>
      </c>
      <c r="E4057" s="1">
        <v>43453</v>
      </c>
      <c r="F4057" s="1">
        <v>43419</v>
      </c>
      <c r="G4057" s="1"/>
      <c r="H4057" t="s">
        <v>9</v>
      </c>
      <c r="I4057" t="s">
        <v>44</v>
      </c>
    </row>
    <row r="4058" spans="1:9" x14ac:dyDescent="0.25">
      <c r="A4058" t="s">
        <v>515</v>
      </c>
      <c r="B4058" s="26" t="str">
        <f>MID(tbl_forecast[[#This Row],[PACE Job Number]],3,3)</f>
        <v>STX</v>
      </c>
      <c r="C4058" t="s">
        <v>17</v>
      </c>
      <c r="D4058" s="1">
        <v>43405</v>
      </c>
      <c r="E4058" s="1">
        <v>43424</v>
      </c>
      <c r="F4058" s="1">
        <v>43405</v>
      </c>
      <c r="G4058" s="1">
        <v>43405</v>
      </c>
      <c r="H4058" t="s">
        <v>9</v>
      </c>
      <c r="I4058" t="s">
        <v>10</v>
      </c>
    </row>
    <row r="4059" spans="1:9" x14ac:dyDescent="0.25">
      <c r="A4059" t="s">
        <v>662</v>
      </c>
      <c r="B4059" s="26" t="str">
        <f>MID(tbl_forecast[[#This Row],[PACE Job Number]],3,3)</f>
        <v>STX</v>
      </c>
      <c r="C4059" t="s">
        <v>17</v>
      </c>
      <c r="D4059" s="1">
        <v>43405</v>
      </c>
      <c r="E4059" s="1">
        <v>43403</v>
      </c>
      <c r="F4059" s="1">
        <v>43405</v>
      </c>
      <c r="G4059" s="1">
        <v>43405</v>
      </c>
      <c r="H4059" t="s">
        <v>9</v>
      </c>
      <c r="I4059" t="s">
        <v>10</v>
      </c>
    </row>
    <row r="4060" spans="1:9" x14ac:dyDescent="0.25">
      <c r="A4060" t="s">
        <v>3543</v>
      </c>
      <c r="B4060" s="26" t="str">
        <f>MID(tbl_forecast[[#This Row],[PACE Job Number]],3,3)</f>
        <v>STX</v>
      </c>
      <c r="C4060" t="s">
        <v>17</v>
      </c>
      <c r="D4060" s="1">
        <v>43419</v>
      </c>
      <c r="E4060" s="1">
        <v>43373</v>
      </c>
      <c r="F4060" s="1">
        <v>43419</v>
      </c>
      <c r="G4060" s="1"/>
      <c r="H4060" t="s">
        <v>9</v>
      </c>
      <c r="I4060" t="s">
        <v>27</v>
      </c>
    </row>
    <row r="4061" spans="1:9" x14ac:dyDescent="0.25">
      <c r="A4061" t="s">
        <v>4368</v>
      </c>
      <c r="B4061" s="26" t="str">
        <f>MID(tbl_forecast[[#This Row],[PACE Job Number]],3,3)</f>
        <v>STX</v>
      </c>
      <c r="C4061" t="s">
        <v>17</v>
      </c>
      <c r="D4061" s="1">
        <v>43434</v>
      </c>
      <c r="E4061" s="1">
        <v>43434</v>
      </c>
      <c r="F4061" s="1">
        <v>43411</v>
      </c>
      <c r="G4061" s="1">
        <v>43411</v>
      </c>
      <c r="H4061" t="s">
        <v>9</v>
      </c>
      <c r="I4061" t="s">
        <v>10</v>
      </c>
    </row>
    <row r="4062" spans="1:9" x14ac:dyDescent="0.25">
      <c r="A4062" t="s">
        <v>3520</v>
      </c>
      <c r="B4062" s="26" t="str">
        <f>MID(tbl_forecast[[#This Row],[PACE Job Number]],3,3)</f>
        <v>STX</v>
      </c>
      <c r="C4062" t="s">
        <v>17</v>
      </c>
      <c r="D4062" s="1">
        <v>43434</v>
      </c>
      <c r="E4062" s="1">
        <v>43434</v>
      </c>
      <c r="F4062" s="1">
        <v>43434</v>
      </c>
      <c r="G4062" s="1"/>
      <c r="H4062" t="s">
        <v>9</v>
      </c>
      <c r="I4062" t="s">
        <v>27</v>
      </c>
    </row>
    <row r="4063" spans="1:9" x14ac:dyDescent="0.25">
      <c r="A4063" t="s">
        <v>4197</v>
      </c>
      <c r="B4063" s="26" t="str">
        <f>MID(tbl_forecast[[#This Row],[PACE Job Number]],3,3)</f>
        <v>WSH</v>
      </c>
      <c r="C4063" t="s">
        <v>17</v>
      </c>
      <c r="D4063" s="1">
        <v>43434</v>
      </c>
      <c r="E4063" s="1">
        <v>43434</v>
      </c>
      <c r="F4063" s="1">
        <v>43434</v>
      </c>
      <c r="G4063" s="1"/>
      <c r="H4063" t="s">
        <v>9</v>
      </c>
      <c r="I4063" t="s">
        <v>27</v>
      </c>
    </row>
    <row r="4064" spans="1:9" x14ac:dyDescent="0.25">
      <c r="A4064" t="s">
        <v>1768</v>
      </c>
      <c r="B4064" s="26" t="str">
        <f>MID(tbl_forecast[[#This Row],[PACE Job Number]],3,3)</f>
        <v>NTX</v>
      </c>
      <c r="C4064" t="s">
        <v>17</v>
      </c>
      <c r="D4064" s="1">
        <v>43413</v>
      </c>
      <c r="E4064" s="1">
        <v>43518</v>
      </c>
      <c r="F4064" s="1">
        <v>43518</v>
      </c>
      <c r="G4064" s="1"/>
      <c r="H4064" t="s">
        <v>4664</v>
      </c>
      <c r="I4064" t="s">
        <v>5645</v>
      </c>
    </row>
    <row r="4065" spans="1:9" x14ac:dyDescent="0.25">
      <c r="A4065" t="s">
        <v>3482</v>
      </c>
      <c r="B4065" s="26" t="str">
        <f>MID(tbl_forecast[[#This Row],[PACE Job Number]],3,3)</f>
        <v>NTX</v>
      </c>
      <c r="C4065" t="s">
        <v>17</v>
      </c>
      <c r="D4065" s="1">
        <v>43426</v>
      </c>
      <c r="E4065" s="1">
        <v>43426</v>
      </c>
      <c r="F4065" s="1">
        <v>43413</v>
      </c>
      <c r="G4065" s="1">
        <v>43413</v>
      </c>
      <c r="H4065" t="s">
        <v>9</v>
      </c>
      <c r="I4065" t="s">
        <v>10</v>
      </c>
    </row>
    <row r="4066" spans="1:9" x14ac:dyDescent="0.25">
      <c r="A4066" t="s">
        <v>1882</v>
      </c>
      <c r="B4066" s="26" t="str">
        <f>MID(tbl_forecast[[#This Row],[PACE Job Number]],3,3)</f>
        <v>NTX</v>
      </c>
      <c r="C4066" t="s">
        <v>17</v>
      </c>
      <c r="D4066" s="1">
        <v>43406</v>
      </c>
      <c r="E4066" s="1">
        <v>43442</v>
      </c>
      <c r="F4066" s="1">
        <v>43406</v>
      </c>
      <c r="G4066" s="1">
        <v>43406</v>
      </c>
      <c r="H4066" t="s">
        <v>9</v>
      </c>
      <c r="I4066" t="s">
        <v>10</v>
      </c>
    </row>
    <row r="4067" spans="1:9" x14ac:dyDescent="0.25">
      <c r="A4067" t="s">
        <v>4635</v>
      </c>
      <c r="B4067" s="26" t="str">
        <f>MID(tbl_forecast[[#This Row],[PACE Job Number]],3,3)</f>
        <v>NTX</v>
      </c>
      <c r="C4067" t="s">
        <v>17</v>
      </c>
      <c r="D4067" s="1">
        <v>43422</v>
      </c>
      <c r="E4067" s="1">
        <v>43422</v>
      </c>
      <c r="F4067" s="1">
        <v>43410</v>
      </c>
      <c r="G4067" s="1">
        <v>43410</v>
      </c>
      <c r="H4067" t="s">
        <v>9</v>
      </c>
      <c r="I4067" t="s">
        <v>10</v>
      </c>
    </row>
    <row r="4068" spans="1:9" x14ac:dyDescent="0.25">
      <c r="A4068" t="s">
        <v>2462</v>
      </c>
      <c r="B4068" s="26" t="str">
        <f>MID(tbl_forecast[[#This Row],[PACE Job Number]],3,3)</f>
        <v>NTX</v>
      </c>
      <c r="C4068" t="s">
        <v>17</v>
      </c>
      <c r="D4068" s="1">
        <v>43430</v>
      </c>
      <c r="E4068" s="1">
        <v>43410</v>
      </c>
      <c r="F4068" s="1">
        <v>43430</v>
      </c>
      <c r="G4068" s="1"/>
      <c r="H4068" t="s">
        <v>9</v>
      </c>
      <c r="I4068" t="s">
        <v>27</v>
      </c>
    </row>
    <row r="4069" spans="1:9" x14ac:dyDescent="0.25">
      <c r="A4069" t="s">
        <v>3466</v>
      </c>
      <c r="B4069" s="26" t="str">
        <f>MID(tbl_forecast[[#This Row],[PACE Job Number]],3,3)</f>
        <v>NTX</v>
      </c>
      <c r="C4069" t="s">
        <v>17</v>
      </c>
      <c r="D4069" s="1">
        <v>43408</v>
      </c>
      <c r="E4069" s="1">
        <v>43408</v>
      </c>
      <c r="F4069" s="1">
        <v>43423</v>
      </c>
      <c r="G4069" s="1">
        <v>43423</v>
      </c>
      <c r="H4069" t="s">
        <v>4664</v>
      </c>
      <c r="I4069" t="s">
        <v>10</v>
      </c>
    </row>
    <row r="4070" spans="1:9" x14ac:dyDescent="0.25">
      <c r="A4070" t="s">
        <v>5620</v>
      </c>
      <c r="B4070" s="26" t="str">
        <f>MID(tbl_forecast[[#This Row],[PACE Job Number]],3,3)</f>
        <v>NTX</v>
      </c>
      <c r="C4070" t="s">
        <v>17</v>
      </c>
      <c r="D4070" s="1">
        <v>43434</v>
      </c>
      <c r="E4070" s="1">
        <v>43434</v>
      </c>
      <c r="F4070" s="1">
        <v>43432</v>
      </c>
      <c r="G4070" s="1"/>
      <c r="H4070" t="s">
        <v>9</v>
      </c>
      <c r="I4070" t="s">
        <v>27</v>
      </c>
    </row>
    <row r="4071" spans="1:9" x14ac:dyDescent="0.25">
      <c r="A4071" t="s">
        <v>665</v>
      </c>
      <c r="B4071" s="26" t="str">
        <f>MID(tbl_forecast[[#This Row],[PACE Job Number]],3,3)</f>
        <v>NTX</v>
      </c>
      <c r="C4071" t="s">
        <v>17</v>
      </c>
      <c r="D4071" s="1">
        <v>43434</v>
      </c>
      <c r="E4071" s="1">
        <v>43434</v>
      </c>
      <c r="F4071" s="1">
        <v>43420</v>
      </c>
      <c r="G4071" s="1">
        <v>43420</v>
      </c>
      <c r="H4071" t="s">
        <v>9</v>
      </c>
      <c r="I4071" t="s">
        <v>10</v>
      </c>
    </row>
    <row r="4072" spans="1:9" x14ac:dyDescent="0.25">
      <c r="A4072" t="s">
        <v>4636</v>
      </c>
      <c r="B4072" s="26" t="str">
        <f>MID(tbl_forecast[[#This Row],[PACE Job Number]],3,3)</f>
        <v>NTX</v>
      </c>
      <c r="C4072" t="s">
        <v>17</v>
      </c>
      <c r="D4072" s="1">
        <v>43431</v>
      </c>
      <c r="E4072" s="1">
        <v>43431</v>
      </c>
      <c r="F4072" s="1">
        <v>43431</v>
      </c>
      <c r="G4072" s="1"/>
      <c r="H4072" t="s">
        <v>9</v>
      </c>
      <c r="I4072" t="s">
        <v>27</v>
      </c>
    </row>
    <row r="4073" spans="1:9" x14ac:dyDescent="0.25">
      <c r="A4073" t="s">
        <v>3905</v>
      </c>
      <c r="B4073" s="26" t="str">
        <f>MID(tbl_forecast[[#This Row],[PACE Job Number]],3,3)</f>
        <v>NTX</v>
      </c>
      <c r="C4073" t="s">
        <v>17</v>
      </c>
      <c r="D4073" s="1">
        <v>43408</v>
      </c>
      <c r="E4073" s="1">
        <v>43408</v>
      </c>
      <c r="F4073" s="1">
        <v>43408</v>
      </c>
      <c r="G4073" s="1"/>
      <c r="H4073" t="s">
        <v>9</v>
      </c>
      <c r="I4073" t="s">
        <v>27</v>
      </c>
    </row>
    <row r="4074" spans="1:9" x14ac:dyDescent="0.25">
      <c r="A4074" t="s">
        <v>2464</v>
      </c>
      <c r="B4074" s="26" t="str">
        <f>MID(tbl_forecast[[#This Row],[PACE Job Number]],3,3)</f>
        <v>NTX</v>
      </c>
      <c r="C4074" t="s">
        <v>17</v>
      </c>
      <c r="D4074" s="1">
        <v>43408</v>
      </c>
      <c r="E4074" s="1">
        <v>43408</v>
      </c>
      <c r="F4074" s="1">
        <v>43410</v>
      </c>
      <c r="G4074" s="1">
        <v>43410</v>
      </c>
      <c r="H4074" t="s">
        <v>9</v>
      </c>
      <c r="I4074" t="s">
        <v>10</v>
      </c>
    </row>
    <row r="4075" spans="1:9" x14ac:dyDescent="0.25">
      <c r="A4075" t="s">
        <v>4654</v>
      </c>
      <c r="B4075" s="26" t="str">
        <f>MID(tbl_forecast[[#This Row],[PACE Job Number]],3,3)</f>
        <v>STX</v>
      </c>
      <c r="C4075" t="s">
        <v>17</v>
      </c>
      <c r="D4075" s="1">
        <v>43405</v>
      </c>
      <c r="E4075" s="1">
        <v>43403</v>
      </c>
      <c r="F4075" s="1">
        <v>43405</v>
      </c>
      <c r="G4075" s="1">
        <v>43405</v>
      </c>
      <c r="H4075" t="s">
        <v>9</v>
      </c>
      <c r="I4075" t="s">
        <v>10</v>
      </c>
    </row>
    <row r="4076" spans="1:9" x14ac:dyDescent="0.25">
      <c r="A4076" t="s">
        <v>4557</v>
      </c>
      <c r="B4076" s="26" t="str">
        <f>MID(tbl_forecast[[#This Row],[PACE Job Number]],3,3)</f>
        <v>STX</v>
      </c>
      <c r="C4076" t="s">
        <v>17</v>
      </c>
      <c r="D4076" s="1">
        <v>43405</v>
      </c>
      <c r="E4076" s="1">
        <v>43434</v>
      </c>
      <c r="F4076" s="1">
        <v>43405</v>
      </c>
      <c r="G4076" s="1">
        <v>43405</v>
      </c>
      <c r="H4076" t="s">
        <v>9</v>
      </c>
      <c r="I4076" t="s">
        <v>10</v>
      </c>
    </row>
    <row r="4077" spans="1:9" x14ac:dyDescent="0.25">
      <c r="A4077" t="s">
        <v>4486</v>
      </c>
      <c r="B4077" s="26" t="str">
        <f>MID(tbl_forecast[[#This Row],[PACE Job Number]],3,3)</f>
        <v>STX</v>
      </c>
      <c r="C4077" t="s">
        <v>17</v>
      </c>
      <c r="D4077" s="1">
        <v>43434</v>
      </c>
      <c r="E4077" s="1">
        <v>43434</v>
      </c>
      <c r="F4077" s="1">
        <v>43431</v>
      </c>
      <c r="G4077" s="1">
        <v>43431</v>
      </c>
      <c r="H4077" t="s">
        <v>9</v>
      </c>
      <c r="I4077" t="s">
        <v>10</v>
      </c>
    </row>
    <row r="4078" spans="1:9" x14ac:dyDescent="0.25">
      <c r="A4078" t="s">
        <v>4487</v>
      </c>
      <c r="B4078" s="26" t="str">
        <f>MID(tbl_forecast[[#This Row],[PACE Job Number]],3,3)</f>
        <v>STX</v>
      </c>
      <c r="C4078" t="s">
        <v>17</v>
      </c>
      <c r="D4078" s="1">
        <v>43434</v>
      </c>
      <c r="E4078" s="1">
        <v>43434</v>
      </c>
      <c r="F4078" s="1">
        <v>43411</v>
      </c>
      <c r="G4078" s="1">
        <v>43411</v>
      </c>
      <c r="H4078" t="s">
        <v>9</v>
      </c>
      <c r="I4078" t="s">
        <v>10</v>
      </c>
    </row>
    <row r="4079" spans="1:9" x14ac:dyDescent="0.25">
      <c r="A4079" t="s">
        <v>224</v>
      </c>
      <c r="B4079" s="26" t="str">
        <f>MID(tbl_forecast[[#This Row],[PACE Job Number]],3,3)</f>
        <v>NTX</v>
      </c>
      <c r="C4079" t="s">
        <v>17</v>
      </c>
      <c r="D4079" s="1">
        <v>43405</v>
      </c>
      <c r="E4079" s="1">
        <v>43399</v>
      </c>
      <c r="F4079" s="1">
        <v>43405</v>
      </c>
      <c r="G4079" s="1">
        <v>43405</v>
      </c>
      <c r="H4079" t="s">
        <v>9</v>
      </c>
      <c r="I4079" t="s">
        <v>10</v>
      </c>
    </row>
    <row r="4080" spans="1:9" x14ac:dyDescent="0.25">
      <c r="A4080" t="s">
        <v>1781</v>
      </c>
      <c r="B4080" s="26" t="str">
        <f>MID(tbl_forecast[[#This Row],[PACE Job Number]],3,3)</f>
        <v>NTX</v>
      </c>
      <c r="C4080" t="s">
        <v>17</v>
      </c>
      <c r="D4080" s="1">
        <v>43406</v>
      </c>
      <c r="E4080" s="1">
        <v>43442</v>
      </c>
      <c r="F4080" s="1">
        <v>43406</v>
      </c>
      <c r="G4080" s="1">
        <v>43406</v>
      </c>
      <c r="H4080" t="s">
        <v>9</v>
      </c>
      <c r="I4080" t="s">
        <v>10</v>
      </c>
    </row>
    <row r="4081" spans="1:9" x14ac:dyDescent="0.25">
      <c r="A4081" t="s">
        <v>4516</v>
      </c>
      <c r="B4081" s="26" t="str">
        <f>MID(tbl_forecast[[#This Row],[PACE Job Number]],3,3)</f>
        <v>NTX</v>
      </c>
      <c r="C4081" t="s">
        <v>17</v>
      </c>
      <c r="D4081" s="1">
        <v>43408</v>
      </c>
      <c r="E4081" s="1">
        <v>43408</v>
      </c>
      <c r="F4081" s="1">
        <v>43413</v>
      </c>
      <c r="G4081" s="1">
        <v>43413</v>
      </c>
      <c r="H4081" t="s">
        <v>9</v>
      </c>
      <c r="I4081" t="s">
        <v>10</v>
      </c>
    </row>
    <row r="4082" spans="1:9" x14ac:dyDescent="0.25">
      <c r="A4082" t="s">
        <v>4517</v>
      </c>
      <c r="B4082" s="26" t="str">
        <f>MID(tbl_forecast[[#This Row],[PACE Job Number]],3,3)</f>
        <v>NTX</v>
      </c>
      <c r="C4082" t="s">
        <v>17</v>
      </c>
      <c r="D4082" s="1">
        <v>43408</v>
      </c>
      <c r="E4082" s="1">
        <v>43408</v>
      </c>
      <c r="F4082" s="1">
        <v>43413</v>
      </c>
      <c r="G4082" s="1">
        <v>43413</v>
      </c>
      <c r="H4082" t="s">
        <v>9</v>
      </c>
      <c r="I4082" t="s">
        <v>10</v>
      </c>
    </row>
    <row r="4083" spans="1:9" x14ac:dyDescent="0.25">
      <c r="A4083" t="s">
        <v>667</v>
      </c>
      <c r="B4083" s="26" t="str">
        <f>MID(tbl_forecast[[#This Row],[PACE Job Number]],3,3)</f>
        <v>NTX</v>
      </c>
      <c r="C4083" t="s">
        <v>17</v>
      </c>
      <c r="D4083" s="1">
        <v>43408</v>
      </c>
      <c r="E4083" s="1">
        <v>43408</v>
      </c>
      <c r="F4083" s="1">
        <v>43408</v>
      </c>
      <c r="G4083" s="1"/>
      <c r="H4083" t="s">
        <v>9</v>
      </c>
      <c r="I4083" t="s">
        <v>27</v>
      </c>
    </row>
    <row r="4084" spans="1:9" x14ac:dyDescent="0.25">
      <c r="A4084" t="s">
        <v>5621</v>
      </c>
      <c r="B4084" s="26" t="str">
        <f>MID(tbl_forecast[[#This Row],[PACE Job Number]],3,3)</f>
        <v>NTX</v>
      </c>
      <c r="C4084" t="s">
        <v>17</v>
      </c>
      <c r="D4084" s="1">
        <v>43427</v>
      </c>
      <c r="E4084" s="1" t="s">
        <v>5646</v>
      </c>
      <c r="F4084" s="1" t="s">
        <v>5646</v>
      </c>
      <c r="G4084" s="1" t="s">
        <v>5646</v>
      </c>
      <c r="H4084" t="s">
        <v>5647</v>
      </c>
      <c r="I4084" t="s">
        <v>27</v>
      </c>
    </row>
    <row r="4085" spans="1:9" x14ac:dyDescent="0.25">
      <c r="A4085" t="s">
        <v>447</v>
      </c>
      <c r="B4085" s="26" t="str">
        <f>MID(tbl_forecast[[#This Row],[PACE Job Number]],3,3)</f>
        <v>WSH</v>
      </c>
      <c r="C4085" t="s">
        <v>17</v>
      </c>
      <c r="D4085" s="1">
        <v>43434</v>
      </c>
      <c r="E4085" s="1">
        <v>43434</v>
      </c>
      <c r="F4085" s="1">
        <v>43423</v>
      </c>
      <c r="G4085" s="1">
        <v>43423</v>
      </c>
      <c r="H4085" t="s">
        <v>9</v>
      </c>
      <c r="I4085" t="s">
        <v>10</v>
      </c>
    </row>
    <row r="4086" spans="1:9" x14ac:dyDescent="0.25">
      <c r="A4086" t="s">
        <v>207</v>
      </c>
      <c r="B4086" s="26" t="str">
        <f>MID(tbl_forecast[[#This Row],[PACE Job Number]],3,3)</f>
        <v>WSH</v>
      </c>
      <c r="C4086" t="s">
        <v>17</v>
      </c>
      <c r="D4086" s="1">
        <v>43434</v>
      </c>
      <c r="E4086" s="1">
        <v>43434</v>
      </c>
      <c r="F4086" s="1">
        <v>43430</v>
      </c>
      <c r="G4086" s="1">
        <v>43430</v>
      </c>
      <c r="H4086" t="s">
        <v>9</v>
      </c>
      <c r="I4086" t="s">
        <v>10</v>
      </c>
    </row>
    <row r="4087" spans="1:9" x14ac:dyDescent="0.25">
      <c r="A4087" t="s">
        <v>3435</v>
      </c>
      <c r="B4087" s="26" t="str">
        <f>MID(tbl_forecast[[#This Row],[PACE Job Number]],3,3)</f>
        <v>WSH</v>
      </c>
      <c r="C4087" t="s">
        <v>17</v>
      </c>
      <c r="D4087" s="1">
        <v>43434</v>
      </c>
      <c r="E4087" s="1">
        <v>43434</v>
      </c>
      <c r="F4087" s="1">
        <v>43434</v>
      </c>
      <c r="G4087" s="1"/>
      <c r="H4087" t="s">
        <v>9</v>
      </c>
      <c r="I4087" t="s">
        <v>27</v>
      </c>
    </row>
    <row r="4088" spans="1:9" x14ac:dyDescent="0.25">
      <c r="A4088" t="s">
        <v>4198</v>
      </c>
      <c r="B4088" s="26" t="str">
        <f>MID(tbl_forecast[[#This Row],[PACE Job Number]],3,3)</f>
        <v>WSH</v>
      </c>
      <c r="C4088" t="s">
        <v>17</v>
      </c>
      <c r="D4088" s="1">
        <v>43434</v>
      </c>
      <c r="E4088" s="1">
        <v>43434</v>
      </c>
      <c r="F4088" s="1">
        <v>43432</v>
      </c>
      <c r="G4088" s="1">
        <v>43432</v>
      </c>
      <c r="H4088" t="s">
        <v>9</v>
      </c>
      <c r="I4088" t="s">
        <v>10</v>
      </c>
    </row>
    <row r="4089" spans="1:9" x14ac:dyDescent="0.25">
      <c r="A4089" t="s">
        <v>29</v>
      </c>
      <c r="B4089" s="26" t="str">
        <f>MID(tbl_forecast[[#This Row],[PACE Job Number]],3,3)</f>
        <v>WSH</v>
      </c>
      <c r="C4089" t="s">
        <v>17</v>
      </c>
      <c r="D4089" s="1">
        <v>43420</v>
      </c>
      <c r="E4089" s="1">
        <v>43420</v>
      </c>
      <c r="F4089" s="1">
        <v>43419</v>
      </c>
      <c r="G4089" s="1">
        <v>43419</v>
      </c>
      <c r="H4089" t="s">
        <v>9</v>
      </c>
      <c r="I4089" t="s">
        <v>10</v>
      </c>
    </row>
    <row r="4090" spans="1:9" x14ac:dyDescent="0.25">
      <c r="A4090" t="s">
        <v>364</v>
      </c>
      <c r="B4090" s="26" t="str">
        <f>MID(tbl_forecast[[#This Row],[PACE Job Number]],3,3)</f>
        <v>WSH</v>
      </c>
      <c r="C4090" t="s">
        <v>17</v>
      </c>
      <c r="D4090" s="1">
        <v>43434</v>
      </c>
      <c r="E4090" s="1">
        <v>43434</v>
      </c>
      <c r="F4090" s="1">
        <v>43434</v>
      </c>
      <c r="G4090" s="1"/>
      <c r="H4090" t="s">
        <v>9</v>
      </c>
      <c r="I4090" t="s">
        <v>27</v>
      </c>
    </row>
    <row r="4091" spans="1:9" x14ac:dyDescent="0.25">
      <c r="A4091" t="s">
        <v>111</v>
      </c>
      <c r="B4091" s="26" t="str">
        <f>MID(tbl_forecast[[#This Row],[PACE Job Number]],3,3)</f>
        <v>WSH</v>
      </c>
      <c r="C4091" t="s">
        <v>17</v>
      </c>
      <c r="D4091" s="1">
        <v>43434</v>
      </c>
      <c r="E4091" s="1">
        <v>43434</v>
      </c>
      <c r="F4091" s="1">
        <v>43419</v>
      </c>
      <c r="G4091" s="1">
        <v>43419</v>
      </c>
      <c r="H4091" t="s">
        <v>9</v>
      </c>
      <c r="I4091" t="s">
        <v>10</v>
      </c>
    </row>
    <row r="4092" spans="1:9" x14ac:dyDescent="0.25">
      <c r="A4092" t="s">
        <v>68</v>
      </c>
      <c r="B4092" s="26" t="str">
        <f>MID(tbl_forecast[[#This Row],[PACE Job Number]],3,3)</f>
        <v>WSH</v>
      </c>
      <c r="C4092" t="s">
        <v>17</v>
      </c>
      <c r="D4092" s="1">
        <v>43434</v>
      </c>
      <c r="E4092" s="1">
        <v>43434</v>
      </c>
      <c r="F4092" s="1">
        <v>43430</v>
      </c>
      <c r="G4092" s="1">
        <v>43430</v>
      </c>
      <c r="H4092" t="s">
        <v>9</v>
      </c>
      <c r="I4092" t="s">
        <v>10</v>
      </c>
    </row>
    <row r="4093" spans="1:9" x14ac:dyDescent="0.25">
      <c r="A4093" t="s">
        <v>495</v>
      </c>
      <c r="B4093" s="26" t="str">
        <f>MID(tbl_forecast[[#This Row],[PACE Job Number]],3,3)</f>
        <v>WSH</v>
      </c>
      <c r="C4093" t="s">
        <v>17</v>
      </c>
      <c r="D4093" s="1">
        <v>43434</v>
      </c>
      <c r="E4093" s="1">
        <v>43434</v>
      </c>
      <c r="F4093" s="1">
        <v>43423</v>
      </c>
      <c r="G4093" s="1">
        <v>43423</v>
      </c>
      <c r="H4093" t="s">
        <v>9</v>
      </c>
      <c r="I4093" t="s">
        <v>10</v>
      </c>
    </row>
    <row r="4094" spans="1:9" x14ac:dyDescent="0.25">
      <c r="A4094" t="s">
        <v>221</v>
      </c>
      <c r="B4094" s="26" t="str">
        <f>MID(tbl_forecast[[#This Row],[PACE Job Number]],3,3)</f>
        <v>WSH</v>
      </c>
      <c r="C4094" t="s">
        <v>17</v>
      </c>
      <c r="D4094" s="1">
        <v>43434</v>
      </c>
      <c r="E4094" s="1">
        <v>43434</v>
      </c>
      <c r="F4094" s="1">
        <v>43419</v>
      </c>
      <c r="G4094" s="1">
        <v>43419</v>
      </c>
      <c r="H4094" t="s">
        <v>9</v>
      </c>
      <c r="I4094" t="s">
        <v>10</v>
      </c>
    </row>
    <row r="4095" spans="1:9" x14ac:dyDescent="0.25">
      <c r="A4095" t="s">
        <v>171</v>
      </c>
      <c r="B4095" s="26" t="str">
        <f>MID(tbl_forecast[[#This Row],[PACE Job Number]],3,3)</f>
        <v>WSH</v>
      </c>
      <c r="C4095" t="s">
        <v>17</v>
      </c>
      <c r="D4095" s="1">
        <v>43434</v>
      </c>
      <c r="E4095" s="1">
        <v>43434</v>
      </c>
      <c r="F4095" s="1">
        <v>43434</v>
      </c>
      <c r="G4095" s="1"/>
      <c r="H4095" t="s">
        <v>9</v>
      </c>
      <c r="I4095" t="s">
        <v>27</v>
      </c>
    </row>
    <row r="4096" spans="1:9" x14ac:dyDescent="0.25">
      <c r="A4096" t="s">
        <v>5588</v>
      </c>
      <c r="B4096" s="26" t="str">
        <f>MID(tbl_forecast[[#This Row],[PACE Job Number]],3,3)</f>
        <v>WSH</v>
      </c>
      <c r="C4096" t="s">
        <v>17</v>
      </c>
      <c r="D4096" s="1">
        <v>43434</v>
      </c>
      <c r="E4096" s="1">
        <v>43434</v>
      </c>
      <c r="F4096" s="1">
        <v>43434</v>
      </c>
      <c r="G4096" s="1"/>
      <c r="H4096" t="s">
        <v>9</v>
      </c>
      <c r="I4096" t="s">
        <v>27</v>
      </c>
    </row>
    <row r="4097" spans="1:9" x14ac:dyDescent="0.25">
      <c r="A4097" t="s">
        <v>267</v>
      </c>
      <c r="B4097" s="26" t="str">
        <f>MID(tbl_forecast[[#This Row],[PACE Job Number]],3,3)</f>
        <v>WSH</v>
      </c>
      <c r="C4097" t="s">
        <v>17</v>
      </c>
      <c r="D4097" s="1">
        <v>43413</v>
      </c>
      <c r="E4097" s="1">
        <v>43413</v>
      </c>
      <c r="F4097" s="1">
        <v>43411</v>
      </c>
      <c r="G4097" s="1">
        <v>43411</v>
      </c>
      <c r="H4097" t="s">
        <v>9</v>
      </c>
      <c r="I4097" t="s">
        <v>10</v>
      </c>
    </row>
    <row r="4098" spans="1:9" x14ac:dyDescent="0.25">
      <c r="A4098" t="s">
        <v>57</v>
      </c>
      <c r="B4098" s="26" t="str">
        <f>MID(tbl_forecast[[#This Row],[PACE Job Number]],3,3)</f>
        <v>WSH</v>
      </c>
      <c r="C4098" t="s">
        <v>17</v>
      </c>
      <c r="D4098" s="1">
        <v>43413</v>
      </c>
      <c r="E4098" s="1">
        <v>43413</v>
      </c>
      <c r="F4098" s="1">
        <v>43430</v>
      </c>
      <c r="G4098" s="1">
        <v>43430</v>
      </c>
      <c r="H4098" t="s">
        <v>4664</v>
      </c>
      <c r="I4098" t="s">
        <v>10</v>
      </c>
    </row>
    <row r="4099" spans="1:9" x14ac:dyDescent="0.25">
      <c r="A4099" t="s">
        <v>3527</v>
      </c>
      <c r="B4099" s="26" t="str">
        <f>MID(tbl_forecast[[#This Row],[PACE Job Number]],3,3)</f>
        <v>WSH</v>
      </c>
      <c r="C4099" t="s">
        <v>17</v>
      </c>
      <c r="D4099" s="1">
        <v>43434</v>
      </c>
      <c r="E4099" s="1">
        <v>43434</v>
      </c>
      <c r="F4099" s="1">
        <v>43430</v>
      </c>
      <c r="G4099" s="1">
        <v>43430</v>
      </c>
      <c r="H4099" t="s">
        <v>9</v>
      </c>
      <c r="I4099" t="s">
        <v>10</v>
      </c>
    </row>
    <row r="4100" spans="1:9" x14ac:dyDescent="0.25">
      <c r="A4100" t="s">
        <v>3433</v>
      </c>
      <c r="B4100" s="26" t="str">
        <f>MID(tbl_forecast[[#This Row],[PACE Job Number]],3,3)</f>
        <v>WSH</v>
      </c>
      <c r="C4100" t="s">
        <v>17</v>
      </c>
      <c r="D4100" s="1">
        <v>43413</v>
      </c>
      <c r="E4100" s="1">
        <v>43413</v>
      </c>
      <c r="F4100" s="1">
        <v>43410</v>
      </c>
      <c r="G4100" s="1">
        <v>43410</v>
      </c>
      <c r="H4100" t="s">
        <v>9</v>
      </c>
      <c r="I4100" t="s">
        <v>10</v>
      </c>
    </row>
    <row r="4101" spans="1:9" x14ac:dyDescent="0.25">
      <c r="A4101" t="s">
        <v>4640</v>
      </c>
      <c r="B4101" s="26" t="str">
        <f>MID(tbl_forecast[[#This Row],[PACE Job Number]],3,3)</f>
        <v>WSH</v>
      </c>
      <c r="C4101" t="s">
        <v>17</v>
      </c>
      <c r="D4101" s="1">
        <v>43413</v>
      </c>
      <c r="E4101" s="1">
        <v>43413</v>
      </c>
      <c r="F4101" s="1">
        <v>43430</v>
      </c>
      <c r="G4101" s="1">
        <v>43430</v>
      </c>
      <c r="H4101" t="s">
        <v>4664</v>
      </c>
      <c r="I4101" t="s">
        <v>10</v>
      </c>
    </row>
    <row r="4102" spans="1:9" x14ac:dyDescent="0.25">
      <c r="A4102" t="s">
        <v>36</v>
      </c>
      <c r="B4102" s="26" t="str">
        <f>MID(tbl_forecast[[#This Row],[PACE Job Number]],3,3)</f>
        <v>WSH</v>
      </c>
      <c r="C4102" t="s">
        <v>17</v>
      </c>
      <c r="D4102" s="1">
        <v>43434</v>
      </c>
      <c r="E4102" s="1">
        <v>43434</v>
      </c>
      <c r="F4102" s="1">
        <v>43430</v>
      </c>
      <c r="G4102" s="1">
        <v>43430</v>
      </c>
      <c r="H4102" t="s">
        <v>9</v>
      </c>
      <c r="I4102" t="s">
        <v>10</v>
      </c>
    </row>
    <row r="4103" spans="1:9" x14ac:dyDescent="0.25">
      <c r="A4103" t="s">
        <v>5622</v>
      </c>
      <c r="B4103" s="26" t="str">
        <f>MID(tbl_forecast[[#This Row],[PACE Job Number]],3,3)</f>
        <v>STX</v>
      </c>
      <c r="C4103" t="s">
        <v>17</v>
      </c>
      <c r="D4103" s="1">
        <v>43406</v>
      </c>
      <c r="E4103" s="1">
        <v>43406</v>
      </c>
      <c r="F4103" s="1">
        <v>43411</v>
      </c>
      <c r="G4103" s="1">
        <v>43411</v>
      </c>
      <c r="H4103" t="s">
        <v>9</v>
      </c>
      <c r="I4103" t="s">
        <v>10</v>
      </c>
    </row>
    <row r="4104" spans="1:9" x14ac:dyDescent="0.25">
      <c r="A4104" t="s">
        <v>5589</v>
      </c>
      <c r="B4104" s="26" t="str">
        <f>MID(tbl_forecast[[#This Row],[PACE Job Number]],3,3)</f>
        <v>STX</v>
      </c>
      <c r="C4104" t="s">
        <v>17</v>
      </c>
      <c r="D4104" s="1">
        <v>43434</v>
      </c>
      <c r="E4104" s="1">
        <v>43434</v>
      </c>
      <c r="F4104" s="1">
        <v>43430</v>
      </c>
      <c r="G4104" s="1">
        <v>43430</v>
      </c>
      <c r="H4104" t="s">
        <v>9</v>
      </c>
      <c r="I4104" t="s">
        <v>10</v>
      </c>
    </row>
    <row r="4105" spans="1:9" x14ac:dyDescent="0.25">
      <c r="A4105" t="s">
        <v>5590</v>
      </c>
      <c r="B4105" s="26" t="str">
        <f>MID(tbl_forecast[[#This Row],[PACE Job Number]],3,3)</f>
        <v>STX</v>
      </c>
      <c r="C4105" t="s">
        <v>17</v>
      </c>
      <c r="D4105" s="1">
        <v>43434</v>
      </c>
      <c r="E4105" s="1">
        <v>43434</v>
      </c>
      <c r="F4105" s="1">
        <v>43430</v>
      </c>
      <c r="G4105" s="1">
        <v>43430</v>
      </c>
      <c r="H4105" t="s">
        <v>9</v>
      </c>
      <c r="I4105" t="s">
        <v>10</v>
      </c>
    </row>
    <row r="4106" spans="1:9" x14ac:dyDescent="0.25">
      <c r="A4106" t="s">
        <v>4488</v>
      </c>
      <c r="B4106" s="26" t="str">
        <f>MID(tbl_forecast[[#This Row],[PACE Job Number]],3,3)</f>
        <v>STX</v>
      </c>
      <c r="C4106" t="s">
        <v>17</v>
      </c>
      <c r="D4106" s="1">
        <v>43419</v>
      </c>
      <c r="E4106" s="1">
        <v>43453</v>
      </c>
      <c r="F4106" s="1">
        <v>43432</v>
      </c>
      <c r="G4106" s="1"/>
      <c r="H4106" t="s">
        <v>9</v>
      </c>
      <c r="I4106" t="s">
        <v>44</v>
      </c>
    </row>
    <row r="4107" spans="1:9" x14ac:dyDescent="0.25">
      <c r="A4107" t="s">
        <v>5591</v>
      </c>
      <c r="B4107" s="26" t="str">
        <f>MID(tbl_forecast[[#This Row],[PACE Job Number]],3,3)</f>
        <v>STX</v>
      </c>
      <c r="C4107" t="s">
        <v>17</v>
      </c>
      <c r="D4107" s="1">
        <v>43419</v>
      </c>
      <c r="E4107" s="1">
        <v>43440</v>
      </c>
      <c r="F4107" s="1">
        <v>43419</v>
      </c>
      <c r="G4107" s="1"/>
      <c r="H4107" t="s">
        <v>9</v>
      </c>
      <c r="I4107" t="s">
        <v>44</v>
      </c>
    </row>
    <row r="4108" spans="1:9" x14ac:dyDescent="0.25">
      <c r="A4108" t="s">
        <v>5592</v>
      </c>
      <c r="B4108" s="26" t="str">
        <f>MID(tbl_forecast[[#This Row],[PACE Job Number]],3,3)</f>
        <v>STX</v>
      </c>
      <c r="C4108" t="s">
        <v>17</v>
      </c>
      <c r="D4108" s="1">
        <v>43419</v>
      </c>
      <c r="E4108" s="1">
        <v>43440</v>
      </c>
      <c r="F4108" s="1">
        <v>43419</v>
      </c>
      <c r="G4108" s="1"/>
      <c r="H4108" t="s">
        <v>9</v>
      </c>
      <c r="I4108" t="s">
        <v>44</v>
      </c>
    </row>
    <row r="4109" spans="1:9" x14ac:dyDescent="0.25">
      <c r="A4109" t="s">
        <v>4558</v>
      </c>
      <c r="B4109" s="26" t="str">
        <f>MID(tbl_forecast[[#This Row],[PACE Job Number]],3,3)</f>
        <v>STX</v>
      </c>
      <c r="C4109" t="s">
        <v>17</v>
      </c>
      <c r="D4109" s="1">
        <v>43405</v>
      </c>
      <c r="E4109" s="1">
        <v>43434</v>
      </c>
      <c r="F4109" s="1">
        <v>43405</v>
      </c>
      <c r="G4109" s="1">
        <v>43405</v>
      </c>
      <c r="H4109" t="s">
        <v>9</v>
      </c>
      <c r="I4109" t="s">
        <v>10</v>
      </c>
    </row>
    <row r="4110" spans="1:9" x14ac:dyDescent="0.25">
      <c r="A4110" t="s">
        <v>4490</v>
      </c>
      <c r="B4110" s="26" t="str">
        <f>MID(tbl_forecast[[#This Row],[PACE Job Number]],3,3)</f>
        <v>STX</v>
      </c>
      <c r="C4110" t="s">
        <v>17</v>
      </c>
      <c r="D4110" s="1">
        <v>43434</v>
      </c>
      <c r="E4110" s="1">
        <v>43434</v>
      </c>
      <c r="F4110" s="1">
        <v>43411</v>
      </c>
      <c r="G4110" s="1">
        <v>43411</v>
      </c>
      <c r="H4110" t="s">
        <v>9</v>
      </c>
      <c r="I4110" t="s">
        <v>10</v>
      </c>
    </row>
    <row r="4111" spans="1:9" x14ac:dyDescent="0.25">
      <c r="A4111" t="s">
        <v>410</v>
      </c>
      <c r="B4111" s="26" t="str">
        <f>MID(tbl_forecast[[#This Row],[PACE Job Number]],3,3)</f>
        <v>STX</v>
      </c>
      <c r="C4111" t="s">
        <v>17</v>
      </c>
      <c r="D4111" s="1">
        <v>43418</v>
      </c>
      <c r="E4111" s="1">
        <v>43418</v>
      </c>
      <c r="F4111" s="1">
        <v>43423</v>
      </c>
      <c r="G4111" s="1">
        <v>43423</v>
      </c>
      <c r="H4111" t="s">
        <v>9</v>
      </c>
      <c r="I4111" t="s">
        <v>10</v>
      </c>
    </row>
    <row r="4112" spans="1:9" x14ac:dyDescent="0.25">
      <c r="A4112" t="s">
        <v>3277</v>
      </c>
      <c r="B4112" s="26" t="str">
        <f>MID(tbl_forecast[[#This Row],[PACE Job Number]],3,3)</f>
        <v>STX</v>
      </c>
      <c r="C4112" t="s">
        <v>17</v>
      </c>
      <c r="D4112" s="1">
        <v>43419</v>
      </c>
      <c r="E4112" s="1">
        <v>43434</v>
      </c>
      <c r="F4112" s="1">
        <v>43449</v>
      </c>
      <c r="G4112" s="1"/>
      <c r="H4112" t="s">
        <v>4664</v>
      </c>
      <c r="I4112" t="s">
        <v>5645</v>
      </c>
    </row>
    <row r="4113" spans="1:9" x14ac:dyDescent="0.25">
      <c r="A4113" t="s">
        <v>4594</v>
      </c>
      <c r="B4113" s="26" t="str">
        <f>MID(tbl_forecast[[#This Row],[PACE Job Number]],3,3)</f>
        <v>STX</v>
      </c>
      <c r="C4113" t="s">
        <v>17</v>
      </c>
      <c r="D4113" s="1">
        <v>43434</v>
      </c>
      <c r="E4113" s="1">
        <v>43434</v>
      </c>
      <c r="F4113" s="1">
        <v>43434</v>
      </c>
      <c r="G4113" s="1">
        <v>43433</v>
      </c>
      <c r="H4113" t="s">
        <v>9</v>
      </c>
      <c r="I4113" t="s">
        <v>10</v>
      </c>
    </row>
    <row r="4114" spans="1:9" x14ac:dyDescent="0.25">
      <c r="A4114" t="s">
        <v>3377</v>
      </c>
      <c r="B4114" s="26" t="str">
        <f>MID(tbl_forecast[[#This Row],[PACE Job Number]],3,3)</f>
        <v>STX</v>
      </c>
      <c r="C4114" t="s">
        <v>17</v>
      </c>
      <c r="D4114" s="1">
        <v>43419</v>
      </c>
      <c r="E4114" s="1">
        <v>43453</v>
      </c>
      <c r="F4114" s="1">
        <v>43432</v>
      </c>
      <c r="G4114" s="1"/>
      <c r="H4114" t="s">
        <v>9</v>
      </c>
      <c r="I4114" t="s">
        <v>44</v>
      </c>
    </row>
    <row r="4115" spans="1:9" x14ac:dyDescent="0.25">
      <c r="A4115" t="s">
        <v>740</v>
      </c>
      <c r="B4115" s="26" t="str">
        <f>MID(tbl_forecast[[#This Row],[PACE Job Number]],3,3)</f>
        <v>STX</v>
      </c>
      <c r="C4115" t="s">
        <v>17</v>
      </c>
      <c r="D4115" s="1">
        <v>43405</v>
      </c>
      <c r="E4115" s="1">
        <v>43342</v>
      </c>
      <c r="F4115" s="1">
        <v>43405</v>
      </c>
      <c r="G4115" s="1">
        <v>43405</v>
      </c>
      <c r="H4115" t="s">
        <v>9</v>
      </c>
      <c r="I4115" t="s">
        <v>10</v>
      </c>
    </row>
    <row r="4116" spans="1:9" x14ac:dyDescent="0.25">
      <c r="A4116" t="s">
        <v>897</v>
      </c>
      <c r="B4116" s="26" t="str">
        <f>MID(tbl_forecast[[#This Row],[PACE Job Number]],3,3)</f>
        <v>STX</v>
      </c>
      <c r="C4116" t="s">
        <v>17</v>
      </c>
      <c r="D4116" s="1">
        <v>43405</v>
      </c>
      <c r="E4116" s="1">
        <v>43403</v>
      </c>
      <c r="F4116" s="1">
        <v>43405</v>
      </c>
      <c r="G4116" s="1">
        <v>43405</v>
      </c>
      <c r="H4116" t="s">
        <v>9</v>
      </c>
      <c r="I4116" t="s">
        <v>10</v>
      </c>
    </row>
    <row r="4117" spans="1:9" x14ac:dyDescent="0.25">
      <c r="A4117" t="s">
        <v>4492</v>
      </c>
      <c r="B4117" s="26" t="str">
        <f>MID(tbl_forecast[[#This Row],[PACE Job Number]],3,3)</f>
        <v>STX</v>
      </c>
      <c r="C4117" t="s">
        <v>17</v>
      </c>
      <c r="D4117" s="1">
        <v>43434</v>
      </c>
      <c r="E4117" s="1">
        <v>43434</v>
      </c>
      <c r="F4117" s="1">
        <v>43431</v>
      </c>
      <c r="G4117" s="1">
        <v>43431</v>
      </c>
      <c r="H4117" t="s">
        <v>9</v>
      </c>
      <c r="I4117" t="s">
        <v>10</v>
      </c>
    </row>
    <row r="4118" spans="1:9" x14ac:dyDescent="0.25">
      <c r="A4118" t="s">
        <v>4494</v>
      </c>
      <c r="B4118" s="26" t="str">
        <f>MID(tbl_forecast[[#This Row],[PACE Job Number]],3,3)</f>
        <v>STX</v>
      </c>
      <c r="C4118" t="s">
        <v>17</v>
      </c>
      <c r="D4118" s="1">
        <v>43419</v>
      </c>
      <c r="E4118" s="1">
        <v>43434</v>
      </c>
      <c r="F4118" s="1">
        <v>43419</v>
      </c>
      <c r="G4118" s="1">
        <v>43419</v>
      </c>
      <c r="H4118" t="s">
        <v>9</v>
      </c>
      <c r="I4118" t="s">
        <v>10</v>
      </c>
    </row>
    <row r="4119" spans="1:9" x14ac:dyDescent="0.25">
      <c r="A4119" t="s">
        <v>1130</v>
      </c>
      <c r="B4119" s="26" t="str">
        <f>MID(tbl_forecast[[#This Row],[PACE Job Number]],3,3)</f>
        <v>STX</v>
      </c>
      <c r="C4119" t="s">
        <v>17</v>
      </c>
      <c r="D4119" s="1">
        <v>43418</v>
      </c>
      <c r="E4119" s="1">
        <v>43447</v>
      </c>
      <c r="F4119" s="1">
        <v>43447</v>
      </c>
      <c r="G4119" s="1"/>
      <c r="H4119" t="s">
        <v>4664</v>
      </c>
      <c r="I4119" t="s">
        <v>5645</v>
      </c>
    </row>
    <row r="4120" spans="1:9" x14ac:dyDescent="0.25">
      <c r="A4120" t="s">
        <v>5623</v>
      </c>
      <c r="B4120" s="26" t="str">
        <f>MID(tbl_forecast[[#This Row],[PACE Job Number]],3,3)</f>
        <v>STX</v>
      </c>
      <c r="C4120" t="s">
        <v>17</v>
      </c>
      <c r="D4120" s="1">
        <v>43406</v>
      </c>
      <c r="E4120" s="1">
        <v>43406</v>
      </c>
      <c r="F4120" s="1">
        <v>43411</v>
      </c>
      <c r="G4120" s="1">
        <v>43411</v>
      </c>
      <c r="H4120" t="s">
        <v>9</v>
      </c>
      <c r="I4120" t="s">
        <v>10</v>
      </c>
    </row>
    <row r="4121" spans="1:9" x14ac:dyDescent="0.25">
      <c r="A4121" t="s">
        <v>4499</v>
      </c>
      <c r="B4121" s="26" t="str">
        <f>MID(tbl_forecast[[#This Row],[PACE Job Number]],3,3)</f>
        <v>STX</v>
      </c>
      <c r="C4121" t="s">
        <v>17</v>
      </c>
      <c r="D4121" s="1">
        <v>43419</v>
      </c>
      <c r="E4121" s="1">
        <v>43453</v>
      </c>
      <c r="F4121" s="1">
        <v>43419</v>
      </c>
      <c r="G4121" s="1"/>
      <c r="H4121" t="s">
        <v>9</v>
      </c>
      <c r="I4121" t="s">
        <v>44</v>
      </c>
    </row>
    <row r="4122" spans="1:9" x14ac:dyDescent="0.25">
      <c r="A4122" t="s">
        <v>133</v>
      </c>
      <c r="B4122" s="26" t="str">
        <f>MID(tbl_forecast[[#This Row],[PACE Job Number]],3,3)</f>
        <v>STX</v>
      </c>
      <c r="C4122" t="s">
        <v>17</v>
      </c>
      <c r="D4122" s="1">
        <v>43419</v>
      </c>
      <c r="E4122" s="1">
        <v>43434</v>
      </c>
      <c r="F4122" s="1">
        <v>43423</v>
      </c>
      <c r="G4122" s="1">
        <v>43423</v>
      </c>
      <c r="H4122" t="s">
        <v>9</v>
      </c>
      <c r="I4122" t="s">
        <v>10</v>
      </c>
    </row>
    <row r="4123" spans="1:9" x14ac:dyDescent="0.25">
      <c r="A4123" t="s">
        <v>3452</v>
      </c>
      <c r="B4123" s="26" t="str">
        <f>MID(tbl_forecast[[#This Row],[PACE Job Number]],3,3)</f>
        <v>STX</v>
      </c>
      <c r="C4123" t="s">
        <v>17</v>
      </c>
      <c r="D4123" s="1">
        <v>43434</v>
      </c>
      <c r="E4123" s="1">
        <v>43434</v>
      </c>
      <c r="F4123" s="1">
        <v>43419</v>
      </c>
      <c r="G4123" s="1">
        <v>43419</v>
      </c>
      <c r="H4123" t="s">
        <v>9</v>
      </c>
      <c r="I4123" t="s">
        <v>10</v>
      </c>
    </row>
    <row r="4124" spans="1:9" x14ac:dyDescent="0.25">
      <c r="A4124" t="s">
        <v>3476</v>
      </c>
      <c r="B4124" s="26" t="str">
        <f>MID(tbl_forecast[[#This Row],[PACE Job Number]],3,3)</f>
        <v>STX</v>
      </c>
      <c r="C4124" t="s">
        <v>17</v>
      </c>
      <c r="D4124" s="1">
        <v>43434</v>
      </c>
      <c r="E4124" s="1">
        <v>43434</v>
      </c>
      <c r="F4124" s="1">
        <v>43434</v>
      </c>
      <c r="G4124" s="1"/>
      <c r="H4124" t="s">
        <v>9</v>
      </c>
      <c r="I4124" t="s">
        <v>27</v>
      </c>
    </row>
    <row r="4125" spans="1:9" x14ac:dyDescent="0.25">
      <c r="A4125" t="s">
        <v>4501</v>
      </c>
      <c r="B4125" s="26" t="str">
        <f>MID(tbl_forecast[[#This Row],[PACE Job Number]],3,3)</f>
        <v>STX</v>
      </c>
      <c r="C4125" t="s">
        <v>17</v>
      </c>
      <c r="D4125" s="1">
        <v>43434</v>
      </c>
      <c r="E4125" s="1">
        <v>43434</v>
      </c>
      <c r="F4125" s="1">
        <v>43434</v>
      </c>
      <c r="G4125" s="1"/>
      <c r="H4125" t="s">
        <v>9</v>
      </c>
      <c r="I4125" t="s">
        <v>27</v>
      </c>
    </row>
    <row r="4126" spans="1:9" x14ac:dyDescent="0.25">
      <c r="A4126" t="s">
        <v>5624</v>
      </c>
      <c r="B4126" s="26" t="str">
        <f>MID(tbl_forecast[[#This Row],[PACE Job Number]],3,3)</f>
        <v>NTX</v>
      </c>
      <c r="C4126" t="s">
        <v>17</v>
      </c>
      <c r="D4126" s="1">
        <v>43427</v>
      </c>
      <c r="E4126" s="1" t="s">
        <v>5646</v>
      </c>
      <c r="F4126" s="1" t="s">
        <v>5646</v>
      </c>
      <c r="G4126" s="1" t="s">
        <v>5646</v>
      </c>
      <c r="H4126" t="s">
        <v>5647</v>
      </c>
      <c r="I4126" t="s">
        <v>27</v>
      </c>
    </row>
    <row r="4127" spans="1:9" x14ac:dyDescent="0.25">
      <c r="A4127" t="s">
        <v>5625</v>
      </c>
      <c r="B4127" s="26" t="str">
        <f>MID(tbl_forecast[[#This Row],[PACE Job Number]],3,3)</f>
        <v>NTX</v>
      </c>
      <c r="C4127" t="s">
        <v>17</v>
      </c>
      <c r="D4127" s="1">
        <v>43427</v>
      </c>
      <c r="E4127" s="1" t="s">
        <v>5646</v>
      </c>
      <c r="F4127" s="1" t="s">
        <v>5646</v>
      </c>
      <c r="G4127" s="1" t="s">
        <v>5646</v>
      </c>
      <c r="H4127" t="s">
        <v>5647</v>
      </c>
      <c r="I4127" t="s">
        <v>27</v>
      </c>
    </row>
    <row r="4128" spans="1:9" x14ac:dyDescent="0.25">
      <c r="A4128" t="s">
        <v>4322</v>
      </c>
      <c r="B4128" s="26" t="str">
        <f>MID(tbl_forecast[[#This Row],[PACE Job Number]],3,3)</f>
        <v>STX</v>
      </c>
      <c r="C4128" t="s">
        <v>17</v>
      </c>
      <c r="D4128" s="1">
        <v>43419</v>
      </c>
      <c r="E4128" s="1">
        <v>43434</v>
      </c>
      <c r="F4128" s="1">
        <v>43419</v>
      </c>
      <c r="G4128" s="1"/>
      <c r="H4128" t="s">
        <v>9</v>
      </c>
      <c r="I4128" t="s">
        <v>44</v>
      </c>
    </row>
    <row r="4129" spans="1:9" x14ac:dyDescent="0.25">
      <c r="A4129" t="s">
        <v>4597</v>
      </c>
      <c r="B4129" s="26" t="str">
        <f>MID(tbl_forecast[[#This Row],[PACE Job Number]],3,3)</f>
        <v>STX</v>
      </c>
      <c r="C4129" t="s">
        <v>17</v>
      </c>
      <c r="D4129" s="1">
        <v>43406</v>
      </c>
      <c r="E4129" s="1">
        <v>43434</v>
      </c>
      <c r="F4129" s="1">
        <v>43406</v>
      </c>
      <c r="G4129" s="1">
        <v>43406</v>
      </c>
      <c r="H4129" t="s">
        <v>9</v>
      </c>
      <c r="I4129" t="s">
        <v>10</v>
      </c>
    </row>
    <row r="4130" spans="1:9" x14ac:dyDescent="0.25">
      <c r="A4130" t="s">
        <v>4598</v>
      </c>
      <c r="B4130" s="26" t="str">
        <f>MID(tbl_forecast[[#This Row],[PACE Job Number]],3,3)</f>
        <v>STX</v>
      </c>
      <c r="C4130" t="s">
        <v>17</v>
      </c>
      <c r="D4130" s="1">
        <v>43406</v>
      </c>
      <c r="E4130" s="1">
        <v>43434</v>
      </c>
      <c r="F4130" s="1">
        <v>43406</v>
      </c>
      <c r="G4130" s="1">
        <v>43406</v>
      </c>
      <c r="H4130" t="s">
        <v>9</v>
      </c>
      <c r="I4130" t="s">
        <v>10</v>
      </c>
    </row>
    <row r="4131" spans="1:9" x14ac:dyDescent="0.25">
      <c r="A4131" t="s">
        <v>3541</v>
      </c>
      <c r="B4131" s="26" t="str">
        <f>MID(tbl_forecast[[#This Row],[PACE Job Number]],3,3)</f>
        <v>STX</v>
      </c>
      <c r="C4131" t="s">
        <v>17</v>
      </c>
      <c r="D4131" s="1">
        <v>43419</v>
      </c>
      <c r="E4131" s="1">
        <v>43373</v>
      </c>
      <c r="F4131" s="1">
        <v>43419</v>
      </c>
      <c r="G4131" s="1"/>
      <c r="H4131" t="s">
        <v>9</v>
      </c>
      <c r="I4131" t="s">
        <v>27</v>
      </c>
    </row>
    <row r="4132" spans="1:9" x14ac:dyDescent="0.25">
      <c r="A4132" t="s">
        <v>3542</v>
      </c>
      <c r="B4132" s="26" t="str">
        <f>MID(tbl_forecast[[#This Row],[PACE Job Number]],3,3)</f>
        <v>STX</v>
      </c>
      <c r="C4132" t="s">
        <v>17</v>
      </c>
      <c r="D4132" s="1">
        <v>43419</v>
      </c>
      <c r="E4132" s="1">
        <v>43373</v>
      </c>
      <c r="F4132" s="1">
        <v>43419</v>
      </c>
      <c r="G4132" s="1"/>
      <c r="H4132" t="s">
        <v>9</v>
      </c>
      <c r="I4132" t="s">
        <v>27</v>
      </c>
    </row>
    <row r="4133" spans="1:9" x14ac:dyDescent="0.25">
      <c r="A4133" t="s">
        <v>4508</v>
      </c>
      <c r="B4133" s="26" t="str">
        <f>MID(tbl_forecast[[#This Row],[PACE Job Number]],3,3)</f>
        <v>STX</v>
      </c>
      <c r="C4133" t="s">
        <v>17</v>
      </c>
      <c r="D4133" s="1">
        <v>43414</v>
      </c>
      <c r="E4133" s="1">
        <v>36524</v>
      </c>
      <c r="F4133" s="1">
        <v>43414</v>
      </c>
      <c r="G4133" s="1"/>
      <c r="H4133" t="s">
        <v>9</v>
      </c>
      <c r="I4133" t="s">
        <v>27</v>
      </c>
    </row>
    <row r="4134" spans="1:9" x14ac:dyDescent="0.25">
      <c r="A4134" t="s">
        <v>4032</v>
      </c>
      <c r="B4134" s="26" t="str">
        <f>MID(tbl_forecast[[#This Row],[PACE Job Number]],3,3)</f>
        <v>STX</v>
      </c>
      <c r="C4134" t="s">
        <v>17</v>
      </c>
      <c r="D4134" s="1">
        <v>43434</v>
      </c>
      <c r="E4134" s="1">
        <v>43434</v>
      </c>
      <c r="F4134" s="1">
        <v>43434</v>
      </c>
      <c r="G4134" s="1"/>
      <c r="H4134" t="s">
        <v>9</v>
      </c>
      <c r="I4134" t="s">
        <v>27</v>
      </c>
    </row>
    <row r="4135" spans="1:9" x14ac:dyDescent="0.25">
      <c r="A4135" t="s">
        <v>4033</v>
      </c>
      <c r="B4135" s="26" t="str">
        <f>MID(tbl_forecast[[#This Row],[PACE Job Number]],3,3)</f>
        <v>STX</v>
      </c>
      <c r="C4135" t="s">
        <v>17</v>
      </c>
      <c r="D4135" s="1">
        <v>43434</v>
      </c>
      <c r="E4135" s="1">
        <v>43434</v>
      </c>
      <c r="F4135" s="1">
        <v>43434</v>
      </c>
      <c r="G4135" s="1"/>
      <c r="H4135" t="s">
        <v>9</v>
      </c>
      <c r="I4135" t="s">
        <v>27</v>
      </c>
    </row>
    <row r="4136" spans="1:9" x14ac:dyDescent="0.25">
      <c r="A4136" t="s">
        <v>791</v>
      </c>
      <c r="B4136" s="26" t="str">
        <f>MID(tbl_forecast[[#This Row],[PACE Job Number]],3,3)</f>
        <v>STX</v>
      </c>
      <c r="C4136" t="s">
        <v>17</v>
      </c>
      <c r="D4136" s="1">
        <v>43434</v>
      </c>
      <c r="E4136" s="1">
        <v>43434</v>
      </c>
      <c r="F4136" s="1">
        <v>43434</v>
      </c>
      <c r="G4136" s="1"/>
      <c r="H4136" t="s">
        <v>9</v>
      </c>
      <c r="I4136" t="s">
        <v>27</v>
      </c>
    </row>
    <row r="4137" spans="1:9" x14ac:dyDescent="0.25">
      <c r="A4137" t="s">
        <v>5456</v>
      </c>
      <c r="B4137" s="26" t="str">
        <f>MID(tbl_forecast[[#This Row],[PACE Job Number]],3,3)</f>
        <v>STX</v>
      </c>
      <c r="C4137" t="s">
        <v>17</v>
      </c>
      <c r="D4137" s="1">
        <v>43434</v>
      </c>
      <c r="E4137" s="1">
        <v>43434</v>
      </c>
      <c r="F4137" s="1">
        <v>43449</v>
      </c>
      <c r="G4137" s="1"/>
      <c r="H4137" t="s">
        <v>4664</v>
      </c>
      <c r="I4137" t="s">
        <v>4666</v>
      </c>
    </row>
    <row r="4138" spans="1:9" x14ac:dyDescent="0.25">
      <c r="A4138" t="s">
        <v>4055</v>
      </c>
      <c r="B4138" s="26" t="str">
        <f>MID(tbl_forecast[[#This Row],[PACE Job Number]],3,3)</f>
        <v>STX</v>
      </c>
      <c r="C4138" t="s">
        <v>17</v>
      </c>
      <c r="D4138" s="1">
        <v>43434</v>
      </c>
      <c r="E4138" s="1">
        <v>43434</v>
      </c>
      <c r="F4138" s="1">
        <v>43434</v>
      </c>
      <c r="G4138" s="1"/>
      <c r="H4138" t="s">
        <v>9</v>
      </c>
      <c r="I4138" t="s">
        <v>27</v>
      </c>
    </row>
    <row r="4139" spans="1:9" x14ac:dyDescent="0.25">
      <c r="A4139" t="s">
        <v>3309</v>
      </c>
      <c r="B4139" s="26" t="str">
        <f>MID(tbl_forecast[[#This Row],[PACE Job Number]],3,3)</f>
        <v>STX</v>
      </c>
      <c r="C4139" t="s">
        <v>17</v>
      </c>
      <c r="D4139" s="1">
        <v>43419</v>
      </c>
      <c r="E4139" s="1">
        <v>43434</v>
      </c>
      <c r="F4139" s="1">
        <v>43419</v>
      </c>
      <c r="G4139" s="1"/>
      <c r="H4139" t="s">
        <v>9</v>
      </c>
      <c r="I4139" t="s">
        <v>44</v>
      </c>
    </row>
    <row r="4140" spans="1:9" x14ac:dyDescent="0.25">
      <c r="A4140" t="s">
        <v>4056</v>
      </c>
      <c r="B4140" s="26" t="str">
        <f>MID(tbl_forecast[[#This Row],[PACE Job Number]],3,3)</f>
        <v>STX</v>
      </c>
      <c r="C4140" t="s">
        <v>17</v>
      </c>
      <c r="D4140" s="1">
        <v>43434</v>
      </c>
      <c r="E4140" s="1">
        <v>43434</v>
      </c>
      <c r="F4140" s="1">
        <v>43434</v>
      </c>
      <c r="G4140" s="1"/>
      <c r="H4140" t="s">
        <v>9</v>
      </c>
      <c r="I4140" t="s">
        <v>27</v>
      </c>
    </row>
    <row r="4141" spans="1:9" x14ac:dyDescent="0.25">
      <c r="A4141" t="s">
        <v>3315</v>
      </c>
      <c r="B4141" s="26" t="str">
        <f>MID(tbl_forecast[[#This Row],[PACE Job Number]],3,3)</f>
        <v>STX</v>
      </c>
      <c r="C4141" t="s">
        <v>17</v>
      </c>
      <c r="D4141" s="1">
        <v>43419</v>
      </c>
      <c r="E4141" s="1">
        <v>43434</v>
      </c>
      <c r="F4141" s="1">
        <v>43419</v>
      </c>
      <c r="G4141" s="1"/>
      <c r="H4141" t="s">
        <v>9</v>
      </c>
      <c r="I4141" t="s">
        <v>44</v>
      </c>
    </row>
    <row r="4142" spans="1:9" x14ac:dyDescent="0.25">
      <c r="A4142" t="s">
        <v>4510</v>
      </c>
      <c r="B4142" s="26" t="str">
        <f>MID(tbl_forecast[[#This Row],[PACE Job Number]],3,3)</f>
        <v>STX</v>
      </c>
      <c r="C4142" t="s">
        <v>17</v>
      </c>
      <c r="D4142" s="1">
        <v>43419</v>
      </c>
      <c r="E4142" s="1">
        <v>43434</v>
      </c>
      <c r="F4142" s="1">
        <v>43449</v>
      </c>
      <c r="G4142" s="1"/>
      <c r="H4142" t="s">
        <v>4664</v>
      </c>
      <c r="I4142" t="s">
        <v>5645</v>
      </c>
    </row>
    <row r="4143" spans="1:9" x14ac:dyDescent="0.25">
      <c r="A4143" t="s">
        <v>522</v>
      </c>
      <c r="B4143" s="26" t="str">
        <f>MID(tbl_forecast[[#This Row],[PACE Job Number]],3,3)</f>
        <v>STX</v>
      </c>
      <c r="C4143" t="s">
        <v>17</v>
      </c>
      <c r="D4143" s="1">
        <v>43434</v>
      </c>
      <c r="E4143" s="1">
        <v>43434</v>
      </c>
      <c r="F4143" s="1">
        <v>43434</v>
      </c>
      <c r="G4143" s="1"/>
      <c r="H4143" t="s">
        <v>9</v>
      </c>
      <c r="I4143" t="s">
        <v>27</v>
      </c>
    </row>
    <row r="4144" spans="1:9" x14ac:dyDescent="0.25">
      <c r="A4144" t="s">
        <v>3364</v>
      </c>
      <c r="B4144" s="26" t="str">
        <f>MID(tbl_forecast[[#This Row],[PACE Job Number]],3,3)</f>
        <v>STX</v>
      </c>
      <c r="C4144" t="s">
        <v>17</v>
      </c>
      <c r="D4144" s="1">
        <v>43419</v>
      </c>
      <c r="E4144" s="1">
        <v>43453</v>
      </c>
      <c r="F4144" s="1">
        <v>43432</v>
      </c>
      <c r="G4144" s="1">
        <v>43432</v>
      </c>
      <c r="H4144" t="s">
        <v>9</v>
      </c>
      <c r="I4144" t="s">
        <v>10</v>
      </c>
    </row>
    <row r="4145" spans="1:9" x14ac:dyDescent="0.25">
      <c r="A4145" t="s">
        <v>5593</v>
      </c>
      <c r="B4145" s="26" t="str">
        <f>MID(tbl_forecast[[#This Row],[PACE Job Number]],3,3)</f>
        <v>STX</v>
      </c>
      <c r="C4145" t="s">
        <v>17</v>
      </c>
      <c r="D4145" s="1">
        <v>43434</v>
      </c>
      <c r="E4145" s="1">
        <v>43434</v>
      </c>
      <c r="F4145" s="1">
        <v>43430</v>
      </c>
      <c r="G4145" s="1">
        <v>43430</v>
      </c>
      <c r="H4145" t="s">
        <v>9</v>
      </c>
      <c r="I4145" t="s">
        <v>10</v>
      </c>
    </row>
    <row r="4146" spans="1:9" x14ac:dyDescent="0.25">
      <c r="A4146" t="s">
        <v>3518</v>
      </c>
      <c r="B4146" s="26" t="str">
        <f>MID(tbl_forecast[[#This Row],[PACE Job Number]],3,3)</f>
        <v>STX</v>
      </c>
      <c r="C4146" t="s">
        <v>17</v>
      </c>
      <c r="D4146" s="1">
        <v>43434</v>
      </c>
      <c r="E4146" s="1">
        <v>43434</v>
      </c>
      <c r="F4146" s="1">
        <v>43434</v>
      </c>
      <c r="G4146" s="1"/>
      <c r="H4146" t="s">
        <v>9</v>
      </c>
      <c r="I4146" t="s">
        <v>27</v>
      </c>
    </row>
    <row r="4147" spans="1:9" x14ac:dyDescent="0.25">
      <c r="A4147" t="s">
        <v>551</v>
      </c>
      <c r="B4147" s="26" t="str">
        <f>MID(tbl_forecast[[#This Row],[PACE Job Number]],3,3)</f>
        <v>STX</v>
      </c>
      <c r="C4147" t="s">
        <v>17</v>
      </c>
      <c r="D4147" s="1">
        <v>43419</v>
      </c>
      <c r="E4147" s="1">
        <v>43373</v>
      </c>
      <c r="F4147" s="1">
        <v>43419</v>
      </c>
      <c r="G4147" s="1"/>
      <c r="H4147" t="s">
        <v>9</v>
      </c>
      <c r="I4147" t="s">
        <v>27</v>
      </c>
    </row>
    <row r="4148" spans="1:9" x14ac:dyDescent="0.25">
      <c r="A4148" t="s">
        <v>3355</v>
      </c>
      <c r="B4148" s="26" t="str">
        <f>MID(tbl_forecast[[#This Row],[PACE Job Number]],3,3)</f>
        <v>STX</v>
      </c>
      <c r="C4148" t="s">
        <v>17</v>
      </c>
      <c r="D4148" s="1">
        <v>43419</v>
      </c>
      <c r="E4148" s="1">
        <v>43434</v>
      </c>
      <c r="F4148" s="1">
        <v>43419</v>
      </c>
      <c r="G4148" s="1"/>
      <c r="H4148" t="s">
        <v>9</v>
      </c>
      <c r="I4148" t="s">
        <v>44</v>
      </c>
    </row>
    <row r="4149" spans="1:9" x14ac:dyDescent="0.25">
      <c r="A4149" t="s">
        <v>2318</v>
      </c>
      <c r="B4149" s="26" t="str">
        <f>MID(tbl_forecast[[#This Row],[PACE Job Number]],3,3)</f>
        <v>NTX</v>
      </c>
      <c r="C4149" t="s">
        <v>17</v>
      </c>
      <c r="D4149" s="1">
        <v>43406</v>
      </c>
      <c r="E4149" s="1">
        <v>43441</v>
      </c>
      <c r="F4149" s="1">
        <v>43406</v>
      </c>
      <c r="G4149" s="1">
        <v>43406</v>
      </c>
      <c r="H4149" t="s">
        <v>9</v>
      </c>
      <c r="I4149" t="s">
        <v>10</v>
      </c>
    </row>
    <row r="4150" spans="1:9" x14ac:dyDescent="0.25">
      <c r="A4150" t="s">
        <v>2319</v>
      </c>
      <c r="B4150" s="26" t="str">
        <f>MID(tbl_forecast[[#This Row],[PACE Job Number]],3,3)</f>
        <v>NTX</v>
      </c>
      <c r="C4150" t="s">
        <v>17</v>
      </c>
      <c r="D4150" s="1">
        <v>43406</v>
      </c>
      <c r="E4150" s="1">
        <v>43441</v>
      </c>
      <c r="F4150" s="1">
        <v>43406</v>
      </c>
      <c r="G4150" s="1">
        <v>43406</v>
      </c>
      <c r="H4150" t="s">
        <v>9</v>
      </c>
      <c r="I4150" t="s">
        <v>10</v>
      </c>
    </row>
    <row r="4151" spans="1:9" x14ac:dyDescent="0.25">
      <c r="A4151" t="s">
        <v>3882</v>
      </c>
      <c r="B4151" s="26" t="str">
        <f>MID(tbl_forecast[[#This Row],[PACE Job Number]],3,3)</f>
        <v>NTX</v>
      </c>
      <c r="C4151" t="s">
        <v>17</v>
      </c>
      <c r="D4151" s="1">
        <v>43408</v>
      </c>
      <c r="E4151" s="1">
        <v>43408</v>
      </c>
      <c r="F4151" s="1">
        <v>43408</v>
      </c>
      <c r="G4151" s="1"/>
      <c r="H4151" t="s">
        <v>9</v>
      </c>
      <c r="I4151" t="s">
        <v>27</v>
      </c>
    </row>
    <row r="4152" spans="1:9" x14ac:dyDescent="0.25">
      <c r="A4152" t="s">
        <v>4369</v>
      </c>
      <c r="B4152" s="26" t="str">
        <f>MID(tbl_forecast[[#This Row],[PACE Job Number]],3,3)</f>
        <v>NTX</v>
      </c>
      <c r="C4152" t="s">
        <v>17</v>
      </c>
      <c r="D4152" s="1">
        <v>43426</v>
      </c>
      <c r="E4152" s="1">
        <v>43426</v>
      </c>
      <c r="F4152" s="1">
        <v>43419</v>
      </c>
      <c r="G4152" s="1">
        <v>43419</v>
      </c>
      <c r="H4152" t="s">
        <v>9</v>
      </c>
      <c r="I4152" t="s">
        <v>10</v>
      </c>
    </row>
    <row r="4153" spans="1:9" x14ac:dyDescent="0.25">
      <c r="A4153" t="s">
        <v>3530</v>
      </c>
      <c r="B4153" s="26" t="str">
        <f>MID(tbl_forecast[[#This Row],[PACE Job Number]],3,3)</f>
        <v>NTX</v>
      </c>
      <c r="C4153" t="s">
        <v>17</v>
      </c>
      <c r="D4153" s="1">
        <v>43414</v>
      </c>
      <c r="E4153" s="1">
        <v>43387</v>
      </c>
      <c r="F4153" s="1">
        <v>43414</v>
      </c>
      <c r="G4153" s="1"/>
      <c r="H4153" t="s">
        <v>9</v>
      </c>
      <c r="I4153" t="s">
        <v>27</v>
      </c>
    </row>
    <row r="4154" spans="1:9" x14ac:dyDescent="0.25">
      <c r="A4154" t="s">
        <v>3516</v>
      </c>
      <c r="B4154" s="26" t="str">
        <f>MID(tbl_forecast[[#This Row],[PACE Job Number]],3,3)</f>
        <v>NTX</v>
      </c>
      <c r="C4154" t="s">
        <v>17</v>
      </c>
      <c r="D4154" s="1">
        <v>43414</v>
      </c>
      <c r="E4154" s="1">
        <v>43420</v>
      </c>
      <c r="F4154" s="1">
        <v>43414</v>
      </c>
      <c r="G4154" s="1"/>
      <c r="H4154" t="s">
        <v>9</v>
      </c>
      <c r="I4154" t="s">
        <v>27</v>
      </c>
    </row>
    <row r="4155" spans="1:9" x14ac:dyDescent="0.25">
      <c r="A4155" t="s">
        <v>3957</v>
      </c>
      <c r="B4155" s="26" t="str">
        <f>MID(tbl_forecast[[#This Row],[PACE Job Number]],3,3)</f>
        <v>WSH</v>
      </c>
      <c r="C4155" t="s">
        <v>17</v>
      </c>
      <c r="D4155" s="1">
        <v>43434</v>
      </c>
      <c r="E4155" s="1">
        <v>43434</v>
      </c>
      <c r="F4155" s="1">
        <v>43430</v>
      </c>
      <c r="G4155" s="1"/>
      <c r="H4155" t="s">
        <v>9</v>
      </c>
      <c r="I4155" t="s">
        <v>27</v>
      </c>
    </row>
    <row r="4156" spans="1:9" x14ac:dyDescent="0.25">
      <c r="A4156" t="s">
        <v>313</v>
      </c>
      <c r="B4156" s="26" t="str">
        <f>MID(tbl_forecast[[#This Row],[PACE Job Number]],3,3)</f>
        <v>WSH</v>
      </c>
      <c r="C4156" t="s">
        <v>17</v>
      </c>
      <c r="D4156" s="1">
        <v>43434</v>
      </c>
      <c r="E4156" s="1">
        <v>43434</v>
      </c>
      <c r="F4156" s="1">
        <v>43419</v>
      </c>
      <c r="G4156" s="1">
        <v>43419</v>
      </c>
      <c r="H4156" t="s">
        <v>9</v>
      </c>
      <c r="I4156" t="s">
        <v>10</v>
      </c>
    </row>
    <row r="4157" spans="1:9" x14ac:dyDescent="0.25">
      <c r="A4157" t="s">
        <v>316</v>
      </c>
      <c r="B4157" s="26" t="str">
        <f>MID(tbl_forecast[[#This Row],[PACE Job Number]],3,3)</f>
        <v>WSH</v>
      </c>
      <c r="C4157" t="s">
        <v>17</v>
      </c>
      <c r="D4157" s="1">
        <v>43434</v>
      </c>
      <c r="E4157" s="1">
        <v>43434</v>
      </c>
      <c r="F4157" s="1">
        <v>43419</v>
      </c>
      <c r="G4157" s="1">
        <v>43419</v>
      </c>
      <c r="H4157" t="s">
        <v>9</v>
      </c>
      <c r="I4157" t="s">
        <v>10</v>
      </c>
    </row>
    <row r="4158" spans="1:9" x14ac:dyDescent="0.25">
      <c r="A4158" t="s">
        <v>219</v>
      </c>
      <c r="B4158" s="26" t="str">
        <f>MID(tbl_forecast[[#This Row],[PACE Job Number]],3,3)</f>
        <v>WSH</v>
      </c>
      <c r="C4158" t="s">
        <v>17</v>
      </c>
      <c r="D4158" s="1">
        <v>43434</v>
      </c>
      <c r="E4158" s="1">
        <v>43434</v>
      </c>
      <c r="F4158" s="1">
        <v>43419</v>
      </c>
      <c r="G4158" s="1">
        <v>43419</v>
      </c>
      <c r="H4158" t="s">
        <v>9</v>
      </c>
      <c r="I4158" t="s">
        <v>10</v>
      </c>
    </row>
    <row r="4159" spans="1:9" x14ac:dyDescent="0.25">
      <c r="A4159" t="s">
        <v>3876</v>
      </c>
      <c r="B4159" s="26" t="str">
        <f>MID(tbl_forecast[[#This Row],[PACE Job Number]],3,3)</f>
        <v>WSH</v>
      </c>
      <c r="C4159" t="s">
        <v>17</v>
      </c>
      <c r="D4159" s="1">
        <v>43434</v>
      </c>
      <c r="E4159" s="1">
        <v>43434</v>
      </c>
      <c r="F4159" s="1">
        <v>43432</v>
      </c>
      <c r="G4159" s="1">
        <v>43432</v>
      </c>
      <c r="H4159" t="s">
        <v>9</v>
      </c>
      <c r="I4159" t="s">
        <v>10</v>
      </c>
    </row>
    <row r="4160" spans="1:9" x14ac:dyDescent="0.25">
      <c r="A4160" t="s">
        <v>3993</v>
      </c>
      <c r="B4160" s="26" t="str">
        <f>MID(tbl_forecast[[#This Row],[PACE Job Number]],3,3)</f>
        <v>WSH</v>
      </c>
      <c r="C4160" t="s">
        <v>17</v>
      </c>
      <c r="D4160" s="1">
        <v>43434</v>
      </c>
      <c r="E4160" s="1">
        <v>43434</v>
      </c>
      <c r="F4160" s="1">
        <v>43434</v>
      </c>
      <c r="G4160" s="1"/>
      <c r="H4160" t="s">
        <v>9</v>
      </c>
      <c r="I4160" t="s">
        <v>27</v>
      </c>
    </row>
    <row r="4161" spans="1:9" x14ac:dyDescent="0.25">
      <c r="A4161" t="s">
        <v>4021</v>
      </c>
      <c r="B4161" s="26" t="str">
        <f>MID(tbl_forecast[[#This Row],[PACE Job Number]],3,3)</f>
        <v>WSH</v>
      </c>
      <c r="C4161" t="s">
        <v>17</v>
      </c>
      <c r="D4161" s="1">
        <v>43434</v>
      </c>
      <c r="E4161" s="1">
        <v>43434</v>
      </c>
      <c r="F4161" s="1">
        <v>43434</v>
      </c>
      <c r="G4161" s="1"/>
      <c r="H4161" t="s">
        <v>9</v>
      </c>
      <c r="I4161" t="s">
        <v>27</v>
      </c>
    </row>
    <row r="4162" spans="1:9" x14ac:dyDescent="0.25">
      <c r="A4162" t="s">
        <v>3994</v>
      </c>
      <c r="B4162" s="26" t="str">
        <f>MID(tbl_forecast[[#This Row],[PACE Job Number]],3,3)</f>
        <v>WSH</v>
      </c>
      <c r="C4162" t="s">
        <v>17</v>
      </c>
      <c r="D4162" s="1">
        <v>43407</v>
      </c>
      <c r="E4162" s="1">
        <v>43407</v>
      </c>
      <c r="F4162" s="1">
        <v>43418</v>
      </c>
      <c r="G4162" s="1">
        <v>43418</v>
      </c>
      <c r="H4162" t="s">
        <v>9</v>
      </c>
      <c r="I4162" t="s">
        <v>10</v>
      </c>
    </row>
    <row r="4163" spans="1:9" x14ac:dyDescent="0.25">
      <c r="A4163" t="s">
        <v>3877</v>
      </c>
      <c r="B4163" s="26" t="str">
        <f>MID(tbl_forecast[[#This Row],[PACE Job Number]],3,3)</f>
        <v>WSH</v>
      </c>
      <c r="C4163" t="s">
        <v>17</v>
      </c>
      <c r="D4163" s="1">
        <v>43434</v>
      </c>
      <c r="E4163" s="1">
        <v>43434</v>
      </c>
      <c r="F4163" s="1">
        <v>43434</v>
      </c>
      <c r="G4163" s="1"/>
      <c r="H4163" t="s">
        <v>9</v>
      </c>
      <c r="I4163" t="s">
        <v>27</v>
      </c>
    </row>
    <row r="4164" spans="1:9" x14ac:dyDescent="0.25">
      <c r="A4164" t="s">
        <v>5626</v>
      </c>
      <c r="B4164" s="26" t="str">
        <f>MID(tbl_forecast[[#This Row],[PACE Job Number]],3,3)</f>
        <v>WSH</v>
      </c>
      <c r="C4164" t="s">
        <v>17</v>
      </c>
      <c r="D4164" s="1">
        <v>43406</v>
      </c>
      <c r="E4164" s="1">
        <v>43406</v>
      </c>
      <c r="F4164" s="1">
        <v>43418</v>
      </c>
      <c r="G4164" s="1">
        <v>43418</v>
      </c>
      <c r="H4164" t="s">
        <v>9</v>
      </c>
      <c r="I4164" t="s">
        <v>10</v>
      </c>
    </row>
    <row r="4165" spans="1:9" x14ac:dyDescent="0.25">
      <c r="A4165" t="s">
        <v>115</v>
      </c>
      <c r="B4165" s="26" t="str">
        <f>MID(tbl_forecast[[#This Row],[PACE Job Number]],3,3)</f>
        <v>WSH</v>
      </c>
      <c r="C4165" t="s">
        <v>17</v>
      </c>
      <c r="D4165" s="1">
        <v>43434</v>
      </c>
      <c r="E4165" s="1">
        <v>43434</v>
      </c>
      <c r="F4165" s="1">
        <v>43434</v>
      </c>
      <c r="G4165" s="1"/>
      <c r="H4165" t="s">
        <v>9</v>
      </c>
      <c r="I4165" t="s">
        <v>27</v>
      </c>
    </row>
    <row r="4166" spans="1:9" x14ac:dyDescent="0.25">
      <c r="A4166" t="s">
        <v>4285</v>
      </c>
      <c r="B4166" s="26" t="str">
        <f>MID(tbl_forecast[[#This Row],[PACE Job Number]],3,3)</f>
        <v>WSH</v>
      </c>
      <c r="C4166" t="s">
        <v>17</v>
      </c>
      <c r="D4166" s="1">
        <v>43434</v>
      </c>
      <c r="E4166" s="1">
        <v>43434</v>
      </c>
      <c r="F4166" s="1">
        <v>43430</v>
      </c>
      <c r="G4166" s="1">
        <v>43430</v>
      </c>
      <c r="H4166" t="s">
        <v>9</v>
      </c>
      <c r="I4166" t="s">
        <v>10</v>
      </c>
    </row>
    <row r="4167" spans="1:9" x14ac:dyDescent="0.25">
      <c r="A4167" t="s">
        <v>5627</v>
      </c>
      <c r="B4167" s="26" t="str">
        <f>MID(tbl_forecast[[#This Row],[PACE Job Number]],3,3)</f>
        <v>WSH</v>
      </c>
      <c r="C4167" t="s">
        <v>17</v>
      </c>
      <c r="D4167" s="1">
        <v>43415</v>
      </c>
      <c r="E4167" s="1">
        <v>43415</v>
      </c>
      <c r="F4167" s="1">
        <v>43415</v>
      </c>
      <c r="G4167" s="1"/>
      <c r="H4167" t="s">
        <v>9</v>
      </c>
      <c r="I4167" t="s">
        <v>27</v>
      </c>
    </row>
    <row r="4168" spans="1:9" x14ac:dyDescent="0.25">
      <c r="A4168" t="s">
        <v>4286</v>
      </c>
      <c r="B4168" s="26" t="str">
        <f>MID(tbl_forecast[[#This Row],[PACE Job Number]],3,3)</f>
        <v>WSH</v>
      </c>
      <c r="C4168" t="s">
        <v>17</v>
      </c>
      <c r="D4168" s="1">
        <v>43434</v>
      </c>
      <c r="E4168" s="1">
        <v>43434</v>
      </c>
      <c r="F4168" s="1">
        <v>43432</v>
      </c>
      <c r="G4168" s="1">
        <v>43432</v>
      </c>
      <c r="H4168" t="s">
        <v>9</v>
      </c>
      <c r="I4168" t="s">
        <v>10</v>
      </c>
    </row>
    <row r="4169" spans="1:9" x14ac:dyDescent="0.25">
      <c r="A4169" t="s">
        <v>4287</v>
      </c>
      <c r="B4169" s="26" t="str">
        <f>MID(tbl_forecast[[#This Row],[PACE Job Number]],3,3)</f>
        <v>WSH</v>
      </c>
      <c r="C4169" t="s">
        <v>17</v>
      </c>
      <c r="D4169" s="1">
        <v>43434</v>
      </c>
      <c r="E4169" s="1">
        <v>43434</v>
      </c>
      <c r="F4169" s="1">
        <v>43430</v>
      </c>
      <c r="G4169" s="1">
        <v>43430</v>
      </c>
      <c r="H4169" t="s">
        <v>9</v>
      </c>
      <c r="I4169" t="s">
        <v>10</v>
      </c>
    </row>
    <row r="4170" spans="1:9" x14ac:dyDescent="0.25">
      <c r="A4170" t="s">
        <v>5628</v>
      </c>
      <c r="B4170" s="26" t="str">
        <f>MID(tbl_forecast[[#This Row],[PACE Job Number]],3,3)</f>
        <v>WSH</v>
      </c>
      <c r="C4170" t="s">
        <v>17</v>
      </c>
      <c r="D4170" s="1">
        <v>43434</v>
      </c>
      <c r="E4170" s="1">
        <v>43434</v>
      </c>
      <c r="F4170" s="1">
        <v>43419</v>
      </c>
      <c r="G4170" s="1">
        <v>43419</v>
      </c>
      <c r="H4170" t="s">
        <v>9</v>
      </c>
      <c r="I4170" t="s">
        <v>10</v>
      </c>
    </row>
    <row r="4171" spans="1:9" x14ac:dyDescent="0.25">
      <c r="A4171" t="s">
        <v>4288</v>
      </c>
      <c r="B4171" s="26" t="str">
        <f>MID(tbl_forecast[[#This Row],[PACE Job Number]],3,3)</f>
        <v>WSH</v>
      </c>
      <c r="C4171" t="s">
        <v>17</v>
      </c>
      <c r="D4171" s="1">
        <v>43434</v>
      </c>
      <c r="E4171" s="1">
        <v>43434</v>
      </c>
      <c r="F4171" s="1">
        <v>43430</v>
      </c>
      <c r="G4171" s="1">
        <v>43430</v>
      </c>
      <c r="H4171" t="s">
        <v>9</v>
      </c>
      <c r="I4171" t="s">
        <v>10</v>
      </c>
    </row>
    <row r="4172" spans="1:9" x14ac:dyDescent="0.25">
      <c r="A4172" t="s">
        <v>3990</v>
      </c>
      <c r="B4172" s="26" t="str">
        <f>MID(tbl_forecast[[#This Row],[PACE Job Number]],3,3)</f>
        <v>WSH</v>
      </c>
      <c r="C4172" t="s">
        <v>17</v>
      </c>
      <c r="D4172" s="1">
        <v>43434</v>
      </c>
      <c r="E4172" s="1">
        <v>43434</v>
      </c>
      <c r="F4172" s="1">
        <v>43434</v>
      </c>
      <c r="G4172" s="1"/>
      <c r="H4172" t="s">
        <v>9</v>
      </c>
      <c r="I4172" t="s">
        <v>27</v>
      </c>
    </row>
    <row r="4173" spans="1:9" x14ac:dyDescent="0.25">
      <c r="A4173" t="s">
        <v>3944</v>
      </c>
      <c r="B4173" s="26" t="str">
        <f>MID(tbl_forecast[[#This Row],[PACE Job Number]],3,3)</f>
        <v>WSH</v>
      </c>
      <c r="C4173" t="s">
        <v>17</v>
      </c>
      <c r="D4173" s="1">
        <v>43434</v>
      </c>
      <c r="E4173" s="1">
        <v>43434</v>
      </c>
      <c r="F4173" s="1">
        <v>43432</v>
      </c>
      <c r="G4173" s="1">
        <v>43432</v>
      </c>
      <c r="H4173" t="s">
        <v>9</v>
      </c>
      <c r="I4173" t="s">
        <v>10</v>
      </c>
    </row>
    <row r="4174" spans="1:9" x14ac:dyDescent="0.25">
      <c r="A4174" t="s">
        <v>3840</v>
      </c>
      <c r="B4174" s="26" t="str">
        <f>MID(tbl_forecast[[#This Row],[PACE Job Number]],3,3)</f>
        <v>WSH</v>
      </c>
      <c r="C4174" t="s">
        <v>17</v>
      </c>
      <c r="D4174" s="1">
        <v>43434</v>
      </c>
      <c r="E4174" s="1">
        <v>43434</v>
      </c>
      <c r="F4174" s="1">
        <v>43411</v>
      </c>
      <c r="G4174" s="1">
        <v>43411</v>
      </c>
      <c r="H4174" t="s">
        <v>9</v>
      </c>
      <c r="I4174" t="s">
        <v>10</v>
      </c>
    </row>
    <row r="4175" spans="1:9" x14ac:dyDescent="0.25">
      <c r="A4175" t="s">
        <v>4370</v>
      </c>
      <c r="B4175" s="26" t="str">
        <f>MID(tbl_forecast[[#This Row],[PACE Job Number]],3,3)</f>
        <v>NTX</v>
      </c>
      <c r="C4175" t="s">
        <v>17</v>
      </c>
      <c r="D4175" s="1">
        <v>43426</v>
      </c>
      <c r="E4175" s="1">
        <v>43426</v>
      </c>
      <c r="F4175" s="1">
        <v>43419</v>
      </c>
      <c r="G4175" s="1">
        <v>43419</v>
      </c>
      <c r="H4175" t="s">
        <v>9</v>
      </c>
      <c r="I4175" t="s">
        <v>10</v>
      </c>
    </row>
    <row r="4176" spans="1:9" x14ac:dyDescent="0.25">
      <c r="A4176" t="s">
        <v>3447</v>
      </c>
      <c r="B4176" s="26" t="str">
        <f>MID(tbl_forecast[[#This Row],[PACE Job Number]],3,3)</f>
        <v>NTX</v>
      </c>
      <c r="C4176" t="s">
        <v>17</v>
      </c>
      <c r="D4176" s="1">
        <v>43408</v>
      </c>
      <c r="E4176" s="1">
        <v>43408</v>
      </c>
      <c r="F4176" s="1">
        <v>43408</v>
      </c>
      <c r="G4176" s="1"/>
      <c r="H4176" t="s">
        <v>9</v>
      </c>
      <c r="I4176" t="s">
        <v>27</v>
      </c>
    </row>
    <row r="4177" spans="1:9" x14ac:dyDescent="0.25">
      <c r="A4177" t="s">
        <v>67</v>
      </c>
      <c r="B4177" s="26" t="str">
        <f>MID(tbl_forecast[[#This Row],[PACE Job Number]],3,3)</f>
        <v>NTX</v>
      </c>
      <c r="C4177" t="s">
        <v>17</v>
      </c>
      <c r="D4177" s="1">
        <v>43422</v>
      </c>
      <c r="E4177" s="1">
        <v>43422</v>
      </c>
      <c r="F4177" s="1">
        <v>43417</v>
      </c>
      <c r="G4177" s="1">
        <v>43417</v>
      </c>
      <c r="H4177" t="s">
        <v>9</v>
      </c>
      <c r="I4177" t="s">
        <v>10</v>
      </c>
    </row>
    <row r="4178" spans="1:9" x14ac:dyDescent="0.25">
      <c r="A4178" t="s">
        <v>294</v>
      </c>
      <c r="B4178" s="26" t="str">
        <f>MID(tbl_forecast[[#This Row],[PACE Job Number]],3,3)</f>
        <v>NTX</v>
      </c>
      <c r="C4178" t="s">
        <v>17</v>
      </c>
      <c r="D4178" s="1">
        <v>43422</v>
      </c>
      <c r="E4178" s="1">
        <v>43422</v>
      </c>
      <c r="F4178" s="1">
        <v>43417</v>
      </c>
      <c r="G4178" s="1">
        <v>43417</v>
      </c>
      <c r="H4178" t="s">
        <v>9</v>
      </c>
      <c r="I4178" t="s">
        <v>10</v>
      </c>
    </row>
    <row r="4179" spans="1:9" x14ac:dyDescent="0.25">
      <c r="A4179" t="s">
        <v>5629</v>
      </c>
      <c r="B4179" s="26" t="str">
        <f>MID(tbl_forecast[[#This Row],[PACE Job Number]],3,3)</f>
        <v>STX</v>
      </c>
      <c r="C4179" t="s">
        <v>17</v>
      </c>
      <c r="D4179" s="1">
        <v>43406</v>
      </c>
      <c r="E4179" s="1">
        <v>43406</v>
      </c>
      <c r="F4179" s="1">
        <v>43411</v>
      </c>
      <c r="G4179" s="1">
        <v>43411</v>
      </c>
      <c r="H4179" t="s">
        <v>9</v>
      </c>
      <c r="I4179" t="s">
        <v>10</v>
      </c>
    </row>
    <row r="4180" spans="1:9" x14ac:dyDescent="0.25">
      <c r="A4180" t="s">
        <v>3225</v>
      </c>
      <c r="B4180" s="26" t="str">
        <f>MID(tbl_forecast[[#This Row],[PACE Job Number]],3,3)</f>
        <v>STX</v>
      </c>
      <c r="C4180" t="s">
        <v>17</v>
      </c>
      <c r="D4180" s="1">
        <v>43405</v>
      </c>
      <c r="E4180" s="1">
        <v>43404</v>
      </c>
      <c r="F4180" s="1">
        <v>43405</v>
      </c>
      <c r="G4180" s="1">
        <v>43405</v>
      </c>
      <c r="H4180" t="s">
        <v>9</v>
      </c>
      <c r="I4180" t="s">
        <v>10</v>
      </c>
    </row>
    <row r="4181" spans="1:9" x14ac:dyDescent="0.25">
      <c r="A4181" t="s">
        <v>5596</v>
      </c>
      <c r="B4181" s="26" t="str">
        <f>MID(tbl_forecast[[#This Row],[PACE Job Number]],3,3)</f>
        <v>STX</v>
      </c>
      <c r="C4181" t="s">
        <v>17</v>
      </c>
      <c r="D4181" s="1">
        <v>43434</v>
      </c>
      <c r="E4181" s="1">
        <v>43434</v>
      </c>
      <c r="F4181" s="1">
        <v>43430</v>
      </c>
      <c r="G4181" s="1">
        <v>43430</v>
      </c>
      <c r="H4181" t="s">
        <v>9</v>
      </c>
      <c r="I4181" t="s">
        <v>10</v>
      </c>
    </row>
    <row r="4182" spans="1:9" x14ac:dyDescent="0.25">
      <c r="A4182" t="s">
        <v>4372</v>
      </c>
      <c r="B4182" s="26" t="str">
        <f>MID(tbl_forecast[[#This Row],[PACE Job Number]],3,3)</f>
        <v>STX</v>
      </c>
      <c r="C4182" t="s">
        <v>17</v>
      </c>
      <c r="D4182" s="1">
        <v>43419</v>
      </c>
      <c r="E4182" s="1">
        <v>43453</v>
      </c>
      <c r="F4182" s="1">
        <v>43432</v>
      </c>
      <c r="G4182" s="1"/>
      <c r="H4182" t="s">
        <v>9</v>
      </c>
      <c r="I4182" t="s">
        <v>44</v>
      </c>
    </row>
    <row r="4183" spans="1:9" x14ac:dyDescent="0.25">
      <c r="A4183" t="s">
        <v>5597</v>
      </c>
      <c r="B4183" s="26" t="str">
        <f>MID(tbl_forecast[[#This Row],[PACE Job Number]],3,3)</f>
        <v>STX</v>
      </c>
      <c r="C4183" t="s">
        <v>17</v>
      </c>
      <c r="D4183" s="1">
        <v>43419</v>
      </c>
      <c r="E4183" s="1">
        <v>43440</v>
      </c>
      <c r="F4183" s="1">
        <v>43419</v>
      </c>
      <c r="G4183" s="1"/>
      <c r="H4183" t="s">
        <v>9</v>
      </c>
      <c r="I4183" t="s">
        <v>44</v>
      </c>
    </row>
    <row r="4184" spans="1:9" x14ac:dyDescent="0.25">
      <c r="A4184" t="s">
        <v>655</v>
      </c>
      <c r="B4184" s="26" t="str">
        <f>MID(tbl_forecast[[#This Row],[PACE Job Number]],3,3)</f>
        <v>STX</v>
      </c>
      <c r="C4184" t="s">
        <v>17</v>
      </c>
      <c r="D4184" s="1">
        <v>43434</v>
      </c>
      <c r="E4184" s="1">
        <v>43434</v>
      </c>
      <c r="F4184" s="1">
        <v>43434</v>
      </c>
      <c r="G4184" s="1"/>
      <c r="H4184" t="s">
        <v>9</v>
      </c>
      <c r="I4184" t="s">
        <v>27</v>
      </c>
    </row>
    <row r="4185" spans="1:9" x14ac:dyDescent="0.25">
      <c r="A4185" t="s">
        <v>4373</v>
      </c>
      <c r="B4185" s="26" t="str">
        <f>MID(tbl_forecast[[#This Row],[PACE Job Number]],3,3)</f>
        <v>STX</v>
      </c>
      <c r="C4185" t="s">
        <v>17</v>
      </c>
      <c r="D4185" s="1">
        <v>43434</v>
      </c>
      <c r="E4185" s="1">
        <v>43434</v>
      </c>
      <c r="F4185" s="1">
        <v>43411</v>
      </c>
      <c r="G4185" s="1">
        <v>43411</v>
      </c>
      <c r="H4185" t="s">
        <v>9</v>
      </c>
      <c r="I4185" t="s">
        <v>10</v>
      </c>
    </row>
    <row r="4186" spans="1:9" x14ac:dyDescent="0.25">
      <c r="A4186" t="s">
        <v>4374</v>
      </c>
      <c r="B4186" s="26" t="str">
        <f>MID(tbl_forecast[[#This Row],[PACE Job Number]],3,3)</f>
        <v>STX</v>
      </c>
      <c r="C4186" t="s">
        <v>17</v>
      </c>
      <c r="D4186" s="1">
        <v>43419</v>
      </c>
      <c r="E4186" s="1">
        <v>43434</v>
      </c>
      <c r="F4186" s="1">
        <v>43419</v>
      </c>
      <c r="G4186" s="1"/>
      <c r="H4186" t="s">
        <v>9</v>
      </c>
      <c r="I4186" t="s">
        <v>44</v>
      </c>
    </row>
    <row r="4187" spans="1:9" x14ac:dyDescent="0.25">
      <c r="A4187" t="s">
        <v>4375</v>
      </c>
      <c r="B4187" s="26" t="str">
        <f>MID(tbl_forecast[[#This Row],[PACE Job Number]],3,3)</f>
        <v>STX</v>
      </c>
      <c r="C4187" t="s">
        <v>17</v>
      </c>
      <c r="D4187" s="1">
        <v>43419</v>
      </c>
      <c r="E4187" s="1">
        <v>43453</v>
      </c>
      <c r="F4187" s="1">
        <v>43432</v>
      </c>
      <c r="G4187" s="1">
        <v>43432</v>
      </c>
      <c r="H4187" t="s">
        <v>9</v>
      </c>
      <c r="I4187" t="s">
        <v>10</v>
      </c>
    </row>
    <row r="4188" spans="1:9" x14ac:dyDescent="0.25">
      <c r="A4188" t="s">
        <v>5598</v>
      </c>
      <c r="B4188" s="26" t="str">
        <f>MID(tbl_forecast[[#This Row],[PACE Job Number]],3,3)</f>
        <v>STX</v>
      </c>
      <c r="C4188" t="s">
        <v>17</v>
      </c>
      <c r="D4188" s="1">
        <v>43419</v>
      </c>
      <c r="E4188" s="1">
        <v>43440</v>
      </c>
      <c r="F4188" s="1">
        <v>43419</v>
      </c>
      <c r="G4188" s="1"/>
      <c r="H4188" t="s">
        <v>9</v>
      </c>
      <c r="I4188" t="s">
        <v>44</v>
      </c>
    </row>
    <row r="4189" spans="1:9" x14ac:dyDescent="0.25">
      <c r="A4189" t="s">
        <v>4376</v>
      </c>
      <c r="B4189" s="26" t="str">
        <f>MID(tbl_forecast[[#This Row],[PACE Job Number]],3,3)</f>
        <v>STX</v>
      </c>
      <c r="C4189" t="s">
        <v>17</v>
      </c>
      <c r="D4189" s="1">
        <v>43419</v>
      </c>
      <c r="E4189" s="1">
        <v>43453</v>
      </c>
      <c r="F4189" s="1">
        <v>43419</v>
      </c>
      <c r="G4189" s="1"/>
      <c r="H4189" t="s">
        <v>9</v>
      </c>
      <c r="I4189" t="s">
        <v>44</v>
      </c>
    </row>
    <row r="4190" spans="1:9" x14ac:dyDescent="0.25">
      <c r="A4190" t="s">
        <v>3843</v>
      </c>
      <c r="B4190" s="26" t="str">
        <f>MID(tbl_forecast[[#This Row],[PACE Job Number]],3,3)</f>
        <v>WSH</v>
      </c>
      <c r="C4190" t="s">
        <v>17</v>
      </c>
      <c r="D4190" s="1">
        <v>43434</v>
      </c>
      <c r="E4190" s="1">
        <v>43434</v>
      </c>
      <c r="F4190" s="1">
        <v>43430</v>
      </c>
      <c r="G4190" s="1"/>
      <c r="H4190" t="s">
        <v>9</v>
      </c>
      <c r="I4190" t="s">
        <v>27</v>
      </c>
    </row>
    <row r="4191" spans="1:9" x14ac:dyDescent="0.25">
      <c r="A4191" t="s">
        <v>3423</v>
      </c>
      <c r="B4191" s="26" t="str">
        <f>MID(tbl_forecast[[#This Row],[PACE Job Number]],3,3)</f>
        <v>NTX</v>
      </c>
      <c r="C4191" t="s">
        <v>17</v>
      </c>
      <c r="D4191" s="1">
        <v>43406</v>
      </c>
      <c r="E4191" s="1">
        <v>43403</v>
      </c>
      <c r="F4191" s="1">
        <v>43406</v>
      </c>
      <c r="G4191" s="1"/>
      <c r="H4191" t="s">
        <v>9</v>
      </c>
      <c r="I4191" t="s">
        <v>27</v>
      </c>
    </row>
    <row r="4192" spans="1:9" x14ac:dyDescent="0.25">
      <c r="A4192" t="s">
        <v>3979</v>
      </c>
      <c r="B4192" s="26" t="str">
        <f>MID(tbl_forecast[[#This Row],[PACE Job Number]],3,3)</f>
        <v>NTX</v>
      </c>
      <c r="C4192" t="s">
        <v>17</v>
      </c>
      <c r="D4192" s="1">
        <v>43405</v>
      </c>
      <c r="E4192" s="1">
        <v>43448</v>
      </c>
      <c r="F4192" s="1">
        <v>43405</v>
      </c>
      <c r="G4192" s="1">
        <v>43405</v>
      </c>
      <c r="H4192" t="s">
        <v>9</v>
      </c>
      <c r="I4192" t="s">
        <v>10</v>
      </c>
    </row>
    <row r="4193" spans="1:9" x14ac:dyDescent="0.25">
      <c r="A4193" t="s">
        <v>2470</v>
      </c>
      <c r="B4193" s="26" t="str">
        <f>MID(tbl_forecast[[#This Row],[PACE Job Number]],3,3)</f>
        <v>NTX</v>
      </c>
      <c r="C4193" t="s">
        <v>17</v>
      </c>
      <c r="D4193" s="1">
        <v>43413</v>
      </c>
      <c r="E4193" s="1">
        <v>43413</v>
      </c>
      <c r="F4193" s="1">
        <v>43410</v>
      </c>
      <c r="G4193" s="1">
        <v>43410</v>
      </c>
      <c r="H4193" t="s">
        <v>9</v>
      </c>
      <c r="I4193" t="s">
        <v>10</v>
      </c>
    </row>
    <row r="4194" spans="1:9" x14ac:dyDescent="0.25">
      <c r="A4194" t="s">
        <v>3419</v>
      </c>
      <c r="B4194" s="26" t="str">
        <f>MID(tbl_forecast[[#This Row],[PACE Job Number]],3,3)</f>
        <v>NTX</v>
      </c>
      <c r="C4194" t="s">
        <v>17</v>
      </c>
      <c r="D4194" s="1">
        <v>43406</v>
      </c>
      <c r="E4194" s="1">
        <v>43403</v>
      </c>
      <c r="F4194" s="1">
        <v>43406</v>
      </c>
      <c r="G4194" s="1"/>
      <c r="H4194" t="s">
        <v>9</v>
      </c>
      <c r="I4194" t="s">
        <v>27</v>
      </c>
    </row>
    <row r="4195" spans="1:9" x14ac:dyDescent="0.25">
      <c r="A4195" t="s">
        <v>3415</v>
      </c>
      <c r="B4195" s="26" t="str">
        <f>MID(tbl_forecast[[#This Row],[PACE Job Number]],3,3)</f>
        <v>NTX</v>
      </c>
      <c r="C4195" t="s">
        <v>17</v>
      </c>
      <c r="D4195" s="1">
        <v>43406</v>
      </c>
      <c r="E4195" s="1">
        <v>43403</v>
      </c>
      <c r="F4195" s="1">
        <v>43406</v>
      </c>
      <c r="G4195" s="1"/>
      <c r="H4195" t="s">
        <v>9</v>
      </c>
      <c r="I4195" t="s">
        <v>27</v>
      </c>
    </row>
    <row r="4196" spans="1:9" x14ac:dyDescent="0.25">
      <c r="A4196" t="s">
        <v>2474</v>
      </c>
      <c r="B4196" s="26" t="str">
        <f>MID(tbl_forecast[[#This Row],[PACE Job Number]],3,3)</f>
        <v>NTX</v>
      </c>
      <c r="C4196" t="s">
        <v>17</v>
      </c>
      <c r="D4196" s="1">
        <v>43408</v>
      </c>
      <c r="E4196" s="1">
        <v>43408</v>
      </c>
      <c r="F4196" s="1">
        <v>43410</v>
      </c>
      <c r="G4196" s="1">
        <v>43410</v>
      </c>
      <c r="H4196" t="s">
        <v>9</v>
      </c>
      <c r="I4196" t="s">
        <v>10</v>
      </c>
    </row>
    <row r="4197" spans="1:9" x14ac:dyDescent="0.25">
      <c r="A4197" t="s">
        <v>4639</v>
      </c>
      <c r="B4197" s="26" t="str">
        <f>MID(tbl_forecast[[#This Row],[PACE Job Number]],3,3)</f>
        <v>NTX</v>
      </c>
      <c r="C4197" t="s">
        <v>17</v>
      </c>
      <c r="D4197" s="1">
        <v>43405</v>
      </c>
      <c r="E4197" s="1">
        <v>43354</v>
      </c>
      <c r="F4197" s="1">
        <v>43405</v>
      </c>
      <c r="G4197" s="1">
        <v>43405</v>
      </c>
      <c r="H4197" t="s">
        <v>9</v>
      </c>
      <c r="I4197" t="s">
        <v>10</v>
      </c>
    </row>
    <row r="4198" spans="1:9" x14ac:dyDescent="0.25">
      <c r="A4198" t="s">
        <v>3445</v>
      </c>
      <c r="B4198" s="26" t="str">
        <f>MID(tbl_forecast[[#This Row],[PACE Job Number]],3,3)</f>
        <v>NTX</v>
      </c>
      <c r="C4198" t="s">
        <v>17</v>
      </c>
      <c r="D4198" s="1">
        <v>43406</v>
      </c>
      <c r="E4198" s="1">
        <v>43403</v>
      </c>
      <c r="F4198" s="1">
        <v>43406</v>
      </c>
      <c r="G4198" s="1"/>
      <c r="H4198" t="s">
        <v>9</v>
      </c>
      <c r="I4198" t="s">
        <v>27</v>
      </c>
    </row>
    <row r="4199" spans="1:9" x14ac:dyDescent="0.25">
      <c r="A4199" t="s">
        <v>3981</v>
      </c>
      <c r="B4199" s="26" t="str">
        <f>MID(tbl_forecast[[#This Row],[PACE Job Number]],3,3)</f>
        <v>NTX</v>
      </c>
      <c r="C4199" t="s">
        <v>17</v>
      </c>
      <c r="D4199" s="1">
        <v>43408</v>
      </c>
      <c r="E4199" s="1">
        <v>43408</v>
      </c>
      <c r="F4199" s="1">
        <v>43408</v>
      </c>
      <c r="G4199" s="1"/>
      <c r="H4199" t="s">
        <v>9</v>
      </c>
      <c r="I4199" t="s">
        <v>27</v>
      </c>
    </row>
    <row r="4200" spans="1:9" x14ac:dyDescent="0.25">
      <c r="A4200" t="s">
        <v>3982</v>
      </c>
      <c r="B4200" s="26" t="str">
        <f>MID(tbl_forecast[[#This Row],[PACE Job Number]],3,3)</f>
        <v>NTX</v>
      </c>
      <c r="C4200" t="s">
        <v>17</v>
      </c>
      <c r="D4200" s="1">
        <v>43405</v>
      </c>
      <c r="E4200" s="1">
        <v>43448</v>
      </c>
      <c r="F4200" s="1">
        <v>43405</v>
      </c>
      <c r="G4200" s="1">
        <v>43405</v>
      </c>
      <c r="H4200" t="s">
        <v>9</v>
      </c>
      <c r="I4200" t="s">
        <v>10</v>
      </c>
    </row>
    <row r="4201" spans="1:9" x14ac:dyDescent="0.25">
      <c r="A4201" t="s">
        <v>3948</v>
      </c>
      <c r="B4201" s="26" t="str">
        <f>MID(tbl_forecast[[#This Row],[PACE Job Number]],3,3)</f>
        <v>STX</v>
      </c>
      <c r="C4201" t="s">
        <v>15</v>
      </c>
      <c r="D4201" s="1">
        <v>43430</v>
      </c>
      <c r="E4201" s="1">
        <v>43463</v>
      </c>
      <c r="F4201" s="1">
        <v>43434</v>
      </c>
      <c r="G4201" s="1"/>
      <c r="H4201" t="s">
        <v>9</v>
      </c>
      <c r="I4201" t="s">
        <v>44</v>
      </c>
    </row>
    <row r="4202" spans="1:9" x14ac:dyDescent="0.25">
      <c r="A4202" t="s">
        <v>3949</v>
      </c>
      <c r="B4202" s="26" t="str">
        <f>MID(tbl_forecast[[#This Row],[PACE Job Number]],3,3)</f>
        <v>STX</v>
      </c>
      <c r="C4202" t="s">
        <v>15</v>
      </c>
      <c r="D4202" s="1">
        <v>43430</v>
      </c>
      <c r="E4202" s="1">
        <v>43463</v>
      </c>
      <c r="F4202" s="1">
        <v>43434</v>
      </c>
      <c r="G4202" s="1"/>
      <c r="H4202" t="s">
        <v>9</v>
      </c>
      <c r="I4202" t="s">
        <v>44</v>
      </c>
    </row>
    <row r="4203" spans="1:9" x14ac:dyDescent="0.25">
      <c r="A4203" t="s">
        <v>3950</v>
      </c>
      <c r="B4203" s="26" t="str">
        <f>MID(tbl_forecast[[#This Row],[PACE Job Number]],3,3)</f>
        <v>STX</v>
      </c>
      <c r="C4203" t="s">
        <v>15</v>
      </c>
      <c r="D4203" s="1">
        <v>43430</v>
      </c>
      <c r="E4203" s="1">
        <v>43493</v>
      </c>
      <c r="F4203" s="1">
        <v>43434</v>
      </c>
      <c r="G4203" s="1"/>
      <c r="H4203" t="s">
        <v>9</v>
      </c>
      <c r="I4203" t="s">
        <v>44</v>
      </c>
    </row>
    <row r="4204" spans="1:9" x14ac:dyDescent="0.25">
      <c r="A4204" t="s">
        <v>3951</v>
      </c>
      <c r="B4204" s="26" t="str">
        <f>MID(tbl_forecast[[#This Row],[PACE Job Number]],3,3)</f>
        <v>STX</v>
      </c>
      <c r="C4204" t="s">
        <v>15</v>
      </c>
      <c r="D4204" s="1">
        <v>43430</v>
      </c>
      <c r="E4204" s="1">
        <v>43463</v>
      </c>
      <c r="F4204" s="1">
        <v>43434</v>
      </c>
      <c r="G4204" s="1"/>
      <c r="H4204" t="s">
        <v>9</v>
      </c>
      <c r="I4204" t="s">
        <v>44</v>
      </c>
    </row>
    <row r="4205" spans="1:9" x14ac:dyDescent="0.25">
      <c r="A4205" t="s">
        <v>3952</v>
      </c>
      <c r="B4205" s="26" t="str">
        <f>MID(tbl_forecast[[#This Row],[PACE Job Number]],3,3)</f>
        <v>STX</v>
      </c>
      <c r="C4205" t="s">
        <v>15</v>
      </c>
      <c r="D4205" s="1">
        <v>43430</v>
      </c>
      <c r="E4205" s="1">
        <v>43463</v>
      </c>
      <c r="F4205" s="1">
        <v>43434</v>
      </c>
      <c r="G4205" s="1"/>
      <c r="H4205" t="s">
        <v>9</v>
      </c>
      <c r="I4205" t="s">
        <v>44</v>
      </c>
    </row>
    <row r="4206" spans="1:9" x14ac:dyDescent="0.25">
      <c r="A4206" t="s">
        <v>3953</v>
      </c>
      <c r="B4206" s="26" t="str">
        <f>MID(tbl_forecast[[#This Row],[PACE Job Number]],3,3)</f>
        <v>STX</v>
      </c>
      <c r="C4206" t="s">
        <v>15</v>
      </c>
      <c r="D4206" s="1">
        <v>43430</v>
      </c>
      <c r="E4206" s="1">
        <v>43465</v>
      </c>
      <c r="F4206" s="1">
        <v>43434</v>
      </c>
      <c r="G4206" s="1"/>
      <c r="H4206" t="s">
        <v>9</v>
      </c>
      <c r="I4206" t="s">
        <v>44</v>
      </c>
    </row>
    <row r="4207" spans="1:9" x14ac:dyDescent="0.25">
      <c r="A4207" t="s">
        <v>3397</v>
      </c>
      <c r="B4207" s="26" t="str">
        <f>MID(tbl_forecast[[#This Row],[PACE Job Number]],3,3)</f>
        <v>STX</v>
      </c>
      <c r="C4207" t="s">
        <v>15</v>
      </c>
      <c r="D4207" s="1">
        <v>43418</v>
      </c>
      <c r="E4207" s="1">
        <v>43465</v>
      </c>
      <c r="F4207" s="1">
        <v>43434</v>
      </c>
      <c r="G4207" s="1"/>
      <c r="H4207" t="s">
        <v>4664</v>
      </c>
      <c r="I4207" t="s">
        <v>5645</v>
      </c>
    </row>
    <row r="4208" spans="1:9" x14ac:dyDescent="0.25">
      <c r="A4208" t="s">
        <v>3388</v>
      </c>
      <c r="B4208" s="26" t="str">
        <f>MID(tbl_forecast[[#This Row],[PACE Job Number]],3,3)</f>
        <v>STX</v>
      </c>
      <c r="C4208" t="s">
        <v>15</v>
      </c>
      <c r="D4208" s="1">
        <v>43418</v>
      </c>
      <c r="E4208" s="1">
        <v>43465</v>
      </c>
      <c r="F4208" s="1">
        <v>43434</v>
      </c>
      <c r="G4208" s="1"/>
      <c r="H4208" t="s">
        <v>4664</v>
      </c>
      <c r="I4208" t="s">
        <v>5645</v>
      </c>
    </row>
    <row r="4209" spans="1:9" x14ac:dyDescent="0.25">
      <c r="A4209" t="s">
        <v>5630</v>
      </c>
      <c r="B4209" s="26" t="str">
        <f>MID(tbl_forecast[[#This Row],[PACE Job Number]],3,3)</f>
        <v>STX</v>
      </c>
      <c r="C4209" t="s">
        <v>15</v>
      </c>
      <c r="D4209" s="1">
        <v>43406</v>
      </c>
      <c r="E4209" s="1">
        <v>43463</v>
      </c>
      <c r="F4209" s="1">
        <v>43406</v>
      </c>
      <c r="G4209" s="1">
        <v>43406</v>
      </c>
      <c r="H4209" t="s">
        <v>9</v>
      </c>
      <c r="I4209" t="s">
        <v>10</v>
      </c>
    </row>
    <row r="4210" spans="1:9" x14ac:dyDescent="0.25">
      <c r="A4210" t="s">
        <v>5631</v>
      </c>
      <c r="B4210" s="26" t="str">
        <f>MID(tbl_forecast[[#This Row],[PACE Job Number]],3,3)</f>
        <v>STX</v>
      </c>
      <c r="C4210" t="s">
        <v>15</v>
      </c>
      <c r="D4210" s="1">
        <v>43406</v>
      </c>
      <c r="E4210" s="1">
        <v>43463</v>
      </c>
      <c r="F4210" s="1">
        <v>43406</v>
      </c>
      <c r="G4210" s="1">
        <v>43406</v>
      </c>
      <c r="H4210" t="s">
        <v>9</v>
      </c>
      <c r="I4210" t="s">
        <v>10</v>
      </c>
    </row>
    <row r="4211" spans="1:9" x14ac:dyDescent="0.25">
      <c r="A4211" t="s">
        <v>3514</v>
      </c>
      <c r="B4211" s="26" t="str">
        <f>MID(tbl_forecast[[#This Row],[PACE Job Number]],3,3)</f>
        <v>STX</v>
      </c>
      <c r="C4211" t="s">
        <v>15</v>
      </c>
      <c r="D4211" s="1">
        <v>43410</v>
      </c>
      <c r="E4211" s="1">
        <v>43465</v>
      </c>
      <c r="F4211" s="1">
        <v>43434</v>
      </c>
      <c r="G4211" s="1"/>
      <c r="H4211" t="s">
        <v>4664</v>
      </c>
      <c r="I4211" t="s">
        <v>5645</v>
      </c>
    </row>
    <row r="4212" spans="1:9" x14ac:dyDescent="0.25">
      <c r="A4212" t="s">
        <v>2677</v>
      </c>
      <c r="B4212" s="26" t="str">
        <f>MID(tbl_forecast[[#This Row],[PACE Job Number]],3,3)</f>
        <v>STX</v>
      </c>
      <c r="C4212" t="s">
        <v>15</v>
      </c>
      <c r="D4212" s="1">
        <v>43406</v>
      </c>
      <c r="E4212" s="1">
        <v>43418</v>
      </c>
      <c r="F4212" s="1">
        <v>43406</v>
      </c>
      <c r="G4212" s="1">
        <v>43406</v>
      </c>
      <c r="H4212" t="s">
        <v>9</v>
      </c>
      <c r="I4212" t="s">
        <v>10</v>
      </c>
    </row>
    <row r="4213" spans="1:9" x14ac:dyDescent="0.25">
      <c r="A4213" t="s">
        <v>4060</v>
      </c>
      <c r="B4213" s="26" t="str">
        <f>MID(tbl_forecast[[#This Row],[PACE Job Number]],3,3)</f>
        <v>STX</v>
      </c>
      <c r="C4213" t="s">
        <v>15</v>
      </c>
      <c r="D4213" s="1">
        <v>43419</v>
      </c>
      <c r="E4213" s="1">
        <v>43463</v>
      </c>
      <c r="F4213" s="1">
        <v>43417</v>
      </c>
      <c r="G4213" s="1">
        <v>43417</v>
      </c>
      <c r="H4213" t="s">
        <v>9</v>
      </c>
      <c r="I4213" t="s">
        <v>10</v>
      </c>
    </row>
    <row r="4214" spans="1:9" x14ac:dyDescent="0.25">
      <c r="A4214" t="s">
        <v>258</v>
      </c>
      <c r="B4214" s="26" t="str">
        <f>MID(tbl_forecast[[#This Row],[PACE Job Number]],3,3)</f>
        <v>STX</v>
      </c>
      <c r="C4214" t="s">
        <v>15</v>
      </c>
      <c r="D4214" s="1">
        <v>43430</v>
      </c>
      <c r="E4214" s="1">
        <v>43465</v>
      </c>
      <c r="F4214" s="1">
        <v>43417</v>
      </c>
      <c r="G4214" s="1">
        <v>43417</v>
      </c>
      <c r="H4214" t="s">
        <v>9</v>
      </c>
      <c r="I4214" t="s">
        <v>10</v>
      </c>
    </row>
    <row r="4215" spans="1:9" x14ac:dyDescent="0.25">
      <c r="A4215" t="s">
        <v>908</v>
      </c>
      <c r="B4215" s="26" t="str">
        <f>MID(tbl_forecast[[#This Row],[PACE Job Number]],3,3)</f>
        <v>STX</v>
      </c>
      <c r="C4215" t="s">
        <v>15</v>
      </c>
      <c r="D4215" s="1">
        <v>43406</v>
      </c>
      <c r="E4215" s="1">
        <v>43432</v>
      </c>
      <c r="F4215" s="1">
        <v>43406</v>
      </c>
      <c r="G4215" s="1">
        <v>43406</v>
      </c>
      <c r="H4215" t="s">
        <v>9</v>
      </c>
      <c r="I4215" t="s">
        <v>10</v>
      </c>
    </row>
    <row r="4216" spans="1:9" x14ac:dyDescent="0.25">
      <c r="A4216" t="s">
        <v>249</v>
      </c>
      <c r="B4216" s="26" t="str">
        <f>MID(tbl_forecast[[#This Row],[PACE Job Number]],3,3)</f>
        <v>STX</v>
      </c>
      <c r="C4216" t="s">
        <v>15</v>
      </c>
      <c r="D4216" s="1">
        <v>43418</v>
      </c>
      <c r="E4216" s="1">
        <v>43433</v>
      </c>
      <c r="F4216" s="1">
        <v>43434</v>
      </c>
      <c r="G4216" s="1"/>
      <c r="H4216" t="s">
        <v>4664</v>
      </c>
      <c r="I4216" t="s">
        <v>5645</v>
      </c>
    </row>
    <row r="4217" spans="1:9" x14ac:dyDescent="0.25">
      <c r="A4217" t="s">
        <v>3485</v>
      </c>
      <c r="B4217" s="26" t="str">
        <f>MID(tbl_forecast[[#This Row],[PACE Job Number]],3,3)</f>
        <v>STX</v>
      </c>
      <c r="C4217" t="s">
        <v>15</v>
      </c>
      <c r="D4217" s="1">
        <v>43418</v>
      </c>
      <c r="E4217" s="1">
        <v>43493</v>
      </c>
      <c r="F4217" s="1">
        <v>43423</v>
      </c>
      <c r="G4217" s="1">
        <v>43423</v>
      </c>
      <c r="H4217" t="s">
        <v>9</v>
      </c>
      <c r="I4217" t="s">
        <v>10</v>
      </c>
    </row>
    <row r="4218" spans="1:9" x14ac:dyDescent="0.25">
      <c r="A4218" t="s">
        <v>697</v>
      </c>
      <c r="B4218" s="26" t="str">
        <f>MID(tbl_forecast[[#This Row],[PACE Job Number]],3,3)</f>
        <v>STX</v>
      </c>
      <c r="C4218" t="s">
        <v>15</v>
      </c>
      <c r="D4218" s="1">
        <v>43418</v>
      </c>
      <c r="E4218" s="1">
        <v>43463</v>
      </c>
      <c r="F4218" s="1">
        <v>43432</v>
      </c>
      <c r="G4218" s="1">
        <v>43432</v>
      </c>
      <c r="H4218" t="s">
        <v>9</v>
      </c>
      <c r="I4218" t="s">
        <v>10</v>
      </c>
    </row>
    <row r="4219" spans="1:9" x14ac:dyDescent="0.25">
      <c r="A4219" t="s">
        <v>200</v>
      </c>
      <c r="B4219" s="26" t="str">
        <f>MID(tbl_forecast[[#This Row],[PACE Job Number]],3,3)</f>
        <v>STX</v>
      </c>
      <c r="C4219" t="s">
        <v>15</v>
      </c>
      <c r="D4219" s="1">
        <v>43419</v>
      </c>
      <c r="E4219" s="1">
        <v>43463</v>
      </c>
      <c r="F4219" s="1">
        <v>43434</v>
      </c>
      <c r="G4219" s="1"/>
      <c r="H4219" t="s">
        <v>4664</v>
      </c>
      <c r="I4219" t="s">
        <v>5645</v>
      </c>
    </row>
    <row r="4220" spans="1:9" x14ac:dyDescent="0.25">
      <c r="A4220" t="s">
        <v>3230</v>
      </c>
      <c r="B4220" s="26" t="str">
        <f>MID(tbl_forecast[[#This Row],[PACE Job Number]],3,3)</f>
        <v>STX</v>
      </c>
      <c r="C4220" t="s">
        <v>15</v>
      </c>
      <c r="D4220" s="1">
        <v>43430</v>
      </c>
      <c r="E4220" s="1">
        <v>43585</v>
      </c>
      <c r="F4220" s="1">
        <v>43434</v>
      </c>
      <c r="G4220" s="1"/>
      <c r="H4220" t="s">
        <v>9</v>
      </c>
      <c r="I4220" t="s">
        <v>44</v>
      </c>
    </row>
    <row r="4221" spans="1:9" x14ac:dyDescent="0.25">
      <c r="A4221" t="s">
        <v>3955</v>
      </c>
      <c r="B4221" s="26" t="str">
        <f>MID(tbl_forecast[[#This Row],[PACE Job Number]],3,3)</f>
        <v>STX</v>
      </c>
      <c r="C4221" t="s">
        <v>15</v>
      </c>
      <c r="D4221" s="1">
        <v>43418</v>
      </c>
      <c r="E4221" s="1">
        <v>43465</v>
      </c>
      <c r="F4221" s="1">
        <v>43434</v>
      </c>
      <c r="G4221" s="1"/>
      <c r="H4221" t="s">
        <v>4664</v>
      </c>
      <c r="I4221" t="s">
        <v>5645</v>
      </c>
    </row>
    <row r="4222" spans="1:9" x14ac:dyDescent="0.25">
      <c r="A4222" t="s">
        <v>4044</v>
      </c>
      <c r="B4222" s="26" t="str">
        <f>MID(tbl_forecast[[#This Row],[PACE Job Number]],3,3)</f>
        <v>STX</v>
      </c>
      <c r="C4222" t="s">
        <v>15</v>
      </c>
      <c r="D4222" s="1">
        <v>43410</v>
      </c>
      <c r="E4222" s="1">
        <v>43463</v>
      </c>
      <c r="F4222" s="1">
        <v>43417</v>
      </c>
      <c r="G4222" s="1">
        <v>43417</v>
      </c>
      <c r="H4222" t="s">
        <v>9</v>
      </c>
      <c r="I4222" t="s">
        <v>10</v>
      </c>
    </row>
    <row r="4223" spans="1:9" x14ac:dyDescent="0.25">
      <c r="A4223" t="s">
        <v>3204</v>
      </c>
      <c r="B4223" s="26" t="str">
        <f>MID(tbl_forecast[[#This Row],[PACE Job Number]],3,3)</f>
        <v>STX</v>
      </c>
      <c r="C4223" t="s">
        <v>15</v>
      </c>
      <c r="D4223" s="1">
        <v>43430</v>
      </c>
      <c r="E4223" s="1">
        <v>43585</v>
      </c>
      <c r="F4223" s="1">
        <v>43434</v>
      </c>
      <c r="G4223" s="1"/>
      <c r="H4223" t="s">
        <v>9</v>
      </c>
      <c r="I4223" t="s">
        <v>44</v>
      </c>
    </row>
    <row r="4224" spans="1:9" x14ac:dyDescent="0.25">
      <c r="A4224" t="s">
        <v>252</v>
      </c>
      <c r="B4224" s="26" t="str">
        <f>MID(tbl_forecast[[#This Row],[PACE Job Number]],3,3)</f>
        <v>STX</v>
      </c>
      <c r="C4224" t="s">
        <v>15</v>
      </c>
      <c r="D4224" s="1">
        <v>43430</v>
      </c>
      <c r="E4224" s="1">
        <v>43465</v>
      </c>
      <c r="F4224" s="1">
        <v>43417</v>
      </c>
      <c r="G4224" s="1">
        <v>43417</v>
      </c>
      <c r="H4224" t="s">
        <v>9</v>
      </c>
      <c r="I4224" t="s">
        <v>10</v>
      </c>
    </row>
    <row r="4225" spans="1:9" x14ac:dyDescent="0.25">
      <c r="A4225" t="s">
        <v>4612</v>
      </c>
      <c r="B4225" s="26" t="str">
        <f>MID(tbl_forecast[[#This Row],[PACE Job Number]],3,3)</f>
        <v>STX</v>
      </c>
      <c r="C4225" t="s">
        <v>15</v>
      </c>
      <c r="D4225" s="1">
        <v>43418</v>
      </c>
      <c r="E4225" s="1">
        <v>43463</v>
      </c>
      <c r="F4225" s="1">
        <v>43434</v>
      </c>
      <c r="G4225" s="1"/>
      <c r="H4225" t="s">
        <v>4664</v>
      </c>
      <c r="I4225" t="s">
        <v>5645</v>
      </c>
    </row>
    <row r="4226" spans="1:9" x14ac:dyDescent="0.25">
      <c r="A4226" t="s">
        <v>4643</v>
      </c>
      <c r="B4226" s="26" t="str">
        <f>MID(tbl_forecast[[#This Row],[PACE Job Number]],3,3)</f>
        <v>STX</v>
      </c>
      <c r="C4226" t="s">
        <v>15</v>
      </c>
      <c r="D4226" s="1">
        <v>43410</v>
      </c>
      <c r="E4226" s="1">
        <v>43463</v>
      </c>
      <c r="F4226" s="1">
        <v>43434</v>
      </c>
      <c r="G4226" s="1"/>
      <c r="H4226" t="s">
        <v>4664</v>
      </c>
      <c r="I4226" t="s">
        <v>5645</v>
      </c>
    </row>
    <row r="4227" spans="1:9" x14ac:dyDescent="0.25">
      <c r="A4227" t="s">
        <v>3465</v>
      </c>
      <c r="B4227" s="26" t="str">
        <f>MID(tbl_forecast[[#This Row],[PACE Job Number]],3,3)</f>
        <v>STX</v>
      </c>
      <c r="C4227" t="s">
        <v>15</v>
      </c>
      <c r="D4227" s="1">
        <v>43430</v>
      </c>
      <c r="E4227" s="1">
        <v>43493</v>
      </c>
      <c r="F4227" s="1">
        <v>43434</v>
      </c>
      <c r="G4227" s="1"/>
      <c r="H4227" t="s">
        <v>9</v>
      </c>
      <c r="I4227" t="s">
        <v>44</v>
      </c>
    </row>
    <row r="4228" spans="1:9" x14ac:dyDescent="0.25">
      <c r="A4228" t="s">
        <v>4045</v>
      </c>
      <c r="B4228" s="26" t="str">
        <f>MID(tbl_forecast[[#This Row],[PACE Job Number]],3,3)</f>
        <v>STX</v>
      </c>
      <c r="C4228" t="s">
        <v>15</v>
      </c>
      <c r="D4228" s="1">
        <v>43410</v>
      </c>
      <c r="E4228" s="1">
        <v>43463</v>
      </c>
      <c r="F4228" s="1">
        <v>43417</v>
      </c>
      <c r="G4228" s="1">
        <v>43417</v>
      </c>
      <c r="H4228" t="s">
        <v>9</v>
      </c>
      <c r="I4228" t="s">
        <v>10</v>
      </c>
    </row>
    <row r="4229" spans="1:9" x14ac:dyDescent="0.25">
      <c r="A4229" t="s">
        <v>4613</v>
      </c>
      <c r="B4229" s="26" t="str">
        <f>MID(tbl_forecast[[#This Row],[PACE Job Number]],3,3)</f>
        <v>STX</v>
      </c>
      <c r="C4229" t="s">
        <v>15</v>
      </c>
      <c r="D4229" s="1">
        <v>43418</v>
      </c>
      <c r="E4229" s="1">
        <v>43465</v>
      </c>
      <c r="F4229" s="1">
        <v>43434</v>
      </c>
      <c r="G4229" s="1"/>
      <c r="H4229" t="s">
        <v>4664</v>
      </c>
      <c r="I4229" t="s">
        <v>5645</v>
      </c>
    </row>
    <row r="4230" spans="1:9" x14ac:dyDescent="0.25">
      <c r="A4230" t="s">
        <v>373</v>
      </c>
      <c r="B4230" s="26" t="str">
        <f>MID(tbl_forecast[[#This Row],[PACE Job Number]],3,3)</f>
        <v>WSH</v>
      </c>
      <c r="C4230" t="s">
        <v>15</v>
      </c>
      <c r="D4230" s="1">
        <v>43421</v>
      </c>
      <c r="E4230" s="1">
        <v>36524</v>
      </c>
      <c r="F4230" s="1">
        <v>43434</v>
      </c>
      <c r="G4230" s="1"/>
      <c r="H4230" t="s">
        <v>9</v>
      </c>
      <c r="I4230" t="s">
        <v>27</v>
      </c>
    </row>
    <row r="4231" spans="1:9" x14ac:dyDescent="0.25">
      <c r="A4231" t="s">
        <v>467</v>
      </c>
      <c r="B4231" s="26" t="str">
        <f>MID(tbl_forecast[[#This Row],[PACE Job Number]],3,3)</f>
        <v>WSH</v>
      </c>
      <c r="C4231" t="s">
        <v>15</v>
      </c>
      <c r="D4231" s="1">
        <v>43434</v>
      </c>
      <c r="E4231" s="1">
        <v>36524</v>
      </c>
      <c r="F4231" s="1">
        <v>43431</v>
      </c>
      <c r="G4231" s="1">
        <v>43431</v>
      </c>
      <c r="H4231" t="s">
        <v>9</v>
      </c>
      <c r="I4231" t="s">
        <v>10</v>
      </c>
    </row>
    <row r="4232" spans="1:9" x14ac:dyDescent="0.25">
      <c r="A4232" t="s">
        <v>3984</v>
      </c>
      <c r="B4232" s="26" t="str">
        <f>MID(tbl_forecast[[#This Row],[PACE Job Number]],3,3)</f>
        <v>NTX</v>
      </c>
      <c r="C4232" t="s">
        <v>15</v>
      </c>
      <c r="D4232" s="1">
        <v>43425</v>
      </c>
      <c r="E4232" s="1">
        <v>43425</v>
      </c>
      <c r="F4232" s="1">
        <v>43464</v>
      </c>
      <c r="G4232" s="1"/>
      <c r="H4232" t="s">
        <v>4664</v>
      </c>
      <c r="I4232" t="s">
        <v>4666</v>
      </c>
    </row>
    <row r="4233" spans="1:9" x14ac:dyDescent="0.25">
      <c r="A4233" t="s">
        <v>61</v>
      </c>
      <c r="B4233" s="26" t="str">
        <f>MID(tbl_forecast[[#This Row],[PACE Job Number]],3,3)</f>
        <v>NTX</v>
      </c>
      <c r="C4233" t="s">
        <v>15</v>
      </c>
      <c r="D4233" s="1">
        <v>43427</v>
      </c>
      <c r="E4233" s="1">
        <v>43427</v>
      </c>
      <c r="F4233" s="1">
        <v>43495</v>
      </c>
      <c r="G4233" s="1"/>
      <c r="H4233" t="s">
        <v>4664</v>
      </c>
      <c r="I4233" t="s">
        <v>4666</v>
      </c>
    </row>
    <row r="4234" spans="1:9" x14ac:dyDescent="0.25">
      <c r="A4234" t="s">
        <v>4304</v>
      </c>
      <c r="B4234" s="26" t="str">
        <f>MID(tbl_forecast[[#This Row],[PACE Job Number]],3,3)</f>
        <v>NTX</v>
      </c>
      <c r="C4234" t="s">
        <v>15</v>
      </c>
      <c r="D4234" s="1">
        <v>43415</v>
      </c>
      <c r="E4234" s="1">
        <v>36524</v>
      </c>
      <c r="F4234" s="1">
        <v>43495</v>
      </c>
      <c r="G4234" s="1"/>
      <c r="H4234" t="s">
        <v>4664</v>
      </c>
      <c r="I4234" t="s">
        <v>4666</v>
      </c>
    </row>
    <row r="4235" spans="1:9" x14ac:dyDescent="0.25">
      <c r="A4235" t="s">
        <v>139</v>
      </c>
      <c r="B4235" s="26" t="str">
        <f>MID(tbl_forecast[[#This Row],[PACE Job Number]],3,3)</f>
        <v>NTX</v>
      </c>
      <c r="C4235" t="s">
        <v>15</v>
      </c>
      <c r="D4235" s="1">
        <v>43427</v>
      </c>
      <c r="E4235" s="1">
        <v>43427</v>
      </c>
      <c r="F4235" s="1">
        <v>43495</v>
      </c>
      <c r="G4235" s="1"/>
      <c r="H4235" t="s">
        <v>4664</v>
      </c>
      <c r="I4235" t="s">
        <v>4666</v>
      </c>
    </row>
    <row r="4236" spans="1:9" x14ac:dyDescent="0.25">
      <c r="A4236" t="s">
        <v>4305</v>
      </c>
      <c r="B4236" s="26" t="str">
        <f>MID(tbl_forecast[[#This Row],[PACE Job Number]],3,3)</f>
        <v>NTX</v>
      </c>
      <c r="C4236" t="s">
        <v>15</v>
      </c>
      <c r="D4236" s="1">
        <v>43406</v>
      </c>
      <c r="E4236" s="1">
        <v>43449</v>
      </c>
      <c r="F4236" s="1">
        <v>43406</v>
      </c>
      <c r="G4236" s="1">
        <v>43406</v>
      </c>
      <c r="H4236" t="s">
        <v>9</v>
      </c>
      <c r="I4236" t="s">
        <v>10</v>
      </c>
    </row>
    <row r="4237" spans="1:9" x14ac:dyDescent="0.25">
      <c r="A4237" t="s">
        <v>5632</v>
      </c>
      <c r="B4237" s="26" t="str">
        <f>MID(tbl_forecast[[#This Row],[PACE Job Number]],3,3)</f>
        <v>NTX</v>
      </c>
      <c r="C4237" t="s">
        <v>15</v>
      </c>
      <c r="D4237" s="1">
        <v>43411</v>
      </c>
      <c r="E4237" s="1">
        <v>43478</v>
      </c>
      <c r="F4237" s="1">
        <v>43615</v>
      </c>
      <c r="G4237" s="1"/>
      <c r="H4237" t="s">
        <v>4664</v>
      </c>
      <c r="I4237" t="s">
        <v>5645</v>
      </c>
    </row>
    <row r="4238" spans="1:9" x14ac:dyDescent="0.25">
      <c r="A4238" t="s">
        <v>4306</v>
      </c>
      <c r="B4238" s="26" t="str">
        <f>MID(tbl_forecast[[#This Row],[PACE Job Number]],3,3)</f>
        <v>NTX</v>
      </c>
      <c r="C4238" t="s">
        <v>15</v>
      </c>
      <c r="D4238" s="1">
        <v>43408</v>
      </c>
      <c r="E4238" s="1">
        <v>43442</v>
      </c>
      <c r="F4238" s="1">
        <v>43432</v>
      </c>
      <c r="G4238" s="1">
        <v>43432</v>
      </c>
      <c r="H4238" t="s">
        <v>4664</v>
      </c>
      <c r="I4238" t="s">
        <v>10</v>
      </c>
    </row>
    <row r="4239" spans="1:9" x14ac:dyDescent="0.25">
      <c r="A4239" t="s">
        <v>4513</v>
      </c>
      <c r="B4239" s="26" t="str">
        <f>MID(tbl_forecast[[#This Row],[PACE Job Number]],3,3)</f>
        <v>NTX</v>
      </c>
      <c r="C4239" t="s">
        <v>15</v>
      </c>
      <c r="D4239" s="1">
        <v>43412</v>
      </c>
      <c r="E4239" s="1">
        <v>43446</v>
      </c>
      <c r="F4239" s="1">
        <v>43495</v>
      </c>
      <c r="G4239" s="1"/>
      <c r="H4239" t="s">
        <v>4664</v>
      </c>
      <c r="I4239" t="s">
        <v>5645</v>
      </c>
    </row>
    <row r="4240" spans="1:9" x14ac:dyDescent="0.25">
      <c r="A4240" t="s">
        <v>4308</v>
      </c>
      <c r="B4240" s="26" t="str">
        <f>MID(tbl_forecast[[#This Row],[PACE Job Number]],3,3)</f>
        <v>NTX</v>
      </c>
      <c r="C4240" t="s">
        <v>15</v>
      </c>
      <c r="D4240" s="1">
        <v>43412</v>
      </c>
      <c r="E4240" s="1">
        <v>43517</v>
      </c>
      <c r="F4240" s="1">
        <v>43495</v>
      </c>
      <c r="G4240" s="1"/>
      <c r="H4240" t="s">
        <v>4664</v>
      </c>
      <c r="I4240" t="s">
        <v>5645</v>
      </c>
    </row>
    <row r="4241" spans="1:9" x14ac:dyDescent="0.25">
      <c r="A4241" t="s">
        <v>4309</v>
      </c>
      <c r="B4241" s="26" t="str">
        <f>MID(tbl_forecast[[#This Row],[PACE Job Number]],3,3)</f>
        <v>NTX</v>
      </c>
      <c r="C4241" t="s">
        <v>15</v>
      </c>
      <c r="D4241" s="1">
        <v>43431</v>
      </c>
      <c r="E4241" s="1">
        <v>43510</v>
      </c>
      <c r="F4241" s="1">
        <v>43524</v>
      </c>
      <c r="G4241" s="1"/>
      <c r="H4241" t="s">
        <v>4664</v>
      </c>
      <c r="I4241" t="s">
        <v>4665</v>
      </c>
    </row>
    <row r="4242" spans="1:9" x14ac:dyDescent="0.25">
      <c r="A4242" t="s">
        <v>4310</v>
      </c>
      <c r="B4242" s="26" t="str">
        <f>MID(tbl_forecast[[#This Row],[PACE Job Number]],3,3)</f>
        <v>NTX</v>
      </c>
      <c r="C4242" t="s">
        <v>15</v>
      </c>
      <c r="D4242" s="1">
        <v>43431</v>
      </c>
      <c r="E4242" s="1">
        <v>43431</v>
      </c>
      <c r="F4242" s="1">
        <v>43495</v>
      </c>
      <c r="G4242" s="1"/>
      <c r="H4242" t="s">
        <v>4664</v>
      </c>
      <c r="I4242" t="s">
        <v>4666</v>
      </c>
    </row>
    <row r="4243" spans="1:9" x14ac:dyDescent="0.25">
      <c r="A4243" t="s">
        <v>4514</v>
      </c>
      <c r="B4243" s="26" t="str">
        <f>MID(tbl_forecast[[#This Row],[PACE Job Number]],3,3)</f>
        <v>NTX</v>
      </c>
      <c r="C4243" t="s">
        <v>15</v>
      </c>
      <c r="D4243" s="1">
        <v>43425</v>
      </c>
      <c r="E4243" s="1">
        <v>43425</v>
      </c>
      <c r="F4243" s="1">
        <v>43417</v>
      </c>
      <c r="G4243" s="1">
        <v>43417</v>
      </c>
      <c r="H4243" t="s">
        <v>9</v>
      </c>
      <c r="I4243" t="s">
        <v>10</v>
      </c>
    </row>
    <row r="4244" spans="1:9" x14ac:dyDescent="0.25">
      <c r="A4244" t="s">
        <v>2544</v>
      </c>
      <c r="B4244" s="26" t="str">
        <f>MID(tbl_forecast[[#This Row],[PACE Job Number]],3,3)</f>
        <v>STX</v>
      </c>
      <c r="C4244" t="s">
        <v>15</v>
      </c>
      <c r="D4244" s="1">
        <v>43418</v>
      </c>
      <c r="E4244" s="1">
        <v>43554</v>
      </c>
      <c r="F4244" s="1">
        <v>43432</v>
      </c>
      <c r="G4244" s="1">
        <v>43432</v>
      </c>
      <c r="H4244" t="s">
        <v>9</v>
      </c>
      <c r="I4244" t="s">
        <v>10</v>
      </c>
    </row>
    <row r="4245" spans="1:9" x14ac:dyDescent="0.25">
      <c r="A4245" t="s">
        <v>3474</v>
      </c>
      <c r="B4245" s="26" t="str">
        <f>MID(tbl_forecast[[#This Row],[PACE Job Number]],3,3)</f>
        <v>STX</v>
      </c>
      <c r="C4245" t="s">
        <v>15</v>
      </c>
      <c r="D4245" s="1">
        <v>43419</v>
      </c>
      <c r="E4245" s="1">
        <v>43433</v>
      </c>
      <c r="F4245" s="1">
        <v>43434</v>
      </c>
      <c r="G4245" s="1"/>
      <c r="H4245" t="s">
        <v>4664</v>
      </c>
      <c r="I4245" t="s">
        <v>5645</v>
      </c>
    </row>
    <row r="4246" spans="1:9" x14ac:dyDescent="0.25">
      <c r="A4246" t="s">
        <v>4029</v>
      </c>
      <c r="B4246" s="26" t="str">
        <f>MID(tbl_forecast[[#This Row],[PACE Job Number]],3,3)</f>
        <v>STX</v>
      </c>
      <c r="C4246" t="s">
        <v>15</v>
      </c>
      <c r="D4246" s="1">
        <v>43410</v>
      </c>
      <c r="E4246" s="1">
        <v>43465</v>
      </c>
      <c r="F4246" s="1">
        <v>43417</v>
      </c>
      <c r="G4246" s="1">
        <v>43417</v>
      </c>
      <c r="H4246" t="s">
        <v>9</v>
      </c>
      <c r="I4246" t="s">
        <v>10</v>
      </c>
    </row>
    <row r="4247" spans="1:9" x14ac:dyDescent="0.25">
      <c r="A4247" t="s">
        <v>3460</v>
      </c>
      <c r="B4247" s="26" t="str">
        <f>MID(tbl_forecast[[#This Row],[PACE Job Number]],3,3)</f>
        <v>STX</v>
      </c>
      <c r="C4247" t="s">
        <v>15</v>
      </c>
      <c r="D4247" s="1">
        <v>43418</v>
      </c>
      <c r="E4247" s="1">
        <v>43465</v>
      </c>
      <c r="F4247" s="1">
        <v>43434</v>
      </c>
      <c r="G4247" s="1"/>
      <c r="H4247" t="s">
        <v>4664</v>
      </c>
      <c r="I4247" t="s">
        <v>5645</v>
      </c>
    </row>
    <row r="4248" spans="1:9" x14ac:dyDescent="0.25">
      <c r="A4248" t="s">
        <v>165</v>
      </c>
      <c r="B4248" s="26" t="str">
        <f>MID(tbl_forecast[[#This Row],[PACE Job Number]],3,3)</f>
        <v>STX</v>
      </c>
      <c r="C4248" t="s">
        <v>15</v>
      </c>
      <c r="D4248" s="1">
        <v>43418</v>
      </c>
      <c r="E4248" s="1">
        <v>43463</v>
      </c>
      <c r="F4248" s="1">
        <v>43434</v>
      </c>
      <c r="G4248" s="1"/>
      <c r="H4248" t="s">
        <v>4664</v>
      </c>
      <c r="I4248" t="s">
        <v>5645</v>
      </c>
    </row>
    <row r="4249" spans="1:9" x14ac:dyDescent="0.25">
      <c r="A4249" t="s">
        <v>73</v>
      </c>
      <c r="B4249" s="26" t="str">
        <f>MID(tbl_forecast[[#This Row],[PACE Job Number]],3,3)</f>
        <v>STX</v>
      </c>
      <c r="C4249" t="s">
        <v>15</v>
      </c>
      <c r="D4249" s="1">
        <v>43430</v>
      </c>
      <c r="E4249" s="1">
        <v>43463</v>
      </c>
      <c r="F4249" s="1">
        <v>43417</v>
      </c>
      <c r="G4249" s="1">
        <v>43417</v>
      </c>
      <c r="H4249" t="s">
        <v>9</v>
      </c>
      <c r="I4249" t="s">
        <v>10</v>
      </c>
    </row>
    <row r="4250" spans="1:9" x14ac:dyDescent="0.25">
      <c r="A4250" t="s">
        <v>4052</v>
      </c>
      <c r="B4250" s="26" t="str">
        <f>MID(tbl_forecast[[#This Row],[PACE Job Number]],3,3)</f>
        <v>STX</v>
      </c>
      <c r="C4250" t="s">
        <v>15</v>
      </c>
      <c r="D4250" s="1">
        <v>43406</v>
      </c>
      <c r="E4250" s="1">
        <v>43426</v>
      </c>
      <c r="F4250" s="1">
        <v>43406</v>
      </c>
      <c r="G4250" s="1">
        <v>43406</v>
      </c>
      <c r="H4250" t="s">
        <v>9</v>
      </c>
      <c r="I4250" t="s">
        <v>10</v>
      </c>
    </row>
    <row r="4251" spans="1:9" x14ac:dyDescent="0.25">
      <c r="A4251" t="s">
        <v>4053</v>
      </c>
      <c r="B4251" s="26" t="str">
        <f>MID(tbl_forecast[[#This Row],[PACE Job Number]],3,3)</f>
        <v>STX</v>
      </c>
      <c r="C4251" t="s">
        <v>15</v>
      </c>
      <c r="D4251" s="1">
        <v>43406</v>
      </c>
      <c r="E4251" s="1">
        <v>43426</v>
      </c>
      <c r="F4251" s="1">
        <v>43406</v>
      </c>
      <c r="G4251" s="1">
        <v>43406</v>
      </c>
      <c r="H4251" t="s">
        <v>9</v>
      </c>
      <c r="I4251" t="s">
        <v>10</v>
      </c>
    </row>
    <row r="4252" spans="1:9" x14ac:dyDescent="0.25">
      <c r="A4252" t="s">
        <v>180</v>
      </c>
      <c r="B4252" s="26" t="str">
        <f>MID(tbl_forecast[[#This Row],[PACE Job Number]],3,3)</f>
        <v>STX</v>
      </c>
      <c r="C4252" t="s">
        <v>15</v>
      </c>
      <c r="D4252" s="1">
        <v>43419</v>
      </c>
      <c r="E4252" s="1">
        <v>43433</v>
      </c>
      <c r="F4252" s="1">
        <v>43434</v>
      </c>
      <c r="G4252" s="1"/>
      <c r="H4252" t="s">
        <v>4664</v>
      </c>
      <c r="I4252" t="s">
        <v>5645</v>
      </c>
    </row>
    <row r="4253" spans="1:9" x14ac:dyDescent="0.25">
      <c r="A4253" t="s">
        <v>120</v>
      </c>
      <c r="B4253" s="26" t="str">
        <f>MID(tbl_forecast[[#This Row],[PACE Job Number]],3,3)</f>
        <v>STX</v>
      </c>
      <c r="C4253" t="s">
        <v>15</v>
      </c>
      <c r="D4253" s="1">
        <v>43419</v>
      </c>
      <c r="E4253" s="1">
        <v>43433</v>
      </c>
      <c r="F4253" s="1">
        <v>43434</v>
      </c>
      <c r="G4253" s="1"/>
      <c r="H4253" t="s">
        <v>4664</v>
      </c>
      <c r="I4253" t="s">
        <v>5645</v>
      </c>
    </row>
    <row r="4254" spans="1:9" x14ac:dyDescent="0.25">
      <c r="A4254" t="s">
        <v>3495</v>
      </c>
      <c r="B4254" s="26" t="str">
        <f>MID(tbl_forecast[[#This Row],[PACE Job Number]],3,3)</f>
        <v>STX</v>
      </c>
      <c r="C4254" t="s">
        <v>15</v>
      </c>
      <c r="D4254" s="1">
        <v>43419</v>
      </c>
      <c r="E4254" s="1">
        <v>43433</v>
      </c>
      <c r="F4254" s="1">
        <v>43434</v>
      </c>
      <c r="G4254" s="1"/>
      <c r="H4254" t="s">
        <v>4664</v>
      </c>
      <c r="I4254" t="s">
        <v>5645</v>
      </c>
    </row>
    <row r="4255" spans="1:9" x14ac:dyDescent="0.25">
      <c r="A4255" t="s">
        <v>1366</v>
      </c>
      <c r="B4255" s="26" t="str">
        <f>MID(tbl_forecast[[#This Row],[PACE Job Number]],3,3)</f>
        <v>STX</v>
      </c>
      <c r="C4255" t="s">
        <v>15</v>
      </c>
      <c r="D4255" s="1">
        <v>43410</v>
      </c>
      <c r="E4255" s="1">
        <v>43432</v>
      </c>
      <c r="F4255" s="1">
        <v>43417</v>
      </c>
      <c r="G4255" s="1">
        <v>43417</v>
      </c>
      <c r="H4255" t="s">
        <v>9</v>
      </c>
      <c r="I4255" t="s">
        <v>10</v>
      </c>
    </row>
    <row r="4256" spans="1:9" x14ac:dyDescent="0.25">
      <c r="A4256" t="s">
        <v>2554</v>
      </c>
      <c r="B4256" s="26" t="str">
        <f>MID(tbl_forecast[[#This Row],[PACE Job Number]],3,3)</f>
        <v>STX</v>
      </c>
      <c r="C4256" t="s">
        <v>15</v>
      </c>
      <c r="D4256" s="1">
        <v>43430</v>
      </c>
      <c r="E4256" s="1">
        <v>43463</v>
      </c>
      <c r="F4256" s="1">
        <v>43434</v>
      </c>
      <c r="G4256" s="1"/>
      <c r="H4256" t="s">
        <v>9</v>
      </c>
      <c r="I4256" t="s">
        <v>44</v>
      </c>
    </row>
    <row r="4257" spans="1:9" x14ac:dyDescent="0.25">
      <c r="A4257" t="s">
        <v>3484</v>
      </c>
      <c r="B4257" s="26" t="str">
        <f>MID(tbl_forecast[[#This Row],[PACE Job Number]],3,3)</f>
        <v>STX</v>
      </c>
      <c r="C4257" t="s">
        <v>15</v>
      </c>
      <c r="D4257" s="1">
        <v>43419</v>
      </c>
      <c r="E4257" s="1">
        <v>43433</v>
      </c>
      <c r="F4257" s="1">
        <v>43434</v>
      </c>
      <c r="G4257" s="1"/>
      <c r="H4257" t="s">
        <v>4664</v>
      </c>
      <c r="I4257" t="s">
        <v>5645</v>
      </c>
    </row>
    <row r="4258" spans="1:9" x14ac:dyDescent="0.25">
      <c r="A4258" t="s">
        <v>3997</v>
      </c>
      <c r="B4258" s="26" t="str">
        <f>MID(tbl_forecast[[#This Row],[PACE Job Number]],3,3)</f>
        <v>STX</v>
      </c>
      <c r="C4258" t="s">
        <v>15</v>
      </c>
      <c r="D4258" s="1">
        <v>43418</v>
      </c>
      <c r="E4258" s="1">
        <v>43463</v>
      </c>
      <c r="F4258" s="1">
        <v>43417</v>
      </c>
      <c r="G4258" s="1">
        <v>43417</v>
      </c>
      <c r="H4258" t="s">
        <v>9</v>
      </c>
      <c r="I4258" t="s">
        <v>10</v>
      </c>
    </row>
    <row r="4259" spans="1:9" x14ac:dyDescent="0.25">
      <c r="A4259" t="s">
        <v>4030</v>
      </c>
      <c r="B4259" s="26" t="str">
        <f>MID(tbl_forecast[[#This Row],[PACE Job Number]],3,3)</f>
        <v>STX</v>
      </c>
      <c r="C4259" t="s">
        <v>15</v>
      </c>
      <c r="D4259" s="1">
        <v>43410</v>
      </c>
      <c r="E4259" s="1">
        <v>43465</v>
      </c>
      <c r="F4259" s="1">
        <v>43434</v>
      </c>
      <c r="G4259" s="1"/>
      <c r="H4259" t="s">
        <v>4664</v>
      </c>
      <c r="I4259" t="s">
        <v>5645</v>
      </c>
    </row>
    <row r="4260" spans="1:9" x14ac:dyDescent="0.25">
      <c r="A4260" t="s">
        <v>94</v>
      </c>
      <c r="B4260" s="26" t="str">
        <f>MID(tbl_forecast[[#This Row],[PACE Job Number]],3,3)</f>
        <v>STX</v>
      </c>
      <c r="C4260" t="s">
        <v>15</v>
      </c>
      <c r="D4260" s="1">
        <v>43410</v>
      </c>
      <c r="E4260" s="1">
        <v>43465</v>
      </c>
      <c r="F4260" s="1">
        <v>43434</v>
      </c>
      <c r="G4260" s="1"/>
      <c r="H4260" t="s">
        <v>4664</v>
      </c>
      <c r="I4260" t="s">
        <v>5645</v>
      </c>
    </row>
    <row r="4261" spans="1:9" x14ac:dyDescent="0.25">
      <c r="A4261" t="s">
        <v>761</v>
      </c>
      <c r="B4261" s="26" t="str">
        <f>MID(tbl_forecast[[#This Row],[PACE Job Number]],3,3)</f>
        <v>STX</v>
      </c>
      <c r="C4261" t="s">
        <v>15</v>
      </c>
      <c r="D4261" s="1">
        <v>43419</v>
      </c>
      <c r="E4261" s="1">
        <v>43433</v>
      </c>
      <c r="F4261" s="1">
        <v>43423</v>
      </c>
      <c r="G4261" s="1">
        <v>43423</v>
      </c>
      <c r="H4261" t="s">
        <v>9</v>
      </c>
      <c r="I4261" t="s">
        <v>10</v>
      </c>
    </row>
    <row r="4262" spans="1:9" x14ac:dyDescent="0.25">
      <c r="A4262" t="s">
        <v>4566</v>
      </c>
      <c r="B4262" s="26" t="str">
        <f>MID(tbl_forecast[[#This Row],[PACE Job Number]],3,3)</f>
        <v>STX</v>
      </c>
      <c r="C4262" t="s">
        <v>15</v>
      </c>
      <c r="D4262" s="1">
        <v>43430</v>
      </c>
      <c r="E4262" s="1">
        <v>43494</v>
      </c>
      <c r="F4262" s="1">
        <v>43434</v>
      </c>
      <c r="G4262" s="1"/>
      <c r="H4262" t="s">
        <v>9</v>
      </c>
      <c r="I4262" t="s">
        <v>44</v>
      </c>
    </row>
    <row r="4263" spans="1:9" x14ac:dyDescent="0.25">
      <c r="A4263" t="s">
        <v>4567</v>
      </c>
      <c r="B4263" s="26" t="str">
        <f>MID(tbl_forecast[[#This Row],[PACE Job Number]],3,3)</f>
        <v>STX</v>
      </c>
      <c r="C4263" t="s">
        <v>15</v>
      </c>
      <c r="D4263" s="1">
        <v>43430</v>
      </c>
      <c r="E4263" s="1">
        <v>43494</v>
      </c>
      <c r="F4263" s="1">
        <v>43434</v>
      </c>
      <c r="G4263" s="1"/>
      <c r="H4263" t="s">
        <v>9</v>
      </c>
      <c r="I4263" t="s">
        <v>44</v>
      </c>
    </row>
    <row r="4264" spans="1:9" x14ac:dyDescent="0.25">
      <c r="A4264" t="s">
        <v>4568</v>
      </c>
      <c r="B4264" s="26" t="str">
        <f>MID(tbl_forecast[[#This Row],[PACE Job Number]],3,3)</f>
        <v>STX</v>
      </c>
      <c r="C4264" t="s">
        <v>15</v>
      </c>
      <c r="D4264" s="1">
        <v>43430</v>
      </c>
      <c r="E4264" s="1">
        <v>43494</v>
      </c>
      <c r="F4264" s="1">
        <v>43434</v>
      </c>
      <c r="G4264" s="1"/>
      <c r="H4264" t="s">
        <v>9</v>
      </c>
      <c r="I4264" t="s">
        <v>44</v>
      </c>
    </row>
    <row r="4265" spans="1:9" x14ac:dyDescent="0.25">
      <c r="A4265" t="s">
        <v>169</v>
      </c>
      <c r="B4265" s="26" t="str">
        <f>MID(tbl_forecast[[#This Row],[PACE Job Number]],3,3)</f>
        <v>STX</v>
      </c>
      <c r="C4265" t="s">
        <v>15</v>
      </c>
      <c r="D4265" s="1">
        <v>43419</v>
      </c>
      <c r="E4265" s="1">
        <v>43433</v>
      </c>
      <c r="F4265" s="1">
        <v>43434</v>
      </c>
      <c r="G4265" s="1"/>
      <c r="H4265" t="s">
        <v>4664</v>
      </c>
      <c r="I4265" t="s">
        <v>5645</v>
      </c>
    </row>
    <row r="4266" spans="1:9" x14ac:dyDescent="0.25">
      <c r="A4266" t="s">
        <v>4596</v>
      </c>
      <c r="B4266" s="26" t="str">
        <f>MID(tbl_forecast[[#This Row],[PACE Job Number]],3,3)</f>
        <v>STX</v>
      </c>
      <c r="C4266" t="s">
        <v>15</v>
      </c>
      <c r="D4266" s="1">
        <v>43418</v>
      </c>
      <c r="E4266" s="1">
        <v>43463</v>
      </c>
      <c r="F4266" s="1">
        <v>43417</v>
      </c>
      <c r="G4266" s="1">
        <v>43417</v>
      </c>
      <c r="H4266" t="s">
        <v>9</v>
      </c>
      <c r="I4266" t="s">
        <v>10</v>
      </c>
    </row>
    <row r="4267" spans="1:9" x14ac:dyDescent="0.25">
      <c r="A4267" t="s">
        <v>4031</v>
      </c>
      <c r="B4267" s="26" t="str">
        <f>MID(tbl_forecast[[#This Row],[PACE Job Number]],3,3)</f>
        <v>STX</v>
      </c>
      <c r="C4267" t="s">
        <v>15</v>
      </c>
      <c r="D4267" s="1">
        <v>43418</v>
      </c>
      <c r="E4267" s="1">
        <v>43463</v>
      </c>
      <c r="F4267" s="1">
        <v>43434</v>
      </c>
      <c r="G4267" s="1"/>
      <c r="H4267" t="s">
        <v>4664</v>
      </c>
      <c r="I4267" t="s">
        <v>5645</v>
      </c>
    </row>
    <row r="4268" spans="1:9" x14ac:dyDescent="0.25">
      <c r="A4268" t="s">
        <v>1290</v>
      </c>
      <c r="B4268" s="26" t="str">
        <f>MID(tbl_forecast[[#This Row],[PACE Job Number]],3,3)</f>
        <v>WSH</v>
      </c>
      <c r="C4268" t="s">
        <v>15</v>
      </c>
      <c r="D4268" s="1">
        <v>43429</v>
      </c>
      <c r="E4268" s="1">
        <v>36524</v>
      </c>
      <c r="F4268" s="1">
        <v>43413</v>
      </c>
      <c r="G4268" s="1">
        <v>43413</v>
      </c>
      <c r="H4268" t="s">
        <v>9</v>
      </c>
      <c r="I4268" t="s">
        <v>10</v>
      </c>
    </row>
    <row r="4269" spans="1:9" x14ac:dyDescent="0.25">
      <c r="A4269" t="s">
        <v>1271</v>
      </c>
      <c r="B4269" s="26" t="str">
        <f>MID(tbl_forecast[[#This Row],[PACE Job Number]],3,3)</f>
        <v>WSH</v>
      </c>
      <c r="C4269" t="s">
        <v>15</v>
      </c>
      <c r="D4269" s="1">
        <v>43429</v>
      </c>
      <c r="E4269" s="1">
        <v>36524</v>
      </c>
      <c r="F4269" s="1">
        <v>43425</v>
      </c>
      <c r="G4269" s="1">
        <v>43425</v>
      </c>
      <c r="H4269" t="s">
        <v>9</v>
      </c>
      <c r="I4269" t="s">
        <v>10</v>
      </c>
    </row>
    <row r="4270" spans="1:9" x14ac:dyDescent="0.25">
      <c r="A4270" t="s">
        <v>1297</v>
      </c>
      <c r="B4270" s="26" t="str">
        <f>MID(tbl_forecast[[#This Row],[PACE Job Number]],3,3)</f>
        <v>WSH</v>
      </c>
      <c r="C4270" t="s">
        <v>15</v>
      </c>
      <c r="D4270" s="1">
        <v>43429</v>
      </c>
      <c r="E4270" s="1">
        <v>36524</v>
      </c>
      <c r="F4270" s="1">
        <v>43439</v>
      </c>
      <c r="G4270" s="1"/>
      <c r="H4270" t="s">
        <v>9</v>
      </c>
      <c r="I4270" t="s">
        <v>27</v>
      </c>
    </row>
    <row r="4271" spans="1:9" x14ac:dyDescent="0.25">
      <c r="A4271" t="s">
        <v>3534</v>
      </c>
      <c r="B4271" s="26" t="str">
        <f>MID(tbl_forecast[[#This Row],[PACE Job Number]],3,3)</f>
        <v>WSH</v>
      </c>
      <c r="C4271" t="s">
        <v>15</v>
      </c>
      <c r="D4271" s="1">
        <v>43434</v>
      </c>
      <c r="E4271" s="1">
        <v>36524</v>
      </c>
      <c r="F4271" s="1">
        <v>43434</v>
      </c>
      <c r="G4271" s="1"/>
      <c r="H4271" t="s">
        <v>9</v>
      </c>
      <c r="I4271" t="s">
        <v>27</v>
      </c>
    </row>
    <row r="4272" spans="1:9" x14ac:dyDescent="0.25">
      <c r="A4272" t="s">
        <v>148</v>
      </c>
      <c r="B4272" s="26" t="str">
        <f>MID(tbl_forecast[[#This Row],[PACE Job Number]],3,3)</f>
        <v>WSH</v>
      </c>
      <c r="C4272" t="s">
        <v>15</v>
      </c>
      <c r="D4272" s="1">
        <v>43434</v>
      </c>
      <c r="E4272" s="1">
        <v>36524</v>
      </c>
      <c r="F4272" s="1">
        <v>43434</v>
      </c>
      <c r="G4272" s="1"/>
      <c r="H4272" t="s">
        <v>9</v>
      </c>
      <c r="I4272" t="s">
        <v>27</v>
      </c>
    </row>
    <row r="4273" spans="1:9" x14ac:dyDescent="0.25">
      <c r="A4273" t="s">
        <v>457</v>
      </c>
      <c r="B4273" s="26" t="str">
        <f>MID(tbl_forecast[[#This Row],[PACE Job Number]],3,3)</f>
        <v>WSH</v>
      </c>
      <c r="C4273" t="s">
        <v>15</v>
      </c>
      <c r="D4273" s="1">
        <v>43434</v>
      </c>
      <c r="E4273" s="1">
        <v>36524</v>
      </c>
      <c r="F4273" s="1">
        <v>43434</v>
      </c>
      <c r="G4273" s="1"/>
      <c r="H4273" t="s">
        <v>9</v>
      </c>
      <c r="I4273" t="s">
        <v>27</v>
      </c>
    </row>
    <row r="4274" spans="1:9" x14ac:dyDescent="0.25">
      <c r="A4274" t="s">
        <v>197</v>
      </c>
      <c r="B4274" s="26" t="str">
        <f>MID(tbl_forecast[[#This Row],[PACE Job Number]],3,3)</f>
        <v>WSH</v>
      </c>
      <c r="C4274" t="s">
        <v>15</v>
      </c>
      <c r="D4274" s="1">
        <v>43432</v>
      </c>
      <c r="E4274" s="1">
        <v>36524</v>
      </c>
      <c r="F4274" s="1">
        <v>43431</v>
      </c>
      <c r="G4274" s="1">
        <v>43431</v>
      </c>
      <c r="H4274" t="s">
        <v>9</v>
      </c>
      <c r="I4274" t="s">
        <v>10</v>
      </c>
    </row>
    <row r="4275" spans="1:9" x14ac:dyDescent="0.25">
      <c r="A4275" t="s">
        <v>4062</v>
      </c>
      <c r="B4275" s="26" t="str">
        <f>MID(tbl_forecast[[#This Row],[PACE Job Number]],3,3)</f>
        <v>WSH</v>
      </c>
      <c r="C4275" t="s">
        <v>15</v>
      </c>
      <c r="D4275" s="1">
        <v>43434</v>
      </c>
      <c r="E4275" s="1">
        <v>36524</v>
      </c>
      <c r="F4275" s="1">
        <v>43441</v>
      </c>
      <c r="G4275" s="1"/>
      <c r="H4275" t="s">
        <v>9</v>
      </c>
      <c r="I4275" t="s">
        <v>27</v>
      </c>
    </row>
    <row r="4276" spans="1:9" x14ac:dyDescent="0.25">
      <c r="A4276" t="s">
        <v>4642</v>
      </c>
      <c r="B4276" s="26" t="str">
        <f>MID(tbl_forecast[[#This Row],[PACE Job Number]],3,3)</f>
        <v>WSH</v>
      </c>
      <c r="C4276" t="s">
        <v>15</v>
      </c>
      <c r="D4276" s="1">
        <v>43421</v>
      </c>
      <c r="E4276" s="1">
        <v>36524</v>
      </c>
      <c r="F4276" s="1">
        <v>43434</v>
      </c>
      <c r="G4276" s="1"/>
      <c r="H4276" t="s">
        <v>9</v>
      </c>
      <c r="I4276" t="s">
        <v>27</v>
      </c>
    </row>
    <row r="4277" spans="1:9" x14ac:dyDescent="0.25">
      <c r="A4277" t="s">
        <v>439</v>
      </c>
      <c r="B4277" s="26" t="str">
        <f>MID(tbl_forecast[[#This Row],[PACE Job Number]],3,3)</f>
        <v>WSH</v>
      </c>
      <c r="C4277" t="s">
        <v>15</v>
      </c>
      <c r="D4277" s="1">
        <v>43434</v>
      </c>
      <c r="E4277" s="1">
        <v>36524</v>
      </c>
      <c r="F4277" s="1">
        <v>43447</v>
      </c>
      <c r="G4277" s="1"/>
      <c r="H4277" t="s">
        <v>9</v>
      </c>
      <c r="I4277" t="s">
        <v>27</v>
      </c>
    </row>
    <row r="4278" spans="1:9" x14ac:dyDescent="0.25">
      <c r="A4278" t="s">
        <v>496</v>
      </c>
      <c r="B4278" s="26" t="str">
        <f>MID(tbl_forecast[[#This Row],[PACE Job Number]],3,3)</f>
        <v>WSH</v>
      </c>
      <c r="C4278" t="s">
        <v>15</v>
      </c>
      <c r="D4278" s="1">
        <v>43434</v>
      </c>
      <c r="E4278" s="1">
        <v>36524</v>
      </c>
      <c r="F4278" s="1">
        <v>43434</v>
      </c>
      <c r="G4278" s="1"/>
      <c r="H4278" t="s">
        <v>9</v>
      </c>
      <c r="I4278" t="s">
        <v>27</v>
      </c>
    </row>
    <row r="4279" spans="1:9" x14ac:dyDescent="0.25">
      <c r="A4279" t="s">
        <v>51</v>
      </c>
      <c r="B4279" s="26" t="str">
        <f>MID(tbl_forecast[[#This Row],[PACE Job Number]],3,3)</f>
        <v>WSH</v>
      </c>
      <c r="C4279" t="s">
        <v>15</v>
      </c>
      <c r="D4279" s="1">
        <v>43434</v>
      </c>
      <c r="E4279" s="1">
        <v>36524</v>
      </c>
      <c r="F4279" s="1">
        <v>43424</v>
      </c>
      <c r="G4279" s="1">
        <v>43424</v>
      </c>
      <c r="H4279" t="s">
        <v>9</v>
      </c>
      <c r="I4279" t="s">
        <v>10</v>
      </c>
    </row>
    <row r="4280" spans="1:9" x14ac:dyDescent="0.25">
      <c r="A4280" t="s">
        <v>469</v>
      </c>
      <c r="B4280" s="26" t="str">
        <f>MID(tbl_forecast[[#This Row],[PACE Job Number]],3,3)</f>
        <v>WSH</v>
      </c>
      <c r="C4280" t="s">
        <v>15</v>
      </c>
      <c r="D4280" s="1">
        <v>43434</v>
      </c>
      <c r="E4280" s="1">
        <v>43434</v>
      </c>
      <c r="F4280" s="1">
        <v>43424</v>
      </c>
      <c r="G4280" s="1">
        <v>43424</v>
      </c>
      <c r="H4280" t="s">
        <v>9</v>
      </c>
      <c r="I4280" t="s">
        <v>10</v>
      </c>
    </row>
    <row r="4281" spans="1:9" x14ac:dyDescent="0.25">
      <c r="A4281" t="s">
        <v>4637</v>
      </c>
      <c r="B4281" s="26" t="str">
        <f>MID(tbl_forecast[[#This Row],[PACE Job Number]],3,3)</f>
        <v>STX</v>
      </c>
      <c r="C4281" t="s">
        <v>15</v>
      </c>
      <c r="D4281" s="1">
        <v>43418</v>
      </c>
      <c r="E4281" s="1">
        <v>43463</v>
      </c>
      <c r="F4281" s="1">
        <v>43417</v>
      </c>
      <c r="G4281" s="1">
        <v>43417</v>
      </c>
      <c r="H4281" t="s">
        <v>9</v>
      </c>
      <c r="I4281" t="s">
        <v>10</v>
      </c>
    </row>
    <row r="4282" spans="1:9" x14ac:dyDescent="0.25">
      <c r="A4282" t="s">
        <v>175</v>
      </c>
      <c r="B4282" s="26" t="str">
        <f>MID(tbl_forecast[[#This Row],[PACE Job Number]],3,3)</f>
        <v>STX</v>
      </c>
      <c r="C4282" t="s">
        <v>15</v>
      </c>
      <c r="D4282" s="1">
        <v>43418</v>
      </c>
      <c r="E4282" s="1">
        <v>43463</v>
      </c>
      <c r="F4282" s="1">
        <v>43434</v>
      </c>
      <c r="G4282" s="1"/>
      <c r="H4282" t="s">
        <v>4664</v>
      </c>
      <c r="I4282" t="s">
        <v>5645</v>
      </c>
    </row>
    <row r="4283" spans="1:9" x14ac:dyDescent="0.25">
      <c r="A4283" t="s">
        <v>208</v>
      </c>
      <c r="B4283" s="26" t="str">
        <f>MID(tbl_forecast[[#This Row],[PACE Job Number]],3,3)</f>
        <v>STX</v>
      </c>
      <c r="C4283" t="s">
        <v>15</v>
      </c>
      <c r="D4283" s="1">
        <v>43430</v>
      </c>
      <c r="E4283" s="1">
        <v>43463</v>
      </c>
      <c r="F4283" s="1">
        <v>43410</v>
      </c>
      <c r="G4283" s="1">
        <v>43410</v>
      </c>
      <c r="H4283" t="s">
        <v>9</v>
      </c>
      <c r="I4283" t="s">
        <v>10</v>
      </c>
    </row>
    <row r="4284" spans="1:9" x14ac:dyDescent="0.25">
      <c r="A4284" t="s">
        <v>596</v>
      </c>
      <c r="B4284" s="26" t="str">
        <f>MID(tbl_forecast[[#This Row],[PACE Job Number]],3,3)</f>
        <v>STX</v>
      </c>
      <c r="C4284" t="s">
        <v>15</v>
      </c>
      <c r="D4284" s="1">
        <v>43410</v>
      </c>
      <c r="E4284" s="1">
        <v>43463</v>
      </c>
      <c r="F4284" s="1">
        <v>43434</v>
      </c>
      <c r="G4284" s="1"/>
      <c r="H4284" t="s">
        <v>4664</v>
      </c>
      <c r="I4284" t="s">
        <v>5645</v>
      </c>
    </row>
    <row r="4285" spans="1:9" x14ac:dyDescent="0.25">
      <c r="A4285" t="s">
        <v>3274</v>
      </c>
      <c r="B4285" s="26" t="str">
        <f>MID(tbl_forecast[[#This Row],[PACE Job Number]],3,3)</f>
        <v>STX</v>
      </c>
      <c r="C4285" t="s">
        <v>15</v>
      </c>
      <c r="D4285" s="1">
        <v>43419</v>
      </c>
      <c r="E4285" s="1">
        <v>43433</v>
      </c>
      <c r="F4285" s="1">
        <v>43434</v>
      </c>
      <c r="G4285" s="1"/>
      <c r="H4285" t="s">
        <v>4664</v>
      </c>
      <c r="I4285" t="s">
        <v>5645</v>
      </c>
    </row>
    <row r="4286" spans="1:9" x14ac:dyDescent="0.25">
      <c r="A4286" t="s">
        <v>146</v>
      </c>
      <c r="B4286" s="26" t="str">
        <f>MID(tbl_forecast[[#This Row],[PACE Job Number]],3,3)</f>
        <v>STX</v>
      </c>
      <c r="C4286" t="s">
        <v>15</v>
      </c>
      <c r="D4286" s="1">
        <v>43430</v>
      </c>
      <c r="E4286" s="1">
        <v>43463</v>
      </c>
      <c r="F4286" s="1">
        <v>43410</v>
      </c>
      <c r="G4286" s="1">
        <v>43410</v>
      </c>
      <c r="H4286" t="s">
        <v>9</v>
      </c>
      <c r="I4286" t="s">
        <v>10</v>
      </c>
    </row>
    <row r="4287" spans="1:9" x14ac:dyDescent="0.25">
      <c r="A4287" t="s">
        <v>362</v>
      </c>
      <c r="B4287" s="26" t="str">
        <f>MID(tbl_forecast[[#This Row],[PACE Job Number]],3,3)</f>
        <v>STX</v>
      </c>
      <c r="C4287" t="s">
        <v>15</v>
      </c>
      <c r="D4287" s="1">
        <v>43430</v>
      </c>
      <c r="E4287" s="1">
        <v>43463</v>
      </c>
      <c r="F4287" s="1">
        <v>43434</v>
      </c>
      <c r="G4287" s="1"/>
      <c r="H4287" t="s">
        <v>9</v>
      </c>
      <c r="I4287" t="s">
        <v>44</v>
      </c>
    </row>
    <row r="4288" spans="1:9" x14ac:dyDescent="0.25">
      <c r="A4288" t="s">
        <v>3264</v>
      </c>
      <c r="B4288" s="26" t="str">
        <f>MID(tbl_forecast[[#This Row],[PACE Job Number]],3,3)</f>
        <v>STX</v>
      </c>
      <c r="C4288" t="s">
        <v>15</v>
      </c>
      <c r="D4288" s="1">
        <v>43419</v>
      </c>
      <c r="E4288" s="1">
        <v>43433</v>
      </c>
      <c r="F4288" s="1">
        <v>43434</v>
      </c>
      <c r="G4288" s="1"/>
      <c r="H4288" t="s">
        <v>4664</v>
      </c>
      <c r="I4288" t="s">
        <v>5645</v>
      </c>
    </row>
    <row r="4289" spans="1:9" x14ac:dyDescent="0.25">
      <c r="A4289" t="s">
        <v>743</v>
      </c>
      <c r="B4289" s="26" t="str">
        <f>MID(tbl_forecast[[#This Row],[PACE Job Number]],3,3)</f>
        <v>STX</v>
      </c>
      <c r="C4289" t="s">
        <v>15</v>
      </c>
      <c r="D4289" s="1">
        <v>43410</v>
      </c>
      <c r="E4289" s="1">
        <v>43463</v>
      </c>
      <c r="F4289" s="1">
        <v>43434</v>
      </c>
      <c r="G4289" s="1"/>
      <c r="H4289" t="s">
        <v>4664</v>
      </c>
      <c r="I4289" t="s">
        <v>5645</v>
      </c>
    </row>
    <row r="4290" spans="1:9" x14ac:dyDescent="0.25">
      <c r="A4290" t="s">
        <v>4599</v>
      </c>
      <c r="B4290" s="26" t="str">
        <f>MID(tbl_forecast[[#This Row],[PACE Job Number]],3,3)</f>
        <v>STX</v>
      </c>
      <c r="C4290" t="s">
        <v>15</v>
      </c>
      <c r="D4290" s="1">
        <v>43430</v>
      </c>
      <c r="E4290" s="1">
        <v>43463</v>
      </c>
      <c r="F4290" s="1">
        <v>43434</v>
      </c>
      <c r="G4290" s="1"/>
      <c r="H4290" t="s">
        <v>9</v>
      </c>
      <c r="I4290" t="s">
        <v>44</v>
      </c>
    </row>
    <row r="4291" spans="1:9" x14ac:dyDescent="0.25">
      <c r="A4291" t="s">
        <v>543</v>
      </c>
      <c r="B4291" s="26" t="str">
        <f>MID(tbl_forecast[[#This Row],[PACE Job Number]],3,3)</f>
        <v>STX</v>
      </c>
      <c r="C4291" t="s">
        <v>15</v>
      </c>
      <c r="D4291" s="1">
        <v>43410</v>
      </c>
      <c r="E4291" s="1">
        <v>43463</v>
      </c>
      <c r="F4291" s="1">
        <v>43434</v>
      </c>
      <c r="G4291" s="1"/>
      <c r="H4291" t="s">
        <v>4664</v>
      </c>
      <c r="I4291" t="s">
        <v>5645</v>
      </c>
    </row>
    <row r="4292" spans="1:9" x14ac:dyDescent="0.25">
      <c r="A4292" t="s">
        <v>1159</v>
      </c>
      <c r="B4292" s="26" t="str">
        <f>MID(tbl_forecast[[#This Row],[PACE Job Number]],3,3)</f>
        <v>STX</v>
      </c>
      <c r="C4292" t="s">
        <v>15</v>
      </c>
      <c r="D4292" s="1">
        <v>43418</v>
      </c>
      <c r="E4292" s="1">
        <v>43433</v>
      </c>
      <c r="F4292" s="1">
        <v>43432</v>
      </c>
      <c r="G4292" s="1">
        <v>43432</v>
      </c>
      <c r="H4292" t="s">
        <v>9</v>
      </c>
      <c r="I4292" t="s">
        <v>10</v>
      </c>
    </row>
    <row r="4293" spans="1:9" x14ac:dyDescent="0.25">
      <c r="A4293" t="s">
        <v>5602</v>
      </c>
      <c r="B4293" s="26" t="str">
        <f>MID(tbl_forecast[[#This Row],[PACE Job Number]],3,3)</f>
        <v>STX</v>
      </c>
      <c r="C4293" t="s">
        <v>15</v>
      </c>
      <c r="D4293" s="1">
        <v>43410</v>
      </c>
      <c r="E4293" s="1">
        <v>43388</v>
      </c>
      <c r="F4293" s="1">
        <v>43418</v>
      </c>
      <c r="G4293" s="1">
        <v>43418</v>
      </c>
      <c r="H4293" t="s">
        <v>9</v>
      </c>
      <c r="I4293" t="s">
        <v>10</v>
      </c>
    </row>
    <row r="4294" spans="1:9" x14ac:dyDescent="0.25">
      <c r="A4294" t="s">
        <v>2573</v>
      </c>
      <c r="B4294" s="26" t="str">
        <f>MID(tbl_forecast[[#This Row],[PACE Job Number]],3,3)</f>
        <v>STX</v>
      </c>
      <c r="C4294" t="s">
        <v>15</v>
      </c>
      <c r="D4294" s="1">
        <v>43433</v>
      </c>
      <c r="E4294" s="1">
        <v>43433</v>
      </c>
      <c r="F4294" s="1">
        <v>43432</v>
      </c>
      <c r="G4294" s="1">
        <v>43432</v>
      </c>
      <c r="H4294" t="s">
        <v>9</v>
      </c>
      <c r="I4294" t="s">
        <v>10</v>
      </c>
    </row>
    <row r="4295" spans="1:9" x14ac:dyDescent="0.25">
      <c r="A4295" t="s">
        <v>670</v>
      </c>
      <c r="B4295" s="26" t="str">
        <f>MID(tbl_forecast[[#This Row],[PACE Job Number]],3,3)</f>
        <v>STX</v>
      </c>
      <c r="C4295" t="s">
        <v>15</v>
      </c>
      <c r="D4295" s="1">
        <v>43419</v>
      </c>
      <c r="E4295" s="1">
        <v>43433</v>
      </c>
      <c r="F4295" s="1">
        <v>43434</v>
      </c>
      <c r="G4295" s="1"/>
      <c r="H4295" t="s">
        <v>4664</v>
      </c>
      <c r="I4295" t="s">
        <v>5645</v>
      </c>
    </row>
    <row r="4296" spans="1:9" x14ac:dyDescent="0.25">
      <c r="A4296" t="s">
        <v>587</v>
      </c>
      <c r="B4296" s="26" t="str">
        <f>MID(tbl_forecast[[#This Row],[PACE Job Number]],3,3)</f>
        <v>STX</v>
      </c>
      <c r="C4296" t="s">
        <v>15</v>
      </c>
      <c r="D4296" s="1">
        <v>43406</v>
      </c>
      <c r="E4296" s="1">
        <v>43454</v>
      </c>
      <c r="F4296" s="1">
        <v>43406</v>
      </c>
      <c r="G4296" s="1">
        <v>43406</v>
      </c>
      <c r="H4296" t="s">
        <v>9</v>
      </c>
      <c r="I4296" t="s">
        <v>10</v>
      </c>
    </row>
    <row r="4297" spans="1:9" x14ac:dyDescent="0.25">
      <c r="A4297" t="s">
        <v>2584</v>
      </c>
      <c r="B4297" s="26" t="str">
        <f>MID(tbl_forecast[[#This Row],[PACE Job Number]],3,3)</f>
        <v>STX</v>
      </c>
      <c r="C4297" t="s">
        <v>15</v>
      </c>
      <c r="D4297" s="1">
        <v>43406</v>
      </c>
      <c r="E4297" s="1">
        <v>43463</v>
      </c>
      <c r="F4297" s="1">
        <v>43406</v>
      </c>
      <c r="G4297" s="1">
        <v>43406</v>
      </c>
      <c r="H4297" t="s">
        <v>9</v>
      </c>
      <c r="I4297" t="s">
        <v>10</v>
      </c>
    </row>
    <row r="4298" spans="1:9" x14ac:dyDescent="0.25">
      <c r="A4298" t="s">
        <v>3280</v>
      </c>
      <c r="B4298" s="26" t="str">
        <f>MID(tbl_forecast[[#This Row],[PACE Job Number]],3,3)</f>
        <v>STX</v>
      </c>
      <c r="C4298" t="s">
        <v>15</v>
      </c>
      <c r="D4298" s="1">
        <v>43433</v>
      </c>
      <c r="E4298" s="1">
        <v>43433</v>
      </c>
      <c r="F4298" s="1">
        <v>43417</v>
      </c>
      <c r="G4298" s="1">
        <v>43417</v>
      </c>
      <c r="H4298" t="s">
        <v>9</v>
      </c>
      <c r="I4298" t="s">
        <v>10</v>
      </c>
    </row>
    <row r="4299" spans="1:9" x14ac:dyDescent="0.25">
      <c r="A4299" t="s">
        <v>2591</v>
      </c>
      <c r="B4299" s="26" t="str">
        <f>MID(tbl_forecast[[#This Row],[PACE Job Number]],3,3)</f>
        <v>STX</v>
      </c>
      <c r="C4299" t="s">
        <v>15</v>
      </c>
      <c r="D4299" s="1">
        <v>43406</v>
      </c>
      <c r="E4299" s="1">
        <v>43463</v>
      </c>
      <c r="F4299" s="1">
        <v>43406</v>
      </c>
      <c r="G4299" s="1">
        <v>43406</v>
      </c>
      <c r="H4299" t="s">
        <v>9</v>
      </c>
      <c r="I4299" t="s">
        <v>10</v>
      </c>
    </row>
    <row r="4300" spans="1:9" x14ac:dyDescent="0.25">
      <c r="A4300" t="s">
        <v>5335</v>
      </c>
      <c r="B4300" s="26" t="str">
        <f>MID(tbl_forecast[[#This Row],[PACE Job Number]],3,3)</f>
        <v>NTX</v>
      </c>
      <c r="C4300" t="s">
        <v>15</v>
      </c>
      <c r="D4300" s="1">
        <v>43412</v>
      </c>
      <c r="E4300" s="1">
        <v>43523</v>
      </c>
      <c r="F4300" s="1">
        <v>43524</v>
      </c>
      <c r="G4300" s="1"/>
      <c r="H4300" t="s">
        <v>4664</v>
      </c>
      <c r="I4300" t="s">
        <v>5645</v>
      </c>
    </row>
    <row r="4301" spans="1:9" x14ac:dyDescent="0.25">
      <c r="A4301" t="s">
        <v>3883</v>
      </c>
      <c r="B4301" s="26" t="str">
        <f>MID(tbl_forecast[[#This Row],[PACE Job Number]],3,3)</f>
        <v>NTX</v>
      </c>
      <c r="C4301" t="s">
        <v>15</v>
      </c>
      <c r="D4301" s="1">
        <v>43427</v>
      </c>
      <c r="E4301" s="1">
        <v>43427</v>
      </c>
      <c r="F4301" s="1">
        <v>43464</v>
      </c>
      <c r="G4301" s="1"/>
      <c r="H4301" t="s">
        <v>4664</v>
      </c>
      <c r="I4301" t="s">
        <v>4666</v>
      </c>
    </row>
    <row r="4302" spans="1:9" x14ac:dyDescent="0.25">
      <c r="A4302" t="s">
        <v>2321</v>
      </c>
      <c r="B4302" s="26" t="str">
        <f>MID(tbl_forecast[[#This Row],[PACE Job Number]],3,3)</f>
        <v>NTX</v>
      </c>
      <c r="C4302" t="s">
        <v>15</v>
      </c>
      <c r="D4302" s="1">
        <v>43413</v>
      </c>
      <c r="E4302" s="1">
        <v>36524</v>
      </c>
      <c r="F4302" s="1">
        <v>43464</v>
      </c>
      <c r="G4302" s="1"/>
      <c r="H4302" t="s">
        <v>4664</v>
      </c>
      <c r="I4302" t="s">
        <v>4666</v>
      </c>
    </row>
    <row r="4303" spans="1:9" x14ac:dyDescent="0.25">
      <c r="A4303" t="s">
        <v>4416</v>
      </c>
      <c r="B4303" s="26" t="str">
        <f>MID(tbl_forecast[[#This Row],[PACE Job Number]],3,3)</f>
        <v>NTX</v>
      </c>
      <c r="C4303" t="s">
        <v>15</v>
      </c>
      <c r="D4303" s="1">
        <v>43415</v>
      </c>
      <c r="E4303" s="1">
        <v>43520</v>
      </c>
      <c r="F4303" s="1">
        <v>43524</v>
      </c>
      <c r="G4303" s="1"/>
      <c r="H4303" t="s">
        <v>4664</v>
      </c>
      <c r="I4303" t="s">
        <v>5645</v>
      </c>
    </row>
    <row r="4304" spans="1:9" x14ac:dyDescent="0.25">
      <c r="A4304" t="s">
        <v>3398</v>
      </c>
      <c r="B4304" s="26" t="str">
        <f>MID(tbl_forecast[[#This Row],[PACE Job Number]],3,3)</f>
        <v>NTX</v>
      </c>
      <c r="C4304" t="s">
        <v>15</v>
      </c>
      <c r="D4304" s="1">
        <v>43431</v>
      </c>
      <c r="E4304" s="1">
        <v>43431</v>
      </c>
      <c r="F4304" s="1">
        <v>43495</v>
      </c>
      <c r="G4304" s="1"/>
      <c r="H4304" t="s">
        <v>4664</v>
      </c>
      <c r="I4304" t="s">
        <v>4666</v>
      </c>
    </row>
    <row r="4305" spans="1:9" x14ac:dyDescent="0.25">
      <c r="A4305" t="s">
        <v>170</v>
      </c>
      <c r="B4305" s="26" t="str">
        <f>MID(tbl_forecast[[#This Row],[PACE Job Number]],3,3)</f>
        <v>NTX</v>
      </c>
      <c r="C4305" t="s">
        <v>15</v>
      </c>
      <c r="D4305" s="1">
        <v>43431</v>
      </c>
      <c r="E4305" s="1">
        <v>43431</v>
      </c>
      <c r="F4305" s="1">
        <v>43411</v>
      </c>
      <c r="G4305" s="1">
        <v>43411</v>
      </c>
      <c r="H4305" t="s">
        <v>9</v>
      </c>
      <c r="I4305" t="s">
        <v>10</v>
      </c>
    </row>
    <row r="4306" spans="1:9" x14ac:dyDescent="0.25">
      <c r="A4306" t="s">
        <v>556</v>
      </c>
      <c r="B4306" s="26" t="str">
        <f>MID(tbl_forecast[[#This Row],[PACE Job Number]],3,3)</f>
        <v>NTX</v>
      </c>
      <c r="C4306" t="s">
        <v>15</v>
      </c>
      <c r="D4306" s="1">
        <v>43406</v>
      </c>
      <c r="E4306" s="1">
        <v>43422</v>
      </c>
      <c r="F4306" s="1">
        <v>43406</v>
      </c>
      <c r="G4306" s="1">
        <v>43406</v>
      </c>
      <c r="H4306" t="s">
        <v>9</v>
      </c>
      <c r="I4306" t="s">
        <v>10</v>
      </c>
    </row>
    <row r="4307" spans="1:9" x14ac:dyDescent="0.25">
      <c r="A4307" t="s">
        <v>1723</v>
      </c>
      <c r="B4307" s="26" t="str">
        <f>MID(tbl_forecast[[#This Row],[PACE Job Number]],3,3)</f>
        <v>NTX</v>
      </c>
      <c r="C4307" t="s">
        <v>15</v>
      </c>
      <c r="D4307" s="1">
        <v>43408</v>
      </c>
      <c r="E4307" s="1">
        <v>43517</v>
      </c>
      <c r="F4307" s="1">
        <v>43524</v>
      </c>
      <c r="G4307" s="1"/>
      <c r="H4307" t="s">
        <v>4664</v>
      </c>
      <c r="I4307" t="s">
        <v>5645</v>
      </c>
    </row>
    <row r="4308" spans="1:9" x14ac:dyDescent="0.25">
      <c r="A4308" t="s">
        <v>1724</v>
      </c>
      <c r="B4308" s="26" t="str">
        <f>MID(tbl_forecast[[#This Row],[PACE Job Number]],3,3)</f>
        <v>NTX</v>
      </c>
      <c r="C4308" t="s">
        <v>15</v>
      </c>
      <c r="D4308" s="1">
        <v>43425</v>
      </c>
      <c r="E4308" s="1">
        <v>43425</v>
      </c>
      <c r="F4308" s="1">
        <v>43464</v>
      </c>
      <c r="G4308" s="1"/>
      <c r="H4308" t="s">
        <v>4664</v>
      </c>
      <c r="I4308" t="s">
        <v>4666</v>
      </c>
    </row>
    <row r="4309" spans="1:9" x14ac:dyDescent="0.25">
      <c r="A4309" t="s">
        <v>4546</v>
      </c>
      <c r="B4309" s="26" t="str">
        <f>MID(tbl_forecast[[#This Row],[PACE Job Number]],3,3)</f>
        <v>NTX</v>
      </c>
      <c r="C4309" t="s">
        <v>15</v>
      </c>
      <c r="D4309" s="1">
        <v>43413</v>
      </c>
      <c r="E4309" s="1">
        <v>43423</v>
      </c>
      <c r="F4309" s="1">
        <v>43464</v>
      </c>
      <c r="G4309" s="1"/>
      <c r="H4309" t="s">
        <v>4664</v>
      </c>
      <c r="I4309" t="s">
        <v>4666</v>
      </c>
    </row>
    <row r="4310" spans="1:9" x14ac:dyDescent="0.25">
      <c r="A4310" t="s">
        <v>2324</v>
      </c>
      <c r="B4310" s="26" t="str">
        <f>MID(tbl_forecast[[#This Row],[PACE Job Number]],3,3)</f>
        <v>NTX</v>
      </c>
      <c r="C4310" t="s">
        <v>15</v>
      </c>
      <c r="D4310" s="1">
        <v>43413</v>
      </c>
      <c r="E4310" s="1">
        <v>36524</v>
      </c>
      <c r="F4310" s="1">
        <v>43464</v>
      </c>
      <c r="G4310" s="1"/>
      <c r="H4310" t="s">
        <v>4664</v>
      </c>
      <c r="I4310" t="s">
        <v>4666</v>
      </c>
    </row>
    <row r="4311" spans="1:9" x14ac:dyDescent="0.25">
      <c r="A4311" t="s">
        <v>3968</v>
      </c>
      <c r="B4311" s="26" t="str">
        <f>MID(tbl_forecast[[#This Row],[PACE Job Number]],3,3)</f>
        <v>NTX</v>
      </c>
      <c r="C4311" t="s">
        <v>15</v>
      </c>
      <c r="D4311" s="1">
        <v>43413</v>
      </c>
      <c r="E4311" s="1">
        <v>43396</v>
      </c>
      <c r="F4311" s="1">
        <v>43464</v>
      </c>
      <c r="G4311" s="1"/>
      <c r="H4311" t="s">
        <v>4664</v>
      </c>
      <c r="I4311" t="s">
        <v>4666</v>
      </c>
    </row>
    <row r="4312" spans="1:9" x14ac:dyDescent="0.25">
      <c r="A4312" t="s">
        <v>518</v>
      </c>
      <c r="B4312" s="26" t="str">
        <f>MID(tbl_forecast[[#This Row],[PACE Job Number]],3,3)</f>
        <v>NTX</v>
      </c>
      <c r="C4312" t="s">
        <v>15</v>
      </c>
      <c r="D4312" s="1">
        <v>43413</v>
      </c>
      <c r="E4312" s="1">
        <v>43413</v>
      </c>
      <c r="F4312" s="1">
        <v>43464</v>
      </c>
      <c r="G4312" s="1"/>
      <c r="H4312" t="s">
        <v>4664</v>
      </c>
      <c r="I4312" t="s">
        <v>4666</v>
      </c>
    </row>
    <row r="4313" spans="1:9" x14ac:dyDescent="0.25">
      <c r="A4313" t="s">
        <v>3884</v>
      </c>
      <c r="B4313" s="26" t="str">
        <f>MID(tbl_forecast[[#This Row],[PACE Job Number]],3,3)</f>
        <v>NTX</v>
      </c>
      <c r="C4313" t="s">
        <v>15</v>
      </c>
      <c r="D4313" s="1">
        <v>43429</v>
      </c>
      <c r="E4313" s="1">
        <v>43536</v>
      </c>
      <c r="F4313" s="1">
        <v>43524</v>
      </c>
      <c r="G4313" s="1"/>
      <c r="H4313" t="s">
        <v>4664</v>
      </c>
      <c r="I4313" t="s">
        <v>4665</v>
      </c>
    </row>
    <row r="4314" spans="1:9" x14ac:dyDescent="0.25">
      <c r="A4314" t="s">
        <v>3399</v>
      </c>
      <c r="B4314" s="26" t="str">
        <f>MID(tbl_forecast[[#This Row],[PACE Job Number]],3,3)</f>
        <v>NTX</v>
      </c>
      <c r="C4314" t="s">
        <v>15</v>
      </c>
      <c r="D4314" s="1">
        <v>43431</v>
      </c>
      <c r="E4314" s="1">
        <v>43431</v>
      </c>
      <c r="F4314" s="1">
        <v>43495</v>
      </c>
      <c r="G4314" s="1"/>
      <c r="H4314" t="s">
        <v>4664</v>
      </c>
      <c r="I4314" t="s">
        <v>4666</v>
      </c>
    </row>
    <row r="4315" spans="1:9" x14ac:dyDescent="0.25">
      <c r="A4315" t="s">
        <v>4417</v>
      </c>
      <c r="B4315" s="26" t="str">
        <f>MID(tbl_forecast[[#This Row],[PACE Job Number]],3,3)</f>
        <v>NTX</v>
      </c>
      <c r="C4315" t="s">
        <v>15</v>
      </c>
      <c r="D4315" s="1">
        <v>43412</v>
      </c>
      <c r="E4315" s="1">
        <v>43459</v>
      </c>
      <c r="F4315" s="1">
        <v>43495</v>
      </c>
      <c r="G4315" s="1"/>
      <c r="H4315" t="s">
        <v>4664</v>
      </c>
      <c r="I4315" t="s">
        <v>5645</v>
      </c>
    </row>
    <row r="4316" spans="1:9" x14ac:dyDescent="0.25">
      <c r="A4316" t="s">
        <v>4024</v>
      </c>
      <c r="B4316" s="26" t="str">
        <f>MID(tbl_forecast[[#This Row],[PACE Job Number]],3,3)</f>
        <v>NTX</v>
      </c>
      <c r="C4316" t="s">
        <v>15</v>
      </c>
      <c r="D4316" s="1">
        <v>43417</v>
      </c>
      <c r="E4316" s="1">
        <v>43417</v>
      </c>
      <c r="F4316" s="1">
        <v>43464</v>
      </c>
      <c r="G4316" s="1"/>
      <c r="H4316" t="s">
        <v>4664</v>
      </c>
      <c r="I4316" t="s">
        <v>4666</v>
      </c>
    </row>
    <row r="4317" spans="1:9" x14ac:dyDescent="0.25">
      <c r="A4317" t="s">
        <v>2405</v>
      </c>
      <c r="B4317" s="26" t="str">
        <f>MID(tbl_forecast[[#This Row],[PACE Job Number]],3,3)</f>
        <v>NTX</v>
      </c>
      <c r="C4317" t="s">
        <v>15</v>
      </c>
      <c r="D4317" s="1">
        <v>43417</v>
      </c>
      <c r="E4317" s="1">
        <v>43417</v>
      </c>
      <c r="F4317" s="1">
        <v>43524</v>
      </c>
      <c r="G4317" s="1"/>
      <c r="H4317" t="s">
        <v>4664</v>
      </c>
      <c r="I4317" t="s">
        <v>4666</v>
      </c>
    </row>
    <row r="4318" spans="1:9" x14ac:dyDescent="0.25">
      <c r="A4318" t="s">
        <v>3960</v>
      </c>
      <c r="B4318" s="26" t="str">
        <f>MID(tbl_forecast[[#This Row],[PACE Job Number]],3,3)</f>
        <v>NTX</v>
      </c>
      <c r="C4318" t="s">
        <v>15</v>
      </c>
      <c r="D4318" s="1">
        <v>43413</v>
      </c>
      <c r="E4318" s="1">
        <v>36524</v>
      </c>
      <c r="F4318" s="1">
        <v>43464</v>
      </c>
      <c r="G4318" s="1"/>
      <c r="H4318" t="s">
        <v>4664</v>
      </c>
      <c r="I4318" t="s">
        <v>4666</v>
      </c>
    </row>
    <row r="4319" spans="1:9" x14ac:dyDescent="0.25">
      <c r="A4319" t="s">
        <v>4536</v>
      </c>
      <c r="B4319" s="26" t="str">
        <f>MID(tbl_forecast[[#This Row],[PACE Job Number]],3,3)</f>
        <v>NTX</v>
      </c>
      <c r="C4319" t="s">
        <v>15</v>
      </c>
      <c r="D4319" s="1">
        <v>43425</v>
      </c>
      <c r="E4319" s="1">
        <v>43425</v>
      </c>
      <c r="F4319" s="1">
        <v>43464</v>
      </c>
      <c r="G4319" s="1"/>
      <c r="H4319" t="s">
        <v>4664</v>
      </c>
      <c r="I4319" t="s">
        <v>4666</v>
      </c>
    </row>
    <row r="4320" spans="1:9" x14ac:dyDescent="0.25">
      <c r="A4320" t="s">
        <v>4385</v>
      </c>
      <c r="B4320" s="26" t="str">
        <f>MID(tbl_forecast[[#This Row],[PACE Job Number]],3,3)</f>
        <v>NTX</v>
      </c>
      <c r="C4320" t="s">
        <v>15</v>
      </c>
      <c r="D4320" s="1">
        <v>43427</v>
      </c>
      <c r="E4320" s="1">
        <v>43427</v>
      </c>
      <c r="F4320" s="1">
        <v>43524</v>
      </c>
      <c r="G4320" s="1"/>
      <c r="H4320" t="s">
        <v>4664</v>
      </c>
      <c r="I4320" t="s">
        <v>4666</v>
      </c>
    </row>
    <row r="4321" spans="1:9" x14ac:dyDescent="0.25">
      <c r="A4321" t="s">
        <v>2280</v>
      </c>
      <c r="B4321" s="26" t="str">
        <f>MID(tbl_forecast[[#This Row],[PACE Job Number]],3,3)</f>
        <v>NTX</v>
      </c>
      <c r="C4321" t="s">
        <v>15</v>
      </c>
      <c r="D4321" s="1">
        <v>43427</v>
      </c>
      <c r="E4321" s="1">
        <v>43414</v>
      </c>
      <c r="F4321" s="1">
        <v>43495</v>
      </c>
      <c r="G4321" s="1"/>
      <c r="H4321" t="s">
        <v>4664</v>
      </c>
      <c r="I4321" t="s">
        <v>4666</v>
      </c>
    </row>
    <row r="4322" spans="1:9" x14ac:dyDescent="0.25">
      <c r="A4322" t="s">
        <v>4025</v>
      </c>
      <c r="B4322" s="26" t="str">
        <f>MID(tbl_forecast[[#This Row],[PACE Job Number]],3,3)</f>
        <v>NTX</v>
      </c>
      <c r="C4322" t="s">
        <v>15</v>
      </c>
      <c r="D4322" s="1">
        <v>43417</v>
      </c>
      <c r="E4322" s="1">
        <v>43417</v>
      </c>
      <c r="F4322" s="1">
        <v>43464</v>
      </c>
      <c r="G4322" s="1"/>
      <c r="H4322" t="s">
        <v>4664</v>
      </c>
      <c r="I4322" t="s">
        <v>4666</v>
      </c>
    </row>
    <row r="4323" spans="1:9" x14ac:dyDescent="0.25">
      <c r="A4323" t="s">
        <v>183</v>
      </c>
      <c r="B4323" s="26" t="str">
        <f>MID(tbl_forecast[[#This Row],[PACE Job Number]],3,3)</f>
        <v>NTX</v>
      </c>
      <c r="C4323" t="s">
        <v>15</v>
      </c>
      <c r="D4323" s="1">
        <v>43417</v>
      </c>
      <c r="E4323" s="1">
        <v>43417</v>
      </c>
      <c r="F4323" s="1">
        <v>43464</v>
      </c>
      <c r="G4323" s="1"/>
      <c r="H4323" t="s">
        <v>4664</v>
      </c>
      <c r="I4323" t="s">
        <v>4666</v>
      </c>
    </row>
    <row r="4324" spans="1:9" x14ac:dyDescent="0.25">
      <c r="A4324" t="s">
        <v>4537</v>
      </c>
      <c r="B4324" s="26" t="str">
        <f>MID(tbl_forecast[[#This Row],[PACE Job Number]],3,3)</f>
        <v>NTX</v>
      </c>
      <c r="C4324" t="s">
        <v>15</v>
      </c>
      <c r="D4324" s="1">
        <v>43425</v>
      </c>
      <c r="E4324" s="1">
        <v>43425</v>
      </c>
      <c r="F4324" s="1">
        <v>43464</v>
      </c>
      <c r="G4324" s="1"/>
      <c r="H4324" t="s">
        <v>4664</v>
      </c>
      <c r="I4324" t="s">
        <v>4666</v>
      </c>
    </row>
    <row r="4325" spans="1:9" x14ac:dyDescent="0.25">
      <c r="A4325" t="s">
        <v>2409</v>
      </c>
      <c r="B4325" s="26" t="str">
        <f>MID(tbl_forecast[[#This Row],[PACE Job Number]],3,3)</f>
        <v>NTX</v>
      </c>
      <c r="C4325" t="s">
        <v>15</v>
      </c>
      <c r="D4325" s="1">
        <v>43417</v>
      </c>
      <c r="E4325" s="1">
        <v>43417</v>
      </c>
      <c r="F4325" s="1">
        <v>43524</v>
      </c>
      <c r="G4325" s="1"/>
      <c r="H4325" t="s">
        <v>4664</v>
      </c>
      <c r="I4325" t="s">
        <v>4666</v>
      </c>
    </row>
    <row r="4326" spans="1:9" x14ac:dyDescent="0.25">
      <c r="A4326" t="s">
        <v>2410</v>
      </c>
      <c r="B4326" s="26" t="str">
        <f>MID(tbl_forecast[[#This Row],[PACE Job Number]],3,3)</f>
        <v>NTX</v>
      </c>
      <c r="C4326" t="s">
        <v>15</v>
      </c>
      <c r="D4326" s="1">
        <v>43431</v>
      </c>
      <c r="E4326" s="1">
        <v>43431</v>
      </c>
      <c r="F4326" s="1">
        <v>43464</v>
      </c>
      <c r="G4326" s="1"/>
      <c r="H4326" t="s">
        <v>4664</v>
      </c>
      <c r="I4326" t="s">
        <v>4666</v>
      </c>
    </row>
    <row r="4327" spans="1:9" x14ac:dyDescent="0.25">
      <c r="A4327" t="s">
        <v>4389</v>
      </c>
      <c r="B4327" s="26" t="str">
        <f>MID(tbl_forecast[[#This Row],[PACE Job Number]],3,3)</f>
        <v>NTX</v>
      </c>
      <c r="C4327" t="s">
        <v>15</v>
      </c>
      <c r="D4327" s="1">
        <v>43427</v>
      </c>
      <c r="E4327" s="1">
        <v>43427</v>
      </c>
      <c r="F4327" s="1">
        <v>43524</v>
      </c>
      <c r="G4327" s="1"/>
      <c r="H4327" t="s">
        <v>4664</v>
      </c>
      <c r="I4327" t="s">
        <v>4666</v>
      </c>
    </row>
    <row r="4328" spans="1:9" x14ac:dyDescent="0.25">
      <c r="A4328" t="s">
        <v>3369</v>
      </c>
      <c r="B4328" s="26" t="str">
        <f>MID(tbl_forecast[[#This Row],[PACE Job Number]],3,3)</f>
        <v>NTX</v>
      </c>
      <c r="C4328" t="s">
        <v>15</v>
      </c>
      <c r="D4328" s="1">
        <v>43425</v>
      </c>
      <c r="E4328" s="1">
        <v>43425</v>
      </c>
      <c r="F4328" s="1">
        <v>43495</v>
      </c>
      <c r="G4328" s="1"/>
      <c r="H4328" t="s">
        <v>4664</v>
      </c>
      <c r="I4328" t="s">
        <v>4666</v>
      </c>
    </row>
    <row r="4329" spans="1:9" x14ac:dyDescent="0.25">
      <c r="A4329" t="s">
        <v>302</v>
      </c>
      <c r="B4329" s="26" t="str">
        <f>MID(tbl_forecast[[#This Row],[PACE Job Number]],3,3)</f>
        <v>STX</v>
      </c>
      <c r="C4329" t="s">
        <v>15</v>
      </c>
      <c r="D4329" s="1">
        <v>43418</v>
      </c>
      <c r="E4329" s="1">
        <v>43377</v>
      </c>
      <c r="F4329" s="1">
        <v>43417</v>
      </c>
      <c r="G4329" s="1">
        <v>43417</v>
      </c>
      <c r="H4329" t="s">
        <v>9</v>
      </c>
      <c r="I4329" t="s">
        <v>10</v>
      </c>
    </row>
    <row r="4330" spans="1:9" x14ac:dyDescent="0.25">
      <c r="A4330" t="s">
        <v>203</v>
      </c>
      <c r="B4330" s="26" t="str">
        <f>MID(tbl_forecast[[#This Row],[PACE Job Number]],3,3)</f>
        <v>STX</v>
      </c>
      <c r="C4330" t="s">
        <v>15</v>
      </c>
      <c r="D4330" s="1">
        <v>43419</v>
      </c>
      <c r="E4330" s="1">
        <v>43463</v>
      </c>
      <c r="F4330" s="1">
        <v>43434</v>
      </c>
      <c r="G4330" s="1"/>
      <c r="H4330" t="s">
        <v>4664</v>
      </c>
      <c r="I4330" t="s">
        <v>5645</v>
      </c>
    </row>
    <row r="4331" spans="1:9" x14ac:dyDescent="0.25">
      <c r="A4331" t="s">
        <v>4015</v>
      </c>
      <c r="B4331" s="26" t="str">
        <f>MID(tbl_forecast[[#This Row],[PACE Job Number]],3,3)</f>
        <v>STX</v>
      </c>
      <c r="C4331" t="s">
        <v>15</v>
      </c>
      <c r="D4331" s="1">
        <v>43430</v>
      </c>
      <c r="E4331" s="1">
        <v>43463</v>
      </c>
      <c r="F4331" s="1">
        <v>43432</v>
      </c>
      <c r="G4331" s="1">
        <v>43432</v>
      </c>
      <c r="H4331" t="s">
        <v>9</v>
      </c>
      <c r="I4331" t="s">
        <v>10</v>
      </c>
    </row>
    <row r="4332" spans="1:9" x14ac:dyDescent="0.25">
      <c r="A4332" t="s">
        <v>58</v>
      </c>
      <c r="B4332" s="26" t="str">
        <f>MID(tbl_forecast[[#This Row],[PACE Job Number]],3,3)</f>
        <v>STX</v>
      </c>
      <c r="C4332" t="s">
        <v>15</v>
      </c>
      <c r="D4332" s="1">
        <v>43430</v>
      </c>
      <c r="E4332" s="1">
        <v>43463</v>
      </c>
      <c r="F4332" s="1">
        <v>43432</v>
      </c>
      <c r="G4332" s="1">
        <v>43432</v>
      </c>
      <c r="H4332" t="s">
        <v>9</v>
      </c>
      <c r="I4332" t="s">
        <v>10</v>
      </c>
    </row>
    <row r="4333" spans="1:9" x14ac:dyDescent="0.25">
      <c r="A4333" t="s">
        <v>540</v>
      </c>
      <c r="B4333" s="26" t="str">
        <f>MID(tbl_forecast[[#This Row],[PACE Job Number]],3,3)</f>
        <v>STX</v>
      </c>
      <c r="C4333" t="s">
        <v>15</v>
      </c>
      <c r="D4333" s="1">
        <v>43418</v>
      </c>
      <c r="E4333" s="1">
        <v>43463</v>
      </c>
      <c r="F4333" s="1">
        <v>43434</v>
      </c>
      <c r="G4333" s="1"/>
      <c r="H4333" t="s">
        <v>4664</v>
      </c>
      <c r="I4333" t="s">
        <v>5645</v>
      </c>
    </row>
    <row r="4334" spans="1:9" x14ac:dyDescent="0.25">
      <c r="A4334" t="s">
        <v>3336</v>
      </c>
      <c r="B4334" s="26" t="str">
        <f>MID(tbl_forecast[[#This Row],[PACE Job Number]],3,3)</f>
        <v>STX</v>
      </c>
      <c r="C4334" t="s">
        <v>15</v>
      </c>
      <c r="D4334" s="1">
        <v>43419</v>
      </c>
      <c r="E4334" s="1">
        <v>43433</v>
      </c>
      <c r="F4334" s="1">
        <v>43434</v>
      </c>
      <c r="G4334" s="1"/>
      <c r="H4334" t="s">
        <v>4664</v>
      </c>
      <c r="I4334" t="s">
        <v>5645</v>
      </c>
    </row>
    <row r="4335" spans="1:9" x14ac:dyDescent="0.25">
      <c r="A4335" t="s">
        <v>5633</v>
      </c>
      <c r="B4335" s="26" t="str">
        <f>MID(tbl_forecast[[#This Row],[PACE Job Number]],3,3)</f>
        <v>STX</v>
      </c>
      <c r="C4335" t="s">
        <v>15</v>
      </c>
      <c r="D4335" s="1">
        <v>43406</v>
      </c>
      <c r="E4335" s="1">
        <v>43463</v>
      </c>
      <c r="F4335" s="1">
        <v>43406</v>
      </c>
      <c r="G4335" s="1">
        <v>43406</v>
      </c>
      <c r="H4335" t="s">
        <v>9</v>
      </c>
      <c r="I4335" t="s">
        <v>10</v>
      </c>
    </row>
    <row r="4336" spans="1:9" x14ac:dyDescent="0.25">
      <c r="A4336" t="s">
        <v>3935</v>
      </c>
      <c r="B4336" s="26" t="str">
        <f>MID(tbl_forecast[[#This Row],[PACE Job Number]],3,3)</f>
        <v>STX</v>
      </c>
      <c r="C4336" t="s">
        <v>15</v>
      </c>
      <c r="D4336" s="1">
        <v>43430</v>
      </c>
      <c r="E4336" s="1">
        <v>43465</v>
      </c>
      <c r="F4336" s="1">
        <v>43434</v>
      </c>
      <c r="G4336" s="1"/>
      <c r="H4336" t="s">
        <v>9</v>
      </c>
      <c r="I4336" t="s">
        <v>44</v>
      </c>
    </row>
    <row r="4337" spans="1:9" x14ac:dyDescent="0.25">
      <c r="A4337" t="s">
        <v>3407</v>
      </c>
      <c r="B4337" s="26" t="str">
        <f>MID(tbl_forecast[[#This Row],[PACE Job Number]],3,3)</f>
        <v>STX</v>
      </c>
      <c r="C4337" t="s">
        <v>15</v>
      </c>
      <c r="D4337" s="1">
        <v>43418</v>
      </c>
      <c r="E4337" s="1">
        <v>43465</v>
      </c>
      <c r="F4337" s="1">
        <v>43434</v>
      </c>
      <c r="G4337" s="1"/>
      <c r="H4337" t="s">
        <v>4664</v>
      </c>
      <c r="I4337" t="s">
        <v>5645</v>
      </c>
    </row>
    <row r="4338" spans="1:9" x14ac:dyDescent="0.25">
      <c r="A4338" t="s">
        <v>147</v>
      </c>
      <c r="B4338" s="26" t="str">
        <f>MID(tbl_forecast[[#This Row],[PACE Job Number]],3,3)</f>
        <v>STX</v>
      </c>
      <c r="C4338" t="s">
        <v>15</v>
      </c>
      <c r="D4338" s="1">
        <v>43418</v>
      </c>
      <c r="E4338" s="1">
        <v>43433</v>
      </c>
      <c r="F4338" s="1">
        <v>43434</v>
      </c>
      <c r="G4338" s="1"/>
      <c r="H4338" t="s">
        <v>4664</v>
      </c>
      <c r="I4338" t="s">
        <v>5645</v>
      </c>
    </row>
    <row r="4339" spans="1:9" x14ac:dyDescent="0.25">
      <c r="A4339" t="s">
        <v>4016</v>
      </c>
      <c r="B4339" s="26" t="str">
        <f>MID(tbl_forecast[[#This Row],[PACE Job Number]],3,3)</f>
        <v>STX</v>
      </c>
      <c r="C4339" t="s">
        <v>15</v>
      </c>
      <c r="D4339" s="1">
        <v>43430</v>
      </c>
      <c r="E4339" s="1">
        <v>43463</v>
      </c>
      <c r="F4339" s="1">
        <v>43432</v>
      </c>
      <c r="G4339" s="1">
        <v>43432</v>
      </c>
      <c r="H4339" t="s">
        <v>9</v>
      </c>
      <c r="I4339" t="s">
        <v>10</v>
      </c>
    </row>
    <row r="4340" spans="1:9" x14ac:dyDescent="0.25">
      <c r="A4340" t="s">
        <v>3936</v>
      </c>
      <c r="B4340" s="26" t="str">
        <f>MID(tbl_forecast[[#This Row],[PACE Job Number]],3,3)</f>
        <v>STX</v>
      </c>
      <c r="C4340" t="s">
        <v>15</v>
      </c>
      <c r="D4340" s="1">
        <v>43430</v>
      </c>
      <c r="E4340" s="1">
        <v>43463</v>
      </c>
      <c r="F4340" s="1">
        <v>43434</v>
      </c>
      <c r="G4340" s="1"/>
      <c r="H4340" t="s">
        <v>9</v>
      </c>
      <c r="I4340" t="s">
        <v>44</v>
      </c>
    </row>
    <row r="4341" spans="1:9" x14ac:dyDescent="0.25">
      <c r="A4341" t="s">
        <v>3937</v>
      </c>
      <c r="B4341" s="26" t="str">
        <f>MID(tbl_forecast[[#This Row],[PACE Job Number]],3,3)</f>
        <v>STX</v>
      </c>
      <c r="C4341" t="s">
        <v>15</v>
      </c>
      <c r="D4341" s="1">
        <v>43430</v>
      </c>
      <c r="E4341" s="1">
        <v>43463</v>
      </c>
      <c r="F4341" s="1">
        <v>43434</v>
      </c>
      <c r="G4341" s="1"/>
      <c r="H4341" t="s">
        <v>9</v>
      </c>
      <c r="I4341" t="s">
        <v>44</v>
      </c>
    </row>
    <row r="4342" spans="1:9" x14ac:dyDescent="0.25">
      <c r="A4342" t="s">
        <v>3938</v>
      </c>
      <c r="B4342" s="26" t="str">
        <f>MID(tbl_forecast[[#This Row],[PACE Job Number]],3,3)</f>
        <v>STX</v>
      </c>
      <c r="C4342" t="s">
        <v>15</v>
      </c>
      <c r="D4342" s="1">
        <v>43430</v>
      </c>
      <c r="E4342" s="1">
        <v>43493</v>
      </c>
      <c r="F4342" s="1">
        <v>43434</v>
      </c>
      <c r="G4342" s="1"/>
      <c r="H4342" t="s">
        <v>9</v>
      </c>
      <c r="I4342" t="s">
        <v>44</v>
      </c>
    </row>
    <row r="4343" spans="1:9" x14ac:dyDescent="0.25">
      <c r="A4343" t="s">
        <v>4040</v>
      </c>
      <c r="B4343" s="26" t="str">
        <f>MID(tbl_forecast[[#This Row],[PACE Job Number]],3,3)</f>
        <v>STX</v>
      </c>
      <c r="C4343" t="s">
        <v>15</v>
      </c>
      <c r="D4343" s="1">
        <v>43410</v>
      </c>
      <c r="E4343" s="1">
        <v>43465</v>
      </c>
      <c r="F4343" s="1">
        <v>43434</v>
      </c>
      <c r="G4343" s="1"/>
      <c r="H4343" t="s">
        <v>4664</v>
      </c>
      <c r="I4343" t="s">
        <v>5645</v>
      </c>
    </row>
    <row r="4344" spans="1:9" x14ac:dyDescent="0.25">
      <c r="A4344" t="s">
        <v>2685</v>
      </c>
      <c r="B4344" s="26" t="str">
        <f>MID(tbl_forecast[[#This Row],[PACE Job Number]],3,3)</f>
        <v>STX</v>
      </c>
      <c r="C4344" t="s">
        <v>15</v>
      </c>
      <c r="D4344" s="1">
        <v>43406</v>
      </c>
      <c r="E4344" s="1">
        <v>43418</v>
      </c>
      <c r="F4344" s="1">
        <v>43406</v>
      </c>
      <c r="G4344" s="1">
        <v>43406</v>
      </c>
      <c r="H4344" t="s">
        <v>9</v>
      </c>
      <c r="I4344" t="s">
        <v>10</v>
      </c>
    </row>
    <row r="4345" spans="1:9" x14ac:dyDescent="0.25">
      <c r="A4345" t="s">
        <v>4646</v>
      </c>
      <c r="B4345" s="26" t="str">
        <f>MID(tbl_forecast[[#This Row],[PACE Job Number]],3,3)</f>
        <v>STX</v>
      </c>
      <c r="C4345" t="s">
        <v>15</v>
      </c>
      <c r="D4345" s="1">
        <v>43410</v>
      </c>
      <c r="E4345" s="1">
        <v>43463</v>
      </c>
      <c r="F4345" s="1">
        <v>43434</v>
      </c>
      <c r="G4345" s="1"/>
      <c r="H4345" t="s">
        <v>4664</v>
      </c>
      <c r="I4345" t="s">
        <v>5645</v>
      </c>
    </row>
    <row r="4346" spans="1:9" x14ac:dyDescent="0.25">
      <c r="A4346" t="s">
        <v>4660</v>
      </c>
      <c r="B4346" s="26" t="str">
        <f>MID(tbl_forecast[[#This Row],[PACE Job Number]],3,3)</f>
        <v>ANM</v>
      </c>
      <c r="C4346" t="s">
        <v>15</v>
      </c>
      <c r="D4346" s="1">
        <v>43434</v>
      </c>
      <c r="E4346" s="1">
        <v>36524</v>
      </c>
      <c r="F4346" s="1">
        <v>43434</v>
      </c>
      <c r="G4346" s="1"/>
      <c r="H4346" t="s">
        <v>9</v>
      </c>
      <c r="I4346" t="s">
        <v>27</v>
      </c>
    </row>
    <row r="4347" spans="1:9" x14ac:dyDescent="0.25">
      <c r="A4347" t="s">
        <v>4607</v>
      </c>
      <c r="B4347" s="26" t="str">
        <f>MID(tbl_forecast[[#This Row],[PACE Job Number]],3,3)</f>
        <v>ANM</v>
      </c>
      <c r="C4347" t="s">
        <v>15</v>
      </c>
      <c r="D4347" s="1">
        <v>43434</v>
      </c>
      <c r="E4347" s="1">
        <v>36524</v>
      </c>
      <c r="F4347" s="1">
        <v>43434</v>
      </c>
      <c r="G4347" s="1"/>
      <c r="H4347" t="s">
        <v>9</v>
      </c>
      <c r="I4347" t="s">
        <v>27</v>
      </c>
    </row>
    <row r="4348" spans="1:9" x14ac:dyDescent="0.25">
      <c r="A4348" t="s">
        <v>5634</v>
      </c>
      <c r="B4348" s="26" t="str">
        <f>MID(tbl_forecast[[#This Row],[PACE Job Number]],3,3)</f>
        <v>ANM</v>
      </c>
      <c r="C4348" t="s">
        <v>15</v>
      </c>
      <c r="D4348" s="1">
        <v>43434</v>
      </c>
      <c r="E4348" s="1">
        <v>36524</v>
      </c>
      <c r="F4348" s="1">
        <v>43411</v>
      </c>
      <c r="G4348" s="1">
        <v>43411</v>
      </c>
      <c r="H4348" t="s">
        <v>9</v>
      </c>
      <c r="I4348" t="s">
        <v>10</v>
      </c>
    </row>
    <row r="4349" spans="1:9" x14ac:dyDescent="0.25">
      <c r="A4349" t="s">
        <v>3880</v>
      </c>
      <c r="B4349" s="26" t="str">
        <f>MID(tbl_forecast[[#This Row],[PACE Job Number]],3,3)</f>
        <v>NTX</v>
      </c>
      <c r="C4349" t="s">
        <v>15</v>
      </c>
      <c r="D4349" s="1">
        <v>43413</v>
      </c>
      <c r="E4349" s="1">
        <v>43413</v>
      </c>
      <c r="F4349" s="1">
        <v>43464</v>
      </c>
      <c r="G4349" s="1"/>
      <c r="H4349" t="s">
        <v>4664</v>
      </c>
      <c r="I4349" t="s">
        <v>4666</v>
      </c>
    </row>
    <row r="4350" spans="1:9" x14ac:dyDescent="0.25">
      <c r="A4350" t="s">
        <v>3945</v>
      </c>
      <c r="B4350" s="26" t="str">
        <f>MID(tbl_forecast[[#This Row],[PACE Job Number]],3,3)</f>
        <v>NTX</v>
      </c>
      <c r="C4350" t="s">
        <v>15</v>
      </c>
      <c r="D4350" s="1">
        <v>43425</v>
      </c>
      <c r="E4350" s="1">
        <v>43425</v>
      </c>
      <c r="F4350" s="1">
        <v>43464</v>
      </c>
      <c r="G4350" s="1"/>
      <c r="H4350" t="s">
        <v>4664</v>
      </c>
      <c r="I4350" t="s">
        <v>4666</v>
      </c>
    </row>
    <row r="4351" spans="1:9" x14ac:dyDescent="0.25">
      <c r="A4351" t="s">
        <v>732</v>
      </c>
      <c r="B4351" s="26" t="str">
        <f>MID(tbl_forecast[[#This Row],[PACE Job Number]],3,3)</f>
        <v>NTX</v>
      </c>
      <c r="C4351" t="s">
        <v>15</v>
      </c>
      <c r="D4351" s="1">
        <v>43425</v>
      </c>
      <c r="E4351" s="1">
        <v>43425</v>
      </c>
      <c r="F4351" s="1">
        <v>43417</v>
      </c>
      <c r="G4351" s="1">
        <v>43417</v>
      </c>
      <c r="H4351" t="s">
        <v>9</v>
      </c>
      <c r="I4351" t="s">
        <v>10</v>
      </c>
    </row>
    <row r="4352" spans="1:9" x14ac:dyDescent="0.25">
      <c r="A4352" t="s">
        <v>2114</v>
      </c>
      <c r="B4352" s="26" t="str">
        <f>MID(tbl_forecast[[#This Row],[PACE Job Number]],3,3)</f>
        <v>NTX</v>
      </c>
      <c r="C4352" t="s">
        <v>15</v>
      </c>
      <c r="D4352" s="1">
        <v>43433</v>
      </c>
      <c r="E4352" s="1">
        <v>43433</v>
      </c>
      <c r="F4352" s="1">
        <v>43417</v>
      </c>
      <c r="G4352" s="1">
        <v>43417</v>
      </c>
      <c r="H4352" t="s">
        <v>9</v>
      </c>
      <c r="I4352" t="s">
        <v>10</v>
      </c>
    </row>
    <row r="4353" spans="1:9" x14ac:dyDescent="0.25">
      <c r="A4353" t="s">
        <v>4519</v>
      </c>
      <c r="B4353" s="26" t="str">
        <f>MID(tbl_forecast[[#This Row],[PACE Job Number]],3,3)</f>
        <v>NTX</v>
      </c>
      <c r="C4353" t="s">
        <v>15</v>
      </c>
      <c r="D4353" s="1">
        <v>43415</v>
      </c>
      <c r="E4353" s="1">
        <v>43415</v>
      </c>
      <c r="F4353" s="1">
        <v>43615</v>
      </c>
      <c r="G4353" s="1"/>
      <c r="H4353" t="s">
        <v>4664</v>
      </c>
      <c r="I4353" t="s">
        <v>4666</v>
      </c>
    </row>
    <row r="4354" spans="1:9" x14ac:dyDescent="0.25">
      <c r="A4354" t="s">
        <v>5603</v>
      </c>
      <c r="B4354" s="26" t="str">
        <f>MID(tbl_forecast[[#This Row],[PACE Job Number]],3,3)</f>
        <v>STX</v>
      </c>
      <c r="C4354" t="s">
        <v>15</v>
      </c>
      <c r="D4354" s="1">
        <v>43406</v>
      </c>
      <c r="E4354" s="1">
        <v>43432</v>
      </c>
      <c r="F4354" s="1">
        <v>43406</v>
      </c>
      <c r="G4354" s="1">
        <v>43406</v>
      </c>
      <c r="H4354" t="s">
        <v>9</v>
      </c>
      <c r="I4354" t="s">
        <v>10</v>
      </c>
    </row>
    <row r="4355" spans="1:9" x14ac:dyDescent="0.25">
      <c r="A4355" t="s">
        <v>3348</v>
      </c>
      <c r="B4355" s="26" t="str">
        <f>MID(tbl_forecast[[#This Row],[PACE Job Number]],3,3)</f>
        <v>STX</v>
      </c>
      <c r="C4355" t="s">
        <v>15</v>
      </c>
      <c r="D4355" s="1">
        <v>43419</v>
      </c>
      <c r="E4355" s="1">
        <v>43433</v>
      </c>
      <c r="F4355" s="1">
        <v>43434</v>
      </c>
      <c r="G4355" s="1"/>
      <c r="H4355" t="s">
        <v>4664</v>
      </c>
      <c r="I4355" t="s">
        <v>5645</v>
      </c>
    </row>
    <row r="4356" spans="1:9" x14ac:dyDescent="0.25">
      <c r="A4356" t="s">
        <v>353</v>
      </c>
      <c r="B4356" s="26" t="str">
        <f>MID(tbl_forecast[[#This Row],[PACE Job Number]],3,3)</f>
        <v>STX</v>
      </c>
      <c r="C4356" t="s">
        <v>15</v>
      </c>
      <c r="D4356" s="1">
        <v>43418</v>
      </c>
      <c r="E4356" s="1">
        <v>43433</v>
      </c>
      <c r="F4356" s="1">
        <v>43434</v>
      </c>
      <c r="G4356" s="1"/>
      <c r="H4356" t="s">
        <v>4664</v>
      </c>
      <c r="I4356" t="s">
        <v>5645</v>
      </c>
    </row>
    <row r="4357" spans="1:9" x14ac:dyDescent="0.25">
      <c r="A4357" t="s">
        <v>3097</v>
      </c>
      <c r="B4357" s="26" t="str">
        <f>MID(tbl_forecast[[#This Row],[PACE Job Number]],3,3)</f>
        <v>STX</v>
      </c>
      <c r="C4357" t="s">
        <v>15</v>
      </c>
      <c r="D4357" s="1">
        <v>43430</v>
      </c>
      <c r="E4357" s="1">
        <v>43465</v>
      </c>
      <c r="F4357" s="1">
        <v>43434</v>
      </c>
      <c r="G4357" s="1"/>
      <c r="H4357" t="s">
        <v>9</v>
      </c>
      <c r="I4357" t="s">
        <v>44</v>
      </c>
    </row>
    <row r="4358" spans="1:9" x14ac:dyDescent="0.25">
      <c r="A4358" t="s">
        <v>3224</v>
      </c>
      <c r="B4358" s="26" t="str">
        <f>MID(tbl_forecast[[#This Row],[PACE Job Number]],3,3)</f>
        <v>STX</v>
      </c>
      <c r="C4358" t="s">
        <v>15</v>
      </c>
      <c r="D4358" s="1">
        <v>43430</v>
      </c>
      <c r="E4358" s="1">
        <v>43465</v>
      </c>
      <c r="F4358" s="1">
        <v>43434</v>
      </c>
      <c r="G4358" s="1"/>
      <c r="H4358" t="s">
        <v>9</v>
      </c>
      <c r="I4358" t="s">
        <v>44</v>
      </c>
    </row>
    <row r="4359" spans="1:9" x14ac:dyDescent="0.25">
      <c r="A4359" t="s">
        <v>247</v>
      </c>
      <c r="B4359" s="26" t="str">
        <f>MID(tbl_forecast[[#This Row],[PACE Job Number]],3,3)</f>
        <v>STX</v>
      </c>
      <c r="C4359" t="s">
        <v>15</v>
      </c>
      <c r="D4359" s="1">
        <v>43430</v>
      </c>
      <c r="E4359" s="1">
        <v>43463</v>
      </c>
      <c r="F4359" s="1">
        <v>43432</v>
      </c>
      <c r="G4359" s="1">
        <v>43432</v>
      </c>
      <c r="H4359" t="s">
        <v>9</v>
      </c>
      <c r="I4359" t="s">
        <v>10</v>
      </c>
    </row>
    <row r="4360" spans="1:9" x14ac:dyDescent="0.25">
      <c r="A4360" t="s">
        <v>5635</v>
      </c>
      <c r="B4360" s="26" t="str">
        <f>MID(tbl_forecast[[#This Row],[PACE Job Number]],3,3)</f>
        <v>STX</v>
      </c>
      <c r="C4360" t="s">
        <v>15</v>
      </c>
      <c r="D4360" s="1">
        <v>43406</v>
      </c>
      <c r="E4360" s="1">
        <v>43463</v>
      </c>
      <c r="F4360" s="1">
        <v>43406</v>
      </c>
      <c r="G4360" s="1">
        <v>43406</v>
      </c>
      <c r="H4360" t="s">
        <v>9</v>
      </c>
      <c r="I4360" t="s">
        <v>10</v>
      </c>
    </row>
    <row r="4361" spans="1:9" x14ac:dyDescent="0.25">
      <c r="A4361" t="s">
        <v>3103</v>
      </c>
      <c r="B4361" s="26" t="str">
        <f>MID(tbl_forecast[[#This Row],[PACE Job Number]],3,3)</f>
        <v>STX</v>
      </c>
      <c r="C4361" t="s">
        <v>15</v>
      </c>
      <c r="D4361" s="1">
        <v>43430</v>
      </c>
      <c r="E4361" s="1">
        <v>43465</v>
      </c>
      <c r="F4361" s="1">
        <v>43434</v>
      </c>
      <c r="G4361" s="1"/>
      <c r="H4361" t="s">
        <v>9</v>
      </c>
      <c r="I4361" t="s">
        <v>44</v>
      </c>
    </row>
    <row r="4362" spans="1:9" x14ac:dyDescent="0.25">
      <c r="A4362" t="s">
        <v>4579</v>
      </c>
      <c r="B4362" s="26" t="str">
        <f>MID(tbl_forecast[[#This Row],[PACE Job Number]],3,3)</f>
        <v>STX</v>
      </c>
      <c r="C4362" t="s">
        <v>15</v>
      </c>
      <c r="D4362" s="1">
        <v>43406</v>
      </c>
      <c r="E4362" s="1">
        <v>43432</v>
      </c>
      <c r="F4362" s="1">
        <v>43406</v>
      </c>
      <c r="G4362" s="1">
        <v>43406</v>
      </c>
      <c r="H4362" t="s">
        <v>9</v>
      </c>
      <c r="I4362" t="s">
        <v>10</v>
      </c>
    </row>
    <row r="4363" spans="1:9" x14ac:dyDescent="0.25">
      <c r="A4363" t="s">
        <v>3239</v>
      </c>
      <c r="B4363" s="26" t="str">
        <f>MID(tbl_forecast[[#This Row],[PACE Job Number]],3,3)</f>
        <v>STX</v>
      </c>
      <c r="C4363" t="s">
        <v>15</v>
      </c>
      <c r="D4363" s="1">
        <v>43430</v>
      </c>
      <c r="E4363" s="1">
        <v>43465</v>
      </c>
      <c r="F4363" s="1">
        <v>43434</v>
      </c>
      <c r="G4363" s="1"/>
      <c r="H4363" t="s">
        <v>9</v>
      </c>
      <c r="I4363" t="s">
        <v>44</v>
      </c>
    </row>
    <row r="4364" spans="1:9" x14ac:dyDescent="0.25">
      <c r="A4364" t="s">
        <v>3317</v>
      </c>
      <c r="B4364" s="26" t="str">
        <f>MID(tbl_forecast[[#This Row],[PACE Job Number]],3,3)</f>
        <v>STX</v>
      </c>
      <c r="C4364" t="s">
        <v>15</v>
      </c>
      <c r="D4364" s="1">
        <v>43419</v>
      </c>
      <c r="E4364" s="1">
        <v>43433</v>
      </c>
      <c r="F4364" s="1">
        <v>43434</v>
      </c>
      <c r="G4364" s="1"/>
      <c r="H4364" t="s">
        <v>4664</v>
      </c>
      <c r="I4364" t="s">
        <v>5645</v>
      </c>
    </row>
    <row r="4365" spans="1:9" x14ac:dyDescent="0.25">
      <c r="A4365" t="s">
        <v>3311</v>
      </c>
      <c r="B4365" s="26" t="str">
        <f>MID(tbl_forecast[[#This Row],[PACE Job Number]],3,3)</f>
        <v>STX</v>
      </c>
      <c r="C4365" t="s">
        <v>15</v>
      </c>
      <c r="D4365" s="1">
        <v>43419</v>
      </c>
      <c r="E4365" s="1">
        <v>43433</v>
      </c>
      <c r="F4365" s="1">
        <v>43434</v>
      </c>
      <c r="G4365" s="1"/>
      <c r="H4365" t="s">
        <v>4664</v>
      </c>
      <c r="I4365" t="s">
        <v>5645</v>
      </c>
    </row>
    <row r="4366" spans="1:9" x14ac:dyDescent="0.25">
      <c r="A4366" t="s">
        <v>3939</v>
      </c>
      <c r="B4366" s="26" t="str">
        <f>MID(tbl_forecast[[#This Row],[PACE Job Number]],3,3)</f>
        <v>STX</v>
      </c>
      <c r="C4366" t="s">
        <v>15</v>
      </c>
      <c r="D4366" s="1">
        <v>43418</v>
      </c>
      <c r="E4366" s="1">
        <v>43493</v>
      </c>
      <c r="F4366" s="1">
        <v>43423</v>
      </c>
      <c r="G4366" s="1">
        <v>43423</v>
      </c>
      <c r="H4366" t="s">
        <v>9</v>
      </c>
      <c r="I4366" t="s">
        <v>10</v>
      </c>
    </row>
    <row r="4367" spans="1:9" x14ac:dyDescent="0.25">
      <c r="A4367" t="s">
        <v>763</v>
      </c>
      <c r="B4367" s="26" t="str">
        <f>MID(tbl_forecast[[#This Row],[PACE Job Number]],3,3)</f>
        <v>STX</v>
      </c>
      <c r="C4367" t="s">
        <v>15</v>
      </c>
      <c r="D4367" s="1">
        <v>43418</v>
      </c>
      <c r="E4367" s="1">
        <v>43463</v>
      </c>
      <c r="F4367" s="1">
        <v>43432</v>
      </c>
      <c r="G4367" s="1">
        <v>43432</v>
      </c>
      <c r="H4367" t="s">
        <v>9</v>
      </c>
      <c r="I4367" t="s">
        <v>10</v>
      </c>
    </row>
    <row r="4368" spans="1:9" x14ac:dyDescent="0.25">
      <c r="A4368" t="s">
        <v>3940</v>
      </c>
      <c r="B4368" s="26" t="str">
        <f>MID(tbl_forecast[[#This Row],[PACE Job Number]],3,3)</f>
        <v>STX</v>
      </c>
      <c r="C4368" t="s">
        <v>15</v>
      </c>
      <c r="D4368" s="1">
        <v>43430</v>
      </c>
      <c r="E4368" s="1">
        <v>43493</v>
      </c>
      <c r="F4368" s="1">
        <v>43434</v>
      </c>
      <c r="G4368" s="1"/>
      <c r="H4368" t="s">
        <v>9</v>
      </c>
      <c r="I4368" t="s">
        <v>44</v>
      </c>
    </row>
    <row r="4369" spans="1:9" x14ac:dyDescent="0.25">
      <c r="A4369" t="s">
        <v>3115</v>
      </c>
      <c r="B4369" s="26" t="str">
        <f>MID(tbl_forecast[[#This Row],[PACE Job Number]],3,3)</f>
        <v>STX</v>
      </c>
      <c r="C4369" t="s">
        <v>15</v>
      </c>
      <c r="D4369" s="1">
        <v>43430</v>
      </c>
      <c r="E4369" s="1">
        <v>43585</v>
      </c>
      <c r="F4369" s="1">
        <v>43434</v>
      </c>
      <c r="G4369" s="1"/>
      <c r="H4369" t="s">
        <v>9</v>
      </c>
      <c r="I4369" t="s">
        <v>44</v>
      </c>
    </row>
    <row r="4370" spans="1:9" x14ac:dyDescent="0.25">
      <c r="A4370" t="s">
        <v>3941</v>
      </c>
      <c r="B4370" s="26" t="str">
        <f>MID(tbl_forecast[[#This Row],[PACE Job Number]],3,3)</f>
        <v>STX</v>
      </c>
      <c r="C4370" t="s">
        <v>15</v>
      </c>
      <c r="D4370" s="1">
        <v>43418</v>
      </c>
      <c r="E4370" s="1">
        <v>43465</v>
      </c>
      <c r="F4370" s="1">
        <v>43434</v>
      </c>
      <c r="G4370" s="1"/>
      <c r="H4370" t="s">
        <v>4664</v>
      </c>
      <c r="I4370" t="s">
        <v>5645</v>
      </c>
    </row>
    <row r="4371" spans="1:9" x14ac:dyDescent="0.25">
      <c r="A4371" t="s">
        <v>3942</v>
      </c>
      <c r="B4371" s="26" t="str">
        <f>MID(tbl_forecast[[#This Row],[PACE Job Number]],3,3)</f>
        <v>STX</v>
      </c>
      <c r="C4371" t="s">
        <v>15</v>
      </c>
      <c r="D4371" s="1">
        <v>43418</v>
      </c>
      <c r="E4371" s="1">
        <v>43465</v>
      </c>
      <c r="F4371" s="1">
        <v>43434</v>
      </c>
      <c r="G4371" s="1"/>
      <c r="H4371" t="s">
        <v>4664</v>
      </c>
      <c r="I4371" t="s">
        <v>5645</v>
      </c>
    </row>
    <row r="4372" spans="1:9" x14ac:dyDescent="0.25">
      <c r="A4372" t="s">
        <v>279</v>
      </c>
      <c r="B4372" s="26" t="str">
        <f>MID(tbl_forecast[[#This Row],[PACE Job Number]],3,3)</f>
        <v>WSH</v>
      </c>
      <c r="C4372" t="s">
        <v>15</v>
      </c>
      <c r="D4372" s="1">
        <v>43433</v>
      </c>
      <c r="E4372" s="1">
        <v>36524</v>
      </c>
      <c r="F4372" s="1">
        <v>43433</v>
      </c>
      <c r="G4372" s="1"/>
      <c r="H4372" t="s">
        <v>9</v>
      </c>
      <c r="I4372" t="s">
        <v>27</v>
      </c>
    </row>
    <row r="4373" spans="1:9" x14ac:dyDescent="0.25">
      <c r="A4373" t="s">
        <v>449</v>
      </c>
      <c r="B4373" s="26" t="str">
        <f>MID(tbl_forecast[[#This Row],[PACE Job Number]],3,3)</f>
        <v>WSH</v>
      </c>
      <c r="C4373" t="s">
        <v>15</v>
      </c>
      <c r="D4373" s="1">
        <v>43434</v>
      </c>
      <c r="E4373" s="1">
        <v>43434</v>
      </c>
      <c r="F4373" s="1">
        <v>43424</v>
      </c>
      <c r="G4373" s="1">
        <v>43424</v>
      </c>
      <c r="H4373" t="s">
        <v>9</v>
      </c>
      <c r="I4373" t="s">
        <v>10</v>
      </c>
    </row>
    <row r="4374" spans="1:9" x14ac:dyDescent="0.25">
      <c r="A4374" t="s">
        <v>90</v>
      </c>
      <c r="B4374" s="26" t="str">
        <f>MID(tbl_forecast[[#This Row],[PACE Job Number]],3,3)</f>
        <v>WSH</v>
      </c>
      <c r="C4374" t="s">
        <v>15</v>
      </c>
      <c r="D4374" s="1">
        <v>43433</v>
      </c>
      <c r="E4374" s="1">
        <v>36524</v>
      </c>
      <c r="F4374" s="1">
        <v>43433</v>
      </c>
      <c r="G4374" s="1"/>
      <c r="H4374" t="s">
        <v>9</v>
      </c>
      <c r="I4374" t="s">
        <v>27</v>
      </c>
    </row>
    <row r="4375" spans="1:9" x14ac:dyDescent="0.25">
      <c r="A4375" t="s">
        <v>4035</v>
      </c>
      <c r="B4375" s="26" t="str">
        <f>MID(tbl_forecast[[#This Row],[PACE Job Number]],3,3)</f>
        <v>WSH</v>
      </c>
      <c r="C4375" t="s">
        <v>15</v>
      </c>
      <c r="D4375" s="1">
        <v>43421</v>
      </c>
      <c r="E4375" s="1">
        <v>36524</v>
      </c>
      <c r="F4375" s="1">
        <v>43411</v>
      </c>
      <c r="G4375" s="1">
        <v>43411</v>
      </c>
      <c r="H4375" t="s">
        <v>9</v>
      </c>
      <c r="I4375" t="s">
        <v>10</v>
      </c>
    </row>
    <row r="4376" spans="1:9" x14ac:dyDescent="0.25">
      <c r="A4376" t="s">
        <v>39</v>
      </c>
      <c r="B4376" s="26" t="str">
        <f>MID(tbl_forecast[[#This Row],[PACE Job Number]],3,3)</f>
        <v>NTX</v>
      </c>
      <c r="C4376" t="s">
        <v>15</v>
      </c>
      <c r="D4376" s="1">
        <v>43427</v>
      </c>
      <c r="E4376" s="1">
        <v>43427</v>
      </c>
      <c r="F4376" s="1">
        <v>43464</v>
      </c>
      <c r="G4376" s="1"/>
      <c r="H4376" t="s">
        <v>4664</v>
      </c>
      <c r="I4376" t="s">
        <v>4666</v>
      </c>
    </row>
    <row r="4377" spans="1:9" x14ac:dyDescent="0.25">
      <c r="A4377" t="s">
        <v>4520</v>
      </c>
      <c r="B4377" s="26" t="str">
        <f>MID(tbl_forecast[[#This Row],[PACE Job Number]],3,3)</f>
        <v>NTX</v>
      </c>
      <c r="C4377" t="s">
        <v>15</v>
      </c>
      <c r="D4377" s="1">
        <v>43413</v>
      </c>
      <c r="E4377" s="1">
        <v>43421</v>
      </c>
      <c r="F4377" s="1">
        <v>43464</v>
      </c>
      <c r="G4377" s="1"/>
      <c r="H4377" t="s">
        <v>4664</v>
      </c>
      <c r="I4377" t="s">
        <v>4666</v>
      </c>
    </row>
    <row r="4378" spans="1:9" x14ac:dyDescent="0.25">
      <c r="A4378" t="s">
        <v>154</v>
      </c>
      <c r="B4378" s="26" t="str">
        <f>MID(tbl_forecast[[#This Row],[PACE Job Number]],3,3)</f>
        <v>NTX</v>
      </c>
      <c r="C4378" t="s">
        <v>15</v>
      </c>
      <c r="D4378" s="1">
        <v>43427</v>
      </c>
      <c r="E4378" s="1">
        <v>43427</v>
      </c>
      <c r="F4378" s="1">
        <v>43464</v>
      </c>
      <c r="G4378" s="1"/>
      <c r="H4378" t="s">
        <v>4664</v>
      </c>
      <c r="I4378" t="s">
        <v>4666</v>
      </c>
    </row>
    <row r="4379" spans="1:9" x14ac:dyDescent="0.25">
      <c r="A4379" t="s">
        <v>1898</v>
      </c>
      <c r="B4379" s="26" t="str">
        <f>MID(tbl_forecast[[#This Row],[PACE Job Number]],3,3)</f>
        <v>NTX</v>
      </c>
      <c r="C4379" t="s">
        <v>15</v>
      </c>
      <c r="D4379" s="1">
        <v>43413</v>
      </c>
      <c r="E4379" s="1">
        <v>36524</v>
      </c>
      <c r="F4379" s="1">
        <v>43411</v>
      </c>
      <c r="G4379" s="1">
        <v>43411</v>
      </c>
      <c r="H4379" t="s">
        <v>9</v>
      </c>
      <c r="I4379" t="s">
        <v>10</v>
      </c>
    </row>
    <row r="4380" spans="1:9" x14ac:dyDescent="0.25">
      <c r="A4380" t="s">
        <v>4521</v>
      </c>
      <c r="B4380" s="26" t="str">
        <f>MID(tbl_forecast[[#This Row],[PACE Job Number]],3,3)</f>
        <v>NTX</v>
      </c>
      <c r="C4380" t="s">
        <v>15</v>
      </c>
      <c r="D4380" s="1">
        <v>43413</v>
      </c>
      <c r="E4380" s="1">
        <v>43421</v>
      </c>
      <c r="F4380" s="1">
        <v>43495</v>
      </c>
      <c r="G4380" s="1"/>
      <c r="H4380" t="s">
        <v>4664</v>
      </c>
      <c r="I4380" t="s">
        <v>4666</v>
      </c>
    </row>
    <row r="4381" spans="1:9" x14ac:dyDescent="0.25">
      <c r="A4381" t="s">
        <v>1661</v>
      </c>
      <c r="B4381" s="26" t="str">
        <f>MID(tbl_forecast[[#This Row],[PACE Job Number]],3,3)</f>
        <v>NTX</v>
      </c>
      <c r="C4381" t="s">
        <v>15</v>
      </c>
      <c r="D4381" s="1">
        <v>43408</v>
      </c>
      <c r="E4381" s="1">
        <v>43476</v>
      </c>
      <c r="F4381" s="1">
        <v>43524</v>
      </c>
      <c r="G4381" s="1"/>
      <c r="H4381" t="s">
        <v>4664</v>
      </c>
      <c r="I4381" t="s">
        <v>5645</v>
      </c>
    </row>
    <row r="4382" spans="1:9" x14ac:dyDescent="0.25">
      <c r="A4382" t="s">
        <v>2614</v>
      </c>
      <c r="B4382" s="26" t="str">
        <f>MID(tbl_forecast[[#This Row],[PACE Job Number]],3,3)</f>
        <v>STX</v>
      </c>
      <c r="C4382" t="s">
        <v>15</v>
      </c>
      <c r="D4382" s="1">
        <v>43425</v>
      </c>
      <c r="E4382" s="1">
        <v>43425</v>
      </c>
      <c r="F4382" s="1">
        <v>43434</v>
      </c>
      <c r="G4382" s="1"/>
      <c r="H4382" t="s">
        <v>9</v>
      </c>
      <c r="I4382" t="s">
        <v>27</v>
      </c>
    </row>
    <row r="4383" spans="1:9" x14ac:dyDescent="0.25">
      <c r="A4383" t="s">
        <v>3107</v>
      </c>
      <c r="B4383" s="26" t="str">
        <f>MID(tbl_forecast[[#This Row],[PACE Job Number]],3,3)</f>
        <v>STX</v>
      </c>
      <c r="C4383" t="s">
        <v>15</v>
      </c>
      <c r="D4383" s="1">
        <v>43433</v>
      </c>
      <c r="E4383" s="1">
        <v>43433</v>
      </c>
      <c r="F4383" s="1">
        <v>43417</v>
      </c>
      <c r="G4383" s="1">
        <v>43417</v>
      </c>
      <c r="H4383" t="s">
        <v>9</v>
      </c>
      <c r="I4383" t="s">
        <v>10</v>
      </c>
    </row>
    <row r="4384" spans="1:9" x14ac:dyDescent="0.25">
      <c r="A4384" t="s">
        <v>503</v>
      </c>
      <c r="B4384" s="26" t="str">
        <f>MID(tbl_forecast[[#This Row],[PACE Job Number]],3,3)</f>
        <v>WSH</v>
      </c>
      <c r="C4384" t="s">
        <v>15</v>
      </c>
      <c r="D4384" s="1">
        <v>43421</v>
      </c>
      <c r="E4384" s="1">
        <v>36524</v>
      </c>
      <c r="F4384" s="1">
        <v>43433</v>
      </c>
      <c r="G4384" s="1">
        <v>43433</v>
      </c>
      <c r="H4384" t="s">
        <v>9</v>
      </c>
      <c r="I4384" t="s">
        <v>10</v>
      </c>
    </row>
    <row r="4385" spans="1:9" x14ac:dyDescent="0.25">
      <c r="A4385" t="s">
        <v>451</v>
      </c>
      <c r="B4385" s="26" t="str">
        <f>MID(tbl_forecast[[#This Row],[PACE Job Number]],3,3)</f>
        <v>WSH</v>
      </c>
      <c r="C4385" t="s">
        <v>15</v>
      </c>
      <c r="D4385" s="1">
        <v>43434</v>
      </c>
      <c r="E4385" s="1">
        <v>36524</v>
      </c>
      <c r="F4385" s="1">
        <v>43441</v>
      </c>
      <c r="G4385" s="1"/>
      <c r="H4385" t="s">
        <v>9</v>
      </c>
      <c r="I4385" t="s">
        <v>27</v>
      </c>
    </row>
    <row r="4386" spans="1:9" x14ac:dyDescent="0.25">
      <c r="A4386" t="s">
        <v>79</v>
      </c>
      <c r="B4386" s="26" t="str">
        <f>MID(tbl_forecast[[#This Row],[PACE Job Number]],3,3)</f>
        <v>WSH</v>
      </c>
      <c r="C4386" t="s">
        <v>15</v>
      </c>
      <c r="D4386" s="1">
        <v>43432</v>
      </c>
      <c r="E4386" s="1">
        <v>36524</v>
      </c>
      <c r="F4386" s="1">
        <v>43431</v>
      </c>
      <c r="G4386" s="1">
        <v>43431</v>
      </c>
      <c r="H4386" t="s">
        <v>9</v>
      </c>
      <c r="I4386" t="s">
        <v>10</v>
      </c>
    </row>
    <row r="4387" spans="1:9" x14ac:dyDescent="0.25">
      <c r="A4387" t="s">
        <v>4644</v>
      </c>
      <c r="B4387" s="26" t="str">
        <f>MID(tbl_forecast[[#This Row],[PACE Job Number]],3,3)</f>
        <v>WSH</v>
      </c>
      <c r="C4387" t="s">
        <v>15</v>
      </c>
      <c r="D4387" s="1">
        <v>43421</v>
      </c>
      <c r="E4387" s="1">
        <v>36524</v>
      </c>
      <c r="F4387" s="1">
        <v>43434</v>
      </c>
      <c r="G4387" s="1"/>
      <c r="H4387" t="s">
        <v>9</v>
      </c>
      <c r="I4387" t="s">
        <v>27</v>
      </c>
    </row>
    <row r="4388" spans="1:9" x14ac:dyDescent="0.25">
      <c r="A4388" t="s">
        <v>303</v>
      </c>
      <c r="B4388" s="26" t="str">
        <f>MID(tbl_forecast[[#This Row],[PACE Job Number]],3,3)</f>
        <v>WSH</v>
      </c>
      <c r="C4388" t="s">
        <v>15</v>
      </c>
      <c r="D4388" s="1">
        <v>43434</v>
      </c>
      <c r="E4388" s="1">
        <v>36524</v>
      </c>
      <c r="F4388" s="1">
        <v>43424</v>
      </c>
      <c r="G4388" s="1">
        <v>43424</v>
      </c>
      <c r="H4388" t="s">
        <v>9</v>
      </c>
      <c r="I4388" t="s">
        <v>10</v>
      </c>
    </row>
    <row r="4389" spans="1:9" x14ac:dyDescent="0.25">
      <c r="A4389" t="s">
        <v>4036</v>
      </c>
      <c r="B4389" s="26" t="str">
        <f>MID(tbl_forecast[[#This Row],[PACE Job Number]],3,3)</f>
        <v>WSH</v>
      </c>
      <c r="C4389" t="s">
        <v>15</v>
      </c>
      <c r="D4389" s="1">
        <v>43421</v>
      </c>
      <c r="E4389" s="1">
        <v>36524</v>
      </c>
      <c r="F4389" s="1">
        <v>43411</v>
      </c>
      <c r="G4389" s="1">
        <v>43411</v>
      </c>
      <c r="H4389" t="s">
        <v>9</v>
      </c>
      <c r="I4389" t="s">
        <v>10</v>
      </c>
    </row>
    <row r="4390" spans="1:9" x14ac:dyDescent="0.25">
      <c r="A4390" t="s">
        <v>409</v>
      </c>
      <c r="B4390" s="26" t="str">
        <f>MID(tbl_forecast[[#This Row],[PACE Job Number]],3,3)</f>
        <v>WSH</v>
      </c>
      <c r="C4390" t="s">
        <v>15</v>
      </c>
      <c r="D4390" s="1">
        <v>43434</v>
      </c>
      <c r="E4390" s="1">
        <v>36524</v>
      </c>
      <c r="F4390" s="1">
        <v>43434</v>
      </c>
      <c r="G4390" s="1"/>
      <c r="H4390" t="s">
        <v>9</v>
      </c>
      <c r="I4390" t="s">
        <v>27</v>
      </c>
    </row>
    <row r="4391" spans="1:9" x14ac:dyDescent="0.25">
      <c r="A4391" t="s">
        <v>159</v>
      </c>
      <c r="B4391" s="26" t="str">
        <f>MID(tbl_forecast[[#This Row],[PACE Job Number]],3,3)</f>
        <v>WSH</v>
      </c>
      <c r="C4391" t="s">
        <v>15</v>
      </c>
      <c r="D4391" s="1">
        <v>43434</v>
      </c>
      <c r="E4391" s="1">
        <v>36524</v>
      </c>
      <c r="F4391" s="1">
        <v>43424</v>
      </c>
      <c r="G4391" s="1">
        <v>43424</v>
      </c>
      <c r="H4391" t="s">
        <v>9</v>
      </c>
      <c r="I4391" t="s">
        <v>10</v>
      </c>
    </row>
    <row r="4392" spans="1:9" x14ac:dyDescent="0.25">
      <c r="A4392" t="s">
        <v>3528</v>
      </c>
      <c r="B4392" s="26" t="str">
        <f>MID(tbl_forecast[[#This Row],[PACE Job Number]],3,3)</f>
        <v>WSH</v>
      </c>
      <c r="C4392" t="s">
        <v>15</v>
      </c>
      <c r="D4392" s="1">
        <v>43421</v>
      </c>
      <c r="E4392" s="1">
        <v>36524</v>
      </c>
      <c r="F4392" s="1">
        <v>43434</v>
      </c>
      <c r="G4392" s="1"/>
      <c r="H4392" t="s">
        <v>9</v>
      </c>
      <c r="I4392" t="s">
        <v>27</v>
      </c>
    </row>
    <row r="4393" spans="1:9" x14ac:dyDescent="0.25">
      <c r="A4393" t="s">
        <v>4645</v>
      </c>
      <c r="B4393" s="26" t="str">
        <f>MID(tbl_forecast[[#This Row],[PACE Job Number]],3,3)</f>
        <v>WSH</v>
      </c>
      <c r="C4393" t="s">
        <v>15</v>
      </c>
      <c r="D4393" s="1">
        <v>43434</v>
      </c>
      <c r="E4393" s="1">
        <v>36524</v>
      </c>
      <c r="F4393" s="1">
        <v>43448</v>
      </c>
      <c r="G4393" s="1"/>
      <c r="H4393" t="s">
        <v>9</v>
      </c>
      <c r="I4393" t="s">
        <v>27</v>
      </c>
    </row>
    <row r="4394" spans="1:9" x14ac:dyDescent="0.25">
      <c r="A4394" t="s">
        <v>185</v>
      </c>
      <c r="B4394" s="26" t="str">
        <f>MID(tbl_forecast[[#This Row],[PACE Job Number]],3,3)</f>
        <v>WSH</v>
      </c>
      <c r="C4394" t="s">
        <v>15</v>
      </c>
      <c r="D4394" s="1">
        <v>43432</v>
      </c>
      <c r="E4394" s="1">
        <v>36524</v>
      </c>
      <c r="F4394" s="1">
        <v>43431</v>
      </c>
      <c r="G4394" s="1">
        <v>43431</v>
      </c>
      <c r="H4394" t="s">
        <v>9</v>
      </c>
      <c r="I4394" t="s">
        <v>10</v>
      </c>
    </row>
    <row r="4395" spans="1:9" x14ac:dyDescent="0.25">
      <c r="A4395" t="s">
        <v>4576</v>
      </c>
      <c r="B4395" s="26" t="str">
        <f>MID(tbl_forecast[[#This Row],[PACE Job Number]],3,3)</f>
        <v>WSH</v>
      </c>
      <c r="C4395" t="s">
        <v>15</v>
      </c>
      <c r="D4395" s="1">
        <v>43434</v>
      </c>
      <c r="E4395" s="1">
        <v>36524</v>
      </c>
      <c r="F4395" s="1">
        <v>43431</v>
      </c>
      <c r="G4395" s="1">
        <v>43431</v>
      </c>
      <c r="H4395" t="s">
        <v>9</v>
      </c>
      <c r="I4395" t="s">
        <v>10</v>
      </c>
    </row>
    <row r="4396" spans="1:9" x14ac:dyDescent="0.25">
      <c r="A4396" t="s">
        <v>201</v>
      </c>
      <c r="B4396" s="26" t="str">
        <f>MID(tbl_forecast[[#This Row],[PACE Job Number]],3,3)</f>
        <v>WSH</v>
      </c>
      <c r="C4396" t="s">
        <v>15</v>
      </c>
      <c r="D4396" s="1">
        <v>43434</v>
      </c>
      <c r="E4396" s="1">
        <v>36524</v>
      </c>
      <c r="F4396" s="1">
        <v>43424</v>
      </c>
      <c r="G4396" s="1">
        <v>43424</v>
      </c>
      <c r="H4396" t="s">
        <v>9</v>
      </c>
      <c r="I4396" t="s">
        <v>10</v>
      </c>
    </row>
    <row r="4397" spans="1:9" x14ac:dyDescent="0.25">
      <c r="A4397" t="s">
        <v>3920</v>
      </c>
      <c r="B4397" s="26" t="str">
        <f>MID(tbl_forecast[[#This Row],[PACE Job Number]],3,3)</f>
        <v>WSH</v>
      </c>
      <c r="C4397" t="s">
        <v>15</v>
      </c>
      <c r="D4397" s="1">
        <v>43434</v>
      </c>
      <c r="E4397" s="1">
        <v>36524</v>
      </c>
      <c r="F4397" s="1">
        <v>43424</v>
      </c>
      <c r="G4397" s="1">
        <v>43424</v>
      </c>
      <c r="H4397" t="s">
        <v>9</v>
      </c>
      <c r="I4397" t="s">
        <v>10</v>
      </c>
    </row>
    <row r="4398" spans="1:9" x14ac:dyDescent="0.25">
      <c r="A4398" t="s">
        <v>3531</v>
      </c>
      <c r="B4398" s="26" t="str">
        <f>MID(tbl_forecast[[#This Row],[PACE Job Number]],3,3)</f>
        <v>WSH</v>
      </c>
      <c r="C4398" t="s">
        <v>15</v>
      </c>
      <c r="D4398" s="1">
        <v>43421</v>
      </c>
      <c r="E4398" s="1">
        <v>36524</v>
      </c>
      <c r="F4398" s="1">
        <v>43433</v>
      </c>
      <c r="G4398" s="1">
        <v>43433</v>
      </c>
      <c r="H4398" t="s">
        <v>9</v>
      </c>
      <c r="I4398" t="s">
        <v>10</v>
      </c>
    </row>
    <row r="4399" spans="1:9" x14ac:dyDescent="0.25">
      <c r="A4399" t="s">
        <v>5348</v>
      </c>
      <c r="B4399" s="26" t="str">
        <f>MID(tbl_forecast[[#This Row],[PACE Job Number]],3,3)</f>
        <v>NTX</v>
      </c>
      <c r="C4399" t="s">
        <v>15</v>
      </c>
      <c r="D4399" s="1">
        <v>43425</v>
      </c>
      <c r="E4399" s="1">
        <v>43510</v>
      </c>
      <c r="F4399" s="1">
        <v>43554</v>
      </c>
      <c r="G4399" s="1"/>
      <c r="H4399" t="s">
        <v>4664</v>
      </c>
      <c r="I4399" t="s">
        <v>4665</v>
      </c>
    </row>
    <row r="4400" spans="1:9" x14ac:dyDescent="0.25">
      <c r="A4400" t="s">
        <v>5349</v>
      </c>
      <c r="B4400" s="26" t="str">
        <f>MID(tbl_forecast[[#This Row],[PACE Job Number]],3,3)</f>
        <v>NTX</v>
      </c>
      <c r="C4400" t="s">
        <v>15</v>
      </c>
      <c r="D4400" s="1">
        <v>43425</v>
      </c>
      <c r="E4400" s="1">
        <v>43510</v>
      </c>
      <c r="F4400" s="1">
        <v>43554</v>
      </c>
      <c r="G4400" s="1"/>
      <c r="H4400" t="s">
        <v>4664</v>
      </c>
      <c r="I4400" t="s">
        <v>4665</v>
      </c>
    </row>
    <row r="4401" spans="1:9" x14ac:dyDescent="0.25">
      <c r="A4401" t="s">
        <v>4058</v>
      </c>
      <c r="B4401" s="26" t="str">
        <f>MID(tbl_forecast[[#This Row],[PACE Job Number]],3,3)</f>
        <v>STX</v>
      </c>
      <c r="C4401" t="s">
        <v>15</v>
      </c>
      <c r="D4401" s="1">
        <v>43433</v>
      </c>
      <c r="E4401" s="1">
        <v>43433</v>
      </c>
      <c r="F4401" s="1">
        <v>43424</v>
      </c>
      <c r="G4401" s="1">
        <v>43424</v>
      </c>
      <c r="H4401" t="s">
        <v>9</v>
      </c>
      <c r="I4401" t="s">
        <v>10</v>
      </c>
    </row>
    <row r="4402" spans="1:9" x14ac:dyDescent="0.25">
      <c r="A4402" t="s">
        <v>808</v>
      </c>
      <c r="B4402" s="26" t="str">
        <f>MID(tbl_forecast[[#This Row],[PACE Job Number]],3,3)</f>
        <v>STX</v>
      </c>
      <c r="C4402" t="s">
        <v>15</v>
      </c>
      <c r="D4402" s="1">
        <v>43418</v>
      </c>
      <c r="E4402" s="1">
        <v>43433</v>
      </c>
      <c r="F4402" s="1">
        <v>43432</v>
      </c>
      <c r="G4402" s="1">
        <v>43432</v>
      </c>
      <c r="H4402" t="s">
        <v>9</v>
      </c>
      <c r="I4402" t="s">
        <v>10</v>
      </c>
    </row>
    <row r="4403" spans="1:9" x14ac:dyDescent="0.25">
      <c r="A4403" t="s">
        <v>3505</v>
      </c>
      <c r="B4403" s="26" t="str">
        <f>MID(tbl_forecast[[#This Row],[PACE Job Number]],3,3)</f>
        <v>STX</v>
      </c>
      <c r="C4403" t="s">
        <v>15</v>
      </c>
      <c r="D4403" s="1">
        <v>43430</v>
      </c>
      <c r="E4403" s="1">
        <v>43463</v>
      </c>
      <c r="F4403" s="1">
        <v>43464</v>
      </c>
      <c r="G4403" s="1"/>
      <c r="H4403" t="s">
        <v>4664</v>
      </c>
      <c r="I4403" t="s">
        <v>4665</v>
      </c>
    </row>
    <row r="4404" spans="1:9" x14ac:dyDescent="0.25">
      <c r="A4404" t="s">
        <v>511</v>
      </c>
      <c r="B4404" s="26" t="str">
        <f>MID(tbl_forecast[[#This Row],[PACE Job Number]],3,3)</f>
        <v>STX</v>
      </c>
      <c r="C4404" t="s">
        <v>15</v>
      </c>
      <c r="D4404" s="1">
        <v>43410</v>
      </c>
      <c r="E4404" s="1">
        <v>43463</v>
      </c>
      <c r="F4404" s="1">
        <v>43434</v>
      </c>
      <c r="G4404" s="1"/>
      <c r="H4404" t="s">
        <v>4664</v>
      </c>
      <c r="I4404" t="s">
        <v>5645</v>
      </c>
    </row>
    <row r="4405" spans="1:9" x14ac:dyDescent="0.25">
      <c r="A4405" t="s">
        <v>2595</v>
      </c>
      <c r="B4405" s="26" t="str">
        <f>MID(tbl_forecast[[#This Row],[PACE Job Number]],3,3)</f>
        <v>STX</v>
      </c>
      <c r="C4405" t="s">
        <v>15</v>
      </c>
      <c r="D4405" s="1">
        <v>43406</v>
      </c>
      <c r="E4405" s="1">
        <v>43463</v>
      </c>
      <c r="F4405" s="1">
        <v>43406</v>
      </c>
      <c r="G4405" s="1">
        <v>43406</v>
      </c>
      <c r="H4405" t="s">
        <v>9</v>
      </c>
      <c r="I4405" t="s">
        <v>10</v>
      </c>
    </row>
    <row r="4406" spans="1:9" x14ac:dyDescent="0.25">
      <c r="A4406" t="s">
        <v>3234</v>
      </c>
      <c r="B4406" s="26" t="str">
        <f>MID(tbl_forecast[[#This Row],[PACE Job Number]],3,3)</f>
        <v>STX</v>
      </c>
      <c r="C4406" t="s">
        <v>15</v>
      </c>
      <c r="D4406" s="1">
        <v>43433</v>
      </c>
      <c r="E4406" s="1">
        <v>43433</v>
      </c>
      <c r="F4406" s="1">
        <v>43417</v>
      </c>
      <c r="G4406" s="1">
        <v>43417</v>
      </c>
      <c r="H4406" t="s">
        <v>9</v>
      </c>
      <c r="I4406" t="s">
        <v>10</v>
      </c>
    </row>
    <row r="4407" spans="1:9" x14ac:dyDescent="0.25">
      <c r="A4407" t="s">
        <v>5606</v>
      </c>
      <c r="B4407" s="26" t="str">
        <f>MID(tbl_forecast[[#This Row],[PACE Job Number]],3,3)</f>
        <v>STX</v>
      </c>
      <c r="C4407" t="s">
        <v>15</v>
      </c>
      <c r="D4407" s="1">
        <v>43410</v>
      </c>
      <c r="E4407" s="1">
        <v>43388</v>
      </c>
      <c r="F4407" s="1">
        <v>43418</v>
      </c>
      <c r="G4407" s="1">
        <v>43418</v>
      </c>
      <c r="H4407" t="s">
        <v>9</v>
      </c>
      <c r="I4407" t="s">
        <v>10</v>
      </c>
    </row>
    <row r="4408" spans="1:9" x14ac:dyDescent="0.25">
      <c r="A4408" t="s">
        <v>671</v>
      </c>
      <c r="B4408" s="26" t="str">
        <f>MID(tbl_forecast[[#This Row],[PACE Job Number]],3,3)</f>
        <v>STX</v>
      </c>
      <c r="C4408" t="s">
        <v>15</v>
      </c>
      <c r="D4408" s="1">
        <v>43419</v>
      </c>
      <c r="E4408" s="1">
        <v>43433</v>
      </c>
      <c r="F4408" s="1">
        <v>43434</v>
      </c>
      <c r="G4408" s="1"/>
      <c r="H4408" t="s">
        <v>4664</v>
      </c>
      <c r="I4408" t="s">
        <v>5645</v>
      </c>
    </row>
    <row r="4409" spans="1:9" x14ac:dyDescent="0.25">
      <c r="A4409" t="s">
        <v>2092</v>
      </c>
      <c r="B4409" s="26" t="str">
        <f>MID(tbl_forecast[[#This Row],[PACE Job Number]],3,3)</f>
        <v>NTX</v>
      </c>
      <c r="C4409" t="s">
        <v>15</v>
      </c>
      <c r="D4409" s="1">
        <v>43433</v>
      </c>
      <c r="E4409" s="1">
        <v>43433</v>
      </c>
      <c r="F4409" s="1">
        <v>43417</v>
      </c>
      <c r="G4409" s="1">
        <v>43417</v>
      </c>
      <c r="H4409" t="s">
        <v>9</v>
      </c>
      <c r="I4409" t="s">
        <v>10</v>
      </c>
    </row>
    <row r="4410" spans="1:9" x14ac:dyDescent="0.25">
      <c r="A4410" t="s">
        <v>336</v>
      </c>
      <c r="B4410" s="26" t="str">
        <f>MID(tbl_forecast[[#This Row],[PACE Job Number]],3,3)</f>
        <v>NTX</v>
      </c>
      <c r="C4410" t="s">
        <v>15</v>
      </c>
      <c r="D4410" s="1">
        <v>43416</v>
      </c>
      <c r="E4410" s="1">
        <v>43416</v>
      </c>
      <c r="F4410" s="1">
        <v>43417</v>
      </c>
      <c r="G4410" s="1">
        <v>43417</v>
      </c>
      <c r="H4410" t="s">
        <v>9</v>
      </c>
      <c r="I4410" t="s">
        <v>10</v>
      </c>
    </row>
    <row r="4411" spans="1:9" x14ac:dyDescent="0.25">
      <c r="A4411" t="s">
        <v>4555</v>
      </c>
      <c r="B4411" s="26" t="str">
        <f>MID(tbl_forecast[[#This Row],[PACE Job Number]],3,3)</f>
        <v>NTX</v>
      </c>
      <c r="C4411" t="s">
        <v>15</v>
      </c>
      <c r="D4411" s="1">
        <v>43425</v>
      </c>
      <c r="E4411" s="1">
        <v>43425</v>
      </c>
      <c r="F4411" s="1">
        <v>43432</v>
      </c>
      <c r="G4411" s="1">
        <v>43432</v>
      </c>
      <c r="H4411" t="s">
        <v>9</v>
      </c>
      <c r="I4411" t="s">
        <v>10</v>
      </c>
    </row>
    <row r="4412" spans="1:9" x14ac:dyDescent="0.25">
      <c r="A4412" t="s">
        <v>339</v>
      </c>
      <c r="B4412" s="26" t="str">
        <f>MID(tbl_forecast[[#This Row],[PACE Job Number]],3,3)</f>
        <v>NTX</v>
      </c>
      <c r="C4412" t="s">
        <v>15</v>
      </c>
      <c r="D4412" s="1">
        <v>43427</v>
      </c>
      <c r="E4412" s="1">
        <v>43427</v>
      </c>
      <c r="F4412" s="1">
        <v>43432</v>
      </c>
      <c r="G4412" s="1">
        <v>43432</v>
      </c>
      <c r="H4412" t="s">
        <v>9</v>
      </c>
      <c r="I4412" t="s">
        <v>10</v>
      </c>
    </row>
    <row r="4413" spans="1:9" x14ac:dyDescent="0.25">
      <c r="A4413" t="s">
        <v>3977</v>
      </c>
      <c r="B4413" s="26" t="str">
        <f>MID(tbl_forecast[[#This Row],[PACE Job Number]],3,3)</f>
        <v>NTX</v>
      </c>
      <c r="C4413" t="s">
        <v>15</v>
      </c>
      <c r="D4413" s="1">
        <v>43425</v>
      </c>
      <c r="E4413" s="1">
        <v>43425</v>
      </c>
      <c r="F4413" s="1">
        <v>43432</v>
      </c>
      <c r="G4413" s="1">
        <v>43432</v>
      </c>
      <c r="H4413" t="s">
        <v>9</v>
      </c>
      <c r="I4413" t="s">
        <v>10</v>
      </c>
    </row>
    <row r="4414" spans="1:9" x14ac:dyDescent="0.25">
      <c r="A4414" t="s">
        <v>220</v>
      </c>
      <c r="B4414" s="26" t="str">
        <f>MID(tbl_forecast[[#This Row],[PACE Job Number]],3,3)</f>
        <v>NTX</v>
      </c>
      <c r="C4414" t="s">
        <v>15</v>
      </c>
      <c r="D4414" s="1">
        <v>43427</v>
      </c>
      <c r="E4414" s="1">
        <v>43427</v>
      </c>
      <c r="F4414" s="1">
        <v>43464</v>
      </c>
      <c r="G4414" s="1"/>
      <c r="H4414" t="s">
        <v>4664</v>
      </c>
      <c r="I4414" t="s">
        <v>4666</v>
      </c>
    </row>
    <row r="4415" spans="1:9" x14ac:dyDescent="0.25">
      <c r="A4415" t="s">
        <v>1737</v>
      </c>
      <c r="B4415" s="26" t="str">
        <f>MID(tbl_forecast[[#This Row],[PACE Job Number]],3,3)</f>
        <v>NTX</v>
      </c>
      <c r="C4415" t="s">
        <v>15</v>
      </c>
      <c r="D4415" s="1">
        <v>43430</v>
      </c>
      <c r="E4415" s="1">
        <v>43430</v>
      </c>
      <c r="F4415" s="1">
        <v>43524</v>
      </c>
      <c r="G4415" s="1"/>
      <c r="H4415" t="s">
        <v>4664</v>
      </c>
      <c r="I4415" t="s">
        <v>4666</v>
      </c>
    </row>
    <row r="4416" spans="1:9" x14ac:dyDescent="0.25">
      <c r="A4416" t="s">
        <v>4556</v>
      </c>
      <c r="B4416" s="26" t="str">
        <f>MID(tbl_forecast[[#This Row],[PACE Job Number]],3,3)</f>
        <v>NTX</v>
      </c>
      <c r="C4416" t="s">
        <v>15</v>
      </c>
      <c r="D4416" s="1">
        <v>43415</v>
      </c>
      <c r="E4416" s="1">
        <v>43415</v>
      </c>
      <c r="F4416" s="1">
        <v>43615</v>
      </c>
      <c r="G4416" s="1"/>
      <c r="H4416" t="s">
        <v>4664</v>
      </c>
      <c r="I4416" t="s">
        <v>4666</v>
      </c>
    </row>
    <row r="4417" spans="1:9" x14ac:dyDescent="0.25">
      <c r="A4417" t="s">
        <v>2153</v>
      </c>
      <c r="B4417" s="26" t="str">
        <f>MID(tbl_forecast[[#This Row],[PACE Job Number]],3,3)</f>
        <v>NTX</v>
      </c>
      <c r="C4417" t="s">
        <v>15</v>
      </c>
      <c r="D4417" s="1">
        <v>43425</v>
      </c>
      <c r="E4417" s="1">
        <v>43425</v>
      </c>
      <c r="F4417" s="1">
        <v>43432</v>
      </c>
      <c r="G4417" s="1">
        <v>43432</v>
      </c>
      <c r="H4417" t="s">
        <v>9</v>
      </c>
      <c r="I4417" t="s">
        <v>10</v>
      </c>
    </row>
    <row r="4418" spans="1:9" x14ac:dyDescent="0.25">
      <c r="A4418" t="s">
        <v>4583</v>
      </c>
      <c r="B4418" s="26" t="str">
        <f>MID(tbl_forecast[[#This Row],[PACE Job Number]],3,3)</f>
        <v>NTX</v>
      </c>
      <c r="C4418" t="s">
        <v>15</v>
      </c>
      <c r="D4418" s="1">
        <v>43417</v>
      </c>
      <c r="E4418" s="1">
        <v>43417</v>
      </c>
      <c r="F4418" s="1">
        <v>43464</v>
      </c>
      <c r="G4418" s="1"/>
      <c r="H4418" t="s">
        <v>4664</v>
      </c>
      <c r="I4418" t="s">
        <v>4666</v>
      </c>
    </row>
    <row r="4419" spans="1:9" x14ac:dyDescent="0.25">
      <c r="A4419" t="s">
        <v>4547</v>
      </c>
      <c r="B4419" s="26" t="str">
        <f>MID(tbl_forecast[[#This Row],[PACE Job Number]],3,3)</f>
        <v>NTX</v>
      </c>
      <c r="C4419" t="s">
        <v>15</v>
      </c>
      <c r="D4419" s="1">
        <v>43431</v>
      </c>
      <c r="E4419" s="1">
        <v>43431</v>
      </c>
      <c r="F4419" s="1">
        <v>43495</v>
      </c>
      <c r="G4419" s="1"/>
      <c r="H4419" t="s">
        <v>4664</v>
      </c>
      <c r="I4419" t="s">
        <v>4666</v>
      </c>
    </row>
    <row r="4420" spans="1:9" x14ac:dyDescent="0.25">
      <c r="A4420" t="s">
        <v>4548</v>
      </c>
      <c r="B4420" s="26" t="str">
        <f>MID(tbl_forecast[[#This Row],[PACE Job Number]],3,3)</f>
        <v>NTX</v>
      </c>
      <c r="C4420" t="s">
        <v>15</v>
      </c>
      <c r="D4420" s="1">
        <v>43425</v>
      </c>
      <c r="E4420" s="1">
        <v>43425</v>
      </c>
      <c r="F4420" s="1">
        <v>43432</v>
      </c>
      <c r="G4420" s="1">
        <v>43432</v>
      </c>
      <c r="H4420" t="s">
        <v>9</v>
      </c>
      <c r="I4420" t="s">
        <v>10</v>
      </c>
    </row>
    <row r="4421" spans="1:9" x14ac:dyDescent="0.25">
      <c r="A4421" t="s">
        <v>277</v>
      </c>
      <c r="B4421" s="26" t="str">
        <f>MID(tbl_forecast[[#This Row],[PACE Job Number]],3,3)</f>
        <v>NTX</v>
      </c>
      <c r="C4421" t="s">
        <v>15</v>
      </c>
      <c r="D4421" s="1">
        <v>43417</v>
      </c>
      <c r="E4421" s="1">
        <v>43417</v>
      </c>
      <c r="F4421" s="1">
        <v>43432</v>
      </c>
      <c r="G4421" s="1">
        <v>43432</v>
      </c>
      <c r="H4421" t="s">
        <v>4664</v>
      </c>
      <c r="I4421" t="s">
        <v>10</v>
      </c>
    </row>
    <row r="4422" spans="1:9" x14ac:dyDescent="0.25">
      <c r="A4422" t="s">
        <v>2427</v>
      </c>
      <c r="B4422" s="26" t="str">
        <f>MID(tbl_forecast[[#This Row],[PACE Job Number]],3,3)</f>
        <v>NTX</v>
      </c>
      <c r="C4422" t="s">
        <v>15</v>
      </c>
      <c r="D4422" s="1">
        <v>43417</v>
      </c>
      <c r="E4422" s="1">
        <v>43417</v>
      </c>
      <c r="F4422" s="1">
        <v>43524</v>
      </c>
      <c r="G4422" s="1"/>
      <c r="H4422" t="s">
        <v>4664</v>
      </c>
      <c r="I4422" t="s">
        <v>4666</v>
      </c>
    </row>
    <row r="4423" spans="1:9" x14ac:dyDescent="0.25">
      <c r="A4423" t="s">
        <v>4549</v>
      </c>
      <c r="B4423" s="26" t="str">
        <f>MID(tbl_forecast[[#This Row],[PACE Job Number]],3,3)</f>
        <v>NTX</v>
      </c>
      <c r="C4423" t="s">
        <v>15</v>
      </c>
      <c r="D4423" s="1">
        <v>43433</v>
      </c>
      <c r="E4423" s="1">
        <v>43433</v>
      </c>
      <c r="F4423" s="1">
        <v>43417</v>
      </c>
      <c r="G4423" s="1">
        <v>43417</v>
      </c>
      <c r="H4423" t="s">
        <v>9</v>
      </c>
      <c r="I4423" t="s">
        <v>10</v>
      </c>
    </row>
    <row r="4424" spans="1:9" x14ac:dyDescent="0.25">
      <c r="A4424" t="s">
        <v>4422</v>
      </c>
      <c r="B4424" s="26" t="str">
        <f>MID(tbl_forecast[[#This Row],[PACE Job Number]],3,3)</f>
        <v>NTX</v>
      </c>
      <c r="C4424" t="s">
        <v>15</v>
      </c>
      <c r="D4424" s="1">
        <v>43427</v>
      </c>
      <c r="E4424" s="1">
        <v>43427</v>
      </c>
      <c r="F4424" s="1">
        <v>43524</v>
      </c>
      <c r="G4424" s="1"/>
      <c r="H4424" t="s">
        <v>4664</v>
      </c>
      <c r="I4424" t="s">
        <v>4666</v>
      </c>
    </row>
    <row r="4425" spans="1:9" x14ac:dyDescent="0.25">
      <c r="A4425" t="s">
        <v>3403</v>
      </c>
      <c r="B4425" s="26" t="str">
        <f>MID(tbl_forecast[[#This Row],[PACE Job Number]],3,3)</f>
        <v>NTX</v>
      </c>
      <c r="C4425" t="s">
        <v>15</v>
      </c>
      <c r="D4425" s="1">
        <v>43425</v>
      </c>
      <c r="E4425" s="1">
        <v>43425</v>
      </c>
      <c r="F4425" s="1">
        <v>43495</v>
      </c>
      <c r="G4425" s="1"/>
      <c r="H4425" t="s">
        <v>4664</v>
      </c>
      <c r="I4425" t="s">
        <v>4666</v>
      </c>
    </row>
    <row r="4426" spans="1:9" x14ac:dyDescent="0.25">
      <c r="A4426" t="s">
        <v>333</v>
      </c>
      <c r="B4426" s="26" t="str">
        <f>MID(tbl_forecast[[#This Row],[PACE Job Number]],3,3)</f>
        <v>NTX</v>
      </c>
      <c r="C4426" t="s">
        <v>15</v>
      </c>
      <c r="D4426" s="1">
        <v>43413</v>
      </c>
      <c r="E4426" s="1">
        <v>43414</v>
      </c>
      <c r="F4426" s="1">
        <v>43409</v>
      </c>
      <c r="G4426" s="1">
        <v>43409</v>
      </c>
      <c r="H4426" t="s">
        <v>9</v>
      </c>
      <c r="I4426" t="s">
        <v>10</v>
      </c>
    </row>
    <row r="4427" spans="1:9" x14ac:dyDescent="0.25">
      <c r="A4427" t="s">
        <v>322</v>
      </c>
      <c r="B4427" s="26" t="str">
        <f>MID(tbl_forecast[[#This Row],[PACE Job Number]],3,3)</f>
        <v>NTX</v>
      </c>
      <c r="C4427" t="s">
        <v>15</v>
      </c>
      <c r="D4427" s="1">
        <v>43413</v>
      </c>
      <c r="E4427" s="1">
        <v>43414</v>
      </c>
      <c r="F4427" s="1">
        <v>43409</v>
      </c>
      <c r="G4427" s="1">
        <v>43409</v>
      </c>
      <c r="H4427" t="s">
        <v>9</v>
      </c>
      <c r="I4427" t="s">
        <v>10</v>
      </c>
    </row>
    <row r="4428" spans="1:9" x14ac:dyDescent="0.25">
      <c r="A4428" t="s">
        <v>1874</v>
      </c>
      <c r="B4428" s="26" t="str">
        <f>MID(tbl_forecast[[#This Row],[PACE Job Number]],3,3)</f>
        <v>NTX</v>
      </c>
      <c r="C4428" t="s">
        <v>15</v>
      </c>
      <c r="D4428" s="1">
        <v>43418</v>
      </c>
      <c r="E4428" s="1">
        <v>43534</v>
      </c>
      <c r="F4428" s="1">
        <v>43524</v>
      </c>
      <c r="G4428" s="1"/>
      <c r="H4428" t="s">
        <v>4664</v>
      </c>
      <c r="I4428" t="s">
        <v>5645</v>
      </c>
    </row>
    <row r="4429" spans="1:9" x14ac:dyDescent="0.25">
      <c r="A4429" t="s">
        <v>330</v>
      </c>
      <c r="B4429" s="26" t="str">
        <f>MID(tbl_forecast[[#This Row],[PACE Job Number]],3,3)</f>
        <v>NTX</v>
      </c>
      <c r="C4429" t="s">
        <v>15</v>
      </c>
      <c r="D4429" s="1">
        <v>43413</v>
      </c>
      <c r="E4429" s="1">
        <v>43414</v>
      </c>
      <c r="F4429" s="1">
        <v>43409</v>
      </c>
      <c r="G4429" s="1">
        <v>43409</v>
      </c>
      <c r="H4429" t="s">
        <v>9</v>
      </c>
      <c r="I4429" t="s">
        <v>10</v>
      </c>
    </row>
    <row r="4430" spans="1:9" x14ac:dyDescent="0.25">
      <c r="A4430" t="s">
        <v>194</v>
      </c>
      <c r="B4430" s="26" t="str">
        <f>MID(tbl_forecast[[#This Row],[PACE Job Number]],3,3)</f>
        <v>WSH</v>
      </c>
      <c r="C4430" t="s">
        <v>15</v>
      </c>
      <c r="D4430" s="1">
        <v>43422</v>
      </c>
      <c r="E4430" s="1">
        <v>36524</v>
      </c>
      <c r="F4430" s="1">
        <v>43419</v>
      </c>
      <c r="G4430" s="1">
        <v>43419</v>
      </c>
      <c r="H4430" t="s">
        <v>9</v>
      </c>
      <c r="I4430" t="s">
        <v>10</v>
      </c>
    </row>
    <row r="4431" spans="1:9" x14ac:dyDescent="0.25">
      <c r="A4431" t="s">
        <v>5636</v>
      </c>
      <c r="B4431" s="26" t="str">
        <f>MID(tbl_forecast[[#This Row],[PACE Job Number]],3,3)</f>
        <v>ANM</v>
      </c>
      <c r="C4431" t="s">
        <v>15</v>
      </c>
      <c r="D4431" s="1">
        <v>43434</v>
      </c>
      <c r="E4431" s="1">
        <v>36524</v>
      </c>
      <c r="F4431" s="1">
        <v>43420</v>
      </c>
      <c r="G4431" s="1">
        <v>43420</v>
      </c>
      <c r="H4431" t="s">
        <v>9</v>
      </c>
      <c r="I4431" t="s">
        <v>10</v>
      </c>
    </row>
    <row r="4432" spans="1:9" x14ac:dyDescent="0.25">
      <c r="A4432" t="s">
        <v>5607</v>
      </c>
      <c r="B4432" s="26" t="str">
        <f>MID(tbl_forecast[[#This Row],[PACE Job Number]],3,3)</f>
        <v>ANM</v>
      </c>
      <c r="C4432" t="s">
        <v>15</v>
      </c>
      <c r="D4432" s="1">
        <v>43434</v>
      </c>
      <c r="E4432" s="1">
        <v>36524</v>
      </c>
      <c r="F4432" s="1">
        <v>43434</v>
      </c>
      <c r="G4432" s="1"/>
      <c r="H4432" t="s">
        <v>9</v>
      </c>
      <c r="I4432" t="s">
        <v>27</v>
      </c>
    </row>
    <row r="4433" spans="1:9" x14ac:dyDescent="0.25">
      <c r="A4433" t="s">
        <v>5637</v>
      </c>
      <c r="B4433" s="26" t="str">
        <f>MID(tbl_forecast[[#This Row],[PACE Job Number]],3,3)</f>
        <v>ANM</v>
      </c>
      <c r="C4433" t="s">
        <v>15</v>
      </c>
      <c r="D4433" s="1">
        <v>43434</v>
      </c>
      <c r="E4433" s="1">
        <v>36524</v>
      </c>
      <c r="F4433" s="1">
        <v>43411</v>
      </c>
      <c r="G4433" s="1">
        <v>43411</v>
      </c>
      <c r="H4433" t="s">
        <v>9</v>
      </c>
      <c r="I4433" t="s">
        <v>10</v>
      </c>
    </row>
    <row r="4434" spans="1:9" x14ac:dyDescent="0.25">
      <c r="A4434" t="s">
        <v>5638</v>
      </c>
      <c r="B4434" s="26" t="str">
        <f>MID(tbl_forecast[[#This Row],[PACE Job Number]],3,3)</f>
        <v>ANM</v>
      </c>
      <c r="C4434" t="s">
        <v>15</v>
      </c>
      <c r="D4434" s="1">
        <v>43434</v>
      </c>
      <c r="E4434" s="1">
        <v>36524</v>
      </c>
      <c r="F4434" s="1">
        <v>43420</v>
      </c>
      <c r="G4434" s="1">
        <v>43420</v>
      </c>
      <c r="H4434" t="s">
        <v>9</v>
      </c>
      <c r="I4434" t="s">
        <v>10</v>
      </c>
    </row>
    <row r="4435" spans="1:9" x14ac:dyDescent="0.25">
      <c r="A4435" t="s">
        <v>4610</v>
      </c>
      <c r="B4435" s="26" t="str">
        <f>MID(tbl_forecast[[#This Row],[PACE Job Number]],3,3)</f>
        <v>ANM</v>
      </c>
      <c r="C4435" t="s">
        <v>15</v>
      </c>
      <c r="D4435" s="1">
        <v>43434</v>
      </c>
      <c r="E4435" s="1">
        <v>36524</v>
      </c>
      <c r="F4435" s="1">
        <v>43434</v>
      </c>
      <c r="G4435" s="1"/>
      <c r="H4435" t="s">
        <v>9</v>
      </c>
      <c r="I4435" t="s">
        <v>27</v>
      </c>
    </row>
    <row r="4436" spans="1:9" x14ac:dyDescent="0.25">
      <c r="A4436" t="s">
        <v>839</v>
      </c>
      <c r="B4436" s="26" t="str">
        <f>MID(tbl_forecast[[#This Row],[PACE Job Number]],3,3)</f>
        <v>ANM</v>
      </c>
      <c r="C4436" t="s">
        <v>15</v>
      </c>
      <c r="D4436" s="1">
        <v>43434</v>
      </c>
      <c r="E4436" s="1">
        <v>36524</v>
      </c>
      <c r="F4436" s="1">
        <v>43420</v>
      </c>
      <c r="G4436" s="1">
        <v>43420</v>
      </c>
      <c r="H4436" t="s">
        <v>9</v>
      </c>
      <c r="I4436" t="s">
        <v>10</v>
      </c>
    </row>
    <row r="4437" spans="1:9" x14ac:dyDescent="0.25">
      <c r="A4437" t="s">
        <v>441</v>
      </c>
      <c r="B4437" s="26" t="str">
        <f>MID(tbl_forecast[[#This Row],[PACE Job Number]],3,3)</f>
        <v>ANM</v>
      </c>
      <c r="C4437" t="s">
        <v>15</v>
      </c>
      <c r="D4437" s="1">
        <v>43434</v>
      </c>
      <c r="E4437" s="1">
        <v>36524</v>
      </c>
      <c r="F4437" s="1">
        <v>43434</v>
      </c>
      <c r="G4437" s="1"/>
      <c r="H4437" t="s">
        <v>9</v>
      </c>
      <c r="I4437" t="s">
        <v>27</v>
      </c>
    </row>
    <row r="4438" spans="1:9" x14ac:dyDescent="0.25">
      <c r="A4438" t="s">
        <v>386</v>
      </c>
      <c r="B4438" s="26" t="str">
        <f>MID(tbl_forecast[[#This Row],[PACE Job Number]],3,3)</f>
        <v>ANM</v>
      </c>
      <c r="C4438" t="s">
        <v>15</v>
      </c>
      <c r="D4438" s="1">
        <v>43434</v>
      </c>
      <c r="E4438" s="1">
        <v>36524</v>
      </c>
      <c r="F4438" s="1">
        <v>43434</v>
      </c>
      <c r="G4438" s="1"/>
      <c r="H4438" t="s">
        <v>9</v>
      </c>
      <c r="I4438" t="s">
        <v>27</v>
      </c>
    </row>
    <row r="4439" spans="1:9" x14ac:dyDescent="0.25">
      <c r="A4439" t="s">
        <v>1875</v>
      </c>
      <c r="B4439" s="26" t="str">
        <f>MID(tbl_forecast[[#This Row],[PACE Job Number]],3,3)</f>
        <v>NTX</v>
      </c>
      <c r="C4439" t="s">
        <v>15</v>
      </c>
      <c r="D4439" s="1">
        <v>43427</v>
      </c>
      <c r="E4439" s="1">
        <v>43427</v>
      </c>
      <c r="F4439" s="1">
        <v>43412</v>
      </c>
      <c r="G4439" s="1">
        <v>43412</v>
      </c>
      <c r="H4439" t="s">
        <v>9</v>
      </c>
      <c r="I4439" t="s">
        <v>10</v>
      </c>
    </row>
    <row r="4440" spans="1:9" x14ac:dyDescent="0.25">
      <c r="A4440" t="s">
        <v>4627</v>
      </c>
      <c r="B4440" s="26" t="str">
        <f>MID(tbl_forecast[[#This Row],[PACE Job Number]],3,3)</f>
        <v>STX</v>
      </c>
      <c r="C4440" t="s">
        <v>15</v>
      </c>
      <c r="D4440" s="1">
        <v>43418</v>
      </c>
      <c r="E4440" s="1">
        <v>43465</v>
      </c>
      <c r="F4440" s="1">
        <v>43434</v>
      </c>
      <c r="G4440" s="1"/>
      <c r="H4440" t="s">
        <v>4664</v>
      </c>
      <c r="I4440" t="s">
        <v>5645</v>
      </c>
    </row>
    <row r="4441" spans="1:9" x14ac:dyDescent="0.25">
      <c r="A4441" t="s">
        <v>4649</v>
      </c>
      <c r="B4441" s="26" t="str">
        <f>MID(tbl_forecast[[#This Row],[PACE Job Number]],3,3)</f>
        <v>STX</v>
      </c>
      <c r="C4441" t="s">
        <v>15</v>
      </c>
      <c r="D4441" s="1">
        <v>43418</v>
      </c>
      <c r="E4441" s="1">
        <v>43463</v>
      </c>
      <c r="F4441" s="1">
        <v>43417</v>
      </c>
      <c r="G4441" s="1">
        <v>43417</v>
      </c>
      <c r="H4441" t="s">
        <v>9</v>
      </c>
      <c r="I4441" t="s">
        <v>10</v>
      </c>
    </row>
    <row r="4442" spans="1:9" x14ac:dyDescent="0.25">
      <c r="A4442" t="s">
        <v>3529</v>
      </c>
      <c r="B4442" s="26" t="str">
        <f>MID(tbl_forecast[[#This Row],[PACE Job Number]],3,3)</f>
        <v>STX</v>
      </c>
      <c r="C4442" t="s">
        <v>15</v>
      </c>
      <c r="D4442" s="1">
        <v>43410</v>
      </c>
      <c r="E4442" s="1">
        <v>43465</v>
      </c>
      <c r="F4442" s="1">
        <v>43434</v>
      </c>
      <c r="G4442" s="1"/>
      <c r="H4442" t="s">
        <v>4664</v>
      </c>
      <c r="I4442" t="s">
        <v>5645</v>
      </c>
    </row>
    <row r="4443" spans="1:9" x14ac:dyDescent="0.25">
      <c r="A4443" t="s">
        <v>3504</v>
      </c>
      <c r="B4443" s="26" t="str">
        <f>MID(tbl_forecast[[#This Row],[PACE Job Number]],3,3)</f>
        <v>STX</v>
      </c>
      <c r="C4443" t="s">
        <v>15</v>
      </c>
      <c r="D4443" s="1">
        <v>43419</v>
      </c>
      <c r="E4443" s="1">
        <v>43433</v>
      </c>
      <c r="F4443" s="1">
        <v>43434</v>
      </c>
      <c r="G4443" s="1"/>
      <c r="H4443" t="s">
        <v>4664</v>
      </c>
      <c r="I4443" t="s">
        <v>5645</v>
      </c>
    </row>
    <row r="4444" spans="1:9" x14ac:dyDescent="0.25">
      <c r="A4444" t="s">
        <v>4628</v>
      </c>
      <c r="B4444" s="26" t="str">
        <f>MID(tbl_forecast[[#This Row],[PACE Job Number]],3,3)</f>
        <v>STX</v>
      </c>
      <c r="C4444" t="s">
        <v>15</v>
      </c>
      <c r="D4444" s="1">
        <v>43419</v>
      </c>
      <c r="E4444" s="1">
        <v>43433</v>
      </c>
      <c r="F4444" s="1">
        <v>43434</v>
      </c>
      <c r="G4444" s="1"/>
      <c r="H4444" t="s">
        <v>4664</v>
      </c>
      <c r="I4444" t="s">
        <v>5645</v>
      </c>
    </row>
    <row r="4445" spans="1:9" x14ac:dyDescent="0.25">
      <c r="A4445" t="s">
        <v>3442</v>
      </c>
      <c r="B4445" s="26" t="str">
        <f>MID(tbl_forecast[[#This Row],[PACE Job Number]],3,3)</f>
        <v>STX</v>
      </c>
      <c r="C4445" t="s">
        <v>15</v>
      </c>
      <c r="D4445" s="1">
        <v>43419</v>
      </c>
      <c r="E4445" s="1">
        <v>43466</v>
      </c>
      <c r="F4445" s="1">
        <v>43434</v>
      </c>
      <c r="G4445" s="1"/>
      <c r="H4445" t="s">
        <v>4664</v>
      </c>
      <c r="I4445" t="s">
        <v>5645</v>
      </c>
    </row>
    <row r="4446" spans="1:9" x14ac:dyDescent="0.25">
      <c r="A4446" t="s">
        <v>3536</v>
      </c>
      <c r="B4446" s="26" t="str">
        <f>MID(tbl_forecast[[#This Row],[PACE Job Number]],3,3)</f>
        <v>STX</v>
      </c>
      <c r="C4446" t="s">
        <v>15</v>
      </c>
      <c r="D4446" s="1">
        <v>43433</v>
      </c>
      <c r="E4446" s="1">
        <v>43440</v>
      </c>
      <c r="F4446" s="1">
        <v>43411</v>
      </c>
      <c r="G4446" s="1">
        <v>43411</v>
      </c>
      <c r="H4446" t="s">
        <v>9</v>
      </c>
      <c r="I4446" t="s">
        <v>10</v>
      </c>
    </row>
    <row r="4447" spans="1:9" x14ac:dyDescent="0.25">
      <c r="A4447" t="s">
        <v>3271</v>
      </c>
      <c r="B4447" s="26" t="str">
        <f>MID(tbl_forecast[[#This Row],[PACE Job Number]],3,3)</f>
        <v>STX</v>
      </c>
      <c r="C4447" t="s">
        <v>15</v>
      </c>
      <c r="D4447" s="1">
        <v>43410</v>
      </c>
      <c r="E4447" s="1">
        <v>43433</v>
      </c>
      <c r="F4447" s="1">
        <v>43423</v>
      </c>
      <c r="G4447" s="1">
        <v>43423</v>
      </c>
      <c r="H4447" t="s">
        <v>9</v>
      </c>
      <c r="I4447" t="s">
        <v>10</v>
      </c>
    </row>
    <row r="4448" spans="1:9" x14ac:dyDescent="0.25">
      <c r="A4448" t="s">
        <v>4584</v>
      </c>
      <c r="B4448" s="26" t="str">
        <f>MID(tbl_forecast[[#This Row],[PACE Job Number]],3,3)</f>
        <v>STX</v>
      </c>
      <c r="C4448" t="s">
        <v>15</v>
      </c>
      <c r="D4448" s="1">
        <v>43430</v>
      </c>
      <c r="E4448" s="1">
        <v>43494</v>
      </c>
      <c r="F4448" s="1">
        <v>43434</v>
      </c>
      <c r="G4448" s="1"/>
      <c r="H4448" t="s">
        <v>9</v>
      </c>
      <c r="I4448" t="s">
        <v>44</v>
      </c>
    </row>
    <row r="4449" spans="1:9" x14ac:dyDescent="0.25">
      <c r="A4449" t="s">
        <v>269</v>
      </c>
      <c r="B4449" s="26" t="str">
        <f>MID(tbl_forecast[[#This Row],[PACE Job Number]],3,3)</f>
        <v>STX</v>
      </c>
      <c r="C4449" t="s">
        <v>15</v>
      </c>
      <c r="D4449" s="1">
        <v>43419</v>
      </c>
      <c r="E4449" s="1">
        <v>43433</v>
      </c>
      <c r="F4449" s="1">
        <v>43434</v>
      </c>
      <c r="G4449" s="1"/>
      <c r="H4449" t="s">
        <v>4664</v>
      </c>
      <c r="I4449" t="s">
        <v>5645</v>
      </c>
    </row>
    <row r="4450" spans="1:9" x14ac:dyDescent="0.25">
      <c r="A4450" t="s">
        <v>4629</v>
      </c>
      <c r="B4450" s="26" t="str">
        <f>MID(tbl_forecast[[#This Row],[PACE Job Number]],3,3)</f>
        <v>STX</v>
      </c>
      <c r="C4450" t="s">
        <v>15</v>
      </c>
      <c r="D4450" s="1">
        <v>43430</v>
      </c>
      <c r="E4450" s="1">
        <v>43463</v>
      </c>
      <c r="F4450" s="1">
        <v>43417</v>
      </c>
      <c r="G4450" s="1">
        <v>43417</v>
      </c>
      <c r="H4450" t="s">
        <v>9</v>
      </c>
      <c r="I4450" t="s">
        <v>10</v>
      </c>
    </row>
    <row r="4451" spans="1:9" x14ac:dyDescent="0.25">
      <c r="A4451" t="s">
        <v>2720</v>
      </c>
      <c r="B4451" s="26" t="str">
        <f>MID(tbl_forecast[[#This Row],[PACE Job Number]],3,3)</f>
        <v>STX</v>
      </c>
      <c r="C4451" t="s">
        <v>15</v>
      </c>
      <c r="D4451" s="1">
        <v>43430</v>
      </c>
      <c r="E4451" s="1">
        <v>43463</v>
      </c>
      <c r="F4451" s="1">
        <v>43434</v>
      </c>
      <c r="G4451" s="1"/>
      <c r="H4451" t="s">
        <v>9</v>
      </c>
      <c r="I4451" t="s">
        <v>44</v>
      </c>
    </row>
    <row r="4452" spans="1:9" x14ac:dyDescent="0.25">
      <c r="A4452" t="s">
        <v>3508</v>
      </c>
      <c r="B4452" s="26" t="str">
        <f>MID(tbl_forecast[[#This Row],[PACE Job Number]],3,3)</f>
        <v>STX</v>
      </c>
      <c r="C4452" t="s">
        <v>15</v>
      </c>
      <c r="D4452" s="1">
        <v>43410</v>
      </c>
      <c r="E4452" s="1">
        <v>43465</v>
      </c>
      <c r="F4452" s="1">
        <v>43417</v>
      </c>
      <c r="G4452" s="1">
        <v>43417</v>
      </c>
      <c r="H4452" t="s">
        <v>9</v>
      </c>
      <c r="I4452" t="s">
        <v>10</v>
      </c>
    </row>
    <row r="4453" spans="1:9" x14ac:dyDescent="0.25">
      <c r="A4453" t="s">
        <v>96</v>
      </c>
      <c r="B4453" s="26" t="str">
        <f>MID(tbl_forecast[[#This Row],[PACE Job Number]],3,3)</f>
        <v>STX</v>
      </c>
      <c r="C4453" t="s">
        <v>15</v>
      </c>
      <c r="D4453" s="1">
        <v>43418</v>
      </c>
      <c r="E4453" s="1">
        <v>43463</v>
      </c>
      <c r="F4453" s="1">
        <v>43434</v>
      </c>
      <c r="G4453" s="1"/>
      <c r="H4453" t="s">
        <v>4664</v>
      </c>
      <c r="I4453" t="s">
        <v>5645</v>
      </c>
    </row>
    <row r="4454" spans="1:9" x14ac:dyDescent="0.25">
      <c r="A4454" t="s">
        <v>2719</v>
      </c>
      <c r="B4454" s="26" t="str">
        <f>MID(tbl_forecast[[#This Row],[PACE Job Number]],3,3)</f>
        <v>STX</v>
      </c>
      <c r="C4454" t="s">
        <v>15</v>
      </c>
      <c r="D4454" s="1">
        <v>43418</v>
      </c>
      <c r="E4454" s="1">
        <v>43554</v>
      </c>
      <c r="F4454" s="1">
        <v>43432</v>
      </c>
      <c r="G4454" s="1">
        <v>43432</v>
      </c>
      <c r="H4454" t="s">
        <v>9</v>
      </c>
      <c r="I4454" t="s">
        <v>10</v>
      </c>
    </row>
    <row r="4455" spans="1:9" x14ac:dyDescent="0.25">
      <c r="A4455" t="s">
        <v>260</v>
      </c>
      <c r="B4455" s="26" t="str">
        <f>MID(tbl_forecast[[#This Row],[PACE Job Number]],3,3)</f>
        <v>STX</v>
      </c>
      <c r="C4455" t="s">
        <v>15</v>
      </c>
      <c r="D4455" s="1">
        <v>43410</v>
      </c>
      <c r="E4455" s="1">
        <v>43465</v>
      </c>
      <c r="F4455" s="1">
        <v>43434</v>
      </c>
      <c r="G4455" s="1"/>
      <c r="H4455" t="s">
        <v>4664</v>
      </c>
      <c r="I4455" t="s">
        <v>5645</v>
      </c>
    </row>
    <row r="4456" spans="1:9" x14ac:dyDescent="0.25">
      <c r="A4456" t="s">
        <v>4630</v>
      </c>
      <c r="B4456" s="26" t="str">
        <f>MID(tbl_forecast[[#This Row],[PACE Job Number]],3,3)</f>
        <v>STX</v>
      </c>
      <c r="C4456" t="s">
        <v>15</v>
      </c>
      <c r="D4456" s="1">
        <v>43419</v>
      </c>
      <c r="E4456" s="1">
        <v>43401</v>
      </c>
      <c r="F4456" s="1">
        <v>43434</v>
      </c>
      <c r="G4456" s="1"/>
      <c r="H4456" t="s">
        <v>4664</v>
      </c>
      <c r="I4456" t="s">
        <v>4666</v>
      </c>
    </row>
    <row r="4457" spans="1:9" x14ac:dyDescent="0.25">
      <c r="A4457" t="s">
        <v>4631</v>
      </c>
      <c r="B4457" s="26" t="str">
        <f>MID(tbl_forecast[[#This Row],[PACE Job Number]],3,3)</f>
        <v>STX</v>
      </c>
      <c r="C4457" t="s">
        <v>15</v>
      </c>
      <c r="D4457" s="1">
        <v>43418</v>
      </c>
      <c r="E4457" s="1">
        <v>43433</v>
      </c>
      <c r="F4457" s="1">
        <v>43434</v>
      </c>
      <c r="G4457" s="1"/>
      <c r="H4457" t="s">
        <v>4664</v>
      </c>
      <c r="I4457" t="s">
        <v>5645</v>
      </c>
    </row>
    <row r="4458" spans="1:9" x14ac:dyDescent="0.25">
      <c r="A4458" t="s">
        <v>3405</v>
      </c>
      <c r="B4458" s="26" t="str">
        <f>MID(tbl_forecast[[#This Row],[PACE Job Number]],3,3)</f>
        <v>STX</v>
      </c>
      <c r="C4458" t="s">
        <v>15</v>
      </c>
      <c r="D4458" s="1">
        <v>43430</v>
      </c>
      <c r="E4458" s="1">
        <v>43465</v>
      </c>
      <c r="F4458" s="1">
        <v>43412</v>
      </c>
      <c r="G4458" s="1">
        <v>43412</v>
      </c>
      <c r="H4458" t="s">
        <v>9</v>
      </c>
      <c r="I4458" t="s">
        <v>10</v>
      </c>
    </row>
    <row r="4459" spans="1:9" x14ac:dyDescent="0.25">
      <c r="A4459" t="s">
        <v>5611</v>
      </c>
      <c r="B4459" s="26" t="str">
        <f>MID(tbl_forecast[[#This Row],[PACE Job Number]],3,3)</f>
        <v>ANM</v>
      </c>
      <c r="C4459" t="s">
        <v>15</v>
      </c>
      <c r="D4459" s="1">
        <v>43434</v>
      </c>
      <c r="E4459" s="1">
        <v>36524</v>
      </c>
      <c r="F4459" s="1">
        <v>43434</v>
      </c>
      <c r="G4459" s="1"/>
      <c r="H4459" t="s">
        <v>9</v>
      </c>
      <c r="I4459" t="s">
        <v>27</v>
      </c>
    </row>
    <row r="4460" spans="1:9" x14ac:dyDescent="0.25">
      <c r="A4460" t="s">
        <v>4575</v>
      </c>
      <c r="B4460" s="26" t="str">
        <f>MID(tbl_forecast[[#This Row],[PACE Job Number]],3,3)</f>
        <v>NTX</v>
      </c>
      <c r="C4460" t="s">
        <v>15</v>
      </c>
      <c r="D4460" s="1">
        <v>43413</v>
      </c>
      <c r="E4460" s="1">
        <v>43414</v>
      </c>
      <c r="F4460" s="1">
        <v>43495</v>
      </c>
      <c r="G4460" s="1"/>
      <c r="H4460" t="s">
        <v>4664</v>
      </c>
      <c r="I4460" t="s">
        <v>4666</v>
      </c>
    </row>
    <row r="4461" spans="1:9" x14ac:dyDescent="0.25">
      <c r="A4461" t="s">
        <v>1809</v>
      </c>
      <c r="B4461" s="26" t="str">
        <f>MID(tbl_forecast[[#This Row],[PACE Job Number]],3,3)</f>
        <v>NTX</v>
      </c>
      <c r="C4461" t="s">
        <v>15</v>
      </c>
      <c r="D4461" s="1">
        <v>43415</v>
      </c>
      <c r="E4461" s="1">
        <v>43520</v>
      </c>
      <c r="F4461" s="1">
        <v>43450</v>
      </c>
      <c r="G4461" s="1"/>
      <c r="H4461" t="s">
        <v>4664</v>
      </c>
      <c r="I4461" t="s">
        <v>5645</v>
      </c>
    </row>
    <row r="4462" spans="1:9" x14ac:dyDescent="0.25">
      <c r="A4462" t="s">
        <v>4339</v>
      </c>
      <c r="B4462" s="26" t="str">
        <f>MID(tbl_forecast[[#This Row],[PACE Job Number]],3,3)</f>
        <v>NTX</v>
      </c>
      <c r="C4462" t="s">
        <v>15</v>
      </c>
      <c r="D4462" s="1">
        <v>43415</v>
      </c>
      <c r="E4462" s="1">
        <v>43428</v>
      </c>
      <c r="F4462" s="1">
        <v>43524</v>
      </c>
      <c r="G4462" s="1"/>
      <c r="H4462" t="s">
        <v>4664</v>
      </c>
      <c r="I4462" t="s">
        <v>4666</v>
      </c>
    </row>
    <row r="4463" spans="1:9" x14ac:dyDescent="0.25">
      <c r="A4463" t="s">
        <v>3992</v>
      </c>
      <c r="B4463" s="26" t="str">
        <f>MID(tbl_forecast[[#This Row],[PACE Job Number]],3,3)</f>
        <v>NTX</v>
      </c>
      <c r="C4463" t="s">
        <v>15</v>
      </c>
      <c r="D4463" s="1">
        <v>43413</v>
      </c>
      <c r="E4463" s="1">
        <v>43413</v>
      </c>
      <c r="F4463" s="1">
        <v>43464</v>
      </c>
      <c r="G4463" s="1"/>
      <c r="H4463" t="s">
        <v>4664</v>
      </c>
      <c r="I4463" t="s">
        <v>4666</v>
      </c>
    </row>
    <row r="4464" spans="1:9" x14ac:dyDescent="0.25">
      <c r="A4464" t="s">
        <v>335</v>
      </c>
      <c r="B4464" s="26" t="str">
        <f>MID(tbl_forecast[[#This Row],[PACE Job Number]],3,3)</f>
        <v>NTX</v>
      </c>
      <c r="C4464" t="s">
        <v>15</v>
      </c>
      <c r="D4464" s="1">
        <v>43416</v>
      </c>
      <c r="E4464" s="1">
        <v>43416</v>
      </c>
      <c r="F4464" s="1">
        <v>43417</v>
      </c>
      <c r="G4464" s="1">
        <v>43417</v>
      </c>
      <c r="H4464" t="s">
        <v>9</v>
      </c>
      <c r="I4464" t="s">
        <v>10</v>
      </c>
    </row>
    <row r="4465" spans="1:9" x14ac:dyDescent="0.25">
      <c r="A4465" t="s">
        <v>4523</v>
      </c>
      <c r="B4465" s="26" t="str">
        <f>MID(tbl_forecast[[#This Row],[PACE Job Number]],3,3)</f>
        <v>NTX</v>
      </c>
      <c r="C4465" t="s">
        <v>15</v>
      </c>
      <c r="D4465" s="1">
        <v>43433</v>
      </c>
      <c r="E4465" s="1">
        <v>43433</v>
      </c>
      <c r="F4465" s="1">
        <v>43417</v>
      </c>
      <c r="G4465" s="1">
        <v>43417</v>
      </c>
      <c r="H4465" t="s">
        <v>9</v>
      </c>
      <c r="I4465" t="s">
        <v>10</v>
      </c>
    </row>
    <row r="4466" spans="1:9" x14ac:dyDescent="0.25">
      <c r="A4466" t="s">
        <v>713</v>
      </c>
      <c r="B4466" s="26" t="str">
        <f>MID(tbl_forecast[[#This Row],[PACE Job Number]],3,3)</f>
        <v>NTX</v>
      </c>
      <c r="C4466" t="s">
        <v>15</v>
      </c>
      <c r="D4466" s="1">
        <v>43425</v>
      </c>
      <c r="E4466" s="1">
        <v>43425</v>
      </c>
      <c r="F4466" s="1">
        <v>43417</v>
      </c>
      <c r="G4466" s="1">
        <v>43417</v>
      </c>
      <c r="H4466" t="s">
        <v>9</v>
      </c>
      <c r="I4466" t="s">
        <v>10</v>
      </c>
    </row>
    <row r="4467" spans="1:9" x14ac:dyDescent="0.25">
      <c r="A4467" t="s">
        <v>2369</v>
      </c>
      <c r="B4467" s="26" t="str">
        <f>MID(tbl_forecast[[#This Row],[PACE Job Number]],3,3)</f>
        <v>NTX</v>
      </c>
      <c r="C4467" t="s">
        <v>15</v>
      </c>
      <c r="D4467" s="1">
        <v>43429</v>
      </c>
      <c r="E4467" s="1">
        <v>36524</v>
      </c>
      <c r="F4467" s="1">
        <v>43409</v>
      </c>
      <c r="G4467" s="1">
        <v>43409</v>
      </c>
      <c r="H4467" t="s">
        <v>9</v>
      </c>
      <c r="I4467" t="s">
        <v>10</v>
      </c>
    </row>
    <row r="4468" spans="1:9" x14ac:dyDescent="0.25">
      <c r="A4468" t="s">
        <v>1812</v>
      </c>
      <c r="B4468" s="26" t="str">
        <f>MID(tbl_forecast[[#This Row],[PACE Job Number]],3,3)</f>
        <v>NTX</v>
      </c>
      <c r="C4468" t="s">
        <v>15</v>
      </c>
      <c r="D4468" s="1">
        <v>43425</v>
      </c>
      <c r="E4468" s="1">
        <v>43425</v>
      </c>
      <c r="F4468" s="1">
        <v>43464</v>
      </c>
      <c r="G4468" s="1"/>
      <c r="H4468" t="s">
        <v>4664</v>
      </c>
      <c r="I4468" t="s">
        <v>4666</v>
      </c>
    </row>
    <row r="4469" spans="1:9" x14ac:dyDescent="0.25">
      <c r="A4469" t="s">
        <v>4524</v>
      </c>
      <c r="B4469" s="26" t="str">
        <f>MID(tbl_forecast[[#This Row],[PACE Job Number]],3,3)</f>
        <v>NTX</v>
      </c>
      <c r="C4469" t="s">
        <v>15</v>
      </c>
      <c r="D4469" s="1">
        <v>43425</v>
      </c>
      <c r="E4469" s="1">
        <v>43425</v>
      </c>
      <c r="F4469" s="1">
        <v>43495</v>
      </c>
      <c r="G4469" s="1"/>
      <c r="H4469" t="s">
        <v>4664</v>
      </c>
      <c r="I4469" t="s">
        <v>4666</v>
      </c>
    </row>
    <row r="4470" spans="1:9" x14ac:dyDescent="0.25">
      <c r="A4470" t="s">
        <v>4650</v>
      </c>
      <c r="B4470" s="26" t="str">
        <f>MID(tbl_forecast[[#This Row],[PACE Job Number]],3,3)</f>
        <v>STX</v>
      </c>
      <c r="C4470" t="s">
        <v>15</v>
      </c>
      <c r="D4470" s="1">
        <v>43405</v>
      </c>
      <c r="E4470" s="1">
        <v>43493</v>
      </c>
      <c r="F4470" s="1">
        <v>43405</v>
      </c>
      <c r="G4470" s="1">
        <v>43405</v>
      </c>
      <c r="H4470" t="s">
        <v>9</v>
      </c>
      <c r="I4470" t="s">
        <v>10</v>
      </c>
    </row>
    <row r="4471" spans="1:9" x14ac:dyDescent="0.25">
      <c r="A4471" t="s">
        <v>4651</v>
      </c>
      <c r="B4471" s="26" t="str">
        <f>MID(tbl_forecast[[#This Row],[PACE Job Number]],3,3)</f>
        <v>STX</v>
      </c>
      <c r="C4471" t="s">
        <v>15</v>
      </c>
      <c r="D4471" s="1">
        <v>43410</v>
      </c>
      <c r="E4471" s="1">
        <v>43493</v>
      </c>
      <c r="F4471" s="1">
        <v>43434</v>
      </c>
      <c r="G4471" s="1"/>
      <c r="H4471" t="s">
        <v>4664</v>
      </c>
      <c r="I4471" t="s">
        <v>5645</v>
      </c>
    </row>
    <row r="4472" spans="1:9" x14ac:dyDescent="0.25">
      <c r="A4472" t="s">
        <v>3384</v>
      </c>
      <c r="B4472" s="26" t="str">
        <f>MID(tbl_forecast[[#This Row],[PACE Job Number]],3,3)</f>
        <v>STX</v>
      </c>
      <c r="C4472" t="s">
        <v>15</v>
      </c>
      <c r="D4472" s="1">
        <v>43430</v>
      </c>
      <c r="E4472" s="1">
        <v>43465</v>
      </c>
      <c r="F4472" s="1">
        <v>43412</v>
      </c>
      <c r="G4472" s="1">
        <v>43412</v>
      </c>
      <c r="H4472" t="s">
        <v>9</v>
      </c>
      <c r="I4472" t="s">
        <v>10</v>
      </c>
    </row>
    <row r="4473" spans="1:9" x14ac:dyDescent="0.25">
      <c r="A4473" t="s">
        <v>4652</v>
      </c>
      <c r="B4473" s="26" t="str">
        <f>MID(tbl_forecast[[#This Row],[PACE Job Number]],3,3)</f>
        <v>STX</v>
      </c>
      <c r="C4473" t="s">
        <v>15</v>
      </c>
      <c r="D4473" s="1">
        <v>43405</v>
      </c>
      <c r="E4473" s="1">
        <v>43493</v>
      </c>
      <c r="F4473" s="1">
        <v>43405</v>
      </c>
      <c r="G4473" s="1">
        <v>43405</v>
      </c>
      <c r="H4473" t="s">
        <v>9</v>
      </c>
      <c r="I4473" t="s">
        <v>10</v>
      </c>
    </row>
    <row r="4474" spans="1:9" x14ac:dyDescent="0.25">
      <c r="A4474" t="s">
        <v>4653</v>
      </c>
      <c r="B4474" s="26" t="str">
        <f>MID(tbl_forecast[[#This Row],[PACE Job Number]],3,3)</f>
        <v>STX</v>
      </c>
      <c r="C4474" t="s">
        <v>15</v>
      </c>
      <c r="D4474" s="1">
        <v>43410</v>
      </c>
      <c r="E4474" s="1">
        <v>43493</v>
      </c>
      <c r="F4474" s="1">
        <v>43434</v>
      </c>
      <c r="G4474" s="1"/>
      <c r="H4474" t="s">
        <v>4664</v>
      </c>
      <c r="I4474" t="s">
        <v>5645</v>
      </c>
    </row>
    <row r="4475" spans="1:9" x14ac:dyDescent="0.25">
      <c r="A4475" t="s">
        <v>393</v>
      </c>
      <c r="B4475" s="26" t="str">
        <f>MID(tbl_forecast[[#This Row],[PACE Job Number]],3,3)</f>
        <v>WSH</v>
      </c>
      <c r="C4475" t="s">
        <v>15</v>
      </c>
      <c r="D4475" s="1">
        <v>43434</v>
      </c>
      <c r="E4475" s="1">
        <v>36524</v>
      </c>
      <c r="F4475" s="1">
        <v>43447</v>
      </c>
      <c r="G4475" s="1"/>
      <c r="H4475" t="s">
        <v>9</v>
      </c>
      <c r="I4475" t="s">
        <v>27</v>
      </c>
    </row>
    <row r="4476" spans="1:9" x14ac:dyDescent="0.25">
      <c r="A4476" t="s">
        <v>4580</v>
      </c>
      <c r="B4476" s="26" t="str">
        <f>MID(tbl_forecast[[#This Row],[PACE Job Number]],3,3)</f>
        <v>WSH</v>
      </c>
      <c r="C4476" t="s">
        <v>15</v>
      </c>
      <c r="D4476" s="1">
        <v>43434</v>
      </c>
      <c r="E4476" s="1">
        <v>36524</v>
      </c>
      <c r="F4476" s="1">
        <v>43449</v>
      </c>
      <c r="G4476" s="1"/>
      <c r="H4476" t="s">
        <v>4664</v>
      </c>
      <c r="I4476" t="s">
        <v>4666</v>
      </c>
    </row>
    <row r="4477" spans="1:9" x14ac:dyDescent="0.25">
      <c r="A4477" t="s">
        <v>5639</v>
      </c>
      <c r="B4477" s="26" t="str">
        <f>MID(tbl_forecast[[#This Row],[PACE Job Number]],3,3)</f>
        <v>WSH</v>
      </c>
      <c r="C4477" t="s">
        <v>15</v>
      </c>
      <c r="D4477" s="1">
        <v>43421</v>
      </c>
      <c r="E4477" s="1">
        <v>36524</v>
      </c>
      <c r="F4477" s="1">
        <v>43434</v>
      </c>
      <c r="G4477" s="1"/>
      <c r="H4477" t="s">
        <v>9</v>
      </c>
      <c r="I4477" t="s">
        <v>27</v>
      </c>
    </row>
    <row r="4478" spans="1:9" x14ac:dyDescent="0.25">
      <c r="A4478" t="s">
        <v>4038</v>
      </c>
      <c r="B4478" s="26" t="str">
        <f>MID(tbl_forecast[[#This Row],[PACE Job Number]],3,3)</f>
        <v>WSH</v>
      </c>
      <c r="C4478" t="s">
        <v>15</v>
      </c>
      <c r="D4478" s="1">
        <v>43421</v>
      </c>
      <c r="E4478" s="1">
        <v>36524</v>
      </c>
      <c r="F4478" s="1">
        <v>43413</v>
      </c>
      <c r="G4478" s="1">
        <v>43413</v>
      </c>
      <c r="H4478" t="s">
        <v>9</v>
      </c>
      <c r="I4478" t="s">
        <v>10</v>
      </c>
    </row>
    <row r="4479" spans="1:9" x14ac:dyDescent="0.25">
      <c r="A4479" t="s">
        <v>708</v>
      </c>
      <c r="B4479" s="26" t="str">
        <f>MID(tbl_forecast[[#This Row],[PACE Job Number]],3,3)</f>
        <v>WSH</v>
      </c>
      <c r="C4479" t="s">
        <v>15</v>
      </c>
      <c r="D4479" s="1">
        <v>43434</v>
      </c>
      <c r="E4479" s="1">
        <v>36524</v>
      </c>
      <c r="F4479" s="1">
        <v>43424</v>
      </c>
      <c r="G4479" s="1">
        <v>43424</v>
      </c>
      <c r="H4479" t="s">
        <v>9</v>
      </c>
      <c r="I4479" t="s">
        <v>10</v>
      </c>
    </row>
    <row r="4480" spans="1:9" x14ac:dyDescent="0.25">
      <c r="A4480" t="s">
        <v>3525</v>
      </c>
      <c r="B4480" s="26" t="str">
        <f>MID(tbl_forecast[[#This Row],[PACE Job Number]],3,3)</f>
        <v>WSH</v>
      </c>
      <c r="C4480" t="s">
        <v>15</v>
      </c>
      <c r="D4480" s="1">
        <v>43429</v>
      </c>
      <c r="E4480" s="1">
        <v>36524</v>
      </c>
      <c r="F4480" s="1">
        <v>43413</v>
      </c>
      <c r="G4480" s="1">
        <v>43413</v>
      </c>
      <c r="H4480" t="s">
        <v>9</v>
      </c>
      <c r="I4480" t="s">
        <v>10</v>
      </c>
    </row>
    <row r="4481" spans="1:9" x14ac:dyDescent="0.25">
      <c r="A4481" t="s">
        <v>1900</v>
      </c>
      <c r="B4481" s="26" t="str">
        <f>MID(tbl_forecast[[#This Row],[PACE Job Number]],3,3)</f>
        <v>NTX</v>
      </c>
      <c r="C4481" t="s">
        <v>15</v>
      </c>
      <c r="D4481" s="1">
        <v>43413</v>
      </c>
      <c r="E4481" s="1">
        <v>36524</v>
      </c>
      <c r="F4481" s="1">
        <v>43411</v>
      </c>
      <c r="G4481" s="1">
        <v>43411</v>
      </c>
      <c r="H4481" t="s">
        <v>9</v>
      </c>
      <c r="I4481" t="s">
        <v>10</v>
      </c>
    </row>
    <row r="4482" spans="1:9" x14ac:dyDescent="0.25">
      <c r="A4482" t="s">
        <v>2124</v>
      </c>
      <c r="B4482" s="26" t="str">
        <f>MID(tbl_forecast[[#This Row],[PACE Job Number]],3,3)</f>
        <v>NTX</v>
      </c>
      <c r="C4482" t="s">
        <v>15</v>
      </c>
      <c r="D4482" s="1">
        <v>43433</v>
      </c>
      <c r="E4482" s="1">
        <v>43433</v>
      </c>
      <c r="F4482" s="1">
        <v>43417</v>
      </c>
      <c r="G4482" s="1">
        <v>43417</v>
      </c>
      <c r="H4482" t="s">
        <v>9</v>
      </c>
      <c r="I4482" t="s">
        <v>10</v>
      </c>
    </row>
    <row r="4483" spans="1:9" x14ac:dyDescent="0.25">
      <c r="A4483" t="s">
        <v>3989</v>
      </c>
      <c r="B4483" s="26" t="str">
        <f>MID(tbl_forecast[[#This Row],[PACE Job Number]],3,3)</f>
        <v>NTX</v>
      </c>
      <c r="C4483" t="s">
        <v>15</v>
      </c>
      <c r="D4483" s="1">
        <v>43416</v>
      </c>
      <c r="E4483" s="1">
        <v>43399</v>
      </c>
      <c r="F4483" s="1">
        <v>43464</v>
      </c>
      <c r="G4483" s="1"/>
      <c r="H4483" t="s">
        <v>4664</v>
      </c>
      <c r="I4483" t="s">
        <v>4666</v>
      </c>
    </row>
    <row r="4484" spans="1:9" x14ac:dyDescent="0.25">
      <c r="A4484" t="s">
        <v>144</v>
      </c>
      <c r="B4484" s="26" t="str">
        <f>MID(tbl_forecast[[#This Row],[PACE Job Number]],3,3)</f>
        <v>NTX</v>
      </c>
      <c r="C4484" t="s">
        <v>15</v>
      </c>
      <c r="D4484" s="1">
        <v>43431</v>
      </c>
      <c r="E4484" s="1">
        <v>43520</v>
      </c>
      <c r="F4484" s="1">
        <v>43524</v>
      </c>
      <c r="G4484" s="1"/>
      <c r="H4484" t="s">
        <v>4664</v>
      </c>
      <c r="I4484" t="s">
        <v>4665</v>
      </c>
    </row>
    <row r="4485" spans="1:9" x14ac:dyDescent="0.25">
      <c r="A4485" t="s">
        <v>4525</v>
      </c>
      <c r="B4485" s="26" t="str">
        <f>MID(tbl_forecast[[#This Row],[PACE Job Number]],3,3)</f>
        <v>NTX</v>
      </c>
      <c r="C4485" t="s">
        <v>15</v>
      </c>
      <c r="D4485" s="1">
        <v>43413</v>
      </c>
      <c r="E4485" s="1">
        <v>43423</v>
      </c>
      <c r="F4485" s="1">
        <v>43464</v>
      </c>
      <c r="G4485" s="1"/>
      <c r="H4485" t="s">
        <v>4664</v>
      </c>
      <c r="I4485" t="s">
        <v>4666</v>
      </c>
    </row>
    <row r="4486" spans="1:9" x14ac:dyDescent="0.25">
      <c r="A4486" t="s">
        <v>69</v>
      </c>
      <c r="B4486" s="26" t="str">
        <f>MID(tbl_forecast[[#This Row],[PACE Job Number]],3,3)</f>
        <v>NTX</v>
      </c>
      <c r="C4486" t="s">
        <v>15</v>
      </c>
      <c r="D4486" s="1">
        <v>43431</v>
      </c>
      <c r="E4486" s="1">
        <v>43520</v>
      </c>
      <c r="F4486" s="1">
        <v>43524</v>
      </c>
      <c r="G4486" s="1"/>
      <c r="H4486" t="s">
        <v>4664</v>
      </c>
      <c r="I4486" t="s">
        <v>4665</v>
      </c>
    </row>
    <row r="4487" spans="1:9" x14ac:dyDescent="0.25">
      <c r="A4487" t="s">
        <v>3932</v>
      </c>
      <c r="B4487" s="26" t="str">
        <f>MID(tbl_forecast[[#This Row],[PACE Job Number]],3,3)</f>
        <v>NTX</v>
      </c>
      <c r="C4487" t="s">
        <v>15</v>
      </c>
      <c r="D4487" s="1">
        <v>43425</v>
      </c>
      <c r="E4487" s="1">
        <v>43425</v>
      </c>
      <c r="F4487" s="1">
        <v>43464</v>
      </c>
      <c r="G4487" s="1"/>
      <c r="H4487" t="s">
        <v>4664</v>
      </c>
      <c r="I4487" t="s">
        <v>4666</v>
      </c>
    </row>
    <row r="4488" spans="1:9" x14ac:dyDescent="0.25">
      <c r="A4488" t="s">
        <v>5613</v>
      </c>
      <c r="B4488" s="26" t="str">
        <f>MID(tbl_forecast[[#This Row],[PACE Job Number]],3,3)</f>
        <v>STX</v>
      </c>
      <c r="C4488" t="s">
        <v>15</v>
      </c>
      <c r="D4488" s="1">
        <v>43410</v>
      </c>
      <c r="E4488" s="1">
        <v>43388</v>
      </c>
      <c r="F4488" s="1">
        <v>43418</v>
      </c>
      <c r="G4488" s="1">
        <v>43418</v>
      </c>
      <c r="H4488" t="s">
        <v>9</v>
      </c>
      <c r="I4488" t="s">
        <v>10</v>
      </c>
    </row>
    <row r="4489" spans="1:9" x14ac:dyDescent="0.25">
      <c r="A4489" t="s">
        <v>2606</v>
      </c>
      <c r="B4489" s="26" t="str">
        <f>MID(tbl_forecast[[#This Row],[PACE Job Number]],3,3)</f>
        <v>STX</v>
      </c>
      <c r="C4489" t="s">
        <v>15</v>
      </c>
      <c r="D4489" s="1">
        <v>43406</v>
      </c>
      <c r="E4489" s="1">
        <v>43463</v>
      </c>
      <c r="F4489" s="1">
        <v>43406</v>
      </c>
      <c r="G4489" s="1">
        <v>43406</v>
      </c>
      <c r="H4489" t="s">
        <v>9</v>
      </c>
      <c r="I4489" t="s">
        <v>10</v>
      </c>
    </row>
    <row r="4490" spans="1:9" x14ac:dyDescent="0.25">
      <c r="A4490" t="s">
        <v>385</v>
      </c>
      <c r="B4490" s="26" t="str">
        <f>MID(tbl_forecast[[#This Row],[PACE Job Number]],3,3)</f>
        <v>WSH</v>
      </c>
      <c r="C4490" t="s">
        <v>15</v>
      </c>
      <c r="D4490" s="1">
        <v>43433</v>
      </c>
      <c r="E4490" s="1">
        <v>36524</v>
      </c>
      <c r="F4490" s="1">
        <v>43433</v>
      </c>
      <c r="G4490" s="1"/>
      <c r="H4490" t="s">
        <v>9</v>
      </c>
      <c r="I4490" t="s">
        <v>27</v>
      </c>
    </row>
    <row r="4491" spans="1:9" x14ac:dyDescent="0.25">
      <c r="A4491" t="s">
        <v>454</v>
      </c>
      <c r="B4491" s="26" t="str">
        <f>MID(tbl_forecast[[#This Row],[PACE Job Number]],3,3)</f>
        <v>WSH</v>
      </c>
      <c r="C4491" t="s">
        <v>15</v>
      </c>
      <c r="D4491" s="1">
        <v>43433</v>
      </c>
      <c r="E4491" s="1">
        <v>36524</v>
      </c>
      <c r="F4491" s="1">
        <v>43433</v>
      </c>
      <c r="G4491" s="1"/>
      <c r="H4491" t="s">
        <v>9</v>
      </c>
      <c r="I4491" t="s">
        <v>27</v>
      </c>
    </row>
    <row r="4492" spans="1:9" x14ac:dyDescent="0.25">
      <c r="A4492" t="s">
        <v>3991</v>
      </c>
      <c r="B4492" s="26" t="str">
        <f>MID(tbl_forecast[[#This Row],[PACE Job Number]],3,3)</f>
        <v>WSH</v>
      </c>
      <c r="C4492" t="s">
        <v>15</v>
      </c>
      <c r="D4492" s="1">
        <v>43434</v>
      </c>
      <c r="E4492" s="1">
        <v>36524</v>
      </c>
      <c r="F4492" s="1">
        <v>43434</v>
      </c>
      <c r="G4492" s="1"/>
      <c r="H4492" t="s">
        <v>9</v>
      </c>
      <c r="I4492" t="s">
        <v>27</v>
      </c>
    </row>
    <row r="4493" spans="1:9" x14ac:dyDescent="0.25">
      <c r="A4493" t="s">
        <v>4061</v>
      </c>
      <c r="B4493" s="26" t="str">
        <f>MID(tbl_forecast[[#This Row],[PACE Job Number]],3,3)</f>
        <v>NTX</v>
      </c>
      <c r="C4493" t="s">
        <v>15</v>
      </c>
      <c r="D4493" s="1">
        <v>43413</v>
      </c>
      <c r="E4493" s="1">
        <v>43414</v>
      </c>
      <c r="F4493" s="1">
        <v>43615</v>
      </c>
      <c r="G4493" s="1"/>
      <c r="H4493" t="s">
        <v>4664</v>
      </c>
      <c r="I4493" t="s">
        <v>4666</v>
      </c>
    </row>
    <row r="4494" spans="1:9" x14ac:dyDescent="0.25">
      <c r="A4494" t="s">
        <v>2343</v>
      </c>
      <c r="B4494" s="26" t="str">
        <f>MID(tbl_forecast[[#This Row],[PACE Job Number]],3,3)</f>
        <v>NTX</v>
      </c>
      <c r="C4494" t="s">
        <v>15</v>
      </c>
      <c r="D4494" s="1">
        <v>43413</v>
      </c>
      <c r="E4494" s="1">
        <v>36524</v>
      </c>
      <c r="F4494" s="1">
        <v>43464</v>
      </c>
      <c r="G4494" s="1"/>
      <c r="H4494" t="s">
        <v>4664</v>
      </c>
      <c r="I4494" t="s">
        <v>4666</v>
      </c>
    </row>
    <row r="4495" spans="1:9" x14ac:dyDescent="0.25">
      <c r="A4495" t="s">
        <v>2344</v>
      </c>
      <c r="B4495" s="26" t="str">
        <f>MID(tbl_forecast[[#This Row],[PACE Job Number]],3,3)</f>
        <v>NTX</v>
      </c>
      <c r="C4495" t="s">
        <v>15</v>
      </c>
      <c r="D4495" s="1">
        <v>43429</v>
      </c>
      <c r="E4495" s="1">
        <v>36524</v>
      </c>
      <c r="F4495" s="1">
        <v>43409</v>
      </c>
      <c r="G4495" s="1">
        <v>43409</v>
      </c>
      <c r="H4495" t="s">
        <v>9</v>
      </c>
      <c r="I4495" t="s">
        <v>10</v>
      </c>
    </row>
    <row r="4496" spans="1:9" x14ac:dyDescent="0.25">
      <c r="A4496" t="s">
        <v>710</v>
      </c>
      <c r="B4496" s="26" t="str">
        <f>MID(tbl_forecast[[#This Row],[PACE Job Number]],3,3)</f>
        <v>NTX</v>
      </c>
      <c r="C4496" t="s">
        <v>15</v>
      </c>
      <c r="D4496" s="1">
        <v>43425</v>
      </c>
      <c r="E4496" s="1">
        <v>43425</v>
      </c>
      <c r="F4496" s="1">
        <v>43417</v>
      </c>
      <c r="G4496" s="1">
        <v>43417</v>
      </c>
      <c r="H4496" t="s">
        <v>9</v>
      </c>
      <c r="I4496" t="s">
        <v>10</v>
      </c>
    </row>
    <row r="4497" spans="1:9" x14ac:dyDescent="0.25">
      <c r="A4497" t="s">
        <v>4569</v>
      </c>
      <c r="B4497" s="26" t="str">
        <f>MID(tbl_forecast[[#This Row],[PACE Job Number]],3,3)</f>
        <v>ANM</v>
      </c>
      <c r="C4497" t="s">
        <v>15</v>
      </c>
      <c r="D4497" s="1">
        <v>43405</v>
      </c>
      <c r="E4497" s="1">
        <v>42999</v>
      </c>
      <c r="F4497" s="1">
        <v>43405</v>
      </c>
      <c r="G4497" s="1">
        <v>43405</v>
      </c>
      <c r="H4497" t="s">
        <v>9</v>
      </c>
      <c r="I4497" t="s">
        <v>10</v>
      </c>
    </row>
    <row r="4498" spans="1:9" x14ac:dyDescent="0.25">
      <c r="A4498" t="s">
        <v>3220</v>
      </c>
      <c r="B4498" s="26" t="str">
        <f>MID(tbl_forecast[[#This Row],[PACE Job Number]],3,3)</f>
        <v>STX</v>
      </c>
      <c r="C4498" t="s">
        <v>15</v>
      </c>
      <c r="D4498" s="1">
        <v>43418</v>
      </c>
      <c r="E4498" s="1">
        <v>43433</v>
      </c>
      <c r="F4498" s="1">
        <v>43432</v>
      </c>
      <c r="G4498" s="1">
        <v>43432</v>
      </c>
      <c r="H4498" t="s">
        <v>9</v>
      </c>
      <c r="I4498" t="s">
        <v>10</v>
      </c>
    </row>
    <row r="4499" spans="1:9" x14ac:dyDescent="0.25">
      <c r="A4499" t="s">
        <v>3250</v>
      </c>
      <c r="B4499" s="26" t="str">
        <f>MID(tbl_forecast[[#This Row],[PACE Job Number]],3,3)</f>
        <v>STX</v>
      </c>
      <c r="C4499" t="s">
        <v>15</v>
      </c>
      <c r="D4499" s="1">
        <v>43433</v>
      </c>
      <c r="E4499" s="1">
        <v>43433</v>
      </c>
      <c r="F4499" s="1">
        <v>43417</v>
      </c>
      <c r="G4499" s="1">
        <v>43417</v>
      </c>
      <c r="H4499" t="s">
        <v>9</v>
      </c>
      <c r="I4499" t="s">
        <v>10</v>
      </c>
    </row>
    <row r="4500" spans="1:9" x14ac:dyDescent="0.25">
      <c r="A4500" t="s">
        <v>4605</v>
      </c>
      <c r="B4500" s="26" t="str">
        <f>MID(tbl_forecast[[#This Row],[PACE Job Number]],3,3)</f>
        <v>STX</v>
      </c>
      <c r="C4500" t="s">
        <v>15</v>
      </c>
      <c r="D4500" s="1">
        <v>43430</v>
      </c>
      <c r="E4500" s="1">
        <v>43463</v>
      </c>
      <c r="F4500" s="1">
        <v>43464</v>
      </c>
      <c r="G4500" s="1"/>
      <c r="H4500" t="s">
        <v>4664</v>
      </c>
      <c r="I4500" t="s">
        <v>4665</v>
      </c>
    </row>
    <row r="4501" spans="1:9" x14ac:dyDescent="0.25">
      <c r="A4501" t="s">
        <v>577</v>
      </c>
      <c r="B4501" s="26" t="str">
        <f>MID(tbl_forecast[[#This Row],[PACE Job Number]],3,3)</f>
        <v>STX</v>
      </c>
      <c r="C4501" t="s">
        <v>15</v>
      </c>
      <c r="D4501" s="1">
        <v>43410</v>
      </c>
      <c r="E4501" s="1">
        <v>43463</v>
      </c>
      <c r="F4501" s="1">
        <v>43434</v>
      </c>
      <c r="G4501" s="1"/>
      <c r="H4501" t="s">
        <v>4664</v>
      </c>
      <c r="I4501" t="s">
        <v>5645</v>
      </c>
    </row>
    <row r="4502" spans="1:9" x14ac:dyDescent="0.25">
      <c r="A4502" t="s">
        <v>1160</v>
      </c>
      <c r="B4502" s="26" t="str">
        <f>MID(tbl_forecast[[#This Row],[PACE Job Number]],3,3)</f>
        <v>STX</v>
      </c>
      <c r="C4502" t="s">
        <v>15</v>
      </c>
      <c r="D4502" s="1">
        <v>43418</v>
      </c>
      <c r="E4502" s="1">
        <v>43433</v>
      </c>
      <c r="F4502" s="1">
        <v>43432</v>
      </c>
      <c r="G4502" s="1">
        <v>43432</v>
      </c>
      <c r="H4502" t="s">
        <v>9</v>
      </c>
      <c r="I4502" t="s">
        <v>10</v>
      </c>
    </row>
    <row r="4503" spans="1:9" x14ac:dyDescent="0.25">
      <c r="A4503" t="s">
        <v>745</v>
      </c>
      <c r="B4503" s="26" t="str">
        <f>MID(tbl_forecast[[#This Row],[PACE Job Number]],3,3)</f>
        <v>STX</v>
      </c>
      <c r="C4503" t="s">
        <v>15</v>
      </c>
      <c r="D4503" s="1">
        <v>43406</v>
      </c>
      <c r="E4503" s="1">
        <v>43454</v>
      </c>
      <c r="F4503" s="1">
        <v>43406</v>
      </c>
      <c r="G4503" s="1">
        <v>43406</v>
      </c>
      <c r="H4503" t="s">
        <v>9</v>
      </c>
      <c r="I4503" t="s">
        <v>10</v>
      </c>
    </row>
    <row r="4504" spans="1:9" x14ac:dyDescent="0.25">
      <c r="A4504" t="s">
        <v>5614</v>
      </c>
      <c r="B4504" s="26" t="str">
        <f>MID(tbl_forecast[[#This Row],[PACE Job Number]],3,3)</f>
        <v>STX</v>
      </c>
      <c r="C4504" t="s">
        <v>15</v>
      </c>
      <c r="D4504" s="1">
        <v>43410</v>
      </c>
      <c r="E4504" s="1">
        <v>43388</v>
      </c>
      <c r="F4504" s="1">
        <v>43418</v>
      </c>
      <c r="G4504" s="1">
        <v>43418</v>
      </c>
      <c r="H4504" t="s">
        <v>9</v>
      </c>
      <c r="I4504" t="s">
        <v>10</v>
      </c>
    </row>
    <row r="4505" spans="1:9" x14ac:dyDescent="0.25">
      <c r="A4505" t="s">
        <v>721</v>
      </c>
      <c r="B4505" s="26" t="str">
        <f>MID(tbl_forecast[[#This Row],[PACE Job Number]],3,3)</f>
        <v>STX</v>
      </c>
      <c r="C4505" t="s">
        <v>15</v>
      </c>
      <c r="D4505" s="1">
        <v>43410</v>
      </c>
      <c r="E4505" s="1">
        <v>43463</v>
      </c>
      <c r="F4505" s="1">
        <v>43434</v>
      </c>
      <c r="G4505" s="1"/>
      <c r="H4505" t="s">
        <v>4664</v>
      </c>
      <c r="I4505" t="s">
        <v>5645</v>
      </c>
    </row>
    <row r="4506" spans="1:9" x14ac:dyDescent="0.25">
      <c r="A4506" t="s">
        <v>538</v>
      </c>
      <c r="B4506" s="26" t="str">
        <f>MID(tbl_forecast[[#This Row],[PACE Job Number]],3,3)</f>
        <v>STX</v>
      </c>
      <c r="C4506" t="s">
        <v>15</v>
      </c>
      <c r="D4506" s="1">
        <v>43410</v>
      </c>
      <c r="E4506" s="1">
        <v>43463</v>
      </c>
      <c r="F4506" s="1">
        <v>43434</v>
      </c>
      <c r="G4506" s="1"/>
      <c r="H4506" t="s">
        <v>4664</v>
      </c>
      <c r="I4506" t="s">
        <v>5645</v>
      </c>
    </row>
    <row r="4507" spans="1:9" x14ac:dyDescent="0.25">
      <c r="A4507" t="s">
        <v>114</v>
      </c>
      <c r="B4507" s="26" t="str">
        <f>MID(tbl_forecast[[#This Row],[PACE Job Number]],3,3)</f>
        <v>NTX</v>
      </c>
      <c r="C4507" t="s">
        <v>15</v>
      </c>
      <c r="D4507" s="1">
        <v>43413</v>
      </c>
      <c r="E4507" s="1">
        <v>43413</v>
      </c>
      <c r="F4507" s="1">
        <v>43432</v>
      </c>
      <c r="G4507" s="1">
        <v>43432</v>
      </c>
      <c r="H4507" t="s">
        <v>4664</v>
      </c>
      <c r="I4507" t="s">
        <v>10</v>
      </c>
    </row>
    <row r="4508" spans="1:9" x14ac:dyDescent="0.25">
      <c r="A4508" t="s">
        <v>2347</v>
      </c>
      <c r="B4508" s="26" t="str">
        <f>MID(tbl_forecast[[#This Row],[PACE Job Number]],3,3)</f>
        <v>NTX</v>
      </c>
      <c r="C4508" t="s">
        <v>15</v>
      </c>
      <c r="D4508" s="1">
        <v>43427</v>
      </c>
      <c r="E4508" s="1">
        <v>43510</v>
      </c>
      <c r="F4508" s="1">
        <v>43524</v>
      </c>
      <c r="G4508" s="1"/>
      <c r="H4508" t="s">
        <v>4664</v>
      </c>
      <c r="I4508" t="s">
        <v>4665</v>
      </c>
    </row>
    <row r="4509" spans="1:9" x14ac:dyDescent="0.25">
      <c r="A4509" t="s">
        <v>516</v>
      </c>
      <c r="B4509" s="26" t="str">
        <f>MID(tbl_forecast[[#This Row],[PACE Job Number]],3,3)</f>
        <v>NTX</v>
      </c>
      <c r="C4509" t="s">
        <v>15</v>
      </c>
      <c r="D4509" s="1">
        <v>43425</v>
      </c>
      <c r="E4509" s="1">
        <v>43425</v>
      </c>
      <c r="F4509" s="1">
        <v>43495</v>
      </c>
      <c r="G4509" s="1"/>
      <c r="H4509" t="s">
        <v>4664</v>
      </c>
      <c r="I4509" t="s">
        <v>4666</v>
      </c>
    </row>
    <row r="4510" spans="1:9" x14ac:dyDescent="0.25">
      <c r="A4510" t="s">
        <v>1755</v>
      </c>
      <c r="B4510" s="26" t="str">
        <f>MID(tbl_forecast[[#This Row],[PACE Job Number]],3,3)</f>
        <v>NTX</v>
      </c>
      <c r="C4510" t="s">
        <v>15</v>
      </c>
      <c r="D4510" s="1">
        <v>43415</v>
      </c>
      <c r="E4510" s="1">
        <v>43520</v>
      </c>
      <c r="F4510" s="1">
        <v>43450</v>
      </c>
      <c r="G4510" s="1"/>
      <c r="H4510" t="s">
        <v>4664</v>
      </c>
      <c r="I4510" t="s">
        <v>5645</v>
      </c>
    </row>
    <row r="4511" spans="1:9" x14ac:dyDescent="0.25">
      <c r="A4511" t="s">
        <v>1757</v>
      </c>
      <c r="B4511" s="26" t="str">
        <f>MID(tbl_forecast[[#This Row],[PACE Job Number]],3,3)</f>
        <v>NTX</v>
      </c>
      <c r="C4511" t="s">
        <v>15</v>
      </c>
      <c r="D4511" s="1">
        <v>43425</v>
      </c>
      <c r="E4511" s="1">
        <v>43425</v>
      </c>
      <c r="F4511" s="1">
        <v>43495</v>
      </c>
      <c r="G4511" s="1"/>
      <c r="H4511" t="s">
        <v>4664</v>
      </c>
      <c r="I4511" t="s">
        <v>4666</v>
      </c>
    </row>
    <row r="4512" spans="1:9" x14ac:dyDescent="0.25">
      <c r="A4512" t="s">
        <v>658</v>
      </c>
      <c r="B4512" s="26" t="str">
        <f>MID(tbl_forecast[[#This Row],[PACE Job Number]],3,3)</f>
        <v>NTX</v>
      </c>
      <c r="C4512" t="s">
        <v>15</v>
      </c>
      <c r="D4512" s="1">
        <v>43425</v>
      </c>
      <c r="E4512" s="1">
        <v>43425</v>
      </c>
      <c r="F4512" s="1">
        <v>43417</v>
      </c>
      <c r="G4512" s="1">
        <v>43417</v>
      </c>
      <c r="H4512" t="s">
        <v>9</v>
      </c>
      <c r="I4512" t="s">
        <v>10</v>
      </c>
    </row>
    <row r="4513" spans="1:9" x14ac:dyDescent="0.25">
      <c r="A4513" t="s">
        <v>2152</v>
      </c>
      <c r="B4513" s="26" t="str">
        <f>MID(tbl_forecast[[#This Row],[PACE Job Number]],3,3)</f>
        <v>NTX</v>
      </c>
      <c r="C4513" t="s">
        <v>15</v>
      </c>
      <c r="D4513" s="1">
        <v>43433</v>
      </c>
      <c r="E4513" s="1">
        <v>43433</v>
      </c>
      <c r="F4513" s="1">
        <v>43417</v>
      </c>
      <c r="G4513" s="1">
        <v>43417</v>
      </c>
      <c r="H4513" t="s">
        <v>9</v>
      </c>
      <c r="I4513" t="s">
        <v>10</v>
      </c>
    </row>
    <row r="4514" spans="1:9" x14ac:dyDescent="0.25">
      <c r="A4514" t="s">
        <v>328</v>
      </c>
      <c r="B4514" s="26" t="str">
        <f>MID(tbl_forecast[[#This Row],[PACE Job Number]],3,3)</f>
        <v>NTX</v>
      </c>
      <c r="C4514" t="s">
        <v>15</v>
      </c>
      <c r="D4514" s="1">
        <v>43416</v>
      </c>
      <c r="E4514" s="1">
        <v>43416</v>
      </c>
      <c r="F4514" s="1">
        <v>43417</v>
      </c>
      <c r="G4514" s="1">
        <v>43417</v>
      </c>
      <c r="H4514" t="s">
        <v>9</v>
      </c>
      <c r="I4514" t="s">
        <v>10</v>
      </c>
    </row>
    <row r="4515" spans="1:9" x14ac:dyDescent="0.25">
      <c r="A4515" t="s">
        <v>4007</v>
      </c>
      <c r="B4515" s="26" t="str">
        <f>MID(tbl_forecast[[#This Row],[PACE Job Number]],3,3)</f>
        <v>NTX</v>
      </c>
      <c r="C4515" t="s">
        <v>15</v>
      </c>
      <c r="D4515" s="1">
        <v>43416</v>
      </c>
      <c r="E4515" s="1">
        <v>43399</v>
      </c>
      <c r="F4515" s="1">
        <v>43464</v>
      </c>
      <c r="G4515" s="1"/>
      <c r="H4515" t="s">
        <v>4664</v>
      </c>
      <c r="I4515" t="s">
        <v>4666</v>
      </c>
    </row>
    <row r="4516" spans="1:9" x14ac:dyDescent="0.25">
      <c r="A4516" t="s">
        <v>1879</v>
      </c>
      <c r="B4516" s="26" t="str">
        <f>MID(tbl_forecast[[#This Row],[PACE Job Number]],3,3)</f>
        <v>NTX</v>
      </c>
      <c r="C4516" t="s">
        <v>15</v>
      </c>
      <c r="D4516" s="1">
        <v>43418</v>
      </c>
      <c r="E4516" s="1">
        <v>43534</v>
      </c>
      <c r="F4516" s="1">
        <v>43524</v>
      </c>
      <c r="G4516" s="1"/>
      <c r="H4516" t="s">
        <v>4664</v>
      </c>
      <c r="I4516" t="s">
        <v>5645</v>
      </c>
    </row>
    <row r="4517" spans="1:9" x14ac:dyDescent="0.25">
      <c r="A4517" t="s">
        <v>4423</v>
      </c>
      <c r="B4517" s="26" t="str">
        <f>MID(tbl_forecast[[#This Row],[PACE Job Number]],3,3)</f>
        <v>NTX</v>
      </c>
      <c r="C4517" t="s">
        <v>15</v>
      </c>
      <c r="D4517" s="1">
        <v>43406</v>
      </c>
      <c r="E4517" s="1">
        <v>43510</v>
      </c>
      <c r="F4517" s="1">
        <v>43495</v>
      </c>
      <c r="G4517" s="1"/>
      <c r="H4517" t="s">
        <v>4664</v>
      </c>
      <c r="I4517" t="s">
        <v>5645</v>
      </c>
    </row>
    <row r="4518" spans="1:9" x14ac:dyDescent="0.25">
      <c r="A4518" t="s">
        <v>446</v>
      </c>
      <c r="B4518" s="26" t="str">
        <f>MID(tbl_forecast[[#This Row],[PACE Job Number]],3,3)</f>
        <v>NTX</v>
      </c>
      <c r="C4518" t="s">
        <v>15</v>
      </c>
      <c r="D4518" s="1">
        <v>43430</v>
      </c>
      <c r="E4518" s="1">
        <v>43510</v>
      </c>
      <c r="F4518" s="1">
        <v>43495</v>
      </c>
      <c r="G4518" s="1"/>
      <c r="H4518" t="s">
        <v>4664</v>
      </c>
      <c r="I4518" t="s">
        <v>4665</v>
      </c>
    </row>
    <row r="4519" spans="1:9" x14ac:dyDescent="0.25">
      <c r="A4519" t="s">
        <v>4445</v>
      </c>
      <c r="B4519" s="26" t="str">
        <f>MID(tbl_forecast[[#This Row],[PACE Job Number]],3,3)</f>
        <v>NTX</v>
      </c>
      <c r="C4519" t="s">
        <v>15</v>
      </c>
      <c r="D4519" s="1">
        <v>43407</v>
      </c>
      <c r="E4519" s="1">
        <v>43517</v>
      </c>
      <c r="F4519" s="1">
        <v>43495</v>
      </c>
      <c r="G4519" s="1"/>
      <c r="H4519" t="s">
        <v>4664</v>
      </c>
      <c r="I4519" t="s">
        <v>5645</v>
      </c>
    </row>
    <row r="4520" spans="1:9" x14ac:dyDescent="0.25">
      <c r="A4520" t="s">
        <v>4446</v>
      </c>
      <c r="B4520" s="26" t="str">
        <f>MID(tbl_forecast[[#This Row],[PACE Job Number]],3,3)</f>
        <v>NTX</v>
      </c>
      <c r="C4520" t="s">
        <v>15</v>
      </c>
      <c r="D4520" s="1">
        <v>43425</v>
      </c>
      <c r="E4520" s="1">
        <v>43517</v>
      </c>
      <c r="F4520" s="1">
        <v>43524</v>
      </c>
      <c r="G4520" s="1"/>
      <c r="H4520" t="s">
        <v>4664</v>
      </c>
      <c r="I4520" t="s">
        <v>4665</v>
      </c>
    </row>
    <row r="4521" spans="1:9" x14ac:dyDescent="0.25">
      <c r="A4521" t="s">
        <v>783</v>
      </c>
      <c r="B4521" s="26" t="str">
        <f>MID(tbl_forecast[[#This Row],[PACE Job Number]],3,3)</f>
        <v>NTX</v>
      </c>
      <c r="C4521" t="s">
        <v>15</v>
      </c>
      <c r="D4521" s="1">
        <v>43430</v>
      </c>
      <c r="E4521" s="1">
        <v>36524</v>
      </c>
      <c r="F4521" s="1">
        <v>43495</v>
      </c>
      <c r="G4521" s="1"/>
      <c r="H4521" t="s">
        <v>4664</v>
      </c>
      <c r="I4521" t="s">
        <v>4666</v>
      </c>
    </row>
    <row r="4522" spans="1:9" x14ac:dyDescent="0.25">
      <c r="A4522" t="s">
        <v>4451</v>
      </c>
      <c r="B4522" s="26" t="str">
        <f>MID(tbl_forecast[[#This Row],[PACE Job Number]],3,3)</f>
        <v>NTX</v>
      </c>
      <c r="C4522" t="s">
        <v>15</v>
      </c>
      <c r="D4522" s="1">
        <v>43414</v>
      </c>
      <c r="E4522" s="1">
        <v>43513</v>
      </c>
      <c r="F4522" s="1">
        <v>43524</v>
      </c>
      <c r="G4522" s="1"/>
      <c r="H4522" t="s">
        <v>4664</v>
      </c>
      <c r="I4522" t="s">
        <v>5645</v>
      </c>
    </row>
    <row r="4523" spans="1:9" x14ac:dyDescent="0.25">
      <c r="A4523" t="s">
        <v>230</v>
      </c>
      <c r="B4523" s="26" t="str">
        <f>MID(tbl_forecast[[#This Row],[PACE Job Number]],3,3)</f>
        <v>NTX</v>
      </c>
      <c r="C4523" t="s">
        <v>15</v>
      </c>
      <c r="D4523" s="1">
        <v>43432</v>
      </c>
      <c r="E4523" s="1">
        <v>43432</v>
      </c>
      <c r="F4523" s="1">
        <v>43431</v>
      </c>
      <c r="G4523" s="1">
        <v>43431</v>
      </c>
      <c r="H4523" t="s">
        <v>9</v>
      </c>
      <c r="I4523" t="s">
        <v>10</v>
      </c>
    </row>
    <row r="4524" spans="1:9" x14ac:dyDescent="0.25">
      <c r="A4524" t="s">
        <v>392</v>
      </c>
      <c r="B4524" s="26" t="str">
        <f>MID(tbl_forecast[[#This Row],[PACE Job Number]],3,3)</f>
        <v>NTX</v>
      </c>
      <c r="C4524" t="s">
        <v>15</v>
      </c>
      <c r="D4524" s="1">
        <v>43431</v>
      </c>
      <c r="E4524" s="1">
        <v>43397</v>
      </c>
      <c r="F4524" s="1">
        <v>43495</v>
      </c>
      <c r="G4524" s="1"/>
      <c r="H4524" t="s">
        <v>4664</v>
      </c>
      <c r="I4524" t="s">
        <v>4666</v>
      </c>
    </row>
    <row r="4525" spans="1:9" x14ac:dyDescent="0.25">
      <c r="A4525" t="s">
        <v>4552</v>
      </c>
      <c r="B4525" s="26" t="str">
        <f>MID(tbl_forecast[[#This Row],[PACE Job Number]],3,3)</f>
        <v>NTX</v>
      </c>
      <c r="C4525" t="s">
        <v>15</v>
      </c>
      <c r="D4525" s="1">
        <v>43413</v>
      </c>
      <c r="E4525" s="1">
        <v>43418</v>
      </c>
      <c r="F4525" s="1">
        <v>43417</v>
      </c>
      <c r="G4525" s="1">
        <v>43417</v>
      </c>
      <c r="H4525" t="s">
        <v>9</v>
      </c>
      <c r="I4525" t="s">
        <v>10</v>
      </c>
    </row>
    <row r="4526" spans="1:9" x14ac:dyDescent="0.25">
      <c r="A4526" t="s">
        <v>2156</v>
      </c>
      <c r="B4526" s="26" t="str">
        <f>MID(tbl_forecast[[#This Row],[PACE Job Number]],3,3)</f>
        <v>NTX</v>
      </c>
      <c r="C4526" t="s">
        <v>15</v>
      </c>
      <c r="D4526" s="1">
        <v>43417</v>
      </c>
      <c r="E4526" s="1">
        <v>36524</v>
      </c>
      <c r="F4526" s="1">
        <v>43418</v>
      </c>
      <c r="G4526" s="1">
        <v>43418</v>
      </c>
      <c r="H4526" t="s">
        <v>9</v>
      </c>
      <c r="I4526" t="s">
        <v>10</v>
      </c>
    </row>
    <row r="4527" spans="1:9" x14ac:dyDescent="0.25">
      <c r="A4527" t="s">
        <v>3887</v>
      </c>
      <c r="B4527" s="26" t="str">
        <f>MID(tbl_forecast[[#This Row],[PACE Job Number]],3,3)</f>
        <v>NTX</v>
      </c>
      <c r="C4527" t="s">
        <v>15</v>
      </c>
      <c r="D4527" s="1">
        <v>43413</v>
      </c>
      <c r="E4527" s="1">
        <v>43413</v>
      </c>
      <c r="F4527" s="1">
        <v>43417</v>
      </c>
      <c r="G4527" s="1">
        <v>43417</v>
      </c>
      <c r="H4527" t="s">
        <v>9</v>
      </c>
      <c r="I4527" t="s">
        <v>10</v>
      </c>
    </row>
    <row r="4528" spans="1:9" x14ac:dyDescent="0.25">
      <c r="A4528" t="s">
        <v>4553</v>
      </c>
      <c r="B4528" s="26" t="str">
        <f>MID(tbl_forecast[[#This Row],[PACE Job Number]],3,3)</f>
        <v>NTX</v>
      </c>
      <c r="C4528" t="s">
        <v>15</v>
      </c>
      <c r="D4528" s="1">
        <v>43413</v>
      </c>
      <c r="E4528" s="1">
        <v>43418</v>
      </c>
      <c r="F4528" s="1">
        <v>43417</v>
      </c>
      <c r="G4528" s="1">
        <v>43417</v>
      </c>
      <c r="H4528" t="s">
        <v>9</v>
      </c>
      <c r="I4528" t="s">
        <v>10</v>
      </c>
    </row>
    <row r="4529" spans="1:9" x14ac:dyDescent="0.25">
      <c r="A4529" t="s">
        <v>3888</v>
      </c>
      <c r="B4529" s="26" t="str">
        <f>MID(tbl_forecast[[#This Row],[PACE Job Number]],3,3)</f>
        <v>NTX</v>
      </c>
      <c r="C4529" t="s">
        <v>15</v>
      </c>
      <c r="D4529" s="1">
        <v>43413</v>
      </c>
      <c r="E4529" s="1">
        <v>43414</v>
      </c>
      <c r="F4529" s="1">
        <v>43412</v>
      </c>
      <c r="G4529" s="1">
        <v>43412</v>
      </c>
      <c r="H4529" t="s">
        <v>9</v>
      </c>
      <c r="I4529" t="s">
        <v>10</v>
      </c>
    </row>
    <row r="4530" spans="1:9" x14ac:dyDescent="0.25">
      <c r="A4530" t="s">
        <v>2157</v>
      </c>
      <c r="B4530" s="26" t="str">
        <f>MID(tbl_forecast[[#This Row],[PACE Job Number]],3,3)</f>
        <v>NTX</v>
      </c>
      <c r="C4530" t="s">
        <v>15</v>
      </c>
      <c r="D4530" s="1">
        <v>43417</v>
      </c>
      <c r="E4530" s="1">
        <v>36524</v>
      </c>
      <c r="F4530" s="1">
        <v>43418</v>
      </c>
      <c r="G4530" s="1">
        <v>43418</v>
      </c>
      <c r="H4530" t="s">
        <v>9</v>
      </c>
      <c r="I4530" t="s">
        <v>10</v>
      </c>
    </row>
    <row r="4531" spans="1:9" x14ac:dyDescent="0.25">
      <c r="A4531" t="s">
        <v>2158</v>
      </c>
      <c r="B4531" s="26" t="str">
        <f>MID(tbl_forecast[[#This Row],[PACE Job Number]],3,3)</f>
        <v>NTX</v>
      </c>
      <c r="C4531" t="s">
        <v>15</v>
      </c>
      <c r="D4531" s="1">
        <v>43417</v>
      </c>
      <c r="E4531" s="1">
        <v>36524</v>
      </c>
      <c r="F4531" s="1">
        <v>43418</v>
      </c>
      <c r="G4531" s="1">
        <v>43418</v>
      </c>
      <c r="H4531" t="s">
        <v>9</v>
      </c>
      <c r="I4531" t="s">
        <v>10</v>
      </c>
    </row>
    <row r="4532" spans="1:9" x14ac:dyDescent="0.25">
      <c r="A4532" t="s">
        <v>245</v>
      </c>
      <c r="B4532" s="26" t="str">
        <f>MID(tbl_forecast[[#This Row],[PACE Job Number]],3,3)</f>
        <v>NTX</v>
      </c>
      <c r="C4532" t="s">
        <v>15</v>
      </c>
      <c r="D4532" s="1">
        <v>43413</v>
      </c>
      <c r="E4532" s="1">
        <v>43397</v>
      </c>
      <c r="F4532" s="1">
        <v>43464</v>
      </c>
      <c r="G4532" s="1"/>
      <c r="H4532" t="s">
        <v>4664</v>
      </c>
      <c r="I4532" t="s">
        <v>4666</v>
      </c>
    </row>
    <row r="4533" spans="1:9" x14ac:dyDescent="0.25">
      <c r="A4533" t="s">
        <v>3894</v>
      </c>
      <c r="B4533" s="26" t="str">
        <f>MID(tbl_forecast[[#This Row],[PACE Job Number]],3,3)</f>
        <v>NTX</v>
      </c>
      <c r="C4533" t="s">
        <v>15</v>
      </c>
      <c r="D4533" s="1">
        <v>43413</v>
      </c>
      <c r="E4533" s="1">
        <v>43413</v>
      </c>
      <c r="F4533" s="1">
        <v>43417</v>
      </c>
      <c r="G4533" s="1">
        <v>43417</v>
      </c>
      <c r="H4533" t="s">
        <v>9</v>
      </c>
      <c r="I4533" t="s">
        <v>10</v>
      </c>
    </row>
    <row r="4534" spans="1:9" x14ac:dyDescent="0.25">
      <c r="A4534" t="s">
        <v>3895</v>
      </c>
      <c r="B4534" s="26" t="str">
        <f>MID(tbl_forecast[[#This Row],[PACE Job Number]],3,3)</f>
        <v>NTX</v>
      </c>
      <c r="C4534" t="s">
        <v>15</v>
      </c>
      <c r="D4534" s="1">
        <v>43413</v>
      </c>
      <c r="E4534" s="1">
        <v>43413</v>
      </c>
      <c r="F4534" s="1">
        <v>43417</v>
      </c>
      <c r="G4534" s="1">
        <v>43417</v>
      </c>
      <c r="H4534" t="s">
        <v>9</v>
      </c>
      <c r="I4534" t="s">
        <v>10</v>
      </c>
    </row>
    <row r="4535" spans="1:9" x14ac:dyDescent="0.25">
      <c r="A4535" t="s">
        <v>4453</v>
      </c>
      <c r="B4535" s="26" t="str">
        <f>MID(tbl_forecast[[#This Row],[PACE Job Number]],3,3)</f>
        <v>NTX</v>
      </c>
      <c r="C4535" t="s">
        <v>15</v>
      </c>
      <c r="D4535" s="1">
        <v>43407</v>
      </c>
      <c r="E4535" s="1">
        <v>43542</v>
      </c>
      <c r="F4535" s="1">
        <v>43554</v>
      </c>
      <c r="G4535" s="1"/>
      <c r="H4535" t="s">
        <v>4664</v>
      </c>
      <c r="I4535" t="s">
        <v>5645</v>
      </c>
    </row>
    <row r="4536" spans="1:9" x14ac:dyDescent="0.25">
      <c r="A4536" t="s">
        <v>3896</v>
      </c>
      <c r="B4536" s="26" t="str">
        <f>MID(tbl_forecast[[#This Row],[PACE Job Number]],3,3)</f>
        <v>NTX</v>
      </c>
      <c r="C4536" t="s">
        <v>15</v>
      </c>
      <c r="D4536" s="1">
        <v>43413</v>
      </c>
      <c r="E4536" s="1">
        <v>43413</v>
      </c>
      <c r="F4536" s="1">
        <v>43417</v>
      </c>
      <c r="G4536" s="1">
        <v>43417</v>
      </c>
      <c r="H4536" t="s">
        <v>9</v>
      </c>
      <c r="I4536" t="s">
        <v>10</v>
      </c>
    </row>
    <row r="4537" spans="1:9" x14ac:dyDescent="0.25">
      <c r="A4537" t="s">
        <v>3533</v>
      </c>
      <c r="B4537" s="26" t="str">
        <f>MID(tbl_forecast[[#This Row],[PACE Job Number]],3,3)</f>
        <v>NTX</v>
      </c>
      <c r="C4537" t="s">
        <v>15</v>
      </c>
      <c r="D4537" s="1">
        <v>43413</v>
      </c>
      <c r="E4537" s="1">
        <v>43414</v>
      </c>
      <c r="F4537" s="1">
        <v>43412</v>
      </c>
      <c r="G4537" s="1">
        <v>43412</v>
      </c>
      <c r="H4537" t="s">
        <v>9</v>
      </c>
      <c r="I4537" t="s">
        <v>10</v>
      </c>
    </row>
    <row r="4538" spans="1:9" x14ac:dyDescent="0.25">
      <c r="A4538" t="s">
        <v>5382</v>
      </c>
      <c r="B4538" s="26" t="str">
        <f>MID(tbl_forecast[[#This Row],[PACE Job Number]],3,3)</f>
        <v>NTX</v>
      </c>
      <c r="C4538" t="s">
        <v>15</v>
      </c>
      <c r="D4538" s="1">
        <v>43413</v>
      </c>
      <c r="E4538" s="1">
        <v>43515</v>
      </c>
      <c r="F4538" s="1">
        <v>43495</v>
      </c>
      <c r="G4538" s="1"/>
      <c r="H4538" t="s">
        <v>4664</v>
      </c>
      <c r="I4538" t="s">
        <v>5645</v>
      </c>
    </row>
    <row r="4539" spans="1:9" x14ac:dyDescent="0.25">
      <c r="A4539" t="s">
        <v>435</v>
      </c>
      <c r="B4539" s="26" t="str">
        <f>MID(tbl_forecast[[#This Row],[PACE Job Number]],3,3)</f>
        <v>NTX</v>
      </c>
      <c r="C4539" t="s">
        <v>15</v>
      </c>
      <c r="D4539" s="1">
        <v>43431</v>
      </c>
      <c r="E4539" s="1">
        <v>43397</v>
      </c>
      <c r="F4539" s="1">
        <v>43495</v>
      </c>
      <c r="G4539" s="1"/>
      <c r="H4539" t="s">
        <v>4664</v>
      </c>
      <c r="I4539" t="s">
        <v>4666</v>
      </c>
    </row>
    <row r="4540" spans="1:9" x14ac:dyDescent="0.25">
      <c r="A4540" t="s">
        <v>4632</v>
      </c>
      <c r="B4540" s="26" t="str">
        <f>MID(tbl_forecast[[#This Row],[PACE Job Number]],3,3)</f>
        <v>NTX</v>
      </c>
      <c r="C4540" t="s">
        <v>15</v>
      </c>
      <c r="D4540" s="1">
        <v>43430</v>
      </c>
      <c r="E4540" s="1">
        <v>43379</v>
      </c>
      <c r="F4540" s="1">
        <v>43464</v>
      </c>
      <c r="G4540" s="1"/>
      <c r="H4540" t="s">
        <v>4664</v>
      </c>
      <c r="I4540" t="s">
        <v>4666</v>
      </c>
    </row>
    <row r="4541" spans="1:9" x14ac:dyDescent="0.25">
      <c r="A4541" t="s">
        <v>3459</v>
      </c>
      <c r="B4541" s="26" t="str">
        <f>MID(tbl_forecast[[#This Row],[PACE Job Number]],3,3)</f>
        <v>NTX</v>
      </c>
      <c r="C4541" t="s">
        <v>15</v>
      </c>
      <c r="D4541" s="1">
        <v>43427</v>
      </c>
      <c r="E4541" s="1">
        <v>43427</v>
      </c>
      <c r="F4541" s="1">
        <v>43432</v>
      </c>
      <c r="G4541" s="1">
        <v>43432</v>
      </c>
      <c r="H4541" t="s">
        <v>9</v>
      </c>
      <c r="I4541" t="s">
        <v>10</v>
      </c>
    </row>
    <row r="4542" spans="1:9" x14ac:dyDescent="0.25">
      <c r="A4542" t="s">
        <v>2442</v>
      </c>
      <c r="B4542" s="26" t="str">
        <f>MID(tbl_forecast[[#This Row],[PACE Job Number]],3,3)</f>
        <v>NTX</v>
      </c>
      <c r="C4542" t="s">
        <v>15</v>
      </c>
      <c r="D4542" s="1">
        <v>43407</v>
      </c>
      <c r="E4542" s="1">
        <v>43523</v>
      </c>
      <c r="F4542" s="1">
        <v>43524</v>
      </c>
      <c r="G4542" s="1"/>
      <c r="H4542" t="s">
        <v>4664</v>
      </c>
      <c r="I4542" t="s">
        <v>5645</v>
      </c>
    </row>
    <row r="4543" spans="1:9" x14ac:dyDescent="0.25">
      <c r="A4543" t="s">
        <v>774</v>
      </c>
      <c r="B4543" s="26" t="str">
        <f>MID(tbl_forecast[[#This Row],[PACE Job Number]],3,3)</f>
        <v>NTX</v>
      </c>
      <c r="C4543" t="s">
        <v>15</v>
      </c>
      <c r="D4543" s="1">
        <v>43413</v>
      </c>
      <c r="E4543" s="1">
        <v>43413</v>
      </c>
      <c r="F4543" s="1">
        <v>43417</v>
      </c>
      <c r="G4543" s="1">
        <v>43417</v>
      </c>
      <c r="H4543" t="s">
        <v>9</v>
      </c>
      <c r="I4543" t="s">
        <v>10</v>
      </c>
    </row>
    <row r="4544" spans="1:9" x14ac:dyDescent="0.25">
      <c r="A4544" t="s">
        <v>4633</v>
      </c>
      <c r="B4544" s="26" t="str">
        <f>MID(tbl_forecast[[#This Row],[PACE Job Number]],3,3)</f>
        <v>NTX</v>
      </c>
      <c r="C4544" t="s">
        <v>15</v>
      </c>
      <c r="D4544" s="1">
        <v>43429</v>
      </c>
      <c r="E4544" s="1">
        <v>36524</v>
      </c>
      <c r="F4544" s="1">
        <v>43464</v>
      </c>
      <c r="G4544" s="1"/>
      <c r="H4544" t="s">
        <v>4664</v>
      </c>
      <c r="I4544" t="s">
        <v>4666</v>
      </c>
    </row>
    <row r="4545" spans="1:9" x14ac:dyDescent="0.25">
      <c r="A4545" t="s">
        <v>2444</v>
      </c>
      <c r="B4545" s="26" t="str">
        <f>MID(tbl_forecast[[#This Row],[PACE Job Number]],3,3)</f>
        <v>NTX</v>
      </c>
      <c r="C4545" t="s">
        <v>15</v>
      </c>
      <c r="D4545" s="1">
        <v>43407</v>
      </c>
      <c r="E4545" s="1">
        <v>43523</v>
      </c>
      <c r="F4545" s="1">
        <v>43524</v>
      </c>
      <c r="G4545" s="1"/>
      <c r="H4545" t="s">
        <v>4664</v>
      </c>
      <c r="I4545" t="s">
        <v>5645</v>
      </c>
    </row>
    <row r="4546" spans="1:9" x14ac:dyDescent="0.25">
      <c r="A4546" t="s">
        <v>2445</v>
      </c>
      <c r="B4546" s="26" t="str">
        <f>MID(tbl_forecast[[#This Row],[PACE Job Number]],3,3)</f>
        <v>NTX</v>
      </c>
      <c r="C4546" t="s">
        <v>15</v>
      </c>
      <c r="D4546" s="1">
        <v>43407</v>
      </c>
      <c r="E4546" s="1">
        <v>43523</v>
      </c>
      <c r="F4546" s="1">
        <v>43524</v>
      </c>
      <c r="G4546" s="1"/>
      <c r="H4546" t="s">
        <v>4664</v>
      </c>
      <c r="I4546" t="s">
        <v>5645</v>
      </c>
    </row>
    <row r="4547" spans="1:9" x14ac:dyDescent="0.25">
      <c r="A4547" t="s">
        <v>3897</v>
      </c>
      <c r="B4547" s="26" t="str">
        <f>MID(tbl_forecast[[#This Row],[PACE Job Number]],3,3)</f>
        <v>NTX</v>
      </c>
      <c r="C4547" t="s">
        <v>15</v>
      </c>
      <c r="D4547" s="1">
        <v>43429</v>
      </c>
      <c r="E4547" s="1">
        <v>43536</v>
      </c>
      <c r="F4547" s="1">
        <v>43524</v>
      </c>
      <c r="G4547" s="1"/>
      <c r="H4547" t="s">
        <v>4664</v>
      </c>
      <c r="I4547" t="s">
        <v>4665</v>
      </c>
    </row>
    <row r="4548" spans="1:9" x14ac:dyDescent="0.25">
      <c r="A4548" t="s">
        <v>3375</v>
      </c>
      <c r="B4548" s="26" t="str">
        <f>MID(tbl_forecast[[#This Row],[PACE Job Number]],3,3)</f>
        <v>NTX</v>
      </c>
      <c r="C4548" t="s">
        <v>15</v>
      </c>
      <c r="D4548" s="1">
        <v>43431</v>
      </c>
      <c r="E4548" s="1">
        <v>43431</v>
      </c>
      <c r="F4548" s="1">
        <v>43495</v>
      </c>
      <c r="G4548" s="1"/>
      <c r="H4548" t="s">
        <v>4664</v>
      </c>
      <c r="I4548" t="s">
        <v>4666</v>
      </c>
    </row>
    <row r="4549" spans="1:9" x14ac:dyDescent="0.25">
      <c r="A4549" t="s">
        <v>4461</v>
      </c>
      <c r="B4549" s="26" t="str">
        <f>MID(tbl_forecast[[#This Row],[PACE Job Number]],3,3)</f>
        <v>NTX</v>
      </c>
      <c r="C4549" t="s">
        <v>15</v>
      </c>
      <c r="D4549" s="1">
        <v>43430</v>
      </c>
      <c r="E4549" s="1">
        <v>43517</v>
      </c>
      <c r="F4549" s="1">
        <v>43524</v>
      </c>
      <c r="G4549" s="1"/>
      <c r="H4549" t="s">
        <v>4664</v>
      </c>
      <c r="I4549" t="s">
        <v>4665</v>
      </c>
    </row>
    <row r="4550" spans="1:9" x14ac:dyDescent="0.25">
      <c r="A4550" t="s">
        <v>3449</v>
      </c>
      <c r="B4550" s="26" t="str">
        <f>MID(tbl_forecast[[#This Row],[PACE Job Number]],3,3)</f>
        <v>NTX</v>
      </c>
      <c r="C4550" t="s">
        <v>15</v>
      </c>
      <c r="D4550" s="1">
        <v>43413</v>
      </c>
      <c r="E4550" s="1">
        <v>43413</v>
      </c>
      <c r="F4550" s="1">
        <v>43412</v>
      </c>
      <c r="G4550" s="1">
        <v>43412</v>
      </c>
      <c r="H4550" t="s">
        <v>9</v>
      </c>
      <c r="I4550" t="s">
        <v>10</v>
      </c>
    </row>
    <row r="4551" spans="1:9" x14ac:dyDescent="0.25">
      <c r="A4551" t="s">
        <v>3969</v>
      </c>
      <c r="B4551" s="26" t="str">
        <f>MID(tbl_forecast[[#This Row],[PACE Job Number]],3,3)</f>
        <v>NTX</v>
      </c>
      <c r="C4551" t="s">
        <v>15</v>
      </c>
      <c r="D4551" s="1">
        <v>43431</v>
      </c>
      <c r="E4551" s="1">
        <v>43396</v>
      </c>
      <c r="F4551" s="1">
        <v>43495</v>
      </c>
      <c r="G4551" s="1"/>
      <c r="H4551" t="s">
        <v>4664</v>
      </c>
      <c r="I4551" t="s">
        <v>4666</v>
      </c>
    </row>
    <row r="4552" spans="1:9" x14ac:dyDescent="0.25">
      <c r="A4552" t="s">
        <v>1891</v>
      </c>
      <c r="B4552" s="26" t="str">
        <f>MID(tbl_forecast[[#This Row],[PACE Job Number]],3,3)</f>
        <v>NTX</v>
      </c>
      <c r="C4552" t="s">
        <v>15</v>
      </c>
      <c r="D4552" s="1">
        <v>43427</v>
      </c>
      <c r="E4552" s="1">
        <v>43510</v>
      </c>
      <c r="F4552" s="1">
        <v>43524</v>
      </c>
      <c r="G4552" s="1"/>
      <c r="H4552" t="s">
        <v>4664</v>
      </c>
      <c r="I4552" t="s">
        <v>4665</v>
      </c>
    </row>
    <row r="4553" spans="1:9" x14ac:dyDescent="0.25">
      <c r="A4553" t="s">
        <v>792</v>
      </c>
      <c r="B4553" s="26" t="str">
        <f>MID(tbl_forecast[[#This Row],[PACE Job Number]],3,3)</f>
        <v>NTX</v>
      </c>
      <c r="C4553" t="s">
        <v>15</v>
      </c>
      <c r="D4553" s="1">
        <v>43413</v>
      </c>
      <c r="E4553" s="1">
        <v>43413</v>
      </c>
      <c r="F4553" s="1">
        <v>43464</v>
      </c>
      <c r="G4553" s="1"/>
      <c r="H4553" t="s">
        <v>4664</v>
      </c>
      <c r="I4553" t="s">
        <v>4666</v>
      </c>
    </row>
    <row r="4554" spans="1:9" x14ac:dyDescent="0.25">
      <c r="A4554" t="s">
        <v>3885</v>
      </c>
      <c r="B4554" s="26" t="str">
        <f>MID(tbl_forecast[[#This Row],[PACE Job Number]],3,3)</f>
        <v>NTX</v>
      </c>
      <c r="C4554" t="s">
        <v>15</v>
      </c>
      <c r="D4554" s="1">
        <v>43413</v>
      </c>
      <c r="E4554" s="1">
        <v>43413</v>
      </c>
      <c r="F4554" s="1">
        <v>43412</v>
      </c>
      <c r="G4554" s="1">
        <v>43412</v>
      </c>
      <c r="H4554" t="s">
        <v>9</v>
      </c>
      <c r="I4554" t="s">
        <v>10</v>
      </c>
    </row>
    <row r="4555" spans="1:9" x14ac:dyDescent="0.25">
      <c r="A4555" t="s">
        <v>3506</v>
      </c>
      <c r="B4555" s="26" t="str">
        <f>MID(tbl_forecast[[#This Row],[PACE Job Number]],3,3)</f>
        <v>NTX</v>
      </c>
      <c r="C4555" t="s">
        <v>15</v>
      </c>
      <c r="D4555" s="1">
        <v>43419</v>
      </c>
      <c r="E4555" s="1">
        <v>43510</v>
      </c>
      <c r="F4555" s="1">
        <v>43524</v>
      </c>
      <c r="G4555" s="1"/>
      <c r="H4555" t="s">
        <v>4664</v>
      </c>
      <c r="I4555" t="s">
        <v>5645</v>
      </c>
    </row>
    <row r="4556" spans="1:9" x14ac:dyDescent="0.25">
      <c r="A4556" t="s">
        <v>3886</v>
      </c>
      <c r="B4556" s="26" t="str">
        <f>MID(tbl_forecast[[#This Row],[PACE Job Number]],3,3)</f>
        <v>NTX</v>
      </c>
      <c r="C4556" t="s">
        <v>15</v>
      </c>
      <c r="D4556" s="1">
        <v>43425</v>
      </c>
      <c r="E4556" s="1">
        <v>43425</v>
      </c>
      <c r="F4556" s="1">
        <v>43495</v>
      </c>
      <c r="G4556" s="1"/>
      <c r="H4556" t="s">
        <v>4664</v>
      </c>
      <c r="I4556" t="s">
        <v>4666</v>
      </c>
    </row>
    <row r="4557" spans="1:9" x14ac:dyDescent="0.25">
      <c r="A4557" t="s">
        <v>700</v>
      </c>
      <c r="B4557" s="26" t="str">
        <f>MID(tbl_forecast[[#This Row],[PACE Job Number]],3,3)</f>
        <v>NTX</v>
      </c>
      <c r="C4557" t="s">
        <v>15</v>
      </c>
      <c r="D4557" s="1">
        <v>43406</v>
      </c>
      <c r="E4557" s="1">
        <v>43422</v>
      </c>
      <c r="F4557" s="1">
        <v>43406</v>
      </c>
      <c r="G4557" s="1">
        <v>43406</v>
      </c>
      <c r="H4557" t="s">
        <v>9</v>
      </c>
      <c r="I4557" t="s">
        <v>10</v>
      </c>
    </row>
    <row r="4558" spans="1:9" x14ac:dyDescent="0.25">
      <c r="A4558" t="s">
        <v>3970</v>
      </c>
      <c r="B4558" s="26" t="str">
        <f>MID(tbl_forecast[[#This Row],[PACE Job Number]],3,3)</f>
        <v>NTX</v>
      </c>
      <c r="C4558" t="s">
        <v>15</v>
      </c>
      <c r="D4558" s="1">
        <v>43431</v>
      </c>
      <c r="E4558" s="1">
        <v>43396</v>
      </c>
      <c r="F4558" s="1">
        <v>43495</v>
      </c>
      <c r="G4558" s="1"/>
      <c r="H4558" t="s">
        <v>4664</v>
      </c>
      <c r="I4558" t="s">
        <v>4666</v>
      </c>
    </row>
    <row r="4559" spans="1:9" x14ac:dyDescent="0.25">
      <c r="A4559" t="s">
        <v>1892</v>
      </c>
      <c r="B4559" s="26" t="str">
        <f>MID(tbl_forecast[[#This Row],[PACE Job Number]],3,3)</f>
        <v>NTX</v>
      </c>
      <c r="C4559" t="s">
        <v>15</v>
      </c>
      <c r="D4559" s="1">
        <v>43427</v>
      </c>
      <c r="E4559" s="1">
        <v>43510</v>
      </c>
      <c r="F4559" s="1">
        <v>43524</v>
      </c>
      <c r="G4559" s="1"/>
      <c r="H4559" t="s">
        <v>4664</v>
      </c>
      <c r="I4559" t="s">
        <v>4665</v>
      </c>
    </row>
    <row r="4560" spans="1:9" x14ac:dyDescent="0.25">
      <c r="A4560" t="s">
        <v>3437</v>
      </c>
      <c r="B4560" s="26" t="str">
        <f>MID(tbl_forecast[[#This Row],[PACE Job Number]],3,3)</f>
        <v>NTX</v>
      </c>
      <c r="C4560" t="s">
        <v>15</v>
      </c>
      <c r="D4560" s="1">
        <v>43413</v>
      </c>
      <c r="E4560" s="1">
        <v>43397</v>
      </c>
      <c r="F4560" s="1">
        <v>43464</v>
      </c>
      <c r="G4560" s="1"/>
      <c r="H4560" t="s">
        <v>4664</v>
      </c>
      <c r="I4560" t="s">
        <v>4666</v>
      </c>
    </row>
    <row r="4561" spans="1:9" x14ac:dyDescent="0.25">
      <c r="A4561" t="s">
        <v>614</v>
      </c>
      <c r="B4561" s="26" t="str">
        <f>MID(tbl_forecast[[#This Row],[PACE Job Number]],3,3)</f>
        <v>NTX</v>
      </c>
      <c r="C4561" t="s">
        <v>15</v>
      </c>
      <c r="D4561" s="1">
        <v>43413</v>
      </c>
      <c r="E4561" s="1">
        <v>43413</v>
      </c>
      <c r="F4561" s="1">
        <v>43432</v>
      </c>
      <c r="G4561" s="1">
        <v>43432</v>
      </c>
      <c r="H4561" t="s">
        <v>4664</v>
      </c>
      <c r="I4561" t="s">
        <v>10</v>
      </c>
    </row>
    <row r="4562" spans="1:9" x14ac:dyDescent="0.25">
      <c r="A4562" t="s">
        <v>5640</v>
      </c>
      <c r="B4562" s="26" t="str">
        <f>MID(tbl_forecast[[#This Row],[PACE Job Number]],3,3)</f>
        <v>NTX</v>
      </c>
      <c r="C4562" t="s">
        <v>15</v>
      </c>
      <c r="D4562" s="1">
        <v>43407</v>
      </c>
      <c r="E4562" s="1">
        <v>43482</v>
      </c>
      <c r="F4562" s="1">
        <v>43432</v>
      </c>
      <c r="G4562" s="1">
        <v>43432</v>
      </c>
      <c r="H4562" t="s">
        <v>4664</v>
      </c>
      <c r="I4562" t="s">
        <v>10</v>
      </c>
    </row>
    <row r="4563" spans="1:9" x14ac:dyDescent="0.25">
      <c r="A4563" t="s">
        <v>643</v>
      </c>
      <c r="B4563" s="26" t="str">
        <f>MID(tbl_forecast[[#This Row],[PACE Job Number]],3,3)</f>
        <v>NTX</v>
      </c>
      <c r="C4563" t="s">
        <v>15</v>
      </c>
      <c r="D4563" s="1">
        <v>43413</v>
      </c>
      <c r="E4563" s="1">
        <v>43413</v>
      </c>
      <c r="F4563" s="1">
        <v>43417</v>
      </c>
      <c r="G4563" s="1">
        <v>43417</v>
      </c>
      <c r="H4563" t="s">
        <v>9</v>
      </c>
      <c r="I4563" t="s">
        <v>10</v>
      </c>
    </row>
    <row r="4564" spans="1:9" x14ac:dyDescent="0.25">
      <c r="A4564" t="s">
        <v>4439</v>
      </c>
      <c r="B4564" s="26" t="str">
        <f>MID(tbl_forecast[[#This Row],[PACE Job Number]],3,3)</f>
        <v>NTX</v>
      </c>
      <c r="C4564" t="s">
        <v>15</v>
      </c>
      <c r="D4564" s="1">
        <v>43412</v>
      </c>
      <c r="E4564" s="1">
        <v>43459</v>
      </c>
      <c r="F4564" s="1">
        <v>43495</v>
      </c>
      <c r="G4564" s="1"/>
      <c r="H4564" t="s">
        <v>4664</v>
      </c>
      <c r="I4564" t="s">
        <v>5645</v>
      </c>
    </row>
    <row r="4565" spans="1:9" x14ac:dyDescent="0.25">
      <c r="A4565" t="s">
        <v>1729</v>
      </c>
      <c r="B4565" s="26" t="str">
        <f>MID(tbl_forecast[[#This Row],[PACE Job Number]],3,3)</f>
        <v>NTX</v>
      </c>
      <c r="C4565" t="s">
        <v>15</v>
      </c>
      <c r="D4565" s="1">
        <v>43425</v>
      </c>
      <c r="E4565" s="1">
        <v>43425</v>
      </c>
      <c r="F4565" s="1">
        <v>43464</v>
      </c>
      <c r="G4565" s="1"/>
      <c r="H4565" t="s">
        <v>4664</v>
      </c>
      <c r="I4565" t="s">
        <v>4666</v>
      </c>
    </row>
    <row r="4566" spans="1:9" x14ac:dyDescent="0.25">
      <c r="A4566" t="s">
        <v>3892</v>
      </c>
      <c r="B4566" s="26" t="str">
        <f>MID(tbl_forecast[[#This Row],[PACE Job Number]],3,3)</f>
        <v>NTX</v>
      </c>
      <c r="C4566" t="s">
        <v>15</v>
      </c>
      <c r="D4566" s="1">
        <v>43425</v>
      </c>
      <c r="E4566" s="1">
        <v>43425</v>
      </c>
      <c r="F4566" s="1">
        <v>43495</v>
      </c>
      <c r="G4566" s="1"/>
      <c r="H4566" t="s">
        <v>4664</v>
      </c>
      <c r="I4566" t="s">
        <v>4666</v>
      </c>
    </row>
    <row r="4567" spans="1:9" x14ac:dyDescent="0.25">
      <c r="A4567" t="s">
        <v>281</v>
      </c>
      <c r="B4567" s="26" t="str">
        <f>MID(tbl_forecast[[#This Row],[PACE Job Number]],3,3)</f>
        <v>NTX</v>
      </c>
      <c r="C4567" t="s">
        <v>15</v>
      </c>
      <c r="D4567" s="1">
        <v>43431</v>
      </c>
      <c r="E4567" s="1">
        <v>43431</v>
      </c>
      <c r="F4567" s="1">
        <v>43411</v>
      </c>
      <c r="G4567" s="1">
        <v>43411</v>
      </c>
      <c r="H4567" t="s">
        <v>9</v>
      </c>
      <c r="I4567" t="s">
        <v>10</v>
      </c>
    </row>
    <row r="4568" spans="1:9" x14ac:dyDescent="0.25">
      <c r="A4568" t="s">
        <v>1731</v>
      </c>
      <c r="B4568" s="26" t="str">
        <f>MID(tbl_forecast[[#This Row],[PACE Job Number]],3,3)</f>
        <v>NTX</v>
      </c>
      <c r="C4568" t="s">
        <v>15</v>
      </c>
      <c r="D4568" s="1">
        <v>43408</v>
      </c>
      <c r="E4568" s="1">
        <v>43517</v>
      </c>
      <c r="F4568" s="1">
        <v>43524</v>
      </c>
      <c r="G4568" s="1"/>
      <c r="H4568" t="s">
        <v>4664</v>
      </c>
      <c r="I4568" t="s">
        <v>5645</v>
      </c>
    </row>
    <row r="4569" spans="1:9" x14ac:dyDescent="0.25">
      <c r="A4569" t="s">
        <v>3454</v>
      </c>
      <c r="B4569" s="26" t="str">
        <f>MID(tbl_forecast[[#This Row],[PACE Job Number]],3,3)</f>
        <v>NTX</v>
      </c>
      <c r="C4569" t="s">
        <v>15</v>
      </c>
      <c r="D4569" s="1">
        <v>43413</v>
      </c>
      <c r="E4569" s="1">
        <v>43397</v>
      </c>
      <c r="F4569" s="1">
        <v>43464</v>
      </c>
      <c r="G4569" s="1"/>
      <c r="H4569" t="s">
        <v>4664</v>
      </c>
      <c r="I4569" t="s">
        <v>4666</v>
      </c>
    </row>
    <row r="4570" spans="1:9" x14ac:dyDescent="0.25">
      <c r="A4570" t="s">
        <v>1893</v>
      </c>
      <c r="B4570" s="26" t="str">
        <f>MID(tbl_forecast[[#This Row],[PACE Job Number]],3,3)</f>
        <v>NTX</v>
      </c>
      <c r="C4570" t="s">
        <v>15</v>
      </c>
      <c r="D4570" s="1">
        <v>43427</v>
      </c>
      <c r="E4570" s="1">
        <v>43510</v>
      </c>
      <c r="F4570" s="1">
        <v>43524</v>
      </c>
      <c r="G4570" s="1"/>
      <c r="H4570" t="s">
        <v>4664</v>
      </c>
      <c r="I4570" t="s">
        <v>4665</v>
      </c>
    </row>
    <row r="4571" spans="1:9" x14ac:dyDescent="0.25">
      <c r="A4571" t="s">
        <v>1894</v>
      </c>
      <c r="B4571" s="26" t="str">
        <f>MID(tbl_forecast[[#This Row],[PACE Job Number]],3,3)</f>
        <v>NTX</v>
      </c>
      <c r="C4571" t="s">
        <v>15</v>
      </c>
      <c r="D4571" s="1">
        <v>43427</v>
      </c>
      <c r="E4571" s="1">
        <v>43510</v>
      </c>
      <c r="F4571" s="1">
        <v>43524</v>
      </c>
      <c r="G4571" s="1"/>
      <c r="H4571" t="s">
        <v>4664</v>
      </c>
      <c r="I4571" t="s">
        <v>4665</v>
      </c>
    </row>
    <row r="4572" spans="1:9" x14ac:dyDescent="0.25">
      <c r="A4572" t="s">
        <v>3976</v>
      </c>
      <c r="B4572" s="26" t="str">
        <f>MID(tbl_forecast[[#This Row],[PACE Job Number]],3,3)</f>
        <v>NTX</v>
      </c>
      <c r="C4572" t="s">
        <v>15</v>
      </c>
      <c r="D4572" s="1">
        <v>43413</v>
      </c>
      <c r="E4572" s="1">
        <v>43396</v>
      </c>
      <c r="F4572" s="1">
        <v>43464</v>
      </c>
      <c r="G4572" s="1"/>
      <c r="H4572" t="s">
        <v>4664</v>
      </c>
      <c r="I4572" t="s">
        <v>4666</v>
      </c>
    </row>
    <row r="4573" spans="1:9" x14ac:dyDescent="0.25">
      <c r="A4573" t="s">
        <v>3893</v>
      </c>
      <c r="B4573" s="26" t="str">
        <f>MID(tbl_forecast[[#This Row],[PACE Job Number]],3,3)</f>
        <v>NTX</v>
      </c>
      <c r="C4573" t="s">
        <v>15</v>
      </c>
      <c r="D4573" s="1">
        <v>43425</v>
      </c>
      <c r="E4573" s="1">
        <v>43425</v>
      </c>
      <c r="F4573" s="1">
        <v>43495</v>
      </c>
      <c r="G4573" s="1"/>
      <c r="H4573" t="s">
        <v>4664</v>
      </c>
      <c r="I4573" t="s">
        <v>4666</v>
      </c>
    </row>
    <row r="4574" spans="1:9" x14ac:dyDescent="0.25">
      <c r="A4574" t="s">
        <v>229</v>
      </c>
      <c r="B4574" s="26" t="str">
        <f>MID(tbl_forecast[[#This Row],[PACE Job Number]],3,3)</f>
        <v>NTX</v>
      </c>
      <c r="C4574" t="s">
        <v>15</v>
      </c>
      <c r="D4574" s="1">
        <v>43426</v>
      </c>
      <c r="E4574" s="1">
        <v>43427</v>
      </c>
      <c r="F4574" s="1">
        <v>43495</v>
      </c>
      <c r="G4574" s="1"/>
      <c r="H4574" t="s">
        <v>4664</v>
      </c>
      <c r="I4574" t="s">
        <v>4666</v>
      </c>
    </row>
    <row r="4575" spans="1:9" x14ac:dyDescent="0.25">
      <c r="A4575" t="s">
        <v>1903</v>
      </c>
      <c r="B4575" s="26" t="str">
        <f>MID(tbl_forecast[[#This Row],[PACE Job Number]],3,3)</f>
        <v>NTX</v>
      </c>
      <c r="C4575" t="s">
        <v>15</v>
      </c>
      <c r="D4575" s="1">
        <v>43425</v>
      </c>
      <c r="E4575" s="1">
        <v>43421</v>
      </c>
      <c r="F4575" s="1">
        <v>43495</v>
      </c>
      <c r="G4575" s="1"/>
      <c r="H4575" t="s">
        <v>4664</v>
      </c>
      <c r="I4575" t="s">
        <v>4666</v>
      </c>
    </row>
    <row r="4576" spans="1:9" x14ac:dyDescent="0.25">
      <c r="A4576" t="s">
        <v>265</v>
      </c>
      <c r="B4576" s="26" t="str">
        <f>MID(tbl_forecast[[#This Row],[PACE Job Number]],3,3)</f>
        <v>NTX</v>
      </c>
      <c r="C4576" t="s">
        <v>15</v>
      </c>
      <c r="D4576" s="1">
        <v>43417</v>
      </c>
      <c r="E4576" s="1">
        <v>43417</v>
      </c>
      <c r="F4576" s="1">
        <v>43464</v>
      </c>
      <c r="G4576" s="1"/>
      <c r="H4576" t="s">
        <v>4664</v>
      </c>
      <c r="I4576" t="s">
        <v>4666</v>
      </c>
    </row>
    <row r="4577" spans="1:9" x14ac:dyDescent="0.25">
      <c r="A4577" t="s">
        <v>2413</v>
      </c>
      <c r="B4577" s="26" t="str">
        <f>MID(tbl_forecast[[#This Row],[PACE Job Number]],3,3)</f>
        <v>NTX</v>
      </c>
      <c r="C4577" t="s">
        <v>15</v>
      </c>
      <c r="D4577" s="1">
        <v>43417</v>
      </c>
      <c r="E4577" s="1">
        <v>43417</v>
      </c>
      <c r="F4577" s="1">
        <v>43524</v>
      </c>
      <c r="G4577" s="1"/>
      <c r="H4577" t="s">
        <v>4664</v>
      </c>
      <c r="I4577" t="s">
        <v>4666</v>
      </c>
    </row>
    <row r="4578" spans="1:9" x14ac:dyDescent="0.25">
      <c r="A4578" t="s">
        <v>2281</v>
      </c>
      <c r="B4578" s="26" t="str">
        <f>MID(tbl_forecast[[#This Row],[PACE Job Number]],3,3)</f>
        <v>NTX</v>
      </c>
      <c r="C4578" t="s">
        <v>15</v>
      </c>
      <c r="D4578" s="1">
        <v>43427</v>
      </c>
      <c r="E4578" s="1">
        <v>43414</v>
      </c>
      <c r="F4578" s="1">
        <v>43495</v>
      </c>
      <c r="G4578" s="1"/>
      <c r="H4578" t="s">
        <v>4664</v>
      </c>
      <c r="I4578" t="s">
        <v>4666</v>
      </c>
    </row>
    <row r="4579" spans="1:9" x14ac:dyDescent="0.25">
      <c r="A4579" t="s">
        <v>4542</v>
      </c>
      <c r="B4579" s="26" t="str">
        <f>MID(tbl_forecast[[#This Row],[PACE Job Number]],3,3)</f>
        <v>NTX</v>
      </c>
      <c r="C4579" t="s">
        <v>15</v>
      </c>
      <c r="D4579" s="1">
        <v>43425</v>
      </c>
      <c r="E4579" s="1">
        <v>43425</v>
      </c>
      <c r="F4579" s="1">
        <v>43464</v>
      </c>
      <c r="G4579" s="1"/>
      <c r="H4579" t="s">
        <v>4664</v>
      </c>
      <c r="I4579" t="s">
        <v>4666</v>
      </c>
    </row>
    <row r="4580" spans="1:9" x14ac:dyDescent="0.25">
      <c r="A4580" t="s">
        <v>4543</v>
      </c>
      <c r="B4580" s="26" t="str">
        <f>MID(tbl_forecast[[#This Row],[PACE Job Number]],3,3)</f>
        <v>NTX</v>
      </c>
      <c r="C4580" t="s">
        <v>15</v>
      </c>
      <c r="D4580" s="1">
        <v>43433</v>
      </c>
      <c r="E4580" s="1">
        <v>43433</v>
      </c>
      <c r="F4580" s="1">
        <v>43417</v>
      </c>
      <c r="G4580" s="1">
        <v>43417</v>
      </c>
      <c r="H4580" t="s">
        <v>9</v>
      </c>
      <c r="I4580" t="s">
        <v>10</v>
      </c>
    </row>
    <row r="4581" spans="1:9" x14ac:dyDescent="0.25">
      <c r="A4581" t="s">
        <v>1904</v>
      </c>
      <c r="B4581" s="26" t="str">
        <f>MID(tbl_forecast[[#This Row],[PACE Job Number]],3,3)</f>
        <v>NTX</v>
      </c>
      <c r="C4581" t="s">
        <v>15</v>
      </c>
      <c r="D4581" s="1">
        <v>43425</v>
      </c>
      <c r="E4581" s="1">
        <v>43421</v>
      </c>
      <c r="F4581" s="1">
        <v>43495</v>
      </c>
      <c r="G4581" s="1"/>
      <c r="H4581" t="s">
        <v>4664</v>
      </c>
      <c r="I4581" t="s">
        <v>4666</v>
      </c>
    </row>
    <row r="4582" spans="1:9" x14ac:dyDescent="0.25">
      <c r="A4582" t="s">
        <v>4026</v>
      </c>
      <c r="B4582" s="26" t="str">
        <f>MID(tbl_forecast[[#This Row],[PACE Job Number]],3,3)</f>
        <v>NTX</v>
      </c>
      <c r="C4582" t="s">
        <v>15</v>
      </c>
      <c r="D4582" s="1">
        <v>43417</v>
      </c>
      <c r="E4582" s="1">
        <v>43417</v>
      </c>
      <c r="F4582" s="1">
        <v>43464</v>
      </c>
      <c r="G4582" s="1"/>
      <c r="H4582" t="s">
        <v>4664</v>
      </c>
      <c r="I4582" t="s">
        <v>4666</v>
      </c>
    </row>
    <row r="4583" spans="1:9" x14ac:dyDescent="0.25">
      <c r="A4583" t="s">
        <v>2415</v>
      </c>
      <c r="B4583" s="26" t="str">
        <f>MID(tbl_forecast[[#This Row],[PACE Job Number]],3,3)</f>
        <v>NTX</v>
      </c>
      <c r="C4583" t="s">
        <v>15</v>
      </c>
      <c r="D4583" s="1">
        <v>43431</v>
      </c>
      <c r="E4583" s="1">
        <v>43431</v>
      </c>
      <c r="F4583" s="1">
        <v>43464</v>
      </c>
      <c r="G4583" s="1"/>
      <c r="H4583" t="s">
        <v>4664</v>
      </c>
      <c r="I4583" t="s">
        <v>4666</v>
      </c>
    </row>
    <row r="4584" spans="1:9" x14ac:dyDescent="0.25">
      <c r="A4584" t="s">
        <v>2417</v>
      </c>
      <c r="B4584" s="26" t="str">
        <f>MID(tbl_forecast[[#This Row],[PACE Job Number]],3,3)</f>
        <v>NTX</v>
      </c>
      <c r="C4584" t="s">
        <v>15</v>
      </c>
      <c r="D4584" s="1">
        <v>43431</v>
      </c>
      <c r="E4584" s="1">
        <v>43431</v>
      </c>
      <c r="F4584" s="1">
        <v>43464</v>
      </c>
      <c r="G4584" s="1"/>
      <c r="H4584" t="s">
        <v>4664</v>
      </c>
      <c r="I4584" t="s">
        <v>4666</v>
      </c>
    </row>
    <row r="4585" spans="1:9" x14ac:dyDescent="0.25">
      <c r="A4585" t="s">
        <v>4404</v>
      </c>
      <c r="B4585" s="26" t="str">
        <f>MID(tbl_forecast[[#This Row],[PACE Job Number]],3,3)</f>
        <v>NTX</v>
      </c>
      <c r="C4585" t="s">
        <v>15</v>
      </c>
      <c r="D4585" s="1">
        <v>43427</v>
      </c>
      <c r="E4585" s="1">
        <v>43427</v>
      </c>
      <c r="F4585" s="1">
        <v>43524</v>
      </c>
      <c r="G4585" s="1"/>
      <c r="H4585" t="s">
        <v>4664</v>
      </c>
      <c r="I4585" t="s">
        <v>4666</v>
      </c>
    </row>
    <row r="4586" spans="1:9" x14ac:dyDescent="0.25">
      <c r="A4586" t="s">
        <v>3386</v>
      </c>
      <c r="B4586" s="26" t="str">
        <f>MID(tbl_forecast[[#This Row],[PACE Job Number]],3,3)</f>
        <v>NTX</v>
      </c>
      <c r="C4586" t="s">
        <v>15</v>
      </c>
      <c r="D4586" s="1">
        <v>43425</v>
      </c>
      <c r="E4586" s="1">
        <v>43425</v>
      </c>
      <c r="F4586" s="1">
        <v>43495</v>
      </c>
      <c r="G4586" s="1"/>
      <c r="H4586" t="s">
        <v>4664</v>
      </c>
      <c r="I4586" t="s">
        <v>4666</v>
      </c>
    </row>
    <row r="4587" spans="1:9" x14ac:dyDescent="0.25">
      <c r="A4587" t="s">
        <v>1905</v>
      </c>
      <c r="B4587" s="26" t="str">
        <f>MID(tbl_forecast[[#This Row],[PACE Job Number]],3,3)</f>
        <v>NTX</v>
      </c>
      <c r="C4587" t="s">
        <v>15</v>
      </c>
      <c r="D4587" s="1">
        <v>43425</v>
      </c>
      <c r="E4587" s="1">
        <v>43421</v>
      </c>
      <c r="F4587" s="1">
        <v>43495</v>
      </c>
      <c r="G4587" s="1"/>
      <c r="H4587" t="s">
        <v>4664</v>
      </c>
      <c r="I4587" t="s">
        <v>4666</v>
      </c>
    </row>
    <row r="4588" spans="1:9" x14ac:dyDescent="0.25">
      <c r="A4588" t="s">
        <v>2283</v>
      </c>
      <c r="B4588" s="26" t="str">
        <f>MID(tbl_forecast[[#This Row],[PACE Job Number]],3,3)</f>
        <v>NTX</v>
      </c>
      <c r="C4588" t="s">
        <v>15</v>
      </c>
      <c r="D4588" s="1">
        <v>43427</v>
      </c>
      <c r="E4588" s="1">
        <v>43414</v>
      </c>
      <c r="F4588" s="1">
        <v>43495</v>
      </c>
      <c r="G4588" s="1"/>
      <c r="H4588" t="s">
        <v>4664</v>
      </c>
      <c r="I4588" t="s">
        <v>4666</v>
      </c>
    </row>
    <row r="4589" spans="1:9" x14ac:dyDescent="0.25">
      <c r="A4589" t="s">
        <v>3538</v>
      </c>
      <c r="B4589" s="26" t="str">
        <f>MID(tbl_forecast[[#This Row],[PACE Job Number]],3,3)</f>
        <v>WSH</v>
      </c>
      <c r="C4589" t="s">
        <v>15</v>
      </c>
      <c r="D4589" s="1">
        <v>43434</v>
      </c>
      <c r="E4589" s="1">
        <v>36524</v>
      </c>
      <c r="F4589" s="1">
        <v>43434</v>
      </c>
      <c r="G4589" s="1"/>
      <c r="H4589" t="s">
        <v>9</v>
      </c>
      <c r="I4589" t="s">
        <v>27</v>
      </c>
    </row>
    <row r="4590" spans="1:9" x14ac:dyDescent="0.25">
      <c r="A4590" t="s">
        <v>4054</v>
      </c>
      <c r="B4590" s="26" t="str">
        <f>MID(tbl_forecast[[#This Row],[PACE Job Number]],3,3)</f>
        <v>WSH</v>
      </c>
      <c r="C4590" t="s">
        <v>15</v>
      </c>
      <c r="D4590" s="1">
        <v>43421</v>
      </c>
      <c r="E4590" s="1">
        <v>36524</v>
      </c>
      <c r="F4590" s="1">
        <v>43434</v>
      </c>
      <c r="G4590" s="1"/>
      <c r="H4590" t="s">
        <v>9</v>
      </c>
      <c r="I4590" t="s">
        <v>27</v>
      </c>
    </row>
    <row r="4591" spans="1:9" x14ac:dyDescent="0.25">
      <c r="A4591" t="s">
        <v>1158</v>
      </c>
      <c r="B4591" s="26" t="str">
        <f>MID(tbl_forecast[[#This Row],[PACE Job Number]],3,3)</f>
        <v>WSH</v>
      </c>
      <c r="C4591" t="s">
        <v>15</v>
      </c>
      <c r="D4591" s="1">
        <v>43434</v>
      </c>
      <c r="E4591" s="1">
        <v>36524</v>
      </c>
      <c r="F4591" s="1">
        <v>43434</v>
      </c>
      <c r="G4591" s="1"/>
      <c r="H4591" t="s">
        <v>9</v>
      </c>
      <c r="I4591" t="s">
        <v>27</v>
      </c>
    </row>
    <row r="4592" spans="1:9" x14ac:dyDescent="0.25">
      <c r="A4592" t="s">
        <v>1302</v>
      </c>
      <c r="B4592" s="26" t="str">
        <f>MID(tbl_forecast[[#This Row],[PACE Job Number]],3,3)</f>
        <v>WSH</v>
      </c>
      <c r="C4592" t="s">
        <v>15</v>
      </c>
      <c r="D4592" s="1">
        <v>43429</v>
      </c>
      <c r="E4592" s="1">
        <v>36524</v>
      </c>
      <c r="F4592" s="1">
        <v>43425</v>
      </c>
      <c r="G4592" s="1">
        <v>43425</v>
      </c>
      <c r="H4592" t="s">
        <v>9</v>
      </c>
      <c r="I4592" t="s">
        <v>10</v>
      </c>
    </row>
    <row r="4593" spans="1:9" x14ac:dyDescent="0.25">
      <c r="A4593" t="s">
        <v>4602</v>
      </c>
      <c r="B4593" s="26" t="str">
        <f>MID(tbl_forecast[[#This Row],[PACE Job Number]],3,3)</f>
        <v>WSH</v>
      </c>
      <c r="C4593" t="s">
        <v>15</v>
      </c>
      <c r="D4593" s="1">
        <v>43434</v>
      </c>
      <c r="E4593" s="1">
        <v>36524</v>
      </c>
      <c r="F4593" s="1">
        <v>43409</v>
      </c>
      <c r="G4593" s="1">
        <v>43409</v>
      </c>
      <c r="H4593" t="s">
        <v>9</v>
      </c>
      <c r="I4593" t="s">
        <v>10</v>
      </c>
    </row>
    <row r="4594" spans="1:9" x14ac:dyDescent="0.25">
      <c r="A4594" t="s">
        <v>1213</v>
      </c>
      <c r="B4594" s="26" t="str">
        <f>MID(tbl_forecast[[#This Row],[PACE Job Number]],3,3)</f>
        <v>WSH</v>
      </c>
      <c r="C4594" t="s">
        <v>15</v>
      </c>
      <c r="D4594" s="1">
        <v>43429</v>
      </c>
      <c r="E4594" s="1">
        <v>36524</v>
      </c>
      <c r="F4594" s="1">
        <v>43413</v>
      </c>
      <c r="G4594" s="1">
        <v>43413</v>
      </c>
      <c r="H4594" t="s">
        <v>9</v>
      </c>
      <c r="I4594" t="s">
        <v>10</v>
      </c>
    </row>
    <row r="4595" spans="1:9" x14ac:dyDescent="0.25">
      <c r="A4595" t="s">
        <v>5641</v>
      </c>
      <c r="B4595" s="26" t="str">
        <f>MID(tbl_forecast[[#This Row],[PACE Job Number]],3,3)</f>
        <v>ANM</v>
      </c>
      <c r="C4595" t="s">
        <v>15</v>
      </c>
      <c r="D4595" s="1">
        <v>43434</v>
      </c>
      <c r="E4595" s="1">
        <v>36524</v>
      </c>
      <c r="F4595" s="1">
        <v>43434</v>
      </c>
      <c r="G4595" s="1"/>
      <c r="H4595" t="s">
        <v>9</v>
      </c>
      <c r="I4595" t="s">
        <v>27</v>
      </c>
    </row>
    <row r="4596" spans="1:9" x14ac:dyDescent="0.25">
      <c r="A4596" t="s">
        <v>4046</v>
      </c>
      <c r="B4596" s="26" t="str">
        <f>MID(tbl_forecast[[#This Row],[PACE Job Number]],3,3)</f>
        <v>STX</v>
      </c>
      <c r="C4596" t="s">
        <v>15</v>
      </c>
      <c r="D4596" s="1">
        <v>43410</v>
      </c>
      <c r="E4596" s="1">
        <v>43371</v>
      </c>
      <c r="F4596" s="1">
        <v>43434</v>
      </c>
      <c r="G4596" s="1"/>
      <c r="H4596" t="s">
        <v>4664</v>
      </c>
      <c r="I4596" t="s">
        <v>4666</v>
      </c>
    </row>
    <row r="4597" spans="1:9" x14ac:dyDescent="0.25">
      <c r="A4597" t="s">
        <v>4047</v>
      </c>
      <c r="B4597" s="26" t="str">
        <f>MID(tbl_forecast[[#This Row],[PACE Job Number]],3,3)</f>
        <v>STX</v>
      </c>
      <c r="C4597" t="s">
        <v>15</v>
      </c>
      <c r="D4597" s="1">
        <v>43410</v>
      </c>
      <c r="E4597" s="1">
        <v>43371</v>
      </c>
      <c r="F4597" s="1">
        <v>43434</v>
      </c>
      <c r="G4597" s="1"/>
      <c r="H4597" t="s">
        <v>4664</v>
      </c>
      <c r="I4597" t="s">
        <v>4666</v>
      </c>
    </row>
    <row r="4598" spans="1:9" x14ac:dyDescent="0.25">
      <c r="A4598" t="s">
        <v>4048</v>
      </c>
      <c r="B4598" s="26" t="str">
        <f>MID(tbl_forecast[[#This Row],[PACE Job Number]],3,3)</f>
        <v>STX</v>
      </c>
      <c r="C4598" t="s">
        <v>15</v>
      </c>
      <c r="D4598" s="1">
        <v>43410</v>
      </c>
      <c r="E4598" s="1">
        <v>43371</v>
      </c>
      <c r="F4598" s="1">
        <v>43434</v>
      </c>
      <c r="G4598" s="1"/>
      <c r="H4598" t="s">
        <v>4664</v>
      </c>
      <c r="I4598" t="s">
        <v>4666</v>
      </c>
    </row>
    <row r="4599" spans="1:9" x14ac:dyDescent="0.25">
      <c r="A4599" t="s">
        <v>4655</v>
      </c>
      <c r="B4599" s="26" t="str">
        <f>MID(tbl_forecast[[#This Row],[PACE Job Number]],3,3)</f>
        <v>STX</v>
      </c>
      <c r="C4599" t="s">
        <v>15</v>
      </c>
      <c r="D4599" s="1">
        <v>43410</v>
      </c>
      <c r="E4599" s="1">
        <v>43493</v>
      </c>
      <c r="F4599" s="1">
        <v>43434</v>
      </c>
      <c r="G4599" s="1"/>
      <c r="H4599" t="s">
        <v>4664</v>
      </c>
      <c r="I4599" t="s">
        <v>5645</v>
      </c>
    </row>
    <row r="4600" spans="1:9" x14ac:dyDescent="0.25">
      <c r="A4600" t="s">
        <v>4656</v>
      </c>
      <c r="B4600" s="26" t="str">
        <f>MID(tbl_forecast[[#This Row],[PACE Job Number]],3,3)</f>
        <v>STX</v>
      </c>
      <c r="C4600" t="s">
        <v>15</v>
      </c>
      <c r="D4600" s="1">
        <v>43405</v>
      </c>
      <c r="E4600" s="1">
        <v>43493</v>
      </c>
      <c r="F4600" s="1">
        <v>43405</v>
      </c>
      <c r="G4600" s="1">
        <v>43405</v>
      </c>
      <c r="H4600" t="s">
        <v>9</v>
      </c>
      <c r="I4600" t="s">
        <v>10</v>
      </c>
    </row>
    <row r="4601" spans="1:9" x14ac:dyDescent="0.25">
      <c r="A4601" t="s">
        <v>3390</v>
      </c>
      <c r="B4601" s="26" t="str">
        <f>MID(tbl_forecast[[#This Row],[PACE Job Number]],3,3)</f>
        <v>STX</v>
      </c>
      <c r="C4601" t="s">
        <v>15</v>
      </c>
      <c r="D4601" s="1">
        <v>43430</v>
      </c>
      <c r="E4601" s="1">
        <v>43465</v>
      </c>
      <c r="F4601" s="1">
        <v>43412</v>
      </c>
      <c r="G4601" s="1">
        <v>43412</v>
      </c>
      <c r="H4601" t="s">
        <v>9</v>
      </c>
      <c r="I4601" t="s">
        <v>10</v>
      </c>
    </row>
    <row r="4602" spans="1:9" x14ac:dyDescent="0.25">
      <c r="A4602" t="s">
        <v>4049</v>
      </c>
      <c r="B4602" s="26" t="str">
        <f>MID(tbl_forecast[[#This Row],[PACE Job Number]],3,3)</f>
        <v>STX</v>
      </c>
      <c r="C4602" t="s">
        <v>15</v>
      </c>
      <c r="D4602" s="1">
        <v>43406</v>
      </c>
      <c r="E4602" s="1">
        <v>43426</v>
      </c>
      <c r="F4602" s="1">
        <v>43406</v>
      </c>
      <c r="G4602" s="1">
        <v>43406</v>
      </c>
      <c r="H4602" t="s">
        <v>9</v>
      </c>
      <c r="I4602" t="s">
        <v>10</v>
      </c>
    </row>
    <row r="4603" spans="1:9" x14ac:dyDescent="0.25">
      <c r="A4603" t="s">
        <v>4657</v>
      </c>
      <c r="B4603" s="26" t="str">
        <f>MID(tbl_forecast[[#This Row],[PACE Job Number]],3,3)</f>
        <v>STX</v>
      </c>
      <c r="C4603" t="s">
        <v>15</v>
      </c>
      <c r="D4603" s="1">
        <v>43405</v>
      </c>
      <c r="E4603" s="1">
        <v>43493</v>
      </c>
      <c r="F4603" s="1">
        <v>43405</v>
      </c>
      <c r="G4603" s="1">
        <v>43405</v>
      </c>
      <c r="H4603" t="s">
        <v>9</v>
      </c>
      <c r="I4603" t="s">
        <v>10</v>
      </c>
    </row>
    <row r="4604" spans="1:9" x14ac:dyDescent="0.25">
      <c r="A4604" t="s">
        <v>4658</v>
      </c>
      <c r="B4604" s="26" t="str">
        <f>MID(tbl_forecast[[#This Row],[PACE Job Number]],3,3)</f>
        <v>STX</v>
      </c>
      <c r="C4604" t="s">
        <v>15</v>
      </c>
      <c r="D4604" s="1">
        <v>43410</v>
      </c>
      <c r="E4604" s="1">
        <v>43493</v>
      </c>
      <c r="F4604" s="1">
        <v>43434</v>
      </c>
      <c r="G4604" s="1"/>
      <c r="H4604" t="s">
        <v>4664</v>
      </c>
      <c r="I4604" t="s">
        <v>5645</v>
      </c>
    </row>
    <row r="4605" spans="1:9" x14ac:dyDescent="0.25">
      <c r="A4605" t="s">
        <v>639</v>
      </c>
      <c r="B4605" s="26" t="str">
        <f>MID(tbl_forecast[[#This Row],[PACE Job Number]],3,3)</f>
        <v>STX</v>
      </c>
      <c r="C4605" t="s">
        <v>15</v>
      </c>
      <c r="D4605" s="1">
        <v>43410</v>
      </c>
      <c r="E4605" s="1">
        <v>43463</v>
      </c>
      <c r="F4605" s="1">
        <v>43434</v>
      </c>
      <c r="G4605" s="1"/>
      <c r="H4605" t="s">
        <v>4664</v>
      </c>
      <c r="I4605" t="s">
        <v>5645</v>
      </c>
    </row>
    <row r="4606" spans="1:9" x14ac:dyDescent="0.25">
      <c r="A4606" t="s">
        <v>4050</v>
      </c>
      <c r="B4606" s="26" t="str">
        <f>MID(tbl_forecast[[#This Row],[PACE Job Number]],3,3)</f>
        <v>STX</v>
      </c>
      <c r="C4606" t="s">
        <v>15</v>
      </c>
      <c r="D4606" s="1">
        <v>43410</v>
      </c>
      <c r="E4606" s="1">
        <v>43463</v>
      </c>
      <c r="F4606" s="1">
        <v>43434</v>
      </c>
      <c r="G4606" s="1"/>
      <c r="H4606" t="s">
        <v>4664</v>
      </c>
      <c r="I4606" t="s">
        <v>5645</v>
      </c>
    </row>
    <row r="4607" spans="1:9" x14ac:dyDescent="0.25">
      <c r="A4607" t="s">
        <v>1095</v>
      </c>
      <c r="B4607" s="26" t="str">
        <f>MID(tbl_forecast[[#This Row],[PACE Job Number]],3,3)</f>
        <v>STX</v>
      </c>
      <c r="C4607" t="s">
        <v>15</v>
      </c>
      <c r="D4607" s="1">
        <v>43419</v>
      </c>
      <c r="E4607" s="1">
        <v>43448</v>
      </c>
      <c r="F4607" s="1">
        <v>43434</v>
      </c>
      <c r="G4607" s="1"/>
      <c r="H4607" t="s">
        <v>4664</v>
      </c>
      <c r="I4607" t="s">
        <v>5645</v>
      </c>
    </row>
    <row r="4608" spans="1:9" x14ac:dyDescent="0.25">
      <c r="A4608" t="s">
        <v>842</v>
      </c>
      <c r="B4608" s="26" t="str">
        <f>MID(tbl_forecast[[#This Row],[PACE Job Number]],3,3)</f>
        <v>STX</v>
      </c>
      <c r="C4608" t="s">
        <v>15</v>
      </c>
      <c r="D4608" s="1">
        <v>43418</v>
      </c>
      <c r="E4608" s="1">
        <v>43432</v>
      </c>
      <c r="F4608" s="1">
        <v>43434</v>
      </c>
      <c r="G4608" s="1"/>
      <c r="H4608" t="s">
        <v>4664</v>
      </c>
      <c r="I4608" t="s">
        <v>5645</v>
      </c>
    </row>
    <row r="4609" spans="1:9" x14ac:dyDescent="0.25">
      <c r="A4609" t="s">
        <v>3966</v>
      </c>
      <c r="B4609" s="26" t="str">
        <f>MID(tbl_forecast[[#This Row],[PACE Job Number]],3,3)</f>
        <v>NTX</v>
      </c>
      <c r="C4609" t="s">
        <v>15</v>
      </c>
      <c r="D4609" s="1">
        <v>43413</v>
      </c>
      <c r="E4609" s="1">
        <v>36524</v>
      </c>
      <c r="F4609" s="1">
        <v>43464</v>
      </c>
      <c r="G4609" s="1"/>
      <c r="H4609" t="s">
        <v>4664</v>
      </c>
      <c r="I4609" t="s">
        <v>4666</v>
      </c>
    </row>
    <row r="4610" spans="1:9" x14ac:dyDescent="0.25">
      <c r="A4610" t="s">
        <v>3371</v>
      </c>
      <c r="B4610" s="26" t="str">
        <f>MID(tbl_forecast[[#This Row],[PACE Job Number]],3,3)</f>
        <v>NTX</v>
      </c>
      <c r="C4610" t="s">
        <v>15</v>
      </c>
      <c r="D4610" s="1">
        <v>43425</v>
      </c>
      <c r="E4610" s="1">
        <v>43425</v>
      </c>
      <c r="F4610" s="1">
        <v>43495</v>
      </c>
      <c r="G4610" s="1"/>
      <c r="H4610" t="s">
        <v>4664</v>
      </c>
      <c r="I4610" t="s">
        <v>4666</v>
      </c>
    </row>
    <row r="4611" spans="1:9" x14ac:dyDescent="0.25">
      <c r="A4611" t="s">
        <v>565</v>
      </c>
      <c r="B4611" s="26" t="str">
        <f>MID(tbl_forecast[[#This Row],[PACE Job Number]],3,3)</f>
        <v>STX</v>
      </c>
      <c r="C4611" t="s">
        <v>15</v>
      </c>
      <c r="D4611" s="1">
        <v>43418</v>
      </c>
      <c r="E4611" s="1">
        <v>43463</v>
      </c>
      <c r="F4611" s="1">
        <v>43432</v>
      </c>
      <c r="G4611" s="1">
        <v>43432</v>
      </c>
      <c r="H4611" t="s">
        <v>9</v>
      </c>
      <c r="I4611" t="s">
        <v>10</v>
      </c>
    </row>
    <row r="4612" spans="1:9" x14ac:dyDescent="0.25">
      <c r="A4612" t="s">
        <v>4647</v>
      </c>
      <c r="B4612" s="26" t="str">
        <f>MID(tbl_forecast[[#This Row],[PACE Job Number]],3,3)</f>
        <v>STX</v>
      </c>
      <c r="C4612" t="s">
        <v>15</v>
      </c>
      <c r="D4612" s="1">
        <v>43410</v>
      </c>
      <c r="E4612" s="1">
        <v>43463</v>
      </c>
      <c r="F4612" s="1">
        <v>43434</v>
      </c>
      <c r="G4612" s="1"/>
      <c r="H4612" t="s">
        <v>4664</v>
      </c>
      <c r="I4612" t="s">
        <v>5645</v>
      </c>
    </row>
    <row r="4613" spans="1:9" x14ac:dyDescent="0.25">
      <c r="A4613" t="s">
        <v>691</v>
      </c>
      <c r="B4613" s="26" t="str">
        <f>MID(tbl_forecast[[#This Row],[PACE Job Number]],3,3)</f>
        <v>STX</v>
      </c>
      <c r="C4613" t="s">
        <v>15</v>
      </c>
      <c r="D4613" s="1">
        <v>43418</v>
      </c>
      <c r="E4613" s="1">
        <v>43463</v>
      </c>
      <c r="F4613" s="1">
        <v>43432</v>
      </c>
      <c r="G4613" s="1">
        <v>43432</v>
      </c>
      <c r="H4613" t="s">
        <v>9</v>
      </c>
      <c r="I4613" t="s">
        <v>10</v>
      </c>
    </row>
    <row r="4614" spans="1:9" x14ac:dyDescent="0.25">
      <c r="A4614" t="s">
        <v>218</v>
      </c>
      <c r="B4614" s="26" t="str">
        <f>MID(tbl_forecast[[#This Row],[PACE Job Number]],3,3)</f>
        <v>STX</v>
      </c>
      <c r="C4614" t="s">
        <v>15</v>
      </c>
      <c r="D4614" s="1">
        <v>43430</v>
      </c>
      <c r="E4614" s="1">
        <v>43463</v>
      </c>
      <c r="F4614" s="1">
        <v>43434</v>
      </c>
      <c r="G4614" s="1"/>
      <c r="H4614" t="s">
        <v>9</v>
      </c>
      <c r="I4614" t="s">
        <v>44</v>
      </c>
    </row>
    <row r="4615" spans="1:9" x14ac:dyDescent="0.25">
      <c r="A4615" t="s">
        <v>3471</v>
      </c>
      <c r="B4615" s="26" t="str">
        <f>MID(tbl_forecast[[#This Row],[PACE Job Number]],3,3)</f>
        <v>STX</v>
      </c>
      <c r="C4615" t="s">
        <v>15</v>
      </c>
      <c r="D4615" s="1">
        <v>43418</v>
      </c>
      <c r="E4615" s="1">
        <v>43463</v>
      </c>
      <c r="F4615" s="1">
        <v>43434</v>
      </c>
      <c r="G4615" s="1"/>
      <c r="H4615" t="s">
        <v>4664</v>
      </c>
      <c r="I4615" t="s">
        <v>5645</v>
      </c>
    </row>
    <row r="4616" spans="1:9" x14ac:dyDescent="0.25">
      <c r="A4616" t="s">
        <v>4622</v>
      </c>
      <c r="B4616" s="26" t="str">
        <f>MID(tbl_forecast[[#This Row],[PACE Job Number]],3,3)</f>
        <v>STX</v>
      </c>
      <c r="C4616" t="s">
        <v>15</v>
      </c>
      <c r="D4616" s="1">
        <v>43430</v>
      </c>
      <c r="E4616" s="1">
        <v>43463</v>
      </c>
      <c r="F4616" s="1">
        <v>43434</v>
      </c>
      <c r="G4616" s="1"/>
      <c r="H4616" t="s">
        <v>9</v>
      </c>
      <c r="I4616" t="s">
        <v>44</v>
      </c>
    </row>
    <row r="4617" spans="1:9" x14ac:dyDescent="0.25">
      <c r="A4617" t="s">
        <v>3395</v>
      </c>
      <c r="B4617" s="26" t="str">
        <f>MID(tbl_forecast[[#This Row],[PACE Job Number]],3,3)</f>
        <v>STX</v>
      </c>
      <c r="C4617" t="s">
        <v>15</v>
      </c>
      <c r="D4617" s="1">
        <v>43418</v>
      </c>
      <c r="E4617" s="1">
        <v>43465</v>
      </c>
      <c r="F4617" s="1">
        <v>43434</v>
      </c>
      <c r="G4617" s="1"/>
      <c r="H4617" t="s">
        <v>4664</v>
      </c>
      <c r="I4617" t="s">
        <v>5645</v>
      </c>
    </row>
    <row r="4618" spans="1:9" x14ac:dyDescent="0.25">
      <c r="A4618" t="s">
        <v>344</v>
      </c>
      <c r="B4618" s="26" t="str">
        <f>MID(tbl_forecast[[#This Row],[PACE Job Number]],3,3)</f>
        <v>STX</v>
      </c>
      <c r="C4618" t="s">
        <v>15</v>
      </c>
      <c r="D4618" s="1">
        <v>43419</v>
      </c>
      <c r="E4618" s="1">
        <v>43463</v>
      </c>
      <c r="F4618" s="1">
        <v>43417</v>
      </c>
      <c r="G4618" s="1">
        <v>43417</v>
      </c>
      <c r="H4618" t="s">
        <v>9</v>
      </c>
      <c r="I4618" t="s">
        <v>10</v>
      </c>
    </row>
    <row r="4619" spans="1:9" x14ac:dyDescent="0.25">
      <c r="A4619" t="s">
        <v>4623</v>
      </c>
      <c r="B4619" s="26" t="str">
        <f>MID(tbl_forecast[[#This Row],[PACE Job Number]],3,3)</f>
        <v>STX</v>
      </c>
      <c r="C4619" t="s">
        <v>15</v>
      </c>
      <c r="D4619" s="1">
        <v>43418</v>
      </c>
      <c r="E4619" s="1">
        <v>43463</v>
      </c>
      <c r="F4619" s="1">
        <v>43434</v>
      </c>
      <c r="G4619" s="1"/>
      <c r="H4619" t="s">
        <v>4664</v>
      </c>
      <c r="I4619" t="s">
        <v>5645</v>
      </c>
    </row>
    <row r="4620" spans="1:9" x14ac:dyDescent="0.25">
      <c r="A4620" t="s">
        <v>4624</v>
      </c>
      <c r="B4620" s="26" t="str">
        <f>MID(tbl_forecast[[#This Row],[PACE Job Number]],3,3)</f>
        <v>STX</v>
      </c>
      <c r="C4620" t="s">
        <v>15</v>
      </c>
      <c r="D4620" s="1">
        <v>43418</v>
      </c>
      <c r="E4620" s="1">
        <v>43463</v>
      </c>
      <c r="F4620" s="1">
        <v>43434</v>
      </c>
      <c r="G4620" s="1"/>
      <c r="H4620" t="s">
        <v>4664</v>
      </c>
      <c r="I4620" t="s">
        <v>5645</v>
      </c>
    </row>
    <row r="4621" spans="1:9" x14ac:dyDescent="0.25">
      <c r="A4621" t="s">
        <v>4625</v>
      </c>
      <c r="B4621" s="26" t="str">
        <f>MID(tbl_forecast[[#This Row],[PACE Job Number]],3,3)</f>
        <v>STX</v>
      </c>
      <c r="C4621" t="s">
        <v>15</v>
      </c>
      <c r="D4621" s="1">
        <v>43430</v>
      </c>
      <c r="E4621" s="1">
        <v>43465</v>
      </c>
      <c r="F4621" s="1">
        <v>43417</v>
      </c>
      <c r="G4621" s="1">
        <v>43417</v>
      </c>
      <c r="H4621" t="s">
        <v>9</v>
      </c>
      <c r="I4621" t="s">
        <v>10</v>
      </c>
    </row>
    <row r="4622" spans="1:9" x14ac:dyDescent="0.25">
      <c r="A4622" t="s">
        <v>3526</v>
      </c>
      <c r="B4622" s="26" t="str">
        <f>MID(tbl_forecast[[#This Row],[PACE Job Number]],3,3)</f>
        <v>STX</v>
      </c>
      <c r="C4622" t="s">
        <v>15</v>
      </c>
      <c r="D4622" s="1">
        <v>43410</v>
      </c>
      <c r="E4622" s="1">
        <v>43463</v>
      </c>
      <c r="F4622" s="1">
        <v>43417</v>
      </c>
      <c r="G4622" s="1">
        <v>43417</v>
      </c>
      <c r="H4622" t="s">
        <v>9</v>
      </c>
      <c r="I4622" t="s">
        <v>10</v>
      </c>
    </row>
    <row r="4623" spans="1:9" x14ac:dyDescent="0.25">
      <c r="A4623" t="s">
        <v>4626</v>
      </c>
      <c r="B4623" s="26" t="str">
        <f>MID(tbl_forecast[[#This Row],[PACE Job Number]],3,3)</f>
        <v>STX</v>
      </c>
      <c r="C4623" t="s">
        <v>15</v>
      </c>
      <c r="D4623" s="1">
        <v>43430</v>
      </c>
      <c r="E4623" s="1">
        <v>43463</v>
      </c>
      <c r="F4623" s="1">
        <v>43434</v>
      </c>
      <c r="G4623" s="1"/>
      <c r="H4623" t="s">
        <v>9</v>
      </c>
      <c r="I4623" t="s">
        <v>44</v>
      </c>
    </row>
    <row r="4624" spans="1:9" x14ac:dyDescent="0.25">
      <c r="A4624" t="s">
        <v>747</v>
      </c>
      <c r="B4624" s="26" t="str">
        <f>MID(tbl_forecast[[#This Row],[PACE Job Number]],3,3)</f>
        <v>STX</v>
      </c>
      <c r="C4624" t="s">
        <v>15</v>
      </c>
      <c r="D4624" s="1">
        <v>43418</v>
      </c>
      <c r="E4624" s="1">
        <v>43463</v>
      </c>
      <c r="F4624" s="1">
        <v>43434</v>
      </c>
      <c r="G4624" s="1"/>
      <c r="H4624" t="s">
        <v>4664</v>
      </c>
      <c r="I4624" t="s">
        <v>5645</v>
      </c>
    </row>
    <row r="4625" spans="1:9" x14ac:dyDescent="0.25">
      <c r="A4625" t="s">
        <v>3540</v>
      </c>
      <c r="B4625" s="26" t="str">
        <f>MID(tbl_forecast[[#This Row],[PACE Job Number]],3,3)</f>
        <v>STX</v>
      </c>
      <c r="C4625" t="s">
        <v>15</v>
      </c>
      <c r="D4625" s="1">
        <v>43406</v>
      </c>
      <c r="E4625" s="1">
        <v>43432</v>
      </c>
      <c r="F4625" s="1">
        <v>43406</v>
      </c>
      <c r="G4625" s="1">
        <v>43406</v>
      </c>
      <c r="H4625" t="s">
        <v>9</v>
      </c>
      <c r="I4625" t="s">
        <v>10</v>
      </c>
    </row>
    <row r="4626" spans="1:9" x14ac:dyDescent="0.25">
      <c r="A4626" t="s">
        <v>209</v>
      </c>
      <c r="B4626" s="26" t="str">
        <f>MID(tbl_forecast[[#This Row],[PACE Job Number]],3,3)</f>
        <v>STX</v>
      </c>
      <c r="C4626" t="s">
        <v>15</v>
      </c>
      <c r="D4626" s="1">
        <v>43419</v>
      </c>
      <c r="E4626" s="1">
        <v>43463</v>
      </c>
      <c r="F4626" s="1">
        <v>43434</v>
      </c>
      <c r="G4626" s="1"/>
      <c r="H4626" t="s">
        <v>4664</v>
      </c>
      <c r="I4626" t="s">
        <v>5645</v>
      </c>
    </row>
    <row r="4627" spans="1:9" x14ac:dyDescent="0.25">
      <c r="A4627" t="s">
        <v>676</v>
      </c>
      <c r="B4627" s="26" t="str">
        <f>MID(tbl_forecast[[#This Row],[PACE Job Number]],3,3)</f>
        <v>STX</v>
      </c>
      <c r="C4627" t="s">
        <v>15</v>
      </c>
      <c r="D4627" s="1">
        <v>43419</v>
      </c>
      <c r="E4627" s="1">
        <v>43433</v>
      </c>
      <c r="F4627" s="1">
        <v>43423</v>
      </c>
      <c r="G4627" s="1">
        <v>43423</v>
      </c>
      <c r="H4627" t="s">
        <v>9</v>
      </c>
      <c r="I4627" t="s">
        <v>10</v>
      </c>
    </row>
    <row r="4628" spans="1:9" x14ac:dyDescent="0.25">
      <c r="A4628" t="s">
        <v>3959</v>
      </c>
      <c r="B4628" s="26" t="str">
        <f>MID(tbl_forecast[[#This Row],[PACE Job Number]],3,3)</f>
        <v>NTX</v>
      </c>
      <c r="C4628" t="s">
        <v>15</v>
      </c>
      <c r="D4628" s="1">
        <v>43428</v>
      </c>
      <c r="E4628" s="1">
        <v>43428</v>
      </c>
      <c r="F4628" s="1">
        <v>43464</v>
      </c>
      <c r="G4628" s="1"/>
      <c r="H4628" t="s">
        <v>4664</v>
      </c>
      <c r="I4628" t="s">
        <v>4666</v>
      </c>
    </row>
    <row r="4629" spans="1:9" x14ac:dyDescent="0.25">
      <c r="A4629" t="s">
        <v>3373</v>
      </c>
      <c r="B4629" s="26" t="str">
        <f>MID(tbl_forecast[[#This Row],[PACE Job Number]],3,3)</f>
        <v>NTX</v>
      </c>
      <c r="C4629" t="s">
        <v>15</v>
      </c>
      <c r="D4629" s="1">
        <v>43425</v>
      </c>
      <c r="E4629" s="1">
        <v>43425</v>
      </c>
      <c r="F4629" s="1">
        <v>43495</v>
      </c>
      <c r="G4629" s="1"/>
      <c r="H4629" t="s">
        <v>4664</v>
      </c>
      <c r="I4629" t="s">
        <v>4666</v>
      </c>
    </row>
    <row r="4630" spans="1:9" x14ac:dyDescent="0.25">
      <c r="A4630" t="s">
        <v>70</v>
      </c>
      <c r="B4630" s="26" t="str">
        <f>MID(tbl_forecast[[#This Row],[PACE Job Number]],3,3)</f>
        <v>NTX</v>
      </c>
      <c r="C4630" t="s">
        <v>15</v>
      </c>
      <c r="D4630" s="1">
        <v>43427</v>
      </c>
      <c r="E4630" s="1">
        <v>43427</v>
      </c>
      <c r="F4630" s="1">
        <v>43464</v>
      </c>
      <c r="G4630" s="1"/>
      <c r="H4630" t="s">
        <v>4664</v>
      </c>
      <c r="I4630" t="s">
        <v>4666</v>
      </c>
    </row>
    <row r="4631" spans="1:9" x14ac:dyDescent="0.25">
      <c r="A4631" t="s">
        <v>1825</v>
      </c>
      <c r="B4631" s="26" t="str">
        <f>MID(tbl_forecast[[#This Row],[PACE Job Number]],3,3)</f>
        <v>NTX</v>
      </c>
      <c r="C4631" t="s">
        <v>15</v>
      </c>
      <c r="D4631" s="1">
        <v>43415</v>
      </c>
      <c r="E4631" s="1">
        <v>43520</v>
      </c>
      <c r="F4631" s="1">
        <v>43450</v>
      </c>
      <c r="G4631" s="1"/>
      <c r="H4631" t="s">
        <v>4664</v>
      </c>
      <c r="I4631" t="s">
        <v>5645</v>
      </c>
    </row>
    <row r="4632" spans="1:9" x14ac:dyDescent="0.25">
      <c r="A4632" t="s">
        <v>1826</v>
      </c>
      <c r="B4632" s="26" t="str">
        <f>MID(tbl_forecast[[#This Row],[PACE Job Number]],3,3)</f>
        <v>NTX</v>
      </c>
      <c r="C4632" t="s">
        <v>15</v>
      </c>
      <c r="D4632" s="1">
        <v>43430</v>
      </c>
      <c r="E4632" s="1">
        <v>43430</v>
      </c>
      <c r="F4632" s="1">
        <v>43524</v>
      </c>
      <c r="G4632" s="1"/>
      <c r="H4632" t="s">
        <v>4664</v>
      </c>
      <c r="I4632" t="s">
        <v>4666</v>
      </c>
    </row>
    <row r="4633" spans="1:9" x14ac:dyDescent="0.25">
      <c r="A4633" t="s">
        <v>583</v>
      </c>
      <c r="B4633" s="26" t="str">
        <f>MID(tbl_forecast[[#This Row],[PACE Job Number]],3,3)</f>
        <v>NTX</v>
      </c>
      <c r="C4633" t="s">
        <v>15</v>
      </c>
      <c r="D4633" s="1">
        <v>43425</v>
      </c>
      <c r="E4633" s="1">
        <v>43425</v>
      </c>
      <c r="F4633" s="1">
        <v>43495</v>
      </c>
      <c r="G4633" s="1"/>
      <c r="H4633" t="s">
        <v>4664</v>
      </c>
      <c r="I4633" t="s">
        <v>4666</v>
      </c>
    </row>
    <row r="4634" spans="1:9" x14ac:dyDescent="0.25">
      <c r="A4634" t="s">
        <v>1575</v>
      </c>
      <c r="B4634" s="26" t="str">
        <f>MID(tbl_forecast[[#This Row],[PACE Job Number]],3,3)</f>
        <v>NTX</v>
      </c>
      <c r="C4634" t="s">
        <v>15</v>
      </c>
      <c r="D4634" s="1">
        <v>43408</v>
      </c>
      <c r="E4634" s="1">
        <v>43476</v>
      </c>
      <c r="F4634" s="1">
        <v>43524</v>
      </c>
      <c r="G4634" s="1"/>
      <c r="H4634" t="s">
        <v>4664</v>
      </c>
      <c r="I4634" t="s">
        <v>5645</v>
      </c>
    </row>
    <row r="4635" spans="1:9" x14ac:dyDescent="0.25">
      <c r="A4635" t="s">
        <v>80</v>
      </c>
      <c r="B4635" s="26" t="str">
        <f>MID(tbl_forecast[[#This Row],[PACE Job Number]],3,3)</f>
        <v>NTX</v>
      </c>
      <c r="C4635" t="s">
        <v>15</v>
      </c>
      <c r="D4635" s="1">
        <v>43416</v>
      </c>
      <c r="E4635" s="1">
        <v>43416</v>
      </c>
      <c r="F4635" s="1">
        <v>43417</v>
      </c>
      <c r="G4635" s="1">
        <v>43417</v>
      </c>
      <c r="H4635" t="s">
        <v>9</v>
      </c>
      <c r="I4635" t="s">
        <v>10</v>
      </c>
    </row>
    <row r="4636" spans="1:9" x14ac:dyDescent="0.25">
      <c r="A4636" t="s">
        <v>244</v>
      </c>
      <c r="B4636" s="26" t="str">
        <f>MID(tbl_forecast[[#This Row],[PACE Job Number]],3,3)</f>
        <v>NTX</v>
      </c>
      <c r="C4636" t="s">
        <v>15</v>
      </c>
      <c r="D4636" s="1">
        <v>43427</v>
      </c>
      <c r="E4636" s="1">
        <v>43427</v>
      </c>
      <c r="F4636" s="1">
        <v>43464</v>
      </c>
      <c r="G4636" s="1"/>
      <c r="H4636" t="s">
        <v>4664</v>
      </c>
      <c r="I4636" t="s">
        <v>4666</v>
      </c>
    </row>
    <row r="4637" spans="1:9" x14ac:dyDescent="0.25">
      <c r="A4637" t="s">
        <v>4528</v>
      </c>
      <c r="B4637" s="26" t="str">
        <f>MID(tbl_forecast[[#This Row],[PACE Job Number]],3,3)</f>
        <v>NTX</v>
      </c>
      <c r="C4637" t="s">
        <v>15</v>
      </c>
      <c r="D4637" s="1">
        <v>43415</v>
      </c>
      <c r="E4637" s="1">
        <v>43415</v>
      </c>
      <c r="F4637" s="1">
        <v>43615</v>
      </c>
      <c r="G4637" s="1"/>
      <c r="H4637" t="s">
        <v>4664</v>
      </c>
      <c r="I4637" t="s">
        <v>4666</v>
      </c>
    </row>
    <row r="4638" spans="1:9" x14ac:dyDescent="0.25">
      <c r="A4638" t="s">
        <v>4529</v>
      </c>
      <c r="B4638" s="26" t="str">
        <f>MID(tbl_forecast[[#This Row],[PACE Job Number]],3,3)</f>
        <v>NTX</v>
      </c>
      <c r="C4638" t="s">
        <v>15</v>
      </c>
      <c r="D4638" s="1">
        <v>43433</v>
      </c>
      <c r="E4638" s="1">
        <v>43445</v>
      </c>
      <c r="F4638" s="1">
        <v>43417</v>
      </c>
      <c r="G4638" s="1">
        <v>43417</v>
      </c>
      <c r="H4638" t="s">
        <v>9</v>
      </c>
      <c r="I4638" t="s">
        <v>10</v>
      </c>
    </row>
    <row r="4639" spans="1:9" x14ac:dyDescent="0.25">
      <c r="A4639" t="s">
        <v>2381</v>
      </c>
      <c r="B4639" s="26" t="str">
        <f>MID(tbl_forecast[[#This Row],[PACE Job Number]],3,3)</f>
        <v>NTX</v>
      </c>
      <c r="C4639" t="s">
        <v>15</v>
      </c>
      <c r="D4639" s="1">
        <v>43429</v>
      </c>
      <c r="E4639" s="1">
        <v>36524</v>
      </c>
      <c r="F4639" s="1">
        <v>43409</v>
      </c>
      <c r="G4639" s="1">
        <v>43409</v>
      </c>
      <c r="H4639" t="s">
        <v>9</v>
      </c>
      <c r="I4639" t="s">
        <v>10</v>
      </c>
    </row>
    <row r="4640" spans="1:9" x14ac:dyDescent="0.25">
      <c r="A4640" t="s">
        <v>368</v>
      </c>
      <c r="B4640" s="26" t="str">
        <f>MID(tbl_forecast[[#This Row],[PACE Job Number]],3,3)</f>
        <v>WSH</v>
      </c>
      <c r="C4640" t="s">
        <v>15</v>
      </c>
      <c r="D4640" s="1">
        <v>43434</v>
      </c>
      <c r="E4640" s="1">
        <v>36524</v>
      </c>
      <c r="F4640" s="1">
        <v>43431</v>
      </c>
      <c r="G4640" s="1">
        <v>43431</v>
      </c>
      <c r="H4640" t="s">
        <v>9</v>
      </c>
      <c r="I4640" t="s">
        <v>10</v>
      </c>
    </row>
    <row r="4641" spans="1:9" x14ac:dyDescent="0.25">
      <c r="A4641" t="s">
        <v>4019</v>
      </c>
      <c r="B4641" s="26" t="str">
        <f>MID(tbl_forecast[[#This Row],[PACE Job Number]],3,3)</f>
        <v>WSH</v>
      </c>
      <c r="C4641" t="s">
        <v>15</v>
      </c>
      <c r="D4641" s="1">
        <v>43434</v>
      </c>
      <c r="E4641" s="1">
        <v>36524</v>
      </c>
      <c r="F4641" s="1">
        <v>43409</v>
      </c>
      <c r="G4641" s="1">
        <v>43409</v>
      </c>
      <c r="H4641" t="s">
        <v>9</v>
      </c>
      <c r="I4641" t="s">
        <v>10</v>
      </c>
    </row>
    <row r="4642" spans="1:9" x14ac:dyDescent="0.25">
      <c r="A4642" t="s">
        <v>4268</v>
      </c>
      <c r="B4642" s="26" t="str">
        <f>MID(tbl_forecast[[#This Row],[PACE Job Number]],3,3)</f>
        <v>WSH</v>
      </c>
      <c r="C4642" t="s">
        <v>15</v>
      </c>
      <c r="D4642" s="1">
        <v>43433</v>
      </c>
      <c r="E4642" s="1">
        <v>36524</v>
      </c>
      <c r="F4642" s="1">
        <v>43464</v>
      </c>
      <c r="G4642" s="1"/>
      <c r="H4642" t="s">
        <v>4664</v>
      </c>
      <c r="I4642" t="s">
        <v>4666</v>
      </c>
    </row>
    <row r="4643" spans="1:9" x14ac:dyDescent="0.25">
      <c r="A4643" t="s">
        <v>3524</v>
      </c>
      <c r="B4643" s="26" t="str">
        <f>MID(tbl_forecast[[#This Row],[PACE Job Number]],3,3)</f>
        <v>WSH</v>
      </c>
      <c r="C4643" t="s">
        <v>15</v>
      </c>
      <c r="D4643" s="1">
        <v>43429</v>
      </c>
      <c r="E4643" s="1">
        <v>36524</v>
      </c>
      <c r="F4643" s="1">
        <v>43413</v>
      </c>
      <c r="G4643" s="1">
        <v>43413</v>
      </c>
      <c r="H4643" t="s">
        <v>9</v>
      </c>
      <c r="I4643" t="s">
        <v>10</v>
      </c>
    </row>
    <row r="4644" spans="1:9" x14ac:dyDescent="0.25">
      <c r="A4644" t="s">
        <v>95</v>
      </c>
      <c r="B4644" s="26" t="str">
        <f>MID(tbl_forecast[[#This Row],[PACE Job Number]],3,3)</f>
        <v>WSH</v>
      </c>
      <c r="C4644" t="s">
        <v>15</v>
      </c>
      <c r="D4644" s="1">
        <v>43433</v>
      </c>
      <c r="E4644" s="1">
        <v>36524</v>
      </c>
      <c r="F4644" s="1">
        <v>43424</v>
      </c>
      <c r="G4644" s="1">
        <v>43424</v>
      </c>
      <c r="H4644" t="s">
        <v>9</v>
      </c>
      <c r="I4644" t="s">
        <v>10</v>
      </c>
    </row>
    <row r="4645" spans="1:9" x14ac:dyDescent="0.25">
      <c r="A4645" t="s">
        <v>1251</v>
      </c>
      <c r="B4645" s="26" t="str">
        <f>MID(tbl_forecast[[#This Row],[PACE Job Number]],3,3)</f>
        <v>WSH</v>
      </c>
      <c r="C4645" t="s">
        <v>15</v>
      </c>
      <c r="D4645" s="1">
        <v>43422</v>
      </c>
      <c r="E4645" s="1">
        <v>36524</v>
      </c>
      <c r="F4645" s="1">
        <v>43411</v>
      </c>
      <c r="G4645" s="1">
        <v>43411</v>
      </c>
      <c r="H4645" t="s">
        <v>9</v>
      </c>
      <c r="I4645" t="s">
        <v>10</v>
      </c>
    </row>
    <row r="4646" spans="1:9" x14ac:dyDescent="0.25">
      <c r="A4646" t="s">
        <v>1080</v>
      </c>
      <c r="B4646" s="26" t="str">
        <f>MID(tbl_forecast[[#This Row],[PACE Job Number]],3,3)</f>
        <v>WSH</v>
      </c>
      <c r="C4646" t="s">
        <v>15</v>
      </c>
      <c r="D4646" s="1">
        <v>43429</v>
      </c>
      <c r="E4646" s="1">
        <v>36524</v>
      </c>
      <c r="F4646" s="1">
        <v>43413</v>
      </c>
      <c r="G4646" s="1">
        <v>43413</v>
      </c>
      <c r="H4646" t="s">
        <v>9</v>
      </c>
      <c r="I4646" t="s">
        <v>10</v>
      </c>
    </row>
    <row r="4647" spans="1:9" x14ac:dyDescent="0.25">
      <c r="A4647" t="s">
        <v>458</v>
      </c>
      <c r="B4647" s="26" t="str">
        <f>MID(tbl_forecast[[#This Row],[PACE Job Number]],3,3)</f>
        <v>WSH</v>
      </c>
      <c r="C4647" t="s">
        <v>15</v>
      </c>
      <c r="D4647" s="1">
        <v>43433</v>
      </c>
      <c r="E4647" s="1">
        <v>36524</v>
      </c>
      <c r="F4647" s="1">
        <v>43433</v>
      </c>
      <c r="G4647" s="1"/>
      <c r="H4647" t="s">
        <v>9</v>
      </c>
      <c r="I4647" t="s">
        <v>27</v>
      </c>
    </row>
    <row r="4648" spans="1:9" x14ac:dyDescent="0.25">
      <c r="A4648" t="s">
        <v>217</v>
      </c>
      <c r="B4648" s="26" t="str">
        <f>MID(tbl_forecast[[#This Row],[PACE Job Number]],3,3)</f>
        <v>WSH</v>
      </c>
      <c r="C4648" t="s">
        <v>15</v>
      </c>
      <c r="D4648" s="1">
        <v>43434</v>
      </c>
      <c r="E4648" s="1">
        <v>36524</v>
      </c>
      <c r="F4648" s="1">
        <v>43431</v>
      </c>
      <c r="G4648" s="1">
        <v>43431</v>
      </c>
      <c r="H4648" t="s">
        <v>9</v>
      </c>
      <c r="I4648" t="s">
        <v>10</v>
      </c>
    </row>
    <row r="4649" spans="1:9" x14ac:dyDescent="0.25">
      <c r="A4649" t="s">
        <v>5642</v>
      </c>
      <c r="B4649" s="26" t="str">
        <f>MID(tbl_forecast[[#This Row],[PACE Job Number]],3,3)</f>
        <v>WSH</v>
      </c>
      <c r="C4649" t="s">
        <v>15</v>
      </c>
      <c r="D4649" s="1">
        <v>43421</v>
      </c>
      <c r="E4649" s="1">
        <v>36524</v>
      </c>
      <c r="F4649" s="1">
        <v>43434</v>
      </c>
      <c r="G4649" s="1"/>
      <c r="H4649" t="s">
        <v>9</v>
      </c>
      <c r="I4649" t="s">
        <v>27</v>
      </c>
    </row>
    <row r="4650" spans="1:9" x14ac:dyDescent="0.25">
      <c r="A4650" t="s">
        <v>92</v>
      </c>
      <c r="B4650" s="26" t="str">
        <f>MID(tbl_forecast[[#This Row],[PACE Job Number]],3,3)</f>
        <v>WSH</v>
      </c>
      <c r="C4650" t="s">
        <v>15</v>
      </c>
      <c r="D4650" s="1">
        <v>43433</v>
      </c>
      <c r="E4650" s="1">
        <v>36524</v>
      </c>
      <c r="F4650" s="1">
        <v>43424</v>
      </c>
      <c r="G4650" s="1">
        <v>43424</v>
      </c>
      <c r="H4650" t="s">
        <v>9</v>
      </c>
      <c r="I4650" t="s">
        <v>10</v>
      </c>
    </row>
    <row r="4651" spans="1:9" x14ac:dyDescent="0.25">
      <c r="A4651" t="s">
        <v>4020</v>
      </c>
      <c r="B4651" s="26" t="str">
        <f>MID(tbl_forecast[[#This Row],[PACE Job Number]],3,3)</f>
        <v>WSH</v>
      </c>
      <c r="C4651" t="s">
        <v>15</v>
      </c>
      <c r="D4651" s="1">
        <v>43434</v>
      </c>
      <c r="E4651" s="1">
        <v>36524</v>
      </c>
      <c r="F4651" s="1">
        <v>43449</v>
      </c>
      <c r="G4651" s="1"/>
      <c r="H4651" t="s">
        <v>4664</v>
      </c>
      <c r="I4651" t="s">
        <v>4666</v>
      </c>
    </row>
    <row r="4652" spans="1:9" x14ac:dyDescent="0.25">
      <c r="A4652" t="s">
        <v>355</v>
      </c>
      <c r="B4652" s="26" t="str">
        <f>MID(tbl_forecast[[#This Row],[PACE Job Number]],3,3)</f>
        <v>WSH</v>
      </c>
      <c r="C4652" t="s">
        <v>15</v>
      </c>
      <c r="D4652" s="1">
        <v>43434</v>
      </c>
      <c r="E4652" s="1">
        <v>36524</v>
      </c>
      <c r="F4652" s="1">
        <v>43431</v>
      </c>
      <c r="G4652" s="1">
        <v>43431</v>
      </c>
      <c r="H4652" t="s">
        <v>9</v>
      </c>
      <c r="I4652" t="s">
        <v>10</v>
      </c>
    </row>
    <row r="4653" spans="1:9" x14ac:dyDescent="0.25">
      <c r="A4653" t="s">
        <v>1510</v>
      </c>
      <c r="B4653" s="26" t="str">
        <f>MID(tbl_forecast[[#This Row],[PACE Job Number]],3,3)</f>
        <v>STX</v>
      </c>
      <c r="C4653" t="s">
        <v>15</v>
      </c>
      <c r="D4653" s="1">
        <v>43410</v>
      </c>
      <c r="E4653" s="1">
        <v>43401</v>
      </c>
      <c r="F4653" s="1">
        <v>43417</v>
      </c>
      <c r="G4653" s="1">
        <v>43417</v>
      </c>
      <c r="H4653" t="s">
        <v>9</v>
      </c>
      <c r="I4653" t="s">
        <v>10</v>
      </c>
    </row>
    <row r="4654" spans="1:9" x14ac:dyDescent="0.25">
      <c r="A4654" t="s">
        <v>4661</v>
      </c>
      <c r="B4654" s="26" t="str">
        <f>MID(tbl_forecast[[#This Row],[PACE Job Number]],3,3)</f>
        <v>STX</v>
      </c>
      <c r="C4654" t="s">
        <v>15</v>
      </c>
      <c r="D4654" s="1">
        <v>43410</v>
      </c>
      <c r="E4654" s="1">
        <v>43464</v>
      </c>
      <c r="F4654" s="1">
        <v>43434</v>
      </c>
      <c r="G4654" s="1"/>
      <c r="H4654" t="s">
        <v>4664</v>
      </c>
      <c r="I4654" t="s">
        <v>5645</v>
      </c>
    </row>
    <row r="4655" spans="1:9" x14ac:dyDescent="0.25">
      <c r="A4655" t="s">
        <v>3513</v>
      </c>
      <c r="B4655" s="26" t="str">
        <f>MID(tbl_forecast[[#This Row],[PACE Job Number]],3,3)</f>
        <v>STX</v>
      </c>
      <c r="C4655" t="s">
        <v>15</v>
      </c>
      <c r="D4655" s="1">
        <v>43433</v>
      </c>
      <c r="E4655" s="1">
        <v>43418</v>
      </c>
      <c r="F4655" s="1">
        <v>43424</v>
      </c>
      <c r="G4655" s="1">
        <v>43424</v>
      </c>
      <c r="H4655" t="s">
        <v>9</v>
      </c>
      <c r="I4655" t="s">
        <v>10</v>
      </c>
    </row>
    <row r="4656" spans="1:9" x14ac:dyDescent="0.25">
      <c r="A4656" t="s">
        <v>1260</v>
      </c>
      <c r="B4656" s="26" t="str">
        <f>MID(tbl_forecast[[#This Row],[PACE Job Number]],3,3)</f>
        <v>WSH</v>
      </c>
      <c r="C4656" t="s">
        <v>15</v>
      </c>
      <c r="D4656" s="1">
        <v>43429</v>
      </c>
      <c r="E4656" s="1">
        <v>36524</v>
      </c>
      <c r="F4656" s="1">
        <v>43440</v>
      </c>
      <c r="G4656" s="1"/>
      <c r="H4656" t="s">
        <v>9</v>
      </c>
      <c r="I4656" t="s">
        <v>27</v>
      </c>
    </row>
    <row r="4657" spans="1:9" x14ac:dyDescent="0.25">
      <c r="A4657" t="s">
        <v>481</v>
      </c>
      <c r="B4657" s="26" t="str">
        <f>MID(tbl_forecast[[#This Row],[PACE Job Number]],3,3)</f>
        <v>WSH</v>
      </c>
      <c r="C4657" t="s">
        <v>15</v>
      </c>
      <c r="D4657" s="1">
        <v>43421</v>
      </c>
      <c r="E4657" s="1">
        <v>36524</v>
      </c>
      <c r="F4657" s="1">
        <v>43434</v>
      </c>
      <c r="G4657" s="1"/>
      <c r="H4657" t="s">
        <v>9</v>
      </c>
      <c r="I4657" t="s">
        <v>27</v>
      </c>
    </row>
    <row r="4658" spans="1:9" x14ac:dyDescent="0.25">
      <c r="A4658" t="s">
        <v>116</v>
      </c>
      <c r="B4658" s="26" t="str">
        <f>MID(tbl_forecast[[#This Row],[PACE Job Number]],3,3)</f>
        <v>WSH</v>
      </c>
      <c r="C4658" t="s">
        <v>15</v>
      </c>
      <c r="D4658" s="1">
        <v>43421</v>
      </c>
      <c r="E4658" s="1">
        <v>36524</v>
      </c>
      <c r="F4658" s="1">
        <v>43434</v>
      </c>
      <c r="G4658" s="1"/>
      <c r="H4658" t="s">
        <v>9</v>
      </c>
      <c r="I4658" t="s">
        <v>27</v>
      </c>
    </row>
    <row r="4659" spans="1:9" x14ac:dyDescent="0.25">
      <c r="A4659" t="s">
        <v>4059</v>
      </c>
      <c r="B4659" s="26" t="str">
        <f>MID(tbl_forecast[[#This Row],[PACE Job Number]],3,3)</f>
        <v>WSH</v>
      </c>
      <c r="C4659" t="s">
        <v>15</v>
      </c>
      <c r="D4659" s="1">
        <v>43434</v>
      </c>
      <c r="E4659" s="1">
        <v>36524</v>
      </c>
      <c r="F4659" s="1">
        <v>43434</v>
      </c>
      <c r="G4659" s="1"/>
      <c r="H4659" t="s">
        <v>9</v>
      </c>
      <c r="I4659" t="s">
        <v>27</v>
      </c>
    </row>
    <row r="4660" spans="1:9" x14ac:dyDescent="0.25">
      <c r="A4660" t="s">
        <v>108</v>
      </c>
      <c r="B4660" s="26" t="str">
        <f>MID(tbl_forecast[[#This Row],[PACE Job Number]],3,3)</f>
        <v>WSH</v>
      </c>
      <c r="C4660" t="s">
        <v>15</v>
      </c>
      <c r="D4660" s="1">
        <v>43434</v>
      </c>
      <c r="E4660" s="1">
        <v>36524</v>
      </c>
      <c r="F4660" s="1">
        <v>43434</v>
      </c>
      <c r="G4660" s="1"/>
      <c r="H4660" t="s">
        <v>9</v>
      </c>
      <c r="I4660" t="s">
        <v>27</v>
      </c>
    </row>
    <row r="4661" spans="1:9" x14ac:dyDescent="0.25">
      <c r="A4661" t="s">
        <v>4359</v>
      </c>
      <c r="B4661" s="26" t="str">
        <f>MID(tbl_forecast[[#This Row],[PACE Job Number]],3,3)</f>
        <v>NTX</v>
      </c>
      <c r="C4661" t="s">
        <v>15</v>
      </c>
      <c r="D4661" s="1">
        <v>43415</v>
      </c>
      <c r="E4661" s="1">
        <v>43428</v>
      </c>
      <c r="F4661" s="1">
        <v>43524</v>
      </c>
      <c r="G4661" s="1"/>
      <c r="H4661" t="s">
        <v>4664</v>
      </c>
      <c r="I4661" t="s">
        <v>4666</v>
      </c>
    </row>
    <row r="4662" spans="1:9" x14ac:dyDescent="0.25">
      <c r="A4662" t="s">
        <v>3996</v>
      </c>
      <c r="B4662" s="26" t="str">
        <f>MID(tbl_forecast[[#This Row],[PACE Job Number]],3,3)</f>
        <v>NTX</v>
      </c>
      <c r="C4662" t="s">
        <v>15</v>
      </c>
      <c r="D4662" s="1">
        <v>43413</v>
      </c>
      <c r="E4662" s="1">
        <v>43413</v>
      </c>
      <c r="F4662" s="1">
        <v>43464</v>
      </c>
      <c r="G4662" s="1"/>
      <c r="H4662" t="s">
        <v>4664</v>
      </c>
      <c r="I4662" t="s">
        <v>4666</v>
      </c>
    </row>
    <row r="4663" spans="1:9" x14ac:dyDescent="0.25">
      <c r="A4663" t="s">
        <v>3502</v>
      </c>
      <c r="B4663" s="26" t="str">
        <f>MID(tbl_forecast[[#This Row],[PACE Job Number]],3,3)</f>
        <v>NTX</v>
      </c>
      <c r="C4663" t="s">
        <v>15</v>
      </c>
      <c r="D4663" s="1">
        <v>43428</v>
      </c>
      <c r="E4663" s="1">
        <v>43428</v>
      </c>
      <c r="F4663" s="1">
        <v>43524</v>
      </c>
      <c r="G4663" s="1"/>
      <c r="H4663" t="s">
        <v>4664</v>
      </c>
      <c r="I4663" t="s">
        <v>4666</v>
      </c>
    </row>
    <row r="4664" spans="1:9" x14ac:dyDescent="0.25">
      <c r="A4664" t="s">
        <v>3464</v>
      </c>
      <c r="B4664" s="26" t="str">
        <f>MID(tbl_forecast[[#This Row],[PACE Job Number]],3,3)</f>
        <v>NTX</v>
      </c>
      <c r="C4664" t="s">
        <v>15</v>
      </c>
      <c r="D4664" s="1">
        <v>43428</v>
      </c>
      <c r="E4664" s="1">
        <v>43428</v>
      </c>
      <c r="F4664" s="1">
        <v>43524</v>
      </c>
      <c r="G4664" s="1"/>
      <c r="H4664" t="s">
        <v>4664</v>
      </c>
      <c r="I4664" t="s">
        <v>4666</v>
      </c>
    </row>
    <row r="4665" spans="1:9" x14ac:dyDescent="0.25">
      <c r="A4665" t="s">
        <v>3477</v>
      </c>
      <c r="B4665" s="26" t="str">
        <f>MID(tbl_forecast[[#This Row],[PACE Job Number]],3,3)</f>
        <v>NTX</v>
      </c>
      <c r="C4665" t="s">
        <v>15</v>
      </c>
      <c r="D4665" s="1">
        <v>43425</v>
      </c>
      <c r="E4665" s="1">
        <v>43425</v>
      </c>
      <c r="F4665" s="1">
        <v>43495</v>
      </c>
      <c r="G4665" s="1"/>
      <c r="H4665" t="s">
        <v>4664</v>
      </c>
      <c r="I4665" t="s">
        <v>4666</v>
      </c>
    </row>
    <row r="4666" spans="1:9" x14ac:dyDescent="0.25">
      <c r="A4666" t="s">
        <v>4604</v>
      </c>
      <c r="B4666" s="26" t="str">
        <f>MID(tbl_forecast[[#This Row],[PACE Job Number]],3,3)</f>
        <v>NTX</v>
      </c>
      <c r="C4666" t="s">
        <v>15</v>
      </c>
      <c r="D4666" s="1">
        <v>43431</v>
      </c>
      <c r="E4666" s="1">
        <v>36524</v>
      </c>
      <c r="F4666" s="1">
        <v>43464</v>
      </c>
      <c r="G4666" s="1"/>
      <c r="H4666" t="s">
        <v>4664</v>
      </c>
      <c r="I4666" t="s">
        <v>4666</v>
      </c>
    </row>
    <row r="4667" spans="1:9" x14ac:dyDescent="0.25">
      <c r="A4667" t="s">
        <v>2631</v>
      </c>
      <c r="B4667" s="26" t="str">
        <f>MID(tbl_forecast[[#This Row],[PACE Job Number]],3,3)</f>
        <v>STX</v>
      </c>
      <c r="C4667" t="s">
        <v>15</v>
      </c>
      <c r="D4667" s="1">
        <v>43433</v>
      </c>
      <c r="E4667" s="1">
        <v>43433</v>
      </c>
      <c r="F4667" s="1">
        <v>43432</v>
      </c>
      <c r="G4667" s="1">
        <v>43432</v>
      </c>
      <c r="H4667" t="s">
        <v>9</v>
      </c>
      <c r="I4667" t="s">
        <v>10</v>
      </c>
    </row>
    <row r="4668" spans="1:9" x14ac:dyDescent="0.25">
      <c r="A4668" t="s">
        <v>748</v>
      </c>
      <c r="B4668" s="26" t="str">
        <f>MID(tbl_forecast[[#This Row],[PACE Job Number]],3,3)</f>
        <v>STX</v>
      </c>
      <c r="C4668" t="s">
        <v>15</v>
      </c>
      <c r="D4668" s="1">
        <v>43419</v>
      </c>
      <c r="E4668" s="1">
        <v>43433</v>
      </c>
      <c r="F4668" s="1">
        <v>43434</v>
      </c>
      <c r="G4668" s="1"/>
      <c r="H4668" t="s">
        <v>4664</v>
      </c>
      <c r="I4668" t="s">
        <v>5645</v>
      </c>
    </row>
    <row r="4669" spans="1:9" x14ac:dyDescent="0.25">
      <c r="A4669" t="s">
        <v>2638</v>
      </c>
      <c r="B4669" s="26" t="str">
        <f>MID(tbl_forecast[[#This Row],[PACE Job Number]],3,3)</f>
        <v>STX</v>
      </c>
      <c r="C4669" t="s">
        <v>15</v>
      </c>
      <c r="D4669" s="1">
        <v>43425</v>
      </c>
      <c r="E4669" s="1">
        <v>43425</v>
      </c>
      <c r="F4669" s="1">
        <v>43434</v>
      </c>
      <c r="G4669" s="1"/>
      <c r="H4669" t="s">
        <v>9</v>
      </c>
      <c r="I4669" t="s">
        <v>27</v>
      </c>
    </row>
    <row r="4670" spans="1:9" x14ac:dyDescent="0.25">
      <c r="A4670" t="s">
        <v>160</v>
      </c>
      <c r="B4670" s="26" t="str">
        <f>MID(tbl_forecast[[#This Row],[PACE Job Number]],3,3)</f>
        <v>WSH</v>
      </c>
      <c r="C4670" t="s">
        <v>15</v>
      </c>
      <c r="D4670" s="1">
        <v>43429</v>
      </c>
      <c r="E4670" s="1">
        <v>36524</v>
      </c>
      <c r="F4670" s="1">
        <v>43419</v>
      </c>
      <c r="G4670" s="1">
        <v>43419</v>
      </c>
      <c r="H4670" t="s">
        <v>9</v>
      </c>
      <c r="I4670" t="s">
        <v>10</v>
      </c>
    </row>
    <row r="4671" spans="1:9" x14ac:dyDescent="0.25">
      <c r="A4671" t="s">
        <v>182</v>
      </c>
      <c r="B4671" s="26" t="str">
        <f>MID(tbl_forecast[[#This Row],[PACE Job Number]],3,3)</f>
        <v>WSH</v>
      </c>
      <c r="C4671" t="s">
        <v>15</v>
      </c>
      <c r="D4671" s="1">
        <v>43433</v>
      </c>
      <c r="E4671" s="1">
        <v>36524</v>
      </c>
      <c r="F4671" s="1">
        <v>43433</v>
      </c>
      <c r="G4671" s="1"/>
      <c r="H4671" t="s">
        <v>9</v>
      </c>
      <c r="I4671" t="s">
        <v>27</v>
      </c>
    </row>
    <row r="4672" spans="1:9" x14ac:dyDescent="0.25">
      <c r="A4672" t="s">
        <v>130</v>
      </c>
      <c r="B4672" s="26" t="str">
        <f>MID(tbl_forecast[[#This Row],[PACE Job Number]],3,3)</f>
        <v>WSH</v>
      </c>
      <c r="C4672" t="s">
        <v>15</v>
      </c>
      <c r="D4672" s="1">
        <v>43429</v>
      </c>
      <c r="E4672" s="1">
        <v>36524</v>
      </c>
      <c r="F4672" s="1">
        <v>43419</v>
      </c>
      <c r="G4672" s="1">
        <v>43419</v>
      </c>
      <c r="H4672" t="s">
        <v>9</v>
      </c>
      <c r="I4672" t="s">
        <v>10</v>
      </c>
    </row>
    <row r="4673" spans="1:9" x14ac:dyDescent="0.25">
      <c r="A4673" t="s">
        <v>4511</v>
      </c>
      <c r="B4673" s="26" t="str">
        <f>MID(tbl_forecast[[#This Row],[PACE Job Number]],3,3)</f>
        <v>NTX</v>
      </c>
      <c r="C4673" t="s">
        <v>15</v>
      </c>
      <c r="D4673" s="1">
        <v>43413</v>
      </c>
      <c r="E4673" s="1">
        <v>43421</v>
      </c>
      <c r="F4673" s="1">
        <v>43464</v>
      </c>
      <c r="G4673" s="1"/>
      <c r="H4673" t="s">
        <v>4664</v>
      </c>
      <c r="I4673" t="s">
        <v>4666</v>
      </c>
    </row>
    <row r="4674" spans="1:9" x14ac:dyDescent="0.25">
      <c r="A4674" t="s">
        <v>1896</v>
      </c>
      <c r="B4674" s="26" t="str">
        <f>MID(tbl_forecast[[#This Row],[PACE Job Number]],3,3)</f>
        <v>NTX</v>
      </c>
      <c r="C4674" t="s">
        <v>15</v>
      </c>
      <c r="D4674" s="1">
        <v>43413</v>
      </c>
      <c r="E4674" s="1">
        <v>36524</v>
      </c>
      <c r="F4674" s="1">
        <v>43411</v>
      </c>
      <c r="G4674" s="1">
        <v>43411</v>
      </c>
      <c r="H4674" t="s">
        <v>9</v>
      </c>
      <c r="I4674" t="s">
        <v>10</v>
      </c>
    </row>
    <row r="4675" spans="1:9" x14ac:dyDescent="0.25">
      <c r="A4675" t="s">
        <v>234</v>
      </c>
      <c r="B4675" s="26" t="str">
        <f>MID(tbl_forecast[[#This Row],[PACE Job Number]],3,3)</f>
        <v>NTX</v>
      </c>
      <c r="C4675" t="s">
        <v>15</v>
      </c>
      <c r="D4675" s="1">
        <v>43427</v>
      </c>
      <c r="E4675" s="1">
        <v>43427</v>
      </c>
      <c r="F4675" s="1">
        <v>43464</v>
      </c>
      <c r="G4675" s="1"/>
      <c r="H4675" t="s">
        <v>4664</v>
      </c>
      <c r="I4675" t="s">
        <v>4666</v>
      </c>
    </row>
    <row r="4676" spans="1:9" x14ac:dyDescent="0.25">
      <c r="A4676" t="s">
        <v>3980</v>
      </c>
      <c r="B4676" s="26" t="str">
        <f>MID(tbl_forecast[[#This Row],[PACE Job Number]],3,3)</f>
        <v>NTX</v>
      </c>
      <c r="C4676" t="s">
        <v>15</v>
      </c>
      <c r="D4676" s="1">
        <v>43425</v>
      </c>
      <c r="E4676" s="1">
        <v>43425</v>
      </c>
      <c r="F4676" s="1">
        <v>43464</v>
      </c>
      <c r="G4676" s="1"/>
      <c r="H4676" t="s">
        <v>4664</v>
      </c>
      <c r="I4676" t="s">
        <v>4666</v>
      </c>
    </row>
    <row r="4677" spans="1:9" x14ac:dyDescent="0.25">
      <c r="A4677" t="s">
        <v>444</v>
      </c>
      <c r="B4677" s="26" t="str">
        <f>MID(tbl_forecast[[#This Row],[PACE Job Number]],3,3)</f>
        <v>WSH</v>
      </c>
      <c r="C4677" t="s">
        <v>15</v>
      </c>
      <c r="D4677" s="1">
        <v>43434</v>
      </c>
      <c r="E4677" s="1">
        <v>36524</v>
      </c>
      <c r="F4677" s="1">
        <v>43431</v>
      </c>
      <c r="G4677" s="1">
        <v>43431</v>
      </c>
      <c r="H4677" t="s">
        <v>9</v>
      </c>
      <c r="I4677" t="s">
        <v>10</v>
      </c>
    </row>
    <row r="4678" spans="1:9" x14ac:dyDescent="0.25">
      <c r="A4678" t="s">
        <v>1299</v>
      </c>
      <c r="B4678" s="26" t="str">
        <f>MID(tbl_forecast[[#This Row],[PACE Job Number]],3,3)</f>
        <v>WSH</v>
      </c>
      <c r="C4678" t="s">
        <v>15</v>
      </c>
      <c r="D4678" s="1">
        <v>43429</v>
      </c>
      <c r="E4678" s="1">
        <v>36524</v>
      </c>
      <c r="F4678" s="1">
        <v>43440</v>
      </c>
      <c r="G4678" s="1"/>
      <c r="H4678" t="s">
        <v>9</v>
      </c>
      <c r="I4678" t="s">
        <v>27</v>
      </c>
    </row>
    <row r="4679" spans="1:9" x14ac:dyDescent="0.25">
      <c r="A4679" t="s">
        <v>4621</v>
      </c>
      <c r="B4679" s="26" t="str">
        <f>MID(tbl_forecast[[#This Row],[PACE Job Number]],3,3)</f>
        <v>WSH</v>
      </c>
      <c r="C4679" t="s">
        <v>15</v>
      </c>
      <c r="D4679" s="1">
        <v>43434</v>
      </c>
      <c r="E4679" s="1">
        <v>36524</v>
      </c>
      <c r="F4679" s="1">
        <v>43434</v>
      </c>
      <c r="G4679" s="1"/>
      <c r="H4679" t="s">
        <v>9</v>
      </c>
      <c r="I4679" t="s">
        <v>27</v>
      </c>
    </row>
    <row r="4680" spans="1:9" x14ac:dyDescent="0.25">
      <c r="A4680" t="s">
        <v>1266</v>
      </c>
      <c r="B4680" s="26" t="str">
        <f>MID(tbl_forecast[[#This Row],[PACE Job Number]],3,3)</f>
        <v>WSH</v>
      </c>
      <c r="C4680" t="s">
        <v>15</v>
      </c>
      <c r="D4680" s="1">
        <v>43422</v>
      </c>
      <c r="E4680" s="1">
        <v>36524</v>
      </c>
      <c r="F4680" s="1">
        <v>43411</v>
      </c>
      <c r="G4680" s="1">
        <v>43411</v>
      </c>
      <c r="H4680" t="s">
        <v>9</v>
      </c>
      <c r="I4680" t="s">
        <v>10</v>
      </c>
    </row>
    <row r="4681" spans="1:9" x14ac:dyDescent="0.25">
      <c r="A4681" t="s">
        <v>973</v>
      </c>
      <c r="B4681" s="26" t="str">
        <f>MID(tbl_forecast[[#This Row],[PACE Job Number]],3,3)</f>
        <v>WSH</v>
      </c>
      <c r="C4681" t="s">
        <v>15</v>
      </c>
      <c r="D4681" s="1">
        <v>43422</v>
      </c>
      <c r="E4681" s="1">
        <v>36524</v>
      </c>
      <c r="F4681" s="1">
        <v>43411</v>
      </c>
      <c r="G4681" s="1">
        <v>43411</v>
      </c>
      <c r="H4681" t="s">
        <v>9</v>
      </c>
      <c r="I4681" t="s">
        <v>10</v>
      </c>
    </row>
    <row r="4682" spans="1:9" x14ac:dyDescent="0.25">
      <c r="A4682" t="s">
        <v>4037</v>
      </c>
      <c r="B4682" s="26" t="str">
        <f>MID(tbl_forecast[[#This Row],[PACE Job Number]],3,3)</f>
        <v>WSH</v>
      </c>
      <c r="C4682" t="s">
        <v>15</v>
      </c>
      <c r="D4682" s="1">
        <v>43434</v>
      </c>
      <c r="E4682" s="1">
        <v>36524</v>
      </c>
      <c r="F4682" s="1">
        <v>43440</v>
      </c>
      <c r="G4682" s="1"/>
      <c r="H4682" t="s">
        <v>9</v>
      </c>
      <c r="I4682" t="s">
        <v>27</v>
      </c>
    </row>
    <row r="4683" spans="1:9" x14ac:dyDescent="0.25">
      <c r="A4683" t="s">
        <v>4041</v>
      </c>
      <c r="B4683" s="26" t="str">
        <f>MID(tbl_forecast[[#This Row],[PACE Job Number]],3,3)</f>
        <v>STX</v>
      </c>
      <c r="C4683" t="s">
        <v>15</v>
      </c>
      <c r="D4683" s="1">
        <v>43433</v>
      </c>
      <c r="E4683" s="1">
        <v>43433</v>
      </c>
      <c r="F4683" s="1">
        <v>43424</v>
      </c>
      <c r="G4683" s="1">
        <v>43424</v>
      </c>
      <c r="H4683" t="s">
        <v>9</v>
      </c>
      <c r="I4683" t="s">
        <v>10</v>
      </c>
    </row>
    <row r="4684" spans="1:9" x14ac:dyDescent="0.25">
      <c r="A4684" t="s">
        <v>2636</v>
      </c>
      <c r="B4684" s="26" t="str">
        <f>MID(tbl_forecast[[#This Row],[PACE Job Number]],3,3)</f>
        <v>STX</v>
      </c>
      <c r="C4684" t="s">
        <v>15</v>
      </c>
      <c r="D4684" s="1">
        <v>43425</v>
      </c>
      <c r="E4684" s="1">
        <v>43425</v>
      </c>
      <c r="F4684" s="1">
        <v>43434</v>
      </c>
      <c r="G4684" s="1"/>
      <c r="H4684" t="s">
        <v>9</v>
      </c>
      <c r="I4684" t="s">
        <v>27</v>
      </c>
    </row>
    <row r="4685" spans="1:9" x14ac:dyDescent="0.25">
      <c r="A4685" t="s">
        <v>1115</v>
      </c>
      <c r="B4685" s="26" t="str">
        <f>MID(tbl_forecast[[#This Row],[PACE Job Number]],3,3)</f>
        <v>STX</v>
      </c>
      <c r="C4685" t="s">
        <v>15</v>
      </c>
      <c r="D4685" s="1">
        <v>43433</v>
      </c>
      <c r="E4685" s="1">
        <v>43433</v>
      </c>
      <c r="F4685" s="1">
        <v>43432</v>
      </c>
      <c r="G4685" s="1">
        <v>43432</v>
      </c>
      <c r="H4685" t="s">
        <v>9</v>
      </c>
      <c r="I4685" t="s">
        <v>10</v>
      </c>
    </row>
    <row r="4686" spans="1:9" x14ac:dyDescent="0.25">
      <c r="A4686" t="s">
        <v>515</v>
      </c>
      <c r="B4686" s="26" t="str">
        <f>MID(tbl_forecast[[#This Row],[PACE Job Number]],3,3)</f>
        <v>STX</v>
      </c>
      <c r="C4686" t="s">
        <v>15</v>
      </c>
      <c r="D4686" s="1">
        <v>43406</v>
      </c>
      <c r="E4686" s="1">
        <v>43454</v>
      </c>
      <c r="F4686" s="1">
        <v>43406</v>
      </c>
      <c r="G4686" s="1">
        <v>43406</v>
      </c>
      <c r="H4686" t="s">
        <v>9</v>
      </c>
      <c r="I4686" t="s">
        <v>10</v>
      </c>
    </row>
    <row r="4687" spans="1:9" x14ac:dyDescent="0.25">
      <c r="A4687" t="s">
        <v>539</v>
      </c>
      <c r="B4687" s="26" t="str">
        <f>MID(tbl_forecast[[#This Row],[PACE Job Number]],3,3)</f>
        <v>STX</v>
      </c>
      <c r="C4687" t="s">
        <v>15</v>
      </c>
      <c r="D4687" s="1">
        <v>43419</v>
      </c>
      <c r="E4687" s="1">
        <v>43433</v>
      </c>
      <c r="F4687" s="1">
        <v>43434</v>
      </c>
      <c r="G4687" s="1"/>
      <c r="H4687" t="s">
        <v>4664</v>
      </c>
      <c r="I4687" t="s">
        <v>5645</v>
      </c>
    </row>
    <row r="4688" spans="1:9" x14ac:dyDescent="0.25">
      <c r="A4688" t="s">
        <v>3273</v>
      </c>
      <c r="B4688" s="26" t="str">
        <f>MID(tbl_forecast[[#This Row],[PACE Job Number]],3,3)</f>
        <v>STX</v>
      </c>
      <c r="C4688" t="s">
        <v>15</v>
      </c>
      <c r="D4688" s="1">
        <v>43410</v>
      </c>
      <c r="E4688" s="1">
        <v>43433</v>
      </c>
      <c r="F4688" s="1">
        <v>43423</v>
      </c>
      <c r="G4688" s="1">
        <v>43423</v>
      </c>
      <c r="H4688" t="s">
        <v>9</v>
      </c>
      <c r="I4688" t="s">
        <v>10</v>
      </c>
    </row>
    <row r="4689" spans="1:9" x14ac:dyDescent="0.25">
      <c r="A4689" t="s">
        <v>613</v>
      </c>
      <c r="B4689" s="26" t="str">
        <f>MID(tbl_forecast[[#This Row],[PACE Job Number]],3,3)</f>
        <v>STX</v>
      </c>
      <c r="C4689" t="s">
        <v>15</v>
      </c>
      <c r="D4689" s="1">
        <v>43433</v>
      </c>
      <c r="E4689" s="1">
        <v>43433</v>
      </c>
      <c r="F4689" s="1">
        <v>43424</v>
      </c>
      <c r="G4689" s="1">
        <v>43424</v>
      </c>
      <c r="H4689" t="s">
        <v>9</v>
      </c>
      <c r="I4689" t="s">
        <v>10</v>
      </c>
    </row>
    <row r="4690" spans="1:9" x14ac:dyDescent="0.25">
      <c r="A4690" t="s">
        <v>4042</v>
      </c>
      <c r="B4690" s="26" t="str">
        <f>MID(tbl_forecast[[#This Row],[PACE Job Number]],3,3)</f>
        <v>STX</v>
      </c>
      <c r="C4690" t="s">
        <v>15</v>
      </c>
      <c r="D4690" s="1">
        <v>43410</v>
      </c>
      <c r="E4690" s="1">
        <v>43465</v>
      </c>
      <c r="F4690" s="1">
        <v>43417</v>
      </c>
      <c r="G4690" s="1">
        <v>43417</v>
      </c>
      <c r="H4690" t="s">
        <v>9</v>
      </c>
      <c r="I4690" t="s">
        <v>10</v>
      </c>
    </row>
    <row r="4691" spans="1:9" x14ac:dyDescent="0.25">
      <c r="A4691" t="s">
        <v>3520</v>
      </c>
      <c r="B4691" s="26" t="str">
        <f>MID(tbl_forecast[[#This Row],[PACE Job Number]],3,3)</f>
        <v>STX</v>
      </c>
      <c r="C4691" t="s">
        <v>15</v>
      </c>
      <c r="D4691" s="1">
        <v>43410</v>
      </c>
      <c r="E4691" s="1">
        <v>43463</v>
      </c>
      <c r="F4691" s="1">
        <v>43434</v>
      </c>
      <c r="G4691" s="1"/>
      <c r="H4691" t="s">
        <v>4664</v>
      </c>
      <c r="I4691" t="s">
        <v>5645</v>
      </c>
    </row>
    <row r="4692" spans="1:9" x14ac:dyDescent="0.25">
      <c r="A4692" t="s">
        <v>4197</v>
      </c>
      <c r="B4692" s="26" t="str">
        <f>MID(tbl_forecast[[#This Row],[PACE Job Number]],3,3)</f>
        <v>WSH</v>
      </c>
      <c r="C4692" t="s">
        <v>15</v>
      </c>
      <c r="D4692" s="1">
        <v>43433</v>
      </c>
      <c r="E4692" s="1">
        <v>36524</v>
      </c>
      <c r="F4692" s="1">
        <v>43464</v>
      </c>
      <c r="G4692" s="1"/>
      <c r="H4692" t="s">
        <v>4664</v>
      </c>
      <c r="I4692" t="s">
        <v>4666</v>
      </c>
    </row>
    <row r="4693" spans="1:9" x14ac:dyDescent="0.25">
      <c r="A4693" t="s">
        <v>4559</v>
      </c>
      <c r="B4693" s="26" t="str">
        <f>MID(tbl_forecast[[#This Row],[PACE Job Number]],3,3)</f>
        <v>NTX</v>
      </c>
      <c r="C4693" t="s">
        <v>15</v>
      </c>
      <c r="D4693" s="1">
        <v>43415</v>
      </c>
      <c r="E4693" s="1">
        <v>43415</v>
      </c>
      <c r="F4693" s="1">
        <v>43615</v>
      </c>
      <c r="G4693" s="1"/>
      <c r="H4693" t="s">
        <v>4664</v>
      </c>
      <c r="I4693" t="s">
        <v>4666</v>
      </c>
    </row>
    <row r="4694" spans="1:9" x14ac:dyDescent="0.25">
      <c r="A4694" t="s">
        <v>1768</v>
      </c>
      <c r="B4694" s="26" t="str">
        <f>MID(tbl_forecast[[#This Row],[PACE Job Number]],3,3)</f>
        <v>NTX</v>
      </c>
      <c r="C4694" t="s">
        <v>15</v>
      </c>
      <c r="D4694" s="1">
        <v>43430</v>
      </c>
      <c r="E4694" s="1">
        <v>43430</v>
      </c>
      <c r="F4694" s="1">
        <v>43524</v>
      </c>
      <c r="G4694" s="1"/>
      <c r="H4694" t="s">
        <v>4664</v>
      </c>
      <c r="I4694" t="s">
        <v>4666</v>
      </c>
    </row>
    <row r="4695" spans="1:9" x14ac:dyDescent="0.25">
      <c r="A4695" t="s">
        <v>149</v>
      </c>
      <c r="B4695" s="26" t="str">
        <f>MID(tbl_forecast[[#This Row],[PACE Job Number]],3,3)</f>
        <v>NTX</v>
      </c>
      <c r="C4695" t="s">
        <v>15</v>
      </c>
      <c r="D4695" s="1">
        <v>43427</v>
      </c>
      <c r="E4695" s="1">
        <v>43427</v>
      </c>
      <c r="F4695" s="1">
        <v>43464</v>
      </c>
      <c r="G4695" s="1"/>
      <c r="H4695" t="s">
        <v>4664</v>
      </c>
      <c r="I4695" t="s">
        <v>4666</v>
      </c>
    </row>
    <row r="4696" spans="1:9" x14ac:dyDescent="0.25">
      <c r="A4696" t="s">
        <v>3521</v>
      </c>
      <c r="B4696" s="26" t="str">
        <f>MID(tbl_forecast[[#This Row],[PACE Job Number]],3,3)</f>
        <v>NTX</v>
      </c>
      <c r="C4696" t="s">
        <v>15</v>
      </c>
      <c r="D4696" s="1">
        <v>43413</v>
      </c>
      <c r="E4696" s="1">
        <v>43390</v>
      </c>
      <c r="F4696" s="1">
        <v>43464</v>
      </c>
      <c r="G4696" s="1"/>
      <c r="H4696" t="s">
        <v>4664</v>
      </c>
      <c r="I4696" t="s">
        <v>4666</v>
      </c>
    </row>
    <row r="4697" spans="1:9" x14ac:dyDescent="0.25">
      <c r="A4697" t="s">
        <v>2353</v>
      </c>
      <c r="B4697" s="26" t="str">
        <f>MID(tbl_forecast[[#This Row],[PACE Job Number]],3,3)</f>
        <v>NTX</v>
      </c>
      <c r="C4697" t="s">
        <v>15</v>
      </c>
      <c r="D4697" s="1">
        <v>43415</v>
      </c>
      <c r="E4697" s="1">
        <v>43520</v>
      </c>
      <c r="F4697" s="1">
        <v>43524</v>
      </c>
      <c r="G4697" s="1"/>
      <c r="H4697" t="s">
        <v>4664</v>
      </c>
      <c r="I4697" t="s">
        <v>5645</v>
      </c>
    </row>
    <row r="4698" spans="1:9" x14ac:dyDescent="0.25">
      <c r="A4698" t="s">
        <v>653</v>
      </c>
      <c r="B4698" s="26" t="str">
        <f>MID(tbl_forecast[[#This Row],[PACE Job Number]],3,3)</f>
        <v>NTX</v>
      </c>
      <c r="C4698" t="s">
        <v>15</v>
      </c>
      <c r="D4698" s="1">
        <v>43414</v>
      </c>
      <c r="E4698" s="1">
        <v>36524</v>
      </c>
      <c r="F4698" s="1">
        <v>43495</v>
      </c>
      <c r="G4698" s="1"/>
      <c r="H4698" t="s">
        <v>4664</v>
      </c>
      <c r="I4698" t="s">
        <v>4666</v>
      </c>
    </row>
    <row r="4699" spans="1:9" x14ac:dyDescent="0.25">
      <c r="A4699" t="s">
        <v>472</v>
      </c>
      <c r="B4699" s="26" t="str">
        <f>MID(tbl_forecast[[#This Row],[PACE Job Number]],3,3)</f>
        <v>NTX</v>
      </c>
      <c r="C4699" t="s">
        <v>15</v>
      </c>
      <c r="D4699" s="1">
        <v>43415</v>
      </c>
      <c r="E4699" s="1">
        <v>43517</v>
      </c>
      <c r="F4699" s="1">
        <v>43461</v>
      </c>
      <c r="G4699" s="1"/>
      <c r="H4699" t="s">
        <v>4664</v>
      </c>
      <c r="I4699" t="s">
        <v>5645</v>
      </c>
    </row>
    <row r="4700" spans="1:9" x14ac:dyDescent="0.25">
      <c r="A4700" t="s">
        <v>1773</v>
      </c>
      <c r="B4700" s="26" t="str">
        <f>MID(tbl_forecast[[#This Row],[PACE Job Number]],3,3)</f>
        <v>NTX</v>
      </c>
      <c r="C4700" t="s">
        <v>15</v>
      </c>
      <c r="D4700" s="1">
        <v>43425</v>
      </c>
      <c r="E4700" s="1">
        <v>43425</v>
      </c>
      <c r="F4700" s="1">
        <v>43495</v>
      </c>
      <c r="G4700" s="1"/>
      <c r="H4700" t="s">
        <v>4664</v>
      </c>
      <c r="I4700" t="s">
        <v>4666</v>
      </c>
    </row>
    <row r="4701" spans="1:9" x14ac:dyDescent="0.25">
      <c r="A4701" t="s">
        <v>371</v>
      </c>
      <c r="B4701" s="26" t="str">
        <f>MID(tbl_forecast[[#This Row],[PACE Job Number]],3,3)</f>
        <v>NTX</v>
      </c>
      <c r="C4701" t="s">
        <v>15</v>
      </c>
      <c r="D4701" s="1">
        <v>43431</v>
      </c>
      <c r="E4701" s="1">
        <v>43431</v>
      </c>
      <c r="F4701" s="1">
        <v>43411</v>
      </c>
      <c r="G4701" s="1">
        <v>43411</v>
      </c>
      <c r="H4701" t="s">
        <v>9</v>
      </c>
      <c r="I4701" t="s">
        <v>10</v>
      </c>
    </row>
    <row r="4702" spans="1:9" x14ac:dyDescent="0.25">
      <c r="A4702" t="s">
        <v>1776</v>
      </c>
      <c r="B4702" s="26" t="str">
        <f>MID(tbl_forecast[[#This Row],[PACE Job Number]],3,3)</f>
        <v>NTX</v>
      </c>
      <c r="C4702" t="s">
        <v>15</v>
      </c>
      <c r="D4702" s="1">
        <v>43408</v>
      </c>
      <c r="E4702" s="1">
        <v>43517</v>
      </c>
      <c r="F4702" s="1">
        <v>43524</v>
      </c>
      <c r="G4702" s="1"/>
      <c r="H4702" t="s">
        <v>4664</v>
      </c>
      <c r="I4702" t="s">
        <v>5645</v>
      </c>
    </row>
    <row r="4703" spans="1:9" x14ac:dyDescent="0.25">
      <c r="A4703" t="s">
        <v>714</v>
      </c>
      <c r="B4703" s="26" t="str">
        <f>MID(tbl_forecast[[#This Row],[PACE Job Number]],3,3)</f>
        <v>NTX</v>
      </c>
      <c r="C4703" t="s">
        <v>15</v>
      </c>
      <c r="D4703" s="1">
        <v>43413</v>
      </c>
      <c r="E4703" s="1">
        <v>43413</v>
      </c>
      <c r="F4703" s="1">
        <v>43464</v>
      </c>
      <c r="G4703" s="1"/>
      <c r="H4703" t="s">
        <v>4664</v>
      </c>
      <c r="I4703" t="s">
        <v>4666</v>
      </c>
    </row>
    <row r="4704" spans="1:9" x14ac:dyDescent="0.25">
      <c r="A4704" t="s">
        <v>5643</v>
      </c>
      <c r="B4704" s="26" t="str">
        <f>MID(tbl_forecast[[#This Row],[PACE Job Number]],3,3)</f>
        <v>NTX</v>
      </c>
      <c r="C4704" t="s">
        <v>15</v>
      </c>
      <c r="D4704" s="1">
        <v>43434</v>
      </c>
      <c r="E4704" s="1">
        <v>43434</v>
      </c>
      <c r="F4704" s="1">
        <v>43464</v>
      </c>
      <c r="G4704" s="1"/>
      <c r="H4704" t="s">
        <v>4664</v>
      </c>
      <c r="I4704" t="s">
        <v>4666</v>
      </c>
    </row>
    <row r="4705" spans="1:9" x14ac:dyDescent="0.25">
      <c r="A4705" t="s">
        <v>4462</v>
      </c>
      <c r="B4705" s="26" t="str">
        <f>MID(tbl_forecast[[#This Row],[PACE Job Number]],3,3)</f>
        <v>NTX</v>
      </c>
      <c r="C4705" t="s">
        <v>15</v>
      </c>
      <c r="D4705" s="1">
        <v>43430</v>
      </c>
      <c r="E4705" s="1">
        <v>43517</v>
      </c>
      <c r="F4705" s="1">
        <v>43524</v>
      </c>
      <c r="G4705" s="1"/>
      <c r="H4705" t="s">
        <v>4664</v>
      </c>
      <c r="I4705" t="s">
        <v>4665</v>
      </c>
    </row>
    <row r="4706" spans="1:9" x14ac:dyDescent="0.25">
      <c r="A4706" t="s">
        <v>4477</v>
      </c>
      <c r="B4706" s="26" t="str">
        <f>MID(tbl_forecast[[#This Row],[PACE Job Number]],3,3)</f>
        <v>NTX</v>
      </c>
      <c r="C4706" t="s">
        <v>15</v>
      </c>
      <c r="D4706" s="1">
        <v>43431</v>
      </c>
      <c r="E4706" s="1">
        <v>43431</v>
      </c>
      <c r="F4706" s="1">
        <v>43495</v>
      </c>
      <c r="G4706" s="1"/>
      <c r="H4706" t="s">
        <v>4664</v>
      </c>
      <c r="I4706" t="s">
        <v>4666</v>
      </c>
    </row>
    <row r="4707" spans="1:9" x14ac:dyDescent="0.25">
      <c r="A4707" t="s">
        <v>2453</v>
      </c>
      <c r="B4707" s="26" t="str">
        <f>MID(tbl_forecast[[#This Row],[PACE Job Number]],3,3)</f>
        <v>NTX</v>
      </c>
      <c r="C4707" t="s">
        <v>15</v>
      </c>
      <c r="D4707" s="1">
        <v>43406</v>
      </c>
      <c r="E4707" s="1">
        <v>36524</v>
      </c>
      <c r="F4707" s="1">
        <v>43432</v>
      </c>
      <c r="G4707" s="1">
        <v>43432</v>
      </c>
      <c r="H4707" t="s">
        <v>4664</v>
      </c>
      <c r="I4707" t="s">
        <v>10</v>
      </c>
    </row>
    <row r="4708" spans="1:9" x14ac:dyDescent="0.25">
      <c r="A4708" t="s">
        <v>4479</v>
      </c>
      <c r="B4708" s="26" t="str">
        <f>MID(tbl_forecast[[#This Row],[PACE Job Number]],3,3)</f>
        <v>NTX</v>
      </c>
      <c r="C4708" t="s">
        <v>15</v>
      </c>
      <c r="D4708" s="1">
        <v>43431</v>
      </c>
      <c r="E4708" s="1">
        <v>43431</v>
      </c>
      <c r="F4708" s="1">
        <v>43495</v>
      </c>
      <c r="G4708" s="1"/>
      <c r="H4708" t="s">
        <v>4664</v>
      </c>
      <c r="I4708" t="s">
        <v>4666</v>
      </c>
    </row>
    <row r="4709" spans="1:9" x14ac:dyDescent="0.25">
      <c r="A4709" t="s">
        <v>2454</v>
      </c>
      <c r="B4709" s="26" t="str">
        <f>MID(tbl_forecast[[#This Row],[PACE Job Number]],3,3)</f>
        <v>NTX</v>
      </c>
      <c r="C4709" t="s">
        <v>15</v>
      </c>
      <c r="D4709" s="1">
        <v>43417</v>
      </c>
      <c r="E4709" s="1">
        <v>43406</v>
      </c>
      <c r="F4709" s="1">
        <v>43409</v>
      </c>
      <c r="G4709" s="1">
        <v>43409</v>
      </c>
      <c r="H4709" t="s">
        <v>9</v>
      </c>
      <c r="I4709" t="s">
        <v>10</v>
      </c>
    </row>
    <row r="4710" spans="1:9" x14ac:dyDescent="0.25">
      <c r="A4710" t="s">
        <v>3492</v>
      </c>
      <c r="B4710" s="26" t="str">
        <f>MID(tbl_forecast[[#This Row],[PACE Job Number]],3,3)</f>
        <v>NTX</v>
      </c>
      <c r="C4710" t="s">
        <v>15</v>
      </c>
      <c r="D4710" s="1">
        <v>43425</v>
      </c>
      <c r="E4710" s="1">
        <v>43425</v>
      </c>
      <c r="F4710" s="1">
        <v>43464</v>
      </c>
      <c r="G4710" s="1"/>
      <c r="H4710" t="s">
        <v>4664</v>
      </c>
      <c r="I4710" t="s">
        <v>4666</v>
      </c>
    </row>
    <row r="4711" spans="1:9" x14ac:dyDescent="0.25">
      <c r="A4711" t="s">
        <v>1882</v>
      </c>
      <c r="B4711" s="26" t="str">
        <f>MID(tbl_forecast[[#This Row],[PACE Job Number]],3,3)</f>
        <v>NTX</v>
      </c>
      <c r="C4711" t="s">
        <v>15</v>
      </c>
      <c r="D4711" s="1">
        <v>43427</v>
      </c>
      <c r="E4711" s="1">
        <v>43427</v>
      </c>
      <c r="F4711" s="1">
        <v>43412</v>
      </c>
      <c r="G4711" s="1">
        <v>43412</v>
      </c>
      <c r="H4711" t="s">
        <v>9</v>
      </c>
      <c r="I4711" t="s">
        <v>10</v>
      </c>
    </row>
    <row r="4712" spans="1:9" x14ac:dyDescent="0.25">
      <c r="A4712" t="s">
        <v>3978</v>
      </c>
      <c r="B4712" s="26" t="str">
        <f>MID(tbl_forecast[[#This Row],[PACE Job Number]],3,3)</f>
        <v>NTX</v>
      </c>
      <c r="C4712" t="s">
        <v>15</v>
      </c>
      <c r="D4712" s="1">
        <v>43413</v>
      </c>
      <c r="E4712" s="1">
        <v>36524</v>
      </c>
      <c r="F4712" s="1">
        <v>43495</v>
      </c>
      <c r="G4712" s="1"/>
      <c r="H4712" t="s">
        <v>4664</v>
      </c>
      <c r="I4712" t="s">
        <v>4666</v>
      </c>
    </row>
    <row r="4713" spans="1:9" x14ac:dyDescent="0.25">
      <c r="A4713" t="s">
        <v>4480</v>
      </c>
      <c r="B4713" s="26" t="str">
        <f>MID(tbl_forecast[[#This Row],[PACE Job Number]],3,3)</f>
        <v>NTX</v>
      </c>
      <c r="C4713" t="s">
        <v>15</v>
      </c>
      <c r="D4713" s="1">
        <v>43431</v>
      </c>
      <c r="E4713" s="1">
        <v>43431</v>
      </c>
      <c r="F4713" s="1">
        <v>43495</v>
      </c>
      <c r="G4713" s="1"/>
      <c r="H4713" t="s">
        <v>4664</v>
      </c>
      <c r="I4713" t="s">
        <v>4666</v>
      </c>
    </row>
    <row r="4714" spans="1:9" x14ac:dyDescent="0.25">
      <c r="A4714" t="s">
        <v>4481</v>
      </c>
      <c r="B4714" s="26" t="str">
        <f>MID(tbl_forecast[[#This Row],[PACE Job Number]],3,3)</f>
        <v>NTX</v>
      </c>
      <c r="C4714" t="s">
        <v>15</v>
      </c>
      <c r="D4714" s="1">
        <v>43431</v>
      </c>
      <c r="E4714" s="1">
        <v>43431</v>
      </c>
      <c r="F4714" s="1">
        <v>43495</v>
      </c>
      <c r="G4714" s="1"/>
      <c r="H4714" t="s">
        <v>4664</v>
      </c>
      <c r="I4714" t="s">
        <v>4666</v>
      </c>
    </row>
    <row r="4715" spans="1:9" x14ac:dyDescent="0.25">
      <c r="A4715" t="s">
        <v>4483</v>
      </c>
      <c r="B4715" s="26" t="str">
        <f>MID(tbl_forecast[[#This Row],[PACE Job Number]],3,3)</f>
        <v>NTX</v>
      </c>
      <c r="C4715" t="s">
        <v>15</v>
      </c>
      <c r="D4715" s="1">
        <v>43431</v>
      </c>
      <c r="E4715" s="1">
        <v>43431</v>
      </c>
      <c r="F4715" s="1">
        <v>43495</v>
      </c>
      <c r="G4715" s="1"/>
      <c r="H4715" t="s">
        <v>4664</v>
      </c>
      <c r="I4715" t="s">
        <v>4666</v>
      </c>
    </row>
    <row r="4716" spans="1:9" x14ac:dyDescent="0.25">
      <c r="A4716" t="s">
        <v>4034</v>
      </c>
      <c r="B4716" s="26" t="str">
        <f>MID(tbl_forecast[[#This Row],[PACE Job Number]],3,3)</f>
        <v>NTX</v>
      </c>
      <c r="C4716" t="s">
        <v>15</v>
      </c>
      <c r="D4716" s="1">
        <v>43417</v>
      </c>
      <c r="E4716" s="1">
        <v>43510</v>
      </c>
      <c r="F4716" s="1">
        <v>43495</v>
      </c>
      <c r="G4716" s="1"/>
      <c r="H4716" t="s">
        <v>4664</v>
      </c>
      <c r="I4716" t="s">
        <v>5645</v>
      </c>
    </row>
    <row r="4717" spans="1:9" x14ac:dyDescent="0.25">
      <c r="A4717" t="s">
        <v>4484</v>
      </c>
      <c r="B4717" s="26" t="str">
        <f>MID(tbl_forecast[[#This Row],[PACE Job Number]],3,3)</f>
        <v>NTX</v>
      </c>
      <c r="C4717" t="s">
        <v>15</v>
      </c>
      <c r="D4717" s="1">
        <v>43431</v>
      </c>
      <c r="E4717" s="1">
        <v>43431</v>
      </c>
      <c r="F4717" s="1">
        <v>43495</v>
      </c>
      <c r="G4717" s="1"/>
      <c r="H4717" t="s">
        <v>4664</v>
      </c>
      <c r="I4717" t="s">
        <v>4666</v>
      </c>
    </row>
    <row r="4718" spans="1:9" x14ac:dyDescent="0.25">
      <c r="A4718" t="s">
        <v>3466</v>
      </c>
      <c r="B4718" s="26" t="str">
        <f>MID(tbl_forecast[[#This Row],[PACE Job Number]],3,3)</f>
        <v>NTX</v>
      </c>
      <c r="C4718" t="s">
        <v>15</v>
      </c>
      <c r="D4718" s="1">
        <v>43425</v>
      </c>
      <c r="E4718" s="1">
        <v>43425</v>
      </c>
      <c r="F4718" s="1">
        <v>43432</v>
      </c>
      <c r="G4718" s="1">
        <v>43432</v>
      </c>
      <c r="H4718" t="s">
        <v>9</v>
      </c>
      <c r="I4718" t="s">
        <v>10</v>
      </c>
    </row>
    <row r="4719" spans="1:9" x14ac:dyDescent="0.25">
      <c r="A4719" t="s">
        <v>3905</v>
      </c>
      <c r="B4719" s="26" t="str">
        <f>MID(tbl_forecast[[#This Row],[PACE Job Number]],3,3)</f>
        <v>NTX</v>
      </c>
      <c r="C4719" t="s">
        <v>15</v>
      </c>
      <c r="D4719" s="1">
        <v>43425</v>
      </c>
      <c r="E4719" s="1">
        <v>43425</v>
      </c>
      <c r="F4719" s="1">
        <v>43495</v>
      </c>
      <c r="G4719" s="1"/>
      <c r="H4719" t="s">
        <v>4664</v>
      </c>
      <c r="I4719" t="s">
        <v>4666</v>
      </c>
    </row>
    <row r="4720" spans="1:9" x14ac:dyDescent="0.25">
      <c r="A4720" t="s">
        <v>2464</v>
      </c>
      <c r="B4720" s="26" t="str">
        <f>MID(tbl_forecast[[#This Row],[PACE Job Number]],3,3)</f>
        <v>NTX</v>
      </c>
      <c r="C4720" t="s">
        <v>15</v>
      </c>
      <c r="D4720" s="1">
        <v>43425</v>
      </c>
      <c r="E4720" s="1">
        <v>43425</v>
      </c>
      <c r="F4720" s="1">
        <v>43464</v>
      </c>
      <c r="G4720" s="1"/>
      <c r="H4720" t="s">
        <v>4664</v>
      </c>
      <c r="I4720" t="s">
        <v>4666</v>
      </c>
    </row>
    <row r="4721" spans="1:9" x14ac:dyDescent="0.25">
      <c r="A4721" t="s">
        <v>4654</v>
      </c>
      <c r="B4721" s="26" t="str">
        <f>MID(tbl_forecast[[#This Row],[PACE Job Number]],3,3)</f>
        <v>STX</v>
      </c>
      <c r="C4721" t="s">
        <v>15</v>
      </c>
      <c r="D4721" s="1">
        <v>43406</v>
      </c>
      <c r="E4721" s="1">
        <v>43464</v>
      </c>
      <c r="F4721" s="1">
        <v>43406</v>
      </c>
      <c r="G4721" s="1">
        <v>43406</v>
      </c>
      <c r="H4721" t="s">
        <v>9</v>
      </c>
      <c r="I4721" t="s">
        <v>10</v>
      </c>
    </row>
    <row r="4722" spans="1:9" x14ac:dyDescent="0.25">
      <c r="A4722" t="s">
        <v>224</v>
      </c>
      <c r="B4722" s="26" t="str">
        <f>MID(tbl_forecast[[#This Row],[PACE Job Number]],3,3)</f>
        <v>NTX</v>
      </c>
      <c r="C4722" t="s">
        <v>15</v>
      </c>
      <c r="D4722" s="1">
        <v>43416</v>
      </c>
      <c r="E4722" s="1">
        <v>43416</v>
      </c>
      <c r="F4722" s="1">
        <v>43417</v>
      </c>
      <c r="G4722" s="1">
        <v>43417</v>
      </c>
      <c r="H4722" t="s">
        <v>9</v>
      </c>
      <c r="I4722" t="s">
        <v>10</v>
      </c>
    </row>
    <row r="4723" spans="1:9" x14ac:dyDescent="0.25">
      <c r="A4723" t="s">
        <v>2356</v>
      </c>
      <c r="B4723" s="26" t="str">
        <f>MID(tbl_forecast[[#This Row],[PACE Job Number]],3,3)</f>
        <v>NTX</v>
      </c>
      <c r="C4723" t="s">
        <v>15</v>
      </c>
      <c r="D4723" s="1">
        <v>43431</v>
      </c>
      <c r="E4723" s="1">
        <v>43431</v>
      </c>
      <c r="F4723" s="1">
        <v>43417</v>
      </c>
      <c r="G4723" s="1">
        <v>43417</v>
      </c>
      <c r="H4723" t="s">
        <v>9</v>
      </c>
      <c r="I4723" t="s">
        <v>10</v>
      </c>
    </row>
    <row r="4724" spans="1:9" x14ac:dyDescent="0.25">
      <c r="A4724" t="s">
        <v>1781</v>
      </c>
      <c r="B4724" s="26" t="str">
        <f>MID(tbl_forecast[[#This Row],[PACE Job Number]],3,3)</f>
        <v>NTX</v>
      </c>
      <c r="C4724" t="s">
        <v>15</v>
      </c>
      <c r="D4724" s="1">
        <v>43427</v>
      </c>
      <c r="E4724" s="1">
        <v>43427</v>
      </c>
      <c r="F4724" s="1">
        <v>43412</v>
      </c>
      <c r="G4724" s="1">
        <v>43412</v>
      </c>
      <c r="H4724" t="s">
        <v>9</v>
      </c>
      <c r="I4724" t="s">
        <v>10</v>
      </c>
    </row>
    <row r="4725" spans="1:9" x14ac:dyDescent="0.25">
      <c r="A4725" t="s">
        <v>1783</v>
      </c>
      <c r="B4725" s="26" t="str">
        <f>MID(tbl_forecast[[#This Row],[PACE Job Number]],3,3)</f>
        <v>NTX</v>
      </c>
      <c r="C4725" t="s">
        <v>15</v>
      </c>
      <c r="D4725" s="1">
        <v>43418</v>
      </c>
      <c r="E4725" s="1">
        <v>36524</v>
      </c>
      <c r="F4725" s="1">
        <v>43432</v>
      </c>
      <c r="G4725" s="1">
        <v>43432</v>
      </c>
      <c r="H4725" t="s">
        <v>9</v>
      </c>
      <c r="I4725" t="s">
        <v>10</v>
      </c>
    </row>
    <row r="4726" spans="1:9" x14ac:dyDescent="0.25">
      <c r="A4726" t="s">
        <v>3436</v>
      </c>
      <c r="B4726" s="26" t="str">
        <f>MID(tbl_forecast[[#This Row],[PACE Job Number]],3,3)</f>
        <v>NTX</v>
      </c>
      <c r="C4726" t="s">
        <v>15</v>
      </c>
      <c r="D4726" s="1">
        <v>43416</v>
      </c>
      <c r="E4726" s="1">
        <v>43399</v>
      </c>
      <c r="F4726" s="1">
        <v>43464</v>
      </c>
      <c r="G4726" s="1"/>
      <c r="H4726" t="s">
        <v>4664</v>
      </c>
      <c r="I4726" t="s">
        <v>4666</v>
      </c>
    </row>
    <row r="4727" spans="1:9" x14ac:dyDescent="0.25">
      <c r="A4727" t="s">
        <v>3923</v>
      </c>
      <c r="B4727" s="26" t="str">
        <f>MID(tbl_forecast[[#This Row],[PACE Job Number]],3,3)</f>
        <v>NTX</v>
      </c>
      <c r="C4727" t="s">
        <v>15</v>
      </c>
      <c r="D4727" s="1">
        <v>43427</v>
      </c>
      <c r="E4727" s="1">
        <v>43427</v>
      </c>
      <c r="F4727" s="1">
        <v>43495</v>
      </c>
      <c r="G4727" s="1"/>
      <c r="H4727" t="s">
        <v>4664</v>
      </c>
      <c r="I4727" t="s">
        <v>4666</v>
      </c>
    </row>
    <row r="4728" spans="1:9" x14ac:dyDescent="0.25">
      <c r="A4728" t="s">
        <v>4014</v>
      </c>
      <c r="B4728" s="26" t="str">
        <f>MID(tbl_forecast[[#This Row],[PACE Job Number]],3,3)</f>
        <v>NTX</v>
      </c>
      <c r="C4728" t="s">
        <v>15</v>
      </c>
      <c r="D4728" s="1">
        <v>43416</v>
      </c>
      <c r="E4728" s="1">
        <v>43399</v>
      </c>
      <c r="F4728" s="1">
        <v>43464</v>
      </c>
      <c r="G4728" s="1"/>
      <c r="H4728" t="s">
        <v>4664</v>
      </c>
      <c r="I4728" t="s">
        <v>4666</v>
      </c>
    </row>
    <row r="4729" spans="1:9" x14ac:dyDescent="0.25">
      <c r="A4729" t="s">
        <v>4516</v>
      </c>
      <c r="B4729" s="26" t="str">
        <f>MID(tbl_forecast[[#This Row],[PACE Job Number]],3,3)</f>
        <v>NTX</v>
      </c>
      <c r="C4729" t="s">
        <v>15</v>
      </c>
      <c r="D4729" s="1">
        <v>43425</v>
      </c>
      <c r="E4729" s="1">
        <v>43425</v>
      </c>
      <c r="F4729" s="1">
        <v>43495</v>
      </c>
      <c r="G4729" s="1"/>
      <c r="H4729" t="s">
        <v>4664</v>
      </c>
      <c r="I4729" t="s">
        <v>4666</v>
      </c>
    </row>
    <row r="4730" spans="1:9" x14ac:dyDescent="0.25">
      <c r="A4730" t="s">
        <v>603</v>
      </c>
      <c r="B4730" s="26" t="str">
        <f>MID(tbl_forecast[[#This Row],[PACE Job Number]],3,3)</f>
        <v>NTX</v>
      </c>
      <c r="C4730" t="s">
        <v>15</v>
      </c>
      <c r="D4730" s="1">
        <v>43415</v>
      </c>
      <c r="E4730" s="1">
        <v>43397</v>
      </c>
      <c r="F4730" s="1">
        <v>43464</v>
      </c>
      <c r="G4730" s="1"/>
      <c r="H4730" t="s">
        <v>4664</v>
      </c>
      <c r="I4730" t="s">
        <v>4666</v>
      </c>
    </row>
    <row r="4731" spans="1:9" x14ac:dyDescent="0.25">
      <c r="A4731" t="s">
        <v>4324</v>
      </c>
      <c r="B4731" s="26" t="str">
        <f>MID(tbl_forecast[[#This Row],[PACE Job Number]],3,3)</f>
        <v>NTX</v>
      </c>
      <c r="C4731" t="s">
        <v>15</v>
      </c>
      <c r="D4731" s="1">
        <v>43406</v>
      </c>
      <c r="E4731" s="1">
        <v>43510</v>
      </c>
      <c r="F4731" s="1">
        <v>43495</v>
      </c>
      <c r="G4731" s="1"/>
      <c r="H4731" t="s">
        <v>4664</v>
      </c>
      <c r="I4731" t="s">
        <v>5645</v>
      </c>
    </row>
    <row r="4732" spans="1:9" x14ac:dyDescent="0.25">
      <c r="A4732" t="s">
        <v>1784</v>
      </c>
      <c r="B4732" s="26" t="str">
        <f>MID(tbl_forecast[[#This Row],[PACE Job Number]],3,3)</f>
        <v>NTX</v>
      </c>
      <c r="C4732" t="s">
        <v>15</v>
      </c>
      <c r="D4732" s="1">
        <v>43411</v>
      </c>
      <c r="E4732" s="1">
        <v>36524</v>
      </c>
      <c r="F4732" s="1">
        <v>43495</v>
      </c>
      <c r="G4732" s="1"/>
      <c r="H4732" t="s">
        <v>4664</v>
      </c>
      <c r="I4732" t="s">
        <v>4666</v>
      </c>
    </row>
    <row r="4733" spans="1:9" x14ac:dyDescent="0.25">
      <c r="A4733" t="s">
        <v>1785</v>
      </c>
      <c r="B4733" s="26" t="str">
        <f>MID(tbl_forecast[[#This Row],[PACE Job Number]],3,3)</f>
        <v>NTX</v>
      </c>
      <c r="C4733" t="s">
        <v>15</v>
      </c>
      <c r="D4733" s="1">
        <v>43425</v>
      </c>
      <c r="E4733" s="1">
        <v>43425</v>
      </c>
      <c r="F4733" s="1">
        <v>43464</v>
      </c>
      <c r="G4733" s="1"/>
      <c r="H4733" t="s">
        <v>4664</v>
      </c>
      <c r="I4733" t="s">
        <v>4666</v>
      </c>
    </row>
    <row r="4734" spans="1:9" x14ac:dyDescent="0.25">
      <c r="A4734" t="s">
        <v>4517</v>
      </c>
      <c r="B4734" s="26" t="str">
        <f>MID(tbl_forecast[[#This Row],[PACE Job Number]],3,3)</f>
        <v>NTX</v>
      </c>
      <c r="C4734" t="s">
        <v>15</v>
      </c>
      <c r="D4734" s="1">
        <v>43425</v>
      </c>
      <c r="E4734" s="1">
        <v>43425</v>
      </c>
      <c r="F4734" s="1">
        <v>43495</v>
      </c>
      <c r="G4734" s="1"/>
      <c r="H4734" t="s">
        <v>4664</v>
      </c>
      <c r="I4734" t="s">
        <v>4666</v>
      </c>
    </row>
    <row r="4735" spans="1:9" x14ac:dyDescent="0.25">
      <c r="A4735" t="s">
        <v>2362</v>
      </c>
      <c r="B4735" s="26" t="str">
        <f>MID(tbl_forecast[[#This Row],[PACE Job Number]],3,3)</f>
        <v>NTX</v>
      </c>
      <c r="C4735" t="s">
        <v>15</v>
      </c>
      <c r="D4735" s="1">
        <v>43427</v>
      </c>
      <c r="E4735" s="1">
        <v>43510</v>
      </c>
      <c r="F4735" s="1">
        <v>43524</v>
      </c>
      <c r="G4735" s="1"/>
      <c r="H4735" t="s">
        <v>4664</v>
      </c>
      <c r="I4735" t="s">
        <v>4665</v>
      </c>
    </row>
    <row r="4736" spans="1:9" x14ac:dyDescent="0.25">
      <c r="A4736" t="s">
        <v>667</v>
      </c>
      <c r="B4736" s="26" t="str">
        <f>MID(tbl_forecast[[#This Row],[PACE Job Number]],3,3)</f>
        <v>NTX</v>
      </c>
      <c r="C4736" t="s">
        <v>15</v>
      </c>
      <c r="D4736" s="1">
        <v>43425</v>
      </c>
      <c r="E4736" s="1">
        <v>43425</v>
      </c>
      <c r="F4736" s="1">
        <v>43495</v>
      </c>
      <c r="G4736" s="1"/>
      <c r="H4736" t="s">
        <v>4664</v>
      </c>
      <c r="I4736" t="s">
        <v>4666</v>
      </c>
    </row>
    <row r="4737" spans="1:9" x14ac:dyDescent="0.25">
      <c r="A4737" t="s">
        <v>2363</v>
      </c>
      <c r="B4737" s="26" t="str">
        <f>MID(tbl_forecast[[#This Row],[PACE Job Number]],3,3)</f>
        <v>NTX</v>
      </c>
      <c r="C4737" t="s">
        <v>15</v>
      </c>
      <c r="D4737" s="1">
        <v>43427</v>
      </c>
      <c r="E4737" s="1">
        <v>43510</v>
      </c>
      <c r="F4737" s="1">
        <v>43524</v>
      </c>
      <c r="G4737" s="1"/>
      <c r="H4737" t="s">
        <v>4664</v>
      </c>
      <c r="I4737" t="s">
        <v>4665</v>
      </c>
    </row>
    <row r="4738" spans="1:9" x14ac:dyDescent="0.25">
      <c r="A4738" t="s">
        <v>2482</v>
      </c>
      <c r="B4738" s="26" t="str">
        <f>MID(tbl_forecast[[#This Row],[PACE Job Number]],3,3)</f>
        <v>NTX</v>
      </c>
      <c r="C4738" t="s">
        <v>15</v>
      </c>
      <c r="D4738" s="1">
        <v>43407</v>
      </c>
      <c r="E4738" s="1">
        <v>43520</v>
      </c>
      <c r="F4738" s="1">
        <v>43524</v>
      </c>
      <c r="G4738" s="1"/>
      <c r="H4738" t="s">
        <v>4664</v>
      </c>
      <c r="I4738" t="s">
        <v>5645</v>
      </c>
    </row>
    <row r="4739" spans="1:9" x14ac:dyDescent="0.25">
      <c r="A4739" t="s">
        <v>2495</v>
      </c>
      <c r="B4739" s="26" t="str">
        <f>MID(tbl_forecast[[#This Row],[PACE Job Number]],3,3)</f>
        <v>NTX</v>
      </c>
      <c r="C4739" t="s">
        <v>15</v>
      </c>
      <c r="D4739" s="1">
        <v>43424</v>
      </c>
      <c r="E4739" s="1">
        <v>43397</v>
      </c>
      <c r="F4739" s="1">
        <v>43464</v>
      </c>
      <c r="G4739" s="1"/>
      <c r="H4739" t="s">
        <v>4664</v>
      </c>
      <c r="I4739" t="s">
        <v>4666</v>
      </c>
    </row>
    <row r="4740" spans="1:9" x14ac:dyDescent="0.25">
      <c r="A4740" t="s">
        <v>76</v>
      </c>
      <c r="B4740" s="26" t="str">
        <f>MID(tbl_forecast[[#This Row],[PACE Job Number]],3,3)</f>
        <v>WSH</v>
      </c>
      <c r="C4740" t="s">
        <v>15</v>
      </c>
      <c r="D4740" s="1">
        <v>43434</v>
      </c>
      <c r="E4740" s="1">
        <v>36524</v>
      </c>
      <c r="F4740" s="1">
        <v>43434</v>
      </c>
      <c r="G4740" s="1"/>
      <c r="H4740" t="s">
        <v>9</v>
      </c>
      <c r="I4740" t="s">
        <v>27</v>
      </c>
    </row>
    <row r="4741" spans="1:9" x14ac:dyDescent="0.25">
      <c r="A4741" t="s">
        <v>1296</v>
      </c>
      <c r="B4741" s="26" t="str">
        <f>MID(tbl_forecast[[#This Row],[PACE Job Number]],3,3)</f>
        <v>WSH</v>
      </c>
      <c r="C4741" t="s">
        <v>15</v>
      </c>
      <c r="D4741" s="1">
        <v>43429</v>
      </c>
      <c r="E4741" s="1">
        <v>36524</v>
      </c>
      <c r="F4741" s="1">
        <v>43433</v>
      </c>
      <c r="G4741" s="1">
        <v>43433</v>
      </c>
      <c r="H4741" t="s">
        <v>9</v>
      </c>
      <c r="I4741" t="s">
        <v>10</v>
      </c>
    </row>
    <row r="4742" spans="1:9" x14ac:dyDescent="0.25">
      <c r="A4742" t="s">
        <v>1215</v>
      </c>
      <c r="B4742" s="26" t="str">
        <f>MID(tbl_forecast[[#This Row],[PACE Job Number]],3,3)</f>
        <v>WSH</v>
      </c>
      <c r="C4742" t="s">
        <v>15</v>
      </c>
      <c r="D4742" s="1">
        <v>43429</v>
      </c>
      <c r="E4742" s="1">
        <v>36524</v>
      </c>
      <c r="F4742" s="1">
        <v>43425</v>
      </c>
      <c r="G4742" s="1">
        <v>43425</v>
      </c>
      <c r="H4742" t="s">
        <v>9</v>
      </c>
      <c r="I4742" t="s">
        <v>10</v>
      </c>
    </row>
    <row r="4743" spans="1:9" x14ac:dyDescent="0.25">
      <c r="A4743" t="s">
        <v>3998</v>
      </c>
      <c r="B4743" s="26" t="str">
        <f>MID(tbl_forecast[[#This Row],[PACE Job Number]],3,3)</f>
        <v>WSH</v>
      </c>
      <c r="C4743" t="s">
        <v>15</v>
      </c>
      <c r="D4743" s="1">
        <v>43434</v>
      </c>
      <c r="E4743" s="1">
        <v>36524</v>
      </c>
      <c r="F4743" s="1">
        <v>43434</v>
      </c>
      <c r="G4743" s="1"/>
      <c r="H4743" t="s">
        <v>9</v>
      </c>
      <c r="I4743" t="s">
        <v>27</v>
      </c>
    </row>
    <row r="4744" spans="1:9" x14ac:dyDescent="0.25">
      <c r="A4744" t="s">
        <v>375</v>
      </c>
      <c r="B4744" s="26" t="str">
        <f>MID(tbl_forecast[[#This Row],[PACE Job Number]],3,3)</f>
        <v>WSH</v>
      </c>
      <c r="C4744" t="s">
        <v>15</v>
      </c>
      <c r="D4744" s="1">
        <v>43434</v>
      </c>
      <c r="E4744" s="1">
        <v>36524</v>
      </c>
      <c r="F4744" s="1">
        <v>43447</v>
      </c>
      <c r="G4744" s="1"/>
      <c r="H4744" t="s">
        <v>9</v>
      </c>
      <c r="I4744" t="s">
        <v>27</v>
      </c>
    </row>
    <row r="4745" spans="1:9" x14ac:dyDescent="0.25">
      <c r="A4745" t="s">
        <v>408</v>
      </c>
      <c r="B4745" s="26" t="str">
        <f>MID(tbl_forecast[[#This Row],[PACE Job Number]],3,3)</f>
        <v>WSH</v>
      </c>
      <c r="C4745" t="s">
        <v>15</v>
      </c>
      <c r="D4745" s="1">
        <v>43434</v>
      </c>
      <c r="E4745" s="1">
        <v>43434</v>
      </c>
      <c r="F4745" s="1">
        <v>43424</v>
      </c>
      <c r="G4745" s="1">
        <v>43424</v>
      </c>
      <c r="H4745" t="s">
        <v>9</v>
      </c>
      <c r="I4745" t="s">
        <v>10</v>
      </c>
    </row>
    <row r="4746" spans="1:9" x14ac:dyDescent="0.25">
      <c r="A4746" t="s">
        <v>1317</v>
      </c>
      <c r="B4746" s="26" t="str">
        <f>MID(tbl_forecast[[#This Row],[PACE Job Number]],3,3)</f>
        <v>WSH</v>
      </c>
      <c r="C4746" t="s">
        <v>15</v>
      </c>
      <c r="D4746" s="1">
        <v>43429</v>
      </c>
      <c r="E4746" s="1">
        <v>36524</v>
      </c>
      <c r="F4746" s="1">
        <v>43440</v>
      </c>
      <c r="G4746" s="1"/>
      <c r="H4746" t="s">
        <v>9</v>
      </c>
      <c r="I4746" t="s">
        <v>27</v>
      </c>
    </row>
    <row r="4747" spans="1:9" x14ac:dyDescent="0.25">
      <c r="A4747" t="s">
        <v>4659</v>
      </c>
      <c r="B4747" s="26" t="str">
        <f>MID(tbl_forecast[[#This Row],[PACE Job Number]],3,3)</f>
        <v>WSH</v>
      </c>
      <c r="C4747" t="s">
        <v>15</v>
      </c>
      <c r="D4747" s="1">
        <v>43434</v>
      </c>
      <c r="E4747" s="1">
        <v>36524</v>
      </c>
      <c r="F4747" s="1">
        <v>43434</v>
      </c>
      <c r="G4747" s="1"/>
      <c r="H4747" t="s">
        <v>9</v>
      </c>
      <c r="I4747" t="s">
        <v>27</v>
      </c>
    </row>
    <row r="4748" spans="1:9" x14ac:dyDescent="0.25">
      <c r="A4748" t="s">
        <v>311</v>
      </c>
      <c r="B4748" s="26" t="str">
        <f>MID(tbl_forecast[[#This Row],[PACE Job Number]],3,3)</f>
        <v>WSH</v>
      </c>
      <c r="C4748" t="s">
        <v>15</v>
      </c>
      <c r="D4748" s="1">
        <v>43434</v>
      </c>
      <c r="E4748" s="1">
        <v>36524</v>
      </c>
      <c r="F4748" s="1">
        <v>43434</v>
      </c>
      <c r="G4748" s="1"/>
      <c r="H4748" t="s">
        <v>9</v>
      </c>
      <c r="I4748" t="s">
        <v>27</v>
      </c>
    </row>
    <row r="4749" spans="1:9" x14ac:dyDescent="0.25">
      <c r="A4749" t="s">
        <v>436</v>
      </c>
      <c r="B4749" s="26" t="str">
        <f>MID(tbl_forecast[[#This Row],[PACE Job Number]],3,3)</f>
        <v>WSH</v>
      </c>
      <c r="C4749" t="s">
        <v>15</v>
      </c>
      <c r="D4749" s="1">
        <v>43434</v>
      </c>
      <c r="E4749" s="1">
        <v>43434</v>
      </c>
      <c r="F4749" s="1">
        <v>43424</v>
      </c>
      <c r="G4749" s="1">
        <v>43424</v>
      </c>
      <c r="H4749" t="s">
        <v>9</v>
      </c>
      <c r="I4749" t="s">
        <v>10</v>
      </c>
    </row>
    <row r="4750" spans="1:9" x14ac:dyDescent="0.25">
      <c r="A4750" t="s">
        <v>381</v>
      </c>
      <c r="B4750" s="26" t="str">
        <f>MID(tbl_forecast[[#This Row],[PACE Job Number]],3,3)</f>
        <v>WSH</v>
      </c>
      <c r="C4750" t="s">
        <v>15</v>
      </c>
      <c r="D4750" s="1">
        <v>43434</v>
      </c>
      <c r="E4750" s="1">
        <v>36524</v>
      </c>
      <c r="F4750" s="1">
        <v>43441</v>
      </c>
      <c r="G4750" s="1"/>
      <c r="H4750" t="s">
        <v>9</v>
      </c>
      <c r="I4750" t="s">
        <v>27</v>
      </c>
    </row>
    <row r="4751" spans="1:9" x14ac:dyDescent="0.25">
      <c r="A4751" t="s">
        <v>3539</v>
      </c>
      <c r="B4751" s="26" t="str">
        <f>MID(tbl_forecast[[#This Row],[PACE Job Number]],3,3)</f>
        <v>WSH</v>
      </c>
      <c r="C4751" t="s">
        <v>15</v>
      </c>
      <c r="D4751" s="1">
        <v>43434</v>
      </c>
      <c r="E4751" s="1">
        <v>36524</v>
      </c>
      <c r="F4751" s="1">
        <v>43434</v>
      </c>
      <c r="G4751" s="1"/>
      <c r="H4751" t="s">
        <v>9</v>
      </c>
      <c r="I4751" t="s">
        <v>27</v>
      </c>
    </row>
    <row r="4752" spans="1:9" x14ac:dyDescent="0.25">
      <c r="A4752" t="s">
        <v>3999</v>
      </c>
      <c r="B4752" s="26" t="str">
        <f>MID(tbl_forecast[[#This Row],[PACE Job Number]],3,3)</f>
        <v>WSH</v>
      </c>
      <c r="C4752" t="s">
        <v>15</v>
      </c>
      <c r="D4752" s="1">
        <v>43434</v>
      </c>
      <c r="E4752" s="1">
        <v>36524</v>
      </c>
      <c r="F4752" s="1">
        <v>43434</v>
      </c>
      <c r="G4752" s="1"/>
      <c r="H4752" t="s">
        <v>9</v>
      </c>
      <c r="I4752" t="s">
        <v>27</v>
      </c>
    </row>
    <row r="4753" spans="1:9" x14ac:dyDescent="0.25">
      <c r="A4753" t="s">
        <v>1232</v>
      </c>
      <c r="B4753" s="26" t="str">
        <f>MID(tbl_forecast[[#This Row],[PACE Job Number]],3,3)</f>
        <v>WSH</v>
      </c>
      <c r="C4753" t="s">
        <v>15</v>
      </c>
      <c r="D4753" s="1">
        <v>43429</v>
      </c>
      <c r="E4753" s="1">
        <v>36524</v>
      </c>
      <c r="F4753" s="1">
        <v>43440</v>
      </c>
      <c r="G4753" s="1"/>
      <c r="H4753" t="s">
        <v>9</v>
      </c>
      <c r="I4753" t="s">
        <v>27</v>
      </c>
    </row>
    <row r="4754" spans="1:9" x14ac:dyDescent="0.25">
      <c r="A4754" t="s">
        <v>383</v>
      </c>
      <c r="B4754" s="26" t="str">
        <f>MID(tbl_forecast[[#This Row],[PACE Job Number]],3,3)</f>
        <v>WSH</v>
      </c>
      <c r="C4754" t="s">
        <v>15</v>
      </c>
      <c r="D4754" s="1">
        <v>43434</v>
      </c>
      <c r="E4754" s="1">
        <v>36524</v>
      </c>
      <c r="F4754" s="1">
        <v>43434</v>
      </c>
      <c r="G4754" s="1"/>
      <c r="H4754" t="s">
        <v>9</v>
      </c>
      <c r="I4754" t="s">
        <v>27</v>
      </c>
    </row>
    <row r="4755" spans="1:9" x14ac:dyDescent="0.25">
      <c r="A4755" t="s">
        <v>504</v>
      </c>
      <c r="B4755" s="26" t="str">
        <f>MID(tbl_forecast[[#This Row],[PACE Job Number]],3,3)</f>
        <v>WSH</v>
      </c>
      <c r="C4755" t="s">
        <v>15</v>
      </c>
      <c r="D4755" s="1">
        <v>43421</v>
      </c>
      <c r="E4755" s="1">
        <v>36524</v>
      </c>
      <c r="F4755" s="1">
        <v>43434</v>
      </c>
      <c r="G4755" s="1"/>
      <c r="H4755" t="s">
        <v>9</v>
      </c>
      <c r="I4755" t="s">
        <v>27</v>
      </c>
    </row>
    <row r="4756" spans="1:9" x14ac:dyDescent="0.25">
      <c r="A4756" t="s">
        <v>1289</v>
      </c>
      <c r="B4756" s="26" t="str">
        <f>MID(tbl_forecast[[#This Row],[PACE Job Number]],3,3)</f>
        <v>WSH</v>
      </c>
      <c r="C4756" t="s">
        <v>15</v>
      </c>
      <c r="D4756" s="1">
        <v>43429</v>
      </c>
      <c r="E4756" s="1">
        <v>36524</v>
      </c>
      <c r="F4756" s="1">
        <v>43413</v>
      </c>
      <c r="G4756" s="1">
        <v>43413</v>
      </c>
      <c r="H4756" t="s">
        <v>9</v>
      </c>
      <c r="I4756" t="s">
        <v>10</v>
      </c>
    </row>
    <row r="4757" spans="1:9" x14ac:dyDescent="0.25">
      <c r="A4757" t="s">
        <v>1360</v>
      </c>
      <c r="B4757" s="26" t="str">
        <f>MID(tbl_forecast[[#This Row],[PACE Job Number]],3,3)</f>
        <v>WSH</v>
      </c>
      <c r="C4757" t="s">
        <v>15</v>
      </c>
      <c r="D4757" s="1">
        <v>43429</v>
      </c>
      <c r="E4757" s="1">
        <v>36524</v>
      </c>
      <c r="F4757" s="1">
        <v>43439</v>
      </c>
      <c r="G4757" s="1"/>
      <c r="H4757" t="s">
        <v>9</v>
      </c>
      <c r="I4757" t="s">
        <v>27</v>
      </c>
    </row>
    <row r="4758" spans="1:9" x14ac:dyDescent="0.25">
      <c r="A4758" t="s">
        <v>500</v>
      </c>
      <c r="B4758" s="26" t="str">
        <f>MID(tbl_forecast[[#This Row],[PACE Job Number]],3,3)</f>
        <v>WSH</v>
      </c>
      <c r="C4758" t="s">
        <v>15</v>
      </c>
      <c r="D4758" s="1">
        <v>43434</v>
      </c>
      <c r="E4758" s="1">
        <v>36524</v>
      </c>
      <c r="F4758" s="1">
        <v>43447</v>
      </c>
      <c r="G4758" s="1"/>
      <c r="H4758" t="s">
        <v>9</v>
      </c>
      <c r="I4758" t="s">
        <v>27</v>
      </c>
    </row>
    <row r="4759" spans="1:9" x14ac:dyDescent="0.25">
      <c r="A4759" t="s">
        <v>403</v>
      </c>
      <c r="B4759" s="26" t="str">
        <f>MID(tbl_forecast[[#This Row],[PACE Job Number]],3,3)</f>
        <v>WSH</v>
      </c>
      <c r="C4759" t="s">
        <v>15</v>
      </c>
      <c r="D4759" s="1">
        <v>43434</v>
      </c>
      <c r="E4759" s="1">
        <v>36524</v>
      </c>
      <c r="F4759" s="1">
        <v>43441</v>
      </c>
      <c r="G4759" s="1"/>
      <c r="H4759" t="s">
        <v>9</v>
      </c>
      <c r="I4759" t="s">
        <v>27</v>
      </c>
    </row>
    <row r="4760" spans="1:9" x14ac:dyDescent="0.25">
      <c r="A4760" t="s">
        <v>163</v>
      </c>
      <c r="B4760" s="26" t="str">
        <f>MID(tbl_forecast[[#This Row],[PACE Job Number]],3,3)</f>
        <v>WSH</v>
      </c>
      <c r="C4760" t="s">
        <v>15</v>
      </c>
      <c r="D4760" s="1">
        <v>43421</v>
      </c>
      <c r="E4760" s="1">
        <v>36524</v>
      </c>
      <c r="F4760" s="1">
        <v>43434</v>
      </c>
      <c r="G4760" s="1"/>
      <c r="H4760" t="s">
        <v>9</v>
      </c>
      <c r="I4760" t="s">
        <v>27</v>
      </c>
    </row>
    <row r="4761" spans="1:9" x14ac:dyDescent="0.25">
      <c r="A4761" t="s">
        <v>4662</v>
      </c>
      <c r="B4761" s="26" t="str">
        <f>MID(tbl_forecast[[#This Row],[PACE Job Number]],3,3)</f>
        <v>STX</v>
      </c>
      <c r="C4761" t="s">
        <v>15</v>
      </c>
      <c r="D4761" s="1">
        <v>43410</v>
      </c>
      <c r="E4761" s="1">
        <v>43371</v>
      </c>
      <c r="F4761" s="1">
        <v>43434</v>
      </c>
      <c r="G4761" s="1"/>
      <c r="H4761" t="s">
        <v>4664</v>
      </c>
      <c r="I4761" t="s">
        <v>4666</v>
      </c>
    </row>
    <row r="4762" spans="1:9" x14ac:dyDescent="0.25">
      <c r="A4762" t="s">
        <v>4051</v>
      </c>
      <c r="B4762" s="26" t="str">
        <f>MID(tbl_forecast[[#This Row],[PACE Job Number]],3,3)</f>
        <v>STX</v>
      </c>
      <c r="C4762" t="s">
        <v>15</v>
      </c>
      <c r="D4762" s="1">
        <v>43406</v>
      </c>
      <c r="E4762" s="1">
        <v>43426</v>
      </c>
      <c r="F4762" s="1">
        <v>43406</v>
      </c>
      <c r="G4762" s="1">
        <v>43406</v>
      </c>
      <c r="H4762" t="s">
        <v>9</v>
      </c>
      <c r="I4762" t="s">
        <v>10</v>
      </c>
    </row>
    <row r="4763" spans="1:9" x14ac:dyDescent="0.25">
      <c r="A4763" t="s">
        <v>3444</v>
      </c>
      <c r="B4763" s="26" t="str">
        <f>MID(tbl_forecast[[#This Row],[PACE Job Number]],3,3)</f>
        <v>STX</v>
      </c>
      <c r="C4763" t="s">
        <v>15</v>
      </c>
      <c r="D4763" s="1">
        <v>43419</v>
      </c>
      <c r="E4763" s="1">
        <v>43466</v>
      </c>
      <c r="F4763" s="1">
        <v>43434</v>
      </c>
      <c r="G4763" s="1"/>
      <c r="H4763" t="s">
        <v>4664</v>
      </c>
      <c r="I4763" t="s">
        <v>5645</v>
      </c>
    </row>
    <row r="4764" spans="1:9" x14ac:dyDescent="0.25">
      <c r="A4764" t="s">
        <v>250</v>
      </c>
      <c r="B4764" s="26" t="str">
        <f>MID(tbl_forecast[[#This Row],[PACE Job Number]],3,3)</f>
        <v>STX</v>
      </c>
      <c r="C4764" t="s">
        <v>15</v>
      </c>
      <c r="D4764" s="1">
        <v>43418</v>
      </c>
      <c r="E4764" s="1">
        <v>43433</v>
      </c>
      <c r="F4764" s="1">
        <v>43434</v>
      </c>
      <c r="G4764" s="1"/>
      <c r="H4764" t="s">
        <v>4664</v>
      </c>
      <c r="I4764" t="s">
        <v>5645</v>
      </c>
    </row>
    <row r="4765" spans="1:9" x14ac:dyDescent="0.25">
      <c r="A4765" t="s">
        <v>4027</v>
      </c>
      <c r="B4765" s="26" t="str">
        <f>MID(tbl_forecast[[#This Row],[PACE Job Number]],3,3)</f>
        <v>STX</v>
      </c>
      <c r="C4765" t="s">
        <v>15</v>
      </c>
      <c r="D4765" s="1">
        <v>43419</v>
      </c>
      <c r="E4765" s="1">
        <v>43433</v>
      </c>
      <c r="F4765" s="1">
        <v>43434</v>
      </c>
      <c r="G4765" s="1"/>
      <c r="H4765" t="s">
        <v>4664</v>
      </c>
      <c r="I4765" t="s">
        <v>5645</v>
      </c>
    </row>
    <row r="4766" spans="1:9" x14ac:dyDescent="0.25">
      <c r="A4766" t="s">
        <v>2540</v>
      </c>
      <c r="B4766" s="26" t="str">
        <f>MID(tbl_forecast[[#This Row],[PACE Job Number]],3,3)</f>
        <v>STX</v>
      </c>
      <c r="C4766" t="s">
        <v>15</v>
      </c>
      <c r="D4766" s="1">
        <v>43418</v>
      </c>
      <c r="E4766" s="1">
        <v>43554</v>
      </c>
      <c r="F4766" s="1">
        <v>43432</v>
      </c>
      <c r="G4766" s="1">
        <v>43432</v>
      </c>
      <c r="H4766" t="s">
        <v>9</v>
      </c>
      <c r="I4766" t="s">
        <v>10</v>
      </c>
    </row>
    <row r="4767" spans="1:9" x14ac:dyDescent="0.25">
      <c r="A4767" t="s">
        <v>2537</v>
      </c>
      <c r="B4767" s="26" t="str">
        <f>MID(tbl_forecast[[#This Row],[PACE Job Number]],3,3)</f>
        <v>STX</v>
      </c>
      <c r="C4767" t="s">
        <v>15</v>
      </c>
      <c r="D4767" s="1">
        <v>43418</v>
      </c>
      <c r="E4767" s="1">
        <v>43554</v>
      </c>
      <c r="F4767" s="1">
        <v>43432</v>
      </c>
      <c r="G4767" s="1">
        <v>43432</v>
      </c>
      <c r="H4767" t="s">
        <v>9</v>
      </c>
      <c r="I4767" t="s">
        <v>10</v>
      </c>
    </row>
    <row r="4768" spans="1:9" x14ac:dyDescent="0.25">
      <c r="A4768" t="s">
        <v>4028</v>
      </c>
      <c r="B4768" s="26" t="str">
        <f>MID(tbl_forecast[[#This Row],[PACE Job Number]],3,3)</f>
        <v>STX</v>
      </c>
      <c r="C4768" t="s">
        <v>15</v>
      </c>
      <c r="D4768" s="1">
        <v>43419</v>
      </c>
      <c r="E4768" s="1">
        <v>43433</v>
      </c>
      <c r="F4768" s="1">
        <v>43434</v>
      </c>
      <c r="G4768" s="1"/>
      <c r="H4768" t="s">
        <v>4664</v>
      </c>
      <c r="I4768" t="s">
        <v>5645</v>
      </c>
    </row>
    <row r="4769" spans="1:9" x14ac:dyDescent="0.25">
      <c r="A4769" t="s">
        <v>3522</v>
      </c>
      <c r="B4769" s="26" t="str">
        <f>MID(tbl_forecast[[#This Row],[PACE Job Number]],3,3)</f>
        <v>STX</v>
      </c>
      <c r="C4769" t="s">
        <v>15</v>
      </c>
      <c r="D4769" s="1">
        <v>43433</v>
      </c>
      <c r="E4769" s="1">
        <v>43418</v>
      </c>
      <c r="F4769" s="1">
        <v>43424</v>
      </c>
      <c r="G4769" s="1">
        <v>43424</v>
      </c>
      <c r="H4769" t="s">
        <v>9</v>
      </c>
      <c r="I4769" t="s">
        <v>10</v>
      </c>
    </row>
    <row r="4770" spans="1:9" x14ac:dyDescent="0.25">
      <c r="A4770" t="s">
        <v>4663</v>
      </c>
      <c r="B4770" s="26" t="str">
        <f>MID(tbl_forecast[[#This Row],[PACE Job Number]],3,3)</f>
        <v>STX</v>
      </c>
      <c r="C4770" t="s">
        <v>15</v>
      </c>
      <c r="D4770" s="1">
        <v>43410</v>
      </c>
      <c r="E4770" s="1">
        <v>43371</v>
      </c>
      <c r="F4770" s="1">
        <v>43434</v>
      </c>
      <c r="G4770" s="1"/>
      <c r="H4770" t="s">
        <v>4664</v>
      </c>
      <c r="I4770" t="s">
        <v>4666</v>
      </c>
    </row>
    <row r="4771" spans="1:9" x14ac:dyDescent="0.25">
      <c r="A4771" t="s">
        <v>3476</v>
      </c>
      <c r="B4771" s="26" t="str">
        <f>MID(tbl_forecast[[#This Row],[PACE Job Number]],3,3)</f>
        <v>STX</v>
      </c>
      <c r="C4771" t="s">
        <v>15</v>
      </c>
      <c r="D4771" s="1">
        <v>43410</v>
      </c>
      <c r="E4771" s="1">
        <v>43465</v>
      </c>
      <c r="F4771" s="1">
        <v>43434</v>
      </c>
      <c r="G4771" s="1"/>
      <c r="H4771" t="s">
        <v>4664</v>
      </c>
      <c r="I4771" t="s">
        <v>5645</v>
      </c>
    </row>
    <row r="4772" spans="1:9" x14ac:dyDescent="0.25">
      <c r="A4772" t="s">
        <v>2497</v>
      </c>
      <c r="B4772" s="26" t="str">
        <f>MID(tbl_forecast[[#This Row],[PACE Job Number]],3,3)</f>
        <v>NTX</v>
      </c>
      <c r="C4772" t="s">
        <v>15</v>
      </c>
      <c r="D4772" s="1">
        <v>43424</v>
      </c>
      <c r="E4772" s="1">
        <v>43397</v>
      </c>
      <c r="F4772" s="1">
        <v>43464</v>
      </c>
      <c r="G4772" s="1"/>
      <c r="H4772" t="s">
        <v>4664</v>
      </c>
      <c r="I4772" t="s">
        <v>4666</v>
      </c>
    </row>
    <row r="4773" spans="1:9" x14ac:dyDescent="0.25">
      <c r="A4773" t="s">
        <v>4560</v>
      </c>
      <c r="B4773" s="26" t="str">
        <f>MID(tbl_forecast[[#This Row],[PACE Job Number]],3,3)</f>
        <v>NTX</v>
      </c>
      <c r="C4773" t="s">
        <v>15</v>
      </c>
      <c r="D4773" s="1">
        <v>43425</v>
      </c>
      <c r="E4773" s="1">
        <v>43425</v>
      </c>
      <c r="F4773" s="1">
        <v>43417</v>
      </c>
      <c r="G4773" s="1">
        <v>43417</v>
      </c>
      <c r="H4773" t="s">
        <v>9</v>
      </c>
      <c r="I4773" t="s">
        <v>10</v>
      </c>
    </row>
    <row r="4774" spans="1:9" x14ac:dyDescent="0.25">
      <c r="A4774" t="s">
        <v>3826</v>
      </c>
      <c r="B4774" s="26" t="str">
        <f>MID(tbl_forecast[[#This Row],[PACE Job Number]],3,3)</f>
        <v>NTX</v>
      </c>
      <c r="C4774" t="s">
        <v>15</v>
      </c>
      <c r="D4774" s="1">
        <v>43429</v>
      </c>
      <c r="E4774" s="1">
        <v>43429</v>
      </c>
      <c r="F4774" s="1">
        <v>43495</v>
      </c>
      <c r="G4774" s="1"/>
      <c r="H4774" t="s">
        <v>4664</v>
      </c>
      <c r="I4774" t="s">
        <v>4666</v>
      </c>
    </row>
    <row r="4775" spans="1:9" x14ac:dyDescent="0.25">
      <c r="A4775" t="s">
        <v>4503</v>
      </c>
      <c r="B4775" s="26" t="str">
        <f>MID(tbl_forecast[[#This Row],[PACE Job Number]],3,3)</f>
        <v>NTX</v>
      </c>
      <c r="C4775" t="s">
        <v>15</v>
      </c>
      <c r="D4775" s="1">
        <v>43428</v>
      </c>
      <c r="E4775" s="1">
        <v>43513</v>
      </c>
      <c r="F4775" s="1">
        <v>43495</v>
      </c>
      <c r="G4775" s="1"/>
      <c r="H4775" t="s">
        <v>4664</v>
      </c>
      <c r="I4775" t="s">
        <v>4665</v>
      </c>
    </row>
    <row r="4776" spans="1:9" x14ac:dyDescent="0.25">
      <c r="A4776" t="s">
        <v>4504</v>
      </c>
      <c r="B4776" s="26" t="str">
        <f>MID(tbl_forecast[[#This Row],[PACE Job Number]],3,3)</f>
        <v>NTX</v>
      </c>
      <c r="C4776" t="s">
        <v>15</v>
      </c>
      <c r="D4776" s="1">
        <v>43431</v>
      </c>
      <c r="E4776" s="1">
        <v>43431</v>
      </c>
      <c r="F4776" s="1">
        <v>43495</v>
      </c>
      <c r="G4776" s="1"/>
      <c r="H4776" t="s">
        <v>4664</v>
      </c>
      <c r="I4776" t="s">
        <v>4666</v>
      </c>
    </row>
    <row r="4777" spans="1:9" x14ac:dyDescent="0.25">
      <c r="A4777" t="s">
        <v>3827</v>
      </c>
      <c r="B4777" s="26" t="str">
        <f>MID(tbl_forecast[[#This Row],[PACE Job Number]],3,3)</f>
        <v>NTX</v>
      </c>
      <c r="C4777" t="s">
        <v>15</v>
      </c>
      <c r="D4777" s="1">
        <v>43429</v>
      </c>
      <c r="E4777" s="1">
        <v>43429</v>
      </c>
      <c r="F4777" s="1">
        <v>43495</v>
      </c>
      <c r="G4777" s="1"/>
      <c r="H4777" t="s">
        <v>4664</v>
      </c>
      <c r="I4777" t="s">
        <v>4666</v>
      </c>
    </row>
    <row r="4778" spans="1:9" x14ac:dyDescent="0.25">
      <c r="A4778" t="s">
        <v>2488</v>
      </c>
      <c r="B4778" s="26" t="str">
        <f>MID(tbl_forecast[[#This Row],[PACE Job Number]],3,3)</f>
        <v>NTX</v>
      </c>
      <c r="C4778" t="s">
        <v>15</v>
      </c>
      <c r="D4778" s="1">
        <v>43407</v>
      </c>
      <c r="E4778" s="1">
        <v>43520</v>
      </c>
      <c r="F4778" s="1">
        <v>43524</v>
      </c>
      <c r="G4778" s="1"/>
      <c r="H4778" t="s">
        <v>4664</v>
      </c>
      <c r="I4778" t="s">
        <v>5645</v>
      </c>
    </row>
    <row r="4779" spans="1:9" x14ac:dyDescent="0.25">
      <c r="A4779" t="s">
        <v>3493</v>
      </c>
      <c r="B4779" s="26" t="str">
        <f>MID(tbl_forecast[[#This Row],[PACE Job Number]],3,3)</f>
        <v>NTX</v>
      </c>
      <c r="C4779" t="s">
        <v>15</v>
      </c>
      <c r="D4779" s="1">
        <v>43412</v>
      </c>
      <c r="E4779" s="1">
        <v>43397</v>
      </c>
      <c r="F4779" s="1">
        <v>43430</v>
      </c>
      <c r="G4779" s="1">
        <v>43430</v>
      </c>
      <c r="H4779" t="s">
        <v>4664</v>
      </c>
      <c r="I4779" t="s">
        <v>10</v>
      </c>
    </row>
    <row r="4780" spans="1:9" x14ac:dyDescent="0.25">
      <c r="A4780" t="s">
        <v>2140</v>
      </c>
      <c r="B4780" s="26" t="str">
        <f>MID(tbl_forecast[[#This Row],[PACE Job Number]],3,3)</f>
        <v>NTX</v>
      </c>
      <c r="C4780" t="s">
        <v>15</v>
      </c>
      <c r="D4780" s="1">
        <v>43433</v>
      </c>
      <c r="E4780" s="1">
        <v>43433</v>
      </c>
      <c r="F4780" s="1">
        <v>43495</v>
      </c>
      <c r="G4780" s="1"/>
      <c r="H4780" t="s">
        <v>4664</v>
      </c>
      <c r="I4780" t="s">
        <v>4666</v>
      </c>
    </row>
    <row r="4781" spans="1:9" x14ac:dyDescent="0.25">
      <c r="A4781" t="s">
        <v>198</v>
      </c>
      <c r="B4781" s="26" t="str">
        <f>MID(tbl_forecast[[#This Row],[PACE Job Number]],3,3)</f>
        <v>NTX</v>
      </c>
      <c r="C4781" t="s">
        <v>15</v>
      </c>
      <c r="D4781" s="1">
        <v>43426</v>
      </c>
      <c r="E4781" s="1">
        <v>43426</v>
      </c>
      <c r="F4781" s="1">
        <v>43417</v>
      </c>
      <c r="G4781" s="1">
        <v>43417</v>
      </c>
      <c r="H4781" t="s">
        <v>9</v>
      </c>
      <c r="I4781" t="s">
        <v>10</v>
      </c>
    </row>
    <row r="4782" spans="1:9" x14ac:dyDescent="0.25">
      <c r="A4782" t="s">
        <v>4506</v>
      </c>
      <c r="B4782" s="26" t="str">
        <f>MID(tbl_forecast[[#This Row],[PACE Job Number]],3,3)</f>
        <v>NTX</v>
      </c>
      <c r="C4782" t="s">
        <v>15</v>
      </c>
      <c r="D4782" s="1">
        <v>43428</v>
      </c>
      <c r="E4782" s="1">
        <v>43513</v>
      </c>
      <c r="F4782" s="1">
        <v>43495</v>
      </c>
      <c r="G4782" s="1"/>
      <c r="H4782" t="s">
        <v>4664</v>
      </c>
      <c r="I4782" t="s">
        <v>4665</v>
      </c>
    </row>
    <row r="4783" spans="1:9" x14ac:dyDescent="0.25">
      <c r="A4783" t="s">
        <v>4507</v>
      </c>
      <c r="B4783" s="26" t="str">
        <f>MID(tbl_forecast[[#This Row],[PACE Job Number]],3,3)</f>
        <v>NTX</v>
      </c>
      <c r="C4783" t="s">
        <v>15</v>
      </c>
      <c r="D4783" s="1">
        <v>43413</v>
      </c>
      <c r="E4783" s="1">
        <v>43520</v>
      </c>
      <c r="F4783" s="1">
        <v>43524</v>
      </c>
      <c r="G4783" s="1"/>
      <c r="H4783" t="s">
        <v>4664</v>
      </c>
      <c r="I4783" t="s">
        <v>5645</v>
      </c>
    </row>
    <row r="4784" spans="1:9" x14ac:dyDescent="0.25">
      <c r="A4784" t="s">
        <v>3985</v>
      </c>
      <c r="B4784" s="26" t="str">
        <f>MID(tbl_forecast[[#This Row],[PACE Job Number]],3,3)</f>
        <v>NTX</v>
      </c>
      <c r="C4784" t="s">
        <v>15</v>
      </c>
      <c r="D4784" s="1">
        <v>43407</v>
      </c>
      <c r="E4784" s="1">
        <v>43510</v>
      </c>
      <c r="F4784" s="1">
        <v>43495</v>
      </c>
      <c r="G4784" s="1"/>
      <c r="H4784" t="s">
        <v>4664</v>
      </c>
      <c r="I4784" t="s">
        <v>5645</v>
      </c>
    </row>
    <row r="4785" spans="1:9" x14ac:dyDescent="0.25">
      <c r="A4785" t="s">
        <v>4597</v>
      </c>
      <c r="B4785" s="26" t="str">
        <f>MID(tbl_forecast[[#This Row],[PACE Job Number]],3,3)</f>
        <v>STX</v>
      </c>
      <c r="C4785" t="s">
        <v>15</v>
      </c>
      <c r="D4785" s="1">
        <v>43418</v>
      </c>
      <c r="E4785" s="1">
        <v>43463</v>
      </c>
      <c r="F4785" s="1">
        <v>43417</v>
      </c>
      <c r="G4785" s="1">
        <v>43417</v>
      </c>
      <c r="H4785" t="s">
        <v>9</v>
      </c>
      <c r="I4785" t="s">
        <v>10</v>
      </c>
    </row>
    <row r="4786" spans="1:9" x14ac:dyDescent="0.25">
      <c r="A4786" t="s">
        <v>4598</v>
      </c>
      <c r="B4786" s="26" t="str">
        <f>MID(tbl_forecast[[#This Row],[PACE Job Number]],3,3)</f>
        <v>STX</v>
      </c>
      <c r="C4786" t="s">
        <v>15</v>
      </c>
      <c r="D4786" s="1">
        <v>43418</v>
      </c>
      <c r="E4786" s="1">
        <v>43463</v>
      </c>
      <c r="F4786" s="1">
        <v>43417</v>
      </c>
      <c r="G4786" s="1">
        <v>43417</v>
      </c>
      <c r="H4786" t="s">
        <v>9</v>
      </c>
      <c r="I4786" t="s">
        <v>10</v>
      </c>
    </row>
    <row r="4787" spans="1:9" x14ac:dyDescent="0.25">
      <c r="A4787" t="s">
        <v>741</v>
      </c>
      <c r="B4787" s="26" t="str">
        <f>MID(tbl_forecast[[#This Row],[PACE Job Number]],3,3)</f>
        <v>STX</v>
      </c>
      <c r="C4787" t="s">
        <v>15</v>
      </c>
      <c r="D4787" s="1">
        <v>43410</v>
      </c>
      <c r="E4787" s="1">
        <v>43463</v>
      </c>
      <c r="F4787" s="1">
        <v>43434</v>
      </c>
      <c r="G4787" s="1"/>
      <c r="H4787" t="s">
        <v>4664</v>
      </c>
      <c r="I4787" t="s">
        <v>5645</v>
      </c>
    </row>
    <row r="4788" spans="1:9" x14ac:dyDescent="0.25">
      <c r="A4788" t="s">
        <v>666</v>
      </c>
      <c r="B4788" s="26" t="str">
        <f>MID(tbl_forecast[[#This Row],[PACE Job Number]],3,3)</f>
        <v>STX</v>
      </c>
      <c r="C4788" t="s">
        <v>15</v>
      </c>
      <c r="D4788" s="1">
        <v>43410</v>
      </c>
      <c r="E4788" s="1">
        <v>43463</v>
      </c>
      <c r="F4788" s="1">
        <v>43434</v>
      </c>
      <c r="G4788" s="1"/>
      <c r="H4788" t="s">
        <v>4664</v>
      </c>
      <c r="I4788" t="s">
        <v>5645</v>
      </c>
    </row>
    <row r="4789" spans="1:9" x14ac:dyDescent="0.25">
      <c r="A4789" t="s">
        <v>192</v>
      </c>
      <c r="B4789" s="26" t="str">
        <f>MID(tbl_forecast[[#This Row],[PACE Job Number]],3,3)</f>
        <v>STX</v>
      </c>
      <c r="C4789" t="s">
        <v>15</v>
      </c>
      <c r="D4789" s="1">
        <v>43430</v>
      </c>
      <c r="E4789" s="1">
        <v>43463</v>
      </c>
      <c r="F4789" s="1">
        <v>43434</v>
      </c>
      <c r="G4789" s="1"/>
      <c r="H4789" t="s">
        <v>9</v>
      </c>
      <c r="I4789" t="s">
        <v>44</v>
      </c>
    </row>
    <row r="4790" spans="1:9" x14ac:dyDescent="0.25">
      <c r="A4790" t="s">
        <v>174</v>
      </c>
      <c r="B4790" s="26" t="str">
        <f>MID(tbl_forecast[[#This Row],[PACE Job Number]],3,3)</f>
        <v>STX</v>
      </c>
      <c r="C4790" t="s">
        <v>15</v>
      </c>
      <c r="D4790" s="1">
        <v>43430</v>
      </c>
      <c r="E4790" s="1">
        <v>43463</v>
      </c>
      <c r="F4790" s="1">
        <v>43434</v>
      </c>
      <c r="G4790" s="1"/>
      <c r="H4790" t="s">
        <v>9</v>
      </c>
      <c r="I4790" t="s">
        <v>44</v>
      </c>
    </row>
    <row r="4791" spans="1:9" x14ac:dyDescent="0.25">
      <c r="A4791" t="s">
        <v>4032</v>
      </c>
      <c r="B4791" s="26" t="str">
        <f>MID(tbl_forecast[[#This Row],[PACE Job Number]],3,3)</f>
        <v>STX</v>
      </c>
      <c r="C4791" t="s">
        <v>15</v>
      </c>
      <c r="D4791" s="1">
        <v>43418</v>
      </c>
      <c r="E4791" s="1">
        <v>43463</v>
      </c>
      <c r="F4791" s="1">
        <v>43434</v>
      </c>
      <c r="G4791" s="1"/>
      <c r="H4791" t="s">
        <v>4664</v>
      </c>
      <c r="I4791" t="s">
        <v>5645</v>
      </c>
    </row>
    <row r="4792" spans="1:9" x14ac:dyDescent="0.25">
      <c r="A4792" t="s">
        <v>4033</v>
      </c>
      <c r="B4792" s="26" t="str">
        <f>MID(tbl_forecast[[#This Row],[PACE Job Number]],3,3)</f>
        <v>STX</v>
      </c>
      <c r="C4792" t="s">
        <v>15</v>
      </c>
      <c r="D4792" s="1">
        <v>43418</v>
      </c>
      <c r="E4792" s="1">
        <v>43463</v>
      </c>
      <c r="F4792" s="1">
        <v>43434</v>
      </c>
      <c r="G4792" s="1"/>
      <c r="H4792" t="s">
        <v>4664</v>
      </c>
      <c r="I4792" t="s">
        <v>5645</v>
      </c>
    </row>
    <row r="4793" spans="1:9" x14ac:dyDescent="0.25">
      <c r="A4793" t="s">
        <v>791</v>
      </c>
      <c r="B4793" s="26" t="str">
        <f>MID(tbl_forecast[[#This Row],[PACE Job Number]],3,3)</f>
        <v>STX</v>
      </c>
      <c r="C4793" t="s">
        <v>15</v>
      </c>
      <c r="D4793" s="1">
        <v>43410</v>
      </c>
      <c r="E4793" s="1">
        <v>43463</v>
      </c>
      <c r="F4793" s="1">
        <v>43434</v>
      </c>
      <c r="G4793" s="1"/>
      <c r="H4793" t="s">
        <v>4664</v>
      </c>
      <c r="I4793" t="s">
        <v>5645</v>
      </c>
    </row>
    <row r="4794" spans="1:9" x14ac:dyDescent="0.25">
      <c r="A4794" t="s">
        <v>205</v>
      </c>
      <c r="B4794" s="26" t="str">
        <f>MID(tbl_forecast[[#This Row],[PACE Job Number]],3,3)</f>
        <v>STX</v>
      </c>
      <c r="C4794" t="s">
        <v>15</v>
      </c>
      <c r="D4794" s="1">
        <v>43430</v>
      </c>
      <c r="E4794" s="1">
        <v>43463</v>
      </c>
      <c r="F4794" s="1">
        <v>43410</v>
      </c>
      <c r="G4794" s="1">
        <v>43410</v>
      </c>
      <c r="H4794" t="s">
        <v>9</v>
      </c>
      <c r="I4794" t="s">
        <v>10</v>
      </c>
    </row>
    <row r="4795" spans="1:9" x14ac:dyDescent="0.25">
      <c r="A4795" t="s">
        <v>112</v>
      </c>
      <c r="B4795" s="26" t="str">
        <f>MID(tbl_forecast[[#This Row],[PACE Job Number]],3,3)</f>
        <v>STX</v>
      </c>
      <c r="C4795" t="s">
        <v>15</v>
      </c>
      <c r="D4795" s="1">
        <v>43430</v>
      </c>
      <c r="E4795" s="1">
        <v>43463</v>
      </c>
      <c r="F4795" s="1">
        <v>43410</v>
      </c>
      <c r="G4795" s="1">
        <v>43410</v>
      </c>
      <c r="H4795" t="s">
        <v>9</v>
      </c>
      <c r="I4795" t="s">
        <v>10</v>
      </c>
    </row>
    <row r="4796" spans="1:9" x14ac:dyDescent="0.25">
      <c r="A4796" t="s">
        <v>4055</v>
      </c>
      <c r="B4796" s="26" t="str">
        <f>MID(tbl_forecast[[#This Row],[PACE Job Number]],3,3)</f>
        <v>STX</v>
      </c>
      <c r="C4796" t="s">
        <v>15</v>
      </c>
      <c r="D4796" s="1">
        <v>43410</v>
      </c>
      <c r="E4796" s="1">
        <v>43463</v>
      </c>
      <c r="F4796" s="1">
        <v>43434</v>
      </c>
      <c r="G4796" s="1"/>
      <c r="H4796" t="s">
        <v>4664</v>
      </c>
      <c r="I4796" t="s">
        <v>5645</v>
      </c>
    </row>
    <row r="4797" spans="1:9" x14ac:dyDescent="0.25">
      <c r="A4797" t="s">
        <v>4056</v>
      </c>
      <c r="B4797" s="26" t="str">
        <f>MID(tbl_forecast[[#This Row],[PACE Job Number]],3,3)</f>
        <v>STX</v>
      </c>
      <c r="C4797" t="s">
        <v>15</v>
      </c>
      <c r="D4797" s="1">
        <v>43410</v>
      </c>
      <c r="E4797" s="1">
        <v>43463</v>
      </c>
      <c r="F4797" s="1">
        <v>43434</v>
      </c>
      <c r="G4797" s="1"/>
      <c r="H4797" t="s">
        <v>4664</v>
      </c>
      <c r="I4797" t="s">
        <v>5645</v>
      </c>
    </row>
    <row r="4798" spans="1:9" x14ac:dyDescent="0.25">
      <c r="A4798" t="s">
        <v>4057</v>
      </c>
      <c r="B4798" s="26" t="str">
        <f>MID(tbl_forecast[[#This Row],[PACE Job Number]],3,3)</f>
        <v>STX</v>
      </c>
      <c r="C4798" t="s">
        <v>15</v>
      </c>
      <c r="D4798" s="1">
        <v>43410</v>
      </c>
      <c r="E4798" s="1">
        <v>43465</v>
      </c>
      <c r="F4798" s="1">
        <v>43417</v>
      </c>
      <c r="G4798" s="1">
        <v>43417</v>
      </c>
      <c r="H4798" t="s">
        <v>9</v>
      </c>
      <c r="I4798" t="s">
        <v>10</v>
      </c>
    </row>
    <row r="4799" spans="1:9" x14ac:dyDescent="0.25">
      <c r="A4799" t="s">
        <v>522</v>
      </c>
      <c r="B4799" s="26" t="str">
        <f>MID(tbl_forecast[[#This Row],[PACE Job Number]],3,3)</f>
        <v>STX</v>
      </c>
      <c r="C4799" t="s">
        <v>15</v>
      </c>
      <c r="D4799" s="1">
        <v>43410</v>
      </c>
      <c r="E4799" s="1">
        <v>43463</v>
      </c>
      <c r="F4799" s="1">
        <v>43434</v>
      </c>
      <c r="G4799" s="1"/>
      <c r="H4799" t="s">
        <v>4664</v>
      </c>
      <c r="I4799" t="s">
        <v>5645</v>
      </c>
    </row>
    <row r="4800" spans="1:9" x14ac:dyDescent="0.25">
      <c r="A4800" t="s">
        <v>3457</v>
      </c>
      <c r="B4800" s="26" t="str">
        <f>MID(tbl_forecast[[#This Row],[PACE Job Number]],3,3)</f>
        <v>STX</v>
      </c>
      <c r="C4800" t="s">
        <v>15</v>
      </c>
      <c r="D4800" s="1">
        <v>43419</v>
      </c>
      <c r="E4800" s="1">
        <v>43466</v>
      </c>
      <c r="F4800" s="1">
        <v>43434</v>
      </c>
      <c r="G4800" s="1"/>
      <c r="H4800" t="s">
        <v>4664</v>
      </c>
      <c r="I4800" t="s">
        <v>5645</v>
      </c>
    </row>
    <row r="4801" spans="1:9" x14ac:dyDescent="0.25">
      <c r="A4801" t="s">
        <v>3518</v>
      </c>
      <c r="B4801" s="26" t="str">
        <f>MID(tbl_forecast[[#This Row],[PACE Job Number]],3,3)</f>
        <v>STX</v>
      </c>
      <c r="C4801" t="s">
        <v>15</v>
      </c>
      <c r="D4801" s="1">
        <v>43410</v>
      </c>
      <c r="E4801" s="1">
        <v>43463</v>
      </c>
      <c r="F4801" s="1">
        <v>43434</v>
      </c>
      <c r="G4801" s="1"/>
      <c r="H4801" t="s">
        <v>4664</v>
      </c>
      <c r="I4801" t="s">
        <v>5645</v>
      </c>
    </row>
    <row r="4802" spans="1:9" x14ac:dyDescent="0.25">
      <c r="A4802" t="s">
        <v>620</v>
      </c>
      <c r="B4802" s="26" t="str">
        <f>MID(tbl_forecast[[#This Row],[PACE Job Number]],3,3)</f>
        <v>STX</v>
      </c>
      <c r="C4802" t="s">
        <v>15</v>
      </c>
      <c r="D4802" s="1">
        <v>43410</v>
      </c>
      <c r="E4802" s="1">
        <v>43463</v>
      </c>
      <c r="F4802" s="1">
        <v>43434</v>
      </c>
      <c r="G4802" s="1"/>
      <c r="H4802" t="s">
        <v>4664</v>
      </c>
      <c r="I4802" t="s">
        <v>5645</v>
      </c>
    </row>
    <row r="4803" spans="1:9" x14ac:dyDescent="0.25">
      <c r="A4803" t="s">
        <v>3963</v>
      </c>
      <c r="B4803" s="26" t="str">
        <f>MID(tbl_forecast[[#This Row],[PACE Job Number]],3,3)</f>
        <v>NTX</v>
      </c>
      <c r="C4803" t="s">
        <v>15</v>
      </c>
      <c r="D4803" s="1">
        <v>43428</v>
      </c>
      <c r="E4803" s="1">
        <v>36524</v>
      </c>
      <c r="F4803" s="1">
        <v>43464</v>
      </c>
      <c r="G4803" s="1"/>
      <c r="H4803" t="s">
        <v>4664</v>
      </c>
      <c r="I4803" t="s">
        <v>4666</v>
      </c>
    </row>
    <row r="4804" spans="1:9" x14ac:dyDescent="0.25">
      <c r="A4804" t="s">
        <v>4401</v>
      </c>
      <c r="B4804" s="26" t="str">
        <f>MID(tbl_forecast[[#This Row],[PACE Job Number]],3,3)</f>
        <v>NTX</v>
      </c>
      <c r="C4804" t="s">
        <v>15</v>
      </c>
      <c r="D4804" s="1">
        <v>43415</v>
      </c>
      <c r="E4804" s="1">
        <v>43428</v>
      </c>
      <c r="F4804" s="1">
        <v>43524</v>
      </c>
      <c r="G4804" s="1"/>
      <c r="H4804" t="s">
        <v>4664</v>
      </c>
      <c r="I4804" t="s">
        <v>4666</v>
      </c>
    </row>
    <row r="4805" spans="1:9" x14ac:dyDescent="0.25">
      <c r="A4805" t="s">
        <v>2318</v>
      </c>
      <c r="B4805" s="26" t="str">
        <f>MID(tbl_forecast[[#This Row],[PACE Job Number]],3,3)</f>
        <v>NTX</v>
      </c>
      <c r="C4805" t="s">
        <v>15</v>
      </c>
      <c r="D4805" s="1">
        <v>43427</v>
      </c>
      <c r="E4805" s="1">
        <v>43427</v>
      </c>
      <c r="F4805" s="1">
        <v>43409</v>
      </c>
      <c r="G4805" s="1">
        <v>43409</v>
      </c>
      <c r="H4805" t="s">
        <v>9</v>
      </c>
      <c r="I4805" t="s">
        <v>10</v>
      </c>
    </row>
    <row r="4806" spans="1:9" x14ac:dyDescent="0.25">
      <c r="A4806" t="s">
        <v>2319</v>
      </c>
      <c r="B4806" s="26" t="str">
        <f>MID(tbl_forecast[[#This Row],[PACE Job Number]],3,3)</f>
        <v>NTX</v>
      </c>
      <c r="C4806" t="s">
        <v>15</v>
      </c>
      <c r="D4806" s="1">
        <v>43427</v>
      </c>
      <c r="E4806" s="1">
        <v>43427</v>
      </c>
      <c r="F4806" s="1">
        <v>43409</v>
      </c>
      <c r="G4806" s="1">
        <v>43409</v>
      </c>
      <c r="H4806" t="s">
        <v>9</v>
      </c>
      <c r="I4806" t="s">
        <v>10</v>
      </c>
    </row>
    <row r="4807" spans="1:9" x14ac:dyDescent="0.25">
      <c r="A4807" t="s">
        <v>4362</v>
      </c>
      <c r="B4807" s="26" t="str">
        <f>MID(tbl_forecast[[#This Row],[PACE Job Number]],3,3)</f>
        <v>NTX</v>
      </c>
      <c r="C4807" t="s">
        <v>15</v>
      </c>
      <c r="D4807" s="1">
        <v>43408</v>
      </c>
      <c r="E4807" s="1">
        <v>43541</v>
      </c>
      <c r="F4807" s="1">
        <v>43615</v>
      </c>
      <c r="G4807" s="1"/>
      <c r="H4807" t="s">
        <v>4664</v>
      </c>
      <c r="I4807" t="s">
        <v>5645</v>
      </c>
    </row>
    <row r="4808" spans="1:9" x14ac:dyDescent="0.25">
      <c r="A4808" t="s">
        <v>4363</v>
      </c>
      <c r="B4808" s="26" t="str">
        <f>MID(tbl_forecast[[#This Row],[PACE Job Number]],3,3)</f>
        <v>NTX</v>
      </c>
      <c r="C4808" t="s">
        <v>15</v>
      </c>
      <c r="D4808" s="1">
        <v>43408</v>
      </c>
      <c r="E4808" s="1">
        <v>43541</v>
      </c>
      <c r="F4808" s="1">
        <v>43615</v>
      </c>
      <c r="G4808" s="1"/>
      <c r="H4808" t="s">
        <v>4664</v>
      </c>
      <c r="I4808" t="s">
        <v>5645</v>
      </c>
    </row>
    <row r="4809" spans="1:9" x14ac:dyDescent="0.25">
      <c r="A4809" t="s">
        <v>3882</v>
      </c>
      <c r="B4809" s="26" t="str">
        <f>MID(tbl_forecast[[#This Row],[PACE Job Number]],3,3)</f>
        <v>NTX</v>
      </c>
      <c r="C4809" t="s">
        <v>15</v>
      </c>
      <c r="D4809" s="1">
        <v>43425</v>
      </c>
      <c r="E4809" s="1">
        <v>43425</v>
      </c>
      <c r="F4809" s="1">
        <v>43495</v>
      </c>
      <c r="G4809" s="1"/>
      <c r="H4809" t="s">
        <v>4664</v>
      </c>
      <c r="I4809" t="s">
        <v>4666</v>
      </c>
    </row>
    <row r="4810" spans="1:9" x14ac:dyDescent="0.25">
      <c r="A4810" t="s">
        <v>4532</v>
      </c>
      <c r="B4810" s="26" t="str">
        <f>MID(tbl_forecast[[#This Row],[PACE Job Number]],3,3)</f>
        <v>NTX</v>
      </c>
      <c r="C4810" t="s">
        <v>15</v>
      </c>
      <c r="D4810" s="1">
        <v>43433</v>
      </c>
      <c r="E4810" s="1">
        <v>43433</v>
      </c>
      <c r="F4810" s="1">
        <v>43417</v>
      </c>
      <c r="G4810" s="1">
        <v>43417</v>
      </c>
      <c r="H4810" t="s">
        <v>9</v>
      </c>
      <c r="I4810" t="s">
        <v>10</v>
      </c>
    </row>
    <row r="4811" spans="1:9" x14ac:dyDescent="0.25">
      <c r="A4811" t="s">
        <v>3468</v>
      </c>
      <c r="B4811" s="26" t="str">
        <f>MID(tbl_forecast[[#This Row],[PACE Job Number]],3,3)</f>
        <v>NTX</v>
      </c>
      <c r="C4811" t="s">
        <v>15</v>
      </c>
      <c r="D4811" s="1">
        <v>43425</v>
      </c>
      <c r="E4811" s="1">
        <v>43425</v>
      </c>
      <c r="F4811" s="1">
        <v>43495</v>
      </c>
      <c r="G4811" s="1"/>
      <c r="H4811" t="s">
        <v>4664</v>
      </c>
      <c r="I4811" t="s">
        <v>4666</v>
      </c>
    </row>
    <row r="4812" spans="1:9" x14ac:dyDescent="0.25">
      <c r="A4812" t="s">
        <v>3511</v>
      </c>
      <c r="B4812" s="26" t="str">
        <f>MID(tbl_forecast[[#This Row],[PACE Job Number]],3,3)</f>
        <v>NTX</v>
      </c>
      <c r="C4812" t="s">
        <v>15</v>
      </c>
      <c r="D4812" s="1">
        <v>43425</v>
      </c>
      <c r="E4812" s="1">
        <v>43425</v>
      </c>
      <c r="F4812" s="1">
        <v>43495</v>
      </c>
      <c r="G4812" s="1"/>
      <c r="H4812" t="s">
        <v>4664</v>
      </c>
      <c r="I4812" t="s">
        <v>4666</v>
      </c>
    </row>
    <row r="4813" spans="1:9" x14ac:dyDescent="0.25">
      <c r="A4813" t="s">
        <v>4533</v>
      </c>
      <c r="B4813" s="26" t="str">
        <f>MID(tbl_forecast[[#This Row],[PACE Job Number]],3,3)</f>
        <v>NTX</v>
      </c>
      <c r="C4813" t="s">
        <v>15</v>
      </c>
      <c r="D4813" s="1">
        <v>43433</v>
      </c>
      <c r="E4813" s="1">
        <v>43433</v>
      </c>
      <c r="F4813" s="1">
        <v>43417</v>
      </c>
      <c r="G4813" s="1">
        <v>43417</v>
      </c>
      <c r="H4813" t="s">
        <v>9</v>
      </c>
      <c r="I4813" t="s">
        <v>10</v>
      </c>
    </row>
    <row r="4814" spans="1:9" x14ac:dyDescent="0.25">
      <c r="A4814" t="s">
        <v>3509</v>
      </c>
      <c r="B4814" s="26" t="str">
        <f>MID(tbl_forecast[[#This Row],[PACE Job Number]],3,3)</f>
        <v>NTX</v>
      </c>
      <c r="C4814" t="s">
        <v>15</v>
      </c>
      <c r="D4814" s="1">
        <v>43425</v>
      </c>
      <c r="E4814" s="1">
        <v>43425</v>
      </c>
      <c r="F4814" s="1">
        <v>43432</v>
      </c>
      <c r="G4814" s="1">
        <v>43432</v>
      </c>
      <c r="H4814" t="s">
        <v>9</v>
      </c>
      <c r="I4814" t="s">
        <v>10</v>
      </c>
    </row>
    <row r="4815" spans="1:9" x14ac:dyDescent="0.25">
      <c r="A4815" t="s">
        <v>1540</v>
      </c>
      <c r="B4815" s="26" t="str">
        <f>MID(tbl_forecast[[#This Row],[PACE Job Number]],3,3)</f>
        <v>WSH</v>
      </c>
      <c r="C4815" t="s">
        <v>15</v>
      </c>
      <c r="D4815" s="1">
        <v>43434</v>
      </c>
      <c r="E4815" s="1">
        <v>42815</v>
      </c>
      <c r="F4815" s="1">
        <v>43424</v>
      </c>
      <c r="G4815" s="1">
        <v>43424</v>
      </c>
      <c r="H4815" t="s">
        <v>9</v>
      </c>
      <c r="I4815" t="s">
        <v>10</v>
      </c>
    </row>
    <row r="4816" spans="1:9" x14ac:dyDescent="0.25">
      <c r="A4816" t="s">
        <v>134</v>
      </c>
      <c r="B4816" s="26" t="str">
        <f>MID(tbl_forecast[[#This Row],[PACE Job Number]],3,3)</f>
        <v>WSH</v>
      </c>
      <c r="C4816" t="s">
        <v>15</v>
      </c>
      <c r="D4816" s="1">
        <v>43429</v>
      </c>
      <c r="E4816" s="1">
        <v>36524</v>
      </c>
      <c r="F4816" s="1">
        <v>43419</v>
      </c>
      <c r="G4816" s="1">
        <v>43419</v>
      </c>
      <c r="H4816" t="s">
        <v>9</v>
      </c>
      <c r="I4816" t="s">
        <v>10</v>
      </c>
    </row>
    <row r="4817" spans="1:9" x14ac:dyDescent="0.25">
      <c r="A4817" t="s">
        <v>5644</v>
      </c>
      <c r="B4817" s="26" t="str">
        <f>MID(tbl_forecast[[#This Row],[PACE Job Number]],3,3)</f>
        <v>WSH</v>
      </c>
      <c r="C4817" t="s">
        <v>15</v>
      </c>
      <c r="D4817" s="1">
        <v>43421</v>
      </c>
      <c r="E4817" s="1">
        <v>36524</v>
      </c>
      <c r="F4817" s="1">
        <v>43413</v>
      </c>
      <c r="G4817" s="1">
        <v>43413</v>
      </c>
      <c r="H4817" t="s">
        <v>9</v>
      </c>
      <c r="I4817" t="s">
        <v>10</v>
      </c>
    </row>
    <row r="4818" spans="1:9" x14ac:dyDescent="0.25">
      <c r="A4818" t="s">
        <v>4022</v>
      </c>
      <c r="B4818" s="26" t="str">
        <f>MID(tbl_forecast[[#This Row],[PACE Job Number]],3,3)</f>
        <v>WSH</v>
      </c>
      <c r="C4818" t="s">
        <v>15</v>
      </c>
      <c r="D4818" s="1">
        <v>43434</v>
      </c>
      <c r="E4818" s="1">
        <v>36524</v>
      </c>
      <c r="F4818" s="1">
        <v>43434</v>
      </c>
      <c r="G4818" s="1"/>
      <c r="H4818" t="s">
        <v>9</v>
      </c>
      <c r="I4818" t="s">
        <v>27</v>
      </c>
    </row>
    <row r="4819" spans="1:9" x14ac:dyDescent="0.25">
      <c r="A4819" t="s">
        <v>4023</v>
      </c>
      <c r="B4819" s="26" t="str">
        <f>MID(tbl_forecast[[#This Row],[PACE Job Number]],3,3)</f>
        <v>WSH</v>
      </c>
      <c r="C4819" t="s">
        <v>15</v>
      </c>
      <c r="D4819" s="1">
        <v>43434</v>
      </c>
      <c r="E4819" s="1">
        <v>36524</v>
      </c>
      <c r="F4819" s="1">
        <v>43440</v>
      </c>
      <c r="G4819" s="1"/>
      <c r="H4819" t="s">
        <v>9</v>
      </c>
      <c r="I4819" t="s">
        <v>27</v>
      </c>
    </row>
    <row r="4820" spans="1:9" x14ac:dyDescent="0.25">
      <c r="A4820" t="s">
        <v>3841</v>
      </c>
      <c r="B4820" s="26" t="str">
        <f>MID(tbl_forecast[[#This Row],[PACE Job Number]],3,3)</f>
        <v>WSH</v>
      </c>
      <c r="C4820" t="s">
        <v>15</v>
      </c>
      <c r="D4820" s="1">
        <v>43434</v>
      </c>
      <c r="E4820" s="1">
        <v>36524</v>
      </c>
      <c r="F4820" s="1">
        <v>43431</v>
      </c>
      <c r="G4820" s="1">
        <v>43431</v>
      </c>
      <c r="H4820" t="s">
        <v>9</v>
      </c>
      <c r="I4820" t="s">
        <v>10</v>
      </c>
    </row>
    <row r="4821" spans="1:9" x14ac:dyDescent="0.25">
      <c r="A4821" t="s">
        <v>4017</v>
      </c>
      <c r="B4821" s="26" t="str">
        <f>MID(tbl_forecast[[#This Row],[PACE Job Number]],3,3)</f>
        <v>WSH</v>
      </c>
      <c r="C4821" t="s">
        <v>15</v>
      </c>
      <c r="D4821" s="1">
        <v>43434</v>
      </c>
      <c r="E4821" s="1">
        <v>36524</v>
      </c>
      <c r="F4821" s="1">
        <v>43448</v>
      </c>
      <c r="G4821" s="1"/>
      <c r="H4821" t="s">
        <v>9</v>
      </c>
      <c r="I4821" t="s">
        <v>27</v>
      </c>
    </row>
    <row r="4822" spans="1:9" x14ac:dyDescent="0.25">
      <c r="A4822" t="s">
        <v>542</v>
      </c>
      <c r="B4822" s="26" t="str">
        <f>MID(tbl_forecast[[#This Row],[PACE Job Number]],3,3)</f>
        <v>STX</v>
      </c>
      <c r="C4822" t="s">
        <v>15</v>
      </c>
      <c r="D4822" s="1">
        <v>43410</v>
      </c>
      <c r="E4822" s="1">
        <v>43463</v>
      </c>
      <c r="F4822" s="1">
        <v>43434</v>
      </c>
      <c r="G4822" s="1"/>
      <c r="H4822" t="s">
        <v>4664</v>
      </c>
      <c r="I4822" t="s">
        <v>5645</v>
      </c>
    </row>
    <row r="4823" spans="1:9" x14ac:dyDescent="0.25">
      <c r="A4823" t="s">
        <v>3447</v>
      </c>
      <c r="B4823" s="26" t="str">
        <f>MID(tbl_forecast[[#This Row],[PACE Job Number]],3,3)</f>
        <v>NTX</v>
      </c>
      <c r="C4823" t="s">
        <v>15</v>
      </c>
      <c r="D4823" s="1">
        <v>43425</v>
      </c>
      <c r="E4823" s="1">
        <v>43425</v>
      </c>
      <c r="F4823" s="1">
        <v>43495</v>
      </c>
      <c r="G4823" s="1"/>
      <c r="H4823" t="s">
        <v>4664</v>
      </c>
      <c r="I4823" t="s">
        <v>4666</v>
      </c>
    </row>
    <row r="4824" spans="1:9" x14ac:dyDescent="0.25">
      <c r="A4824" t="s">
        <v>3500</v>
      </c>
      <c r="B4824" s="26" t="str">
        <f>MID(tbl_forecast[[#This Row],[PACE Job Number]],3,3)</f>
        <v>NTX</v>
      </c>
      <c r="C4824" t="s">
        <v>15</v>
      </c>
      <c r="D4824" s="1">
        <v>43428</v>
      </c>
      <c r="E4824" s="1">
        <v>43428</v>
      </c>
      <c r="F4824" s="1">
        <v>43524</v>
      </c>
      <c r="G4824" s="1"/>
      <c r="H4824" t="s">
        <v>4664</v>
      </c>
      <c r="I4824" t="s">
        <v>4666</v>
      </c>
    </row>
    <row r="4825" spans="1:9" x14ac:dyDescent="0.25">
      <c r="A4825" t="s">
        <v>105</v>
      </c>
      <c r="B4825" s="26" t="str">
        <f>MID(tbl_forecast[[#This Row],[PACE Job Number]],3,3)</f>
        <v>NTX</v>
      </c>
      <c r="C4825" t="s">
        <v>15</v>
      </c>
      <c r="D4825" s="1">
        <v>43417</v>
      </c>
      <c r="E4825" s="1">
        <v>43417</v>
      </c>
      <c r="F4825" s="1">
        <v>43464</v>
      </c>
      <c r="G4825" s="1"/>
      <c r="H4825" t="s">
        <v>4664</v>
      </c>
      <c r="I4825" t="s">
        <v>4666</v>
      </c>
    </row>
    <row r="4826" spans="1:9" x14ac:dyDescent="0.25">
      <c r="A4826" t="s">
        <v>4018</v>
      </c>
      <c r="B4826" s="26" t="str">
        <f>MID(tbl_forecast[[#This Row],[PACE Job Number]],3,3)</f>
        <v>STX</v>
      </c>
      <c r="C4826" t="s">
        <v>15</v>
      </c>
      <c r="D4826" s="1">
        <v>43419</v>
      </c>
      <c r="E4826" s="1">
        <v>43464</v>
      </c>
      <c r="F4826" s="1">
        <v>43434</v>
      </c>
      <c r="G4826" s="1"/>
      <c r="H4826" t="s">
        <v>4664</v>
      </c>
      <c r="I4826" t="s">
        <v>5645</v>
      </c>
    </row>
    <row r="4827" spans="1:9" x14ac:dyDescent="0.25">
      <c r="A4827" t="s">
        <v>3225</v>
      </c>
      <c r="B4827" s="26" t="str">
        <f>MID(tbl_forecast[[#This Row],[PACE Job Number]],3,3)</f>
        <v>STX</v>
      </c>
      <c r="C4827" t="s">
        <v>15</v>
      </c>
      <c r="D4827" s="1">
        <v>43419</v>
      </c>
      <c r="E4827" s="1">
        <v>43433</v>
      </c>
      <c r="F4827" s="1">
        <v>43434</v>
      </c>
      <c r="G4827" s="1"/>
      <c r="H4827" t="s">
        <v>4664</v>
      </c>
      <c r="I4827" t="s">
        <v>5645</v>
      </c>
    </row>
    <row r="4828" spans="1:9" x14ac:dyDescent="0.25">
      <c r="A4828" t="s">
        <v>672</v>
      </c>
      <c r="B4828" s="26" t="str">
        <f>MID(tbl_forecast[[#This Row],[PACE Job Number]],3,3)</f>
        <v>STX</v>
      </c>
      <c r="C4828" t="s">
        <v>15</v>
      </c>
      <c r="D4828" s="1">
        <v>43410</v>
      </c>
      <c r="E4828" s="1">
        <v>43463</v>
      </c>
      <c r="F4828" s="1">
        <v>43434</v>
      </c>
      <c r="G4828" s="1"/>
      <c r="H4828" t="s">
        <v>4664</v>
      </c>
      <c r="I4828" t="s">
        <v>5645</v>
      </c>
    </row>
    <row r="4829" spans="1:9" x14ac:dyDescent="0.25">
      <c r="A4829" t="s">
        <v>655</v>
      </c>
      <c r="B4829" s="26" t="str">
        <f>MID(tbl_forecast[[#This Row],[PACE Job Number]],3,3)</f>
        <v>STX</v>
      </c>
      <c r="C4829" t="s">
        <v>15</v>
      </c>
      <c r="D4829" s="1">
        <v>43410</v>
      </c>
      <c r="E4829" s="1">
        <v>43463</v>
      </c>
      <c r="F4829" s="1">
        <v>43434</v>
      </c>
      <c r="G4829" s="1"/>
      <c r="H4829" t="s">
        <v>4664</v>
      </c>
      <c r="I4829" t="s">
        <v>5645</v>
      </c>
    </row>
    <row r="4830" spans="1:9" x14ac:dyDescent="0.25">
      <c r="A4830" t="s">
        <v>3842</v>
      </c>
      <c r="B4830" s="26" t="str">
        <f>MID(tbl_forecast[[#This Row],[PACE Job Number]],3,3)</f>
        <v>WSH</v>
      </c>
      <c r="C4830" t="s">
        <v>15</v>
      </c>
      <c r="D4830" s="1">
        <v>43434</v>
      </c>
      <c r="E4830" s="1">
        <v>36524</v>
      </c>
      <c r="F4830" s="1">
        <v>43424</v>
      </c>
      <c r="G4830" s="1">
        <v>43424</v>
      </c>
      <c r="H4830" t="s">
        <v>9</v>
      </c>
      <c r="I4830" t="s">
        <v>10</v>
      </c>
    </row>
    <row r="4831" spans="1:9" x14ac:dyDescent="0.25">
      <c r="A4831" t="s">
        <v>4485</v>
      </c>
      <c r="B4831" s="26" t="str">
        <f>MID(tbl_forecast[[#This Row],[PACE Job Number]],3,3)</f>
        <v>NTX</v>
      </c>
      <c r="C4831" t="s">
        <v>15</v>
      </c>
      <c r="D4831" s="1">
        <v>43431</v>
      </c>
      <c r="E4831" s="1">
        <v>43431</v>
      </c>
      <c r="F4831" s="1">
        <v>43411</v>
      </c>
      <c r="G4831" s="1">
        <v>43411</v>
      </c>
      <c r="H4831" t="s">
        <v>9</v>
      </c>
      <c r="I4831" t="s">
        <v>10</v>
      </c>
    </row>
    <row r="4832" spans="1:9" x14ac:dyDescent="0.25">
      <c r="A4832" t="s">
        <v>3453</v>
      </c>
      <c r="B4832" s="26" t="str">
        <f>MID(tbl_forecast[[#This Row],[PACE Job Number]],3,3)</f>
        <v>NTX</v>
      </c>
      <c r="C4832" t="s">
        <v>15</v>
      </c>
      <c r="D4832" s="1">
        <v>43406</v>
      </c>
      <c r="E4832" s="1">
        <v>43413</v>
      </c>
      <c r="F4832" s="1">
        <v>43406</v>
      </c>
      <c r="G4832" s="1">
        <v>43406</v>
      </c>
      <c r="H4832" t="s">
        <v>9</v>
      </c>
      <c r="I4832" t="s">
        <v>10</v>
      </c>
    </row>
    <row r="4833" spans="1:9" x14ac:dyDescent="0.25">
      <c r="A4833" t="s">
        <v>450</v>
      </c>
      <c r="B4833" s="26" t="str">
        <f>MID(tbl_forecast[[#This Row],[PACE Job Number]],3,3)</f>
        <v>NTX</v>
      </c>
      <c r="C4833" t="s">
        <v>15</v>
      </c>
      <c r="D4833" s="1">
        <v>43413</v>
      </c>
      <c r="E4833" s="1">
        <v>43534</v>
      </c>
      <c r="F4833" s="1">
        <v>43524</v>
      </c>
      <c r="G4833" s="1"/>
      <c r="H4833" t="s">
        <v>4664</v>
      </c>
      <c r="I4833" t="s">
        <v>5645</v>
      </c>
    </row>
    <row r="4834" spans="1:9" x14ac:dyDescent="0.25">
      <c r="A4834" t="s">
        <v>3488</v>
      </c>
      <c r="B4834" s="26" t="str">
        <f>MID(tbl_forecast[[#This Row],[PACE Job Number]],3,3)</f>
        <v>NTX</v>
      </c>
      <c r="C4834" t="s">
        <v>15</v>
      </c>
      <c r="D4834" s="1">
        <v>43413</v>
      </c>
      <c r="E4834" s="1">
        <v>43414</v>
      </c>
      <c r="F4834" s="1">
        <v>43464</v>
      </c>
      <c r="G4834" s="1"/>
      <c r="H4834" t="s">
        <v>4664</v>
      </c>
      <c r="I4834" t="s">
        <v>4666</v>
      </c>
    </row>
    <row r="4835" spans="1:9" x14ac:dyDescent="0.25">
      <c r="A4835" t="s">
        <v>3423</v>
      </c>
      <c r="B4835" s="26" t="str">
        <f>MID(tbl_forecast[[#This Row],[PACE Job Number]],3,3)</f>
        <v>NTX</v>
      </c>
      <c r="C4835" t="s">
        <v>15</v>
      </c>
      <c r="D4835" s="1">
        <v>43413</v>
      </c>
      <c r="E4835" s="1">
        <v>43420</v>
      </c>
      <c r="F4835" s="1">
        <v>43464</v>
      </c>
      <c r="G4835" s="1"/>
      <c r="H4835" t="s">
        <v>4664</v>
      </c>
      <c r="I4835" t="s">
        <v>4666</v>
      </c>
    </row>
    <row r="4836" spans="1:9" x14ac:dyDescent="0.25">
      <c r="A4836" t="s">
        <v>3419</v>
      </c>
      <c r="B4836" s="26" t="str">
        <f>MID(tbl_forecast[[#This Row],[PACE Job Number]],3,3)</f>
        <v>NTX</v>
      </c>
      <c r="C4836" t="s">
        <v>15</v>
      </c>
      <c r="D4836" s="1">
        <v>43413</v>
      </c>
      <c r="E4836" s="1">
        <v>43420</v>
      </c>
      <c r="F4836" s="1">
        <v>43464</v>
      </c>
      <c r="G4836" s="1"/>
      <c r="H4836" t="s">
        <v>4664</v>
      </c>
      <c r="I4836" t="s">
        <v>4666</v>
      </c>
    </row>
    <row r="4837" spans="1:9" x14ac:dyDescent="0.25">
      <c r="A4837" t="s">
        <v>3415</v>
      </c>
      <c r="B4837" s="26" t="str">
        <f>MID(tbl_forecast[[#This Row],[PACE Job Number]],3,3)</f>
        <v>NTX</v>
      </c>
      <c r="C4837" t="s">
        <v>15</v>
      </c>
      <c r="D4837" s="1">
        <v>43413</v>
      </c>
      <c r="E4837" s="1">
        <v>43420</v>
      </c>
      <c r="F4837" s="1">
        <v>43464</v>
      </c>
      <c r="G4837" s="1"/>
      <c r="H4837" t="s">
        <v>4664</v>
      </c>
      <c r="I4837" t="s">
        <v>4666</v>
      </c>
    </row>
    <row r="4838" spans="1:9" x14ac:dyDescent="0.25">
      <c r="A4838" t="s">
        <v>3906</v>
      </c>
      <c r="B4838" s="26" t="str">
        <f>MID(tbl_forecast[[#This Row],[PACE Job Number]],3,3)</f>
        <v>NTX</v>
      </c>
      <c r="C4838" t="s">
        <v>15</v>
      </c>
      <c r="D4838" s="1">
        <v>43406</v>
      </c>
      <c r="E4838" s="1">
        <v>43413</v>
      </c>
      <c r="F4838" s="1">
        <v>43406</v>
      </c>
      <c r="G4838" s="1">
        <v>43406</v>
      </c>
      <c r="H4838" t="s">
        <v>9</v>
      </c>
      <c r="I4838" t="s">
        <v>10</v>
      </c>
    </row>
    <row r="4839" spans="1:9" x14ac:dyDescent="0.25">
      <c r="A4839" t="s">
        <v>4298</v>
      </c>
      <c r="B4839" s="26" t="str">
        <f>MID(tbl_forecast[[#This Row],[PACE Job Number]],3,3)</f>
        <v>NTX</v>
      </c>
      <c r="C4839" t="s">
        <v>15</v>
      </c>
      <c r="D4839" s="1">
        <v>43431</v>
      </c>
      <c r="E4839" s="1">
        <v>43431</v>
      </c>
      <c r="F4839" s="1">
        <v>43411</v>
      </c>
      <c r="G4839" s="1">
        <v>43411</v>
      </c>
      <c r="H4839" t="s">
        <v>9</v>
      </c>
      <c r="I4839" t="s">
        <v>10</v>
      </c>
    </row>
    <row r="4840" spans="1:9" x14ac:dyDescent="0.25">
      <c r="A4840" t="s">
        <v>2474</v>
      </c>
      <c r="B4840" s="26" t="str">
        <f>MID(tbl_forecast[[#This Row],[PACE Job Number]],3,3)</f>
        <v>NTX</v>
      </c>
      <c r="C4840" t="s">
        <v>15</v>
      </c>
      <c r="D4840" s="1">
        <v>43425</v>
      </c>
      <c r="E4840" s="1">
        <v>43425</v>
      </c>
      <c r="F4840" s="1">
        <v>43464</v>
      </c>
      <c r="G4840" s="1"/>
      <c r="H4840" t="s">
        <v>4664</v>
      </c>
      <c r="I4840" t="s">
        <v>4666</v>
      </c>
    </row>
    <row r="4841" spans="1:9" x14ac:dyDescent="0.25">
      <c r="A4841" t="s">
        <v>3445</v>
      </c>
      <c r="B4841" s="26" t="str">
        <f>MID(tbl_forecast[[#This Row],[PACE Job Number]],3,3)</f>
        <v>NTX</v>
      </c>
      <c r="C4841" t="s">
        <v>15</v>
      </c>
      <c r="D4841" s="1">
        <v>43413</v>
      </c>
      <c r="E4841" s="1">
        <v>43420</v>
      </c>
      <c r="F4841" s="1">
        <v>43464</v>
      </c>
      <c r="G4841" s="1"/>
      <c r="H4841" t="s">
        <v>4664</v>
      </c>
      <c r="I4841" t="s">
        <v>4666</v>
      </c>
    </row>
    <row r="4842" spans="1:9" x14ac:dyDescent="0.25">
      <c r="A4842" t="s">
        <v>3981</v>
      </c>
      <c r="B4842" s="26" t="str">
        <f>MID(tbl_forecast[[#This Row],[PACE Job Number]],3,3)</f>
        <v>NTX</v>
      </c>
      <c r="C4842" t="s">
        <v>15</v>
      </c>
      <c r="D4842" s="1">
        <v>43425</v>
      </c>
      <c r="E4842" s="1">
        <v>43425</v>
      </c>
      <c r="F4842" s="1">
        <v>43464</v>
      </c>
      <c r="G4842" s="1"/>
      <c r="H4842" t="s">
        <v>4664</v>
      </c>
      <c r="I4842" t="s">
        <v>4666</v>
      </c>
    </row>
    <row r="4843" spans="1:9" x14ac:dyDescent="0.25">
      <c r="A4843" t="s">
        <v>3491</v>
      </c>
      <c r="B4843" s="26" t="str">
        <f>MID(tbl_forecast[[#This Row],[PACE Job Number]],3,3)</f>
        <v>NTX</v>
      </c>
      <c r="C4843" t="s">
        <v>15</v>
      </c>
      <c r="D4843" s="1">
        <v>43413</v>
      </c>
      <c r="E4843" s="1">
        <v>43414</v>
      </c>
      <c r="F4843" s="1">
        <v>43464</v>
      </c>
      <c r="G4843" s="1"/>
      <c r="H4843" t="s">
        <v>4664</v>
      </c>
      <c r="I4843" t="s">
        <v>4666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5274"/>
  <sheetViews>
    <sheetView workbookViewId="0"/>
  </sheetViews>
  <sheetFormatPr defaultRowHeight="15" x14ac:dyDescent="0.25"/>
  <cols>
    <col min="1" max="1" width="18.42578125" bestFit="1" customWidth="1"/>
    <col min="2" max="2" width="9.28515625" bestFit="1" customWidth="1"/>
    <col min="3" max="3" width="7" bestFit="1" customWidth="1"/>
    <col min="4" max="4" width="10.5703125" bestFit="1" customWidth="1"/>
  </cols>
  <sheetData>
    <row r="1" spans="1:4" x14ac:dyDescent="0.25">
      <c r="A1" t="s">
        <v>20</v>
      </c>
      <c r="B1" t="s">
        <v>3</v>
      </c>
      <c r="C1" t="s">
        <v>8</v>
      </c>
      <c r="D1" t="s">
        <v>1678</v>
      </c>
    </row>
    <row r="2" spans="1:4" x14ac:dyDescent="0.25">
      <c r="A2" t="s">
        <v>4075</v>
      </c>
      <c r="B2" t="str">
        <f>MID(tbl_lock[[#This Row],[PACE Job Number]],3,3)</f>
        <v>ANM</v>
      </c>
      <c r="C2" t="s">
        <v>1679</v>
      </c>
      <c r="D2" s="1">
        <v>43413</v>
      </c>
    </row>
    <row r="3" spans="1:4" x14ac:dyDescent="0.25">
      <c r="A3" t="s">
        <v>1686</v>
      </c>
      <c r="B3" t="str">
        <f>MID(tbl_lock[[#This Row],[PACE Job Number]],3,3)</f>
        <v>ANM</v>
      </c>
      <c r="C3" t="s">
        <v>1679</v>
      </c>
      <c r="D3" s="1">
        <v>43406</v>
      </c>
    </row>
    <row r="4" spans="1:4" x14ac:dyDescent="0.25">
      <c r="A4" t="s">
        <v>1691</v>
      </c>
      <c r="B4" t="str">
        <f>MID(tbl_lock[[#This Row],[PACE Job Number]],3,3)</f>
        <v>ANM</v>
      </c>
      <c r="C4" t="s">
        <v>1679</v>
      </c>
      <c r="D4" s="1">
        <v>43406</v>
      </c>
    </row>
    <row r="5" spans="1:4" x14ac:dyDescent="0.25">
      <c r="A5" t="s">
        <v>1697</v>
      </c>
      <c r="B5" t="str">
        <f>MID(tbl_lock[[#This Row],[PACE Job Number]],3,3)</f>
        <v>ANM</v>
      </c>
      <c r="C5" t="s">
        <v>1679</v>
      </c>
      <c r="D5" s="1">
        <v>43406</v>
      </c>
    </row>
    <row r="6" spans="1:4" x14ac:dyDescent="0.25">
      <c r="A6" t="s">
        <v>4077</v>
      </c>
      <c r="B6" t="str">
        <f>MID(tbl_lock[[#This Row],[PACE Job Number]],3,3)</f>
        <v>ANM</v>
      </c>
      <c r="C6" t="s">
        <v>1679</v>
      </c>
      <c r="D6" s="1">
        <v>43413</v>
      </c>
    </row>
    <row r="7" spans="1:4" x14ac:dyDescent="0.25">
      <c r="A7" t="s">
        <v>4669</v>
      </c>
      <c r="B7" t="str">
        <f>MID(tbl_lock[[#This Row],[PACE Job Number]],3,3)</f>
        <v>ANM</v>
      </c>
      <c r="C7" t="s">
        <v>1679</v>
      </c>
      <c r="D7" s="1">
        <v>43406</v>
      </c>
    </row>
    <row r="8" spans="1:4" x14ac:dyDescent="0.25">
      <c r="A8" t="s">
        <v>4670</v>
      </c>
      <c r="B8" t="str">
        <f>MID(tbl_lock[[#This Row],[PACE Job Number]],3,3)</f>
        <v>ANM</v>
      </c>
      <c r="C8" t="s">
        <v>1679</v>
      </c>
      <c r="D8" s="1">
        <v>43406</v>
      </c>
    </row>
    <row r="9" spans="1:4" x14ac:dyDescent="0.25">
      <c r="A9" t="s">
        <v>1687</v>
      </c>
      <c r="B9" t="str">
        <f>MID(tbl_lock[[#This Row],[PACE Job Number]],3,3)</f>
        <v>ANM</v>
      </c>
      <c r="C9" t="s">
        <v>1679</v>
      </c>
      <c r="D9" s="1">
        <v>43406</v>
      </c>
    </row>
    <row r="10" spans="1:4" x14ac:dyDescent="0.25">
      <c r="A10" t="s">
        <v>4078</v>
      </c>
      <c r="B10" t="str">
        <f>MID(tbl_lock[[#This Row],[PACE Job Number]],3,3)</f>
        <v>ANM</v>
      </c>
      <c r="C10" t="s">
        <v>1679</v>
      </c>
      <c r="D10" s="1">
        <v>43413</v>
      </c>
    </row>
    <row r="11" spans="1:4" x14ac:dyDescent="0.25">
      <c r="A11" t="s">
        <v>1703</v>
      </c>
      <c r="B11" t="str">
        <f>MID(tbl_lock[[#This Row],[PACE Job Number]],3,3)</f>
        <v>ANM</v>
      </c>
      <c r="C11" t="s">
        <v>1679</v>
      </c>
      <c r="D11" s="1">
        <v>43420</v>
      </c>
    </row>
    <row r="12" spans="1:4" x14ac:dyDescent="0.25">
      <c r="A12" t="s">
        <v>1708</v>
      </c>
      <c r="B12" t="str">
        <f>MID(tbl_lock[[#This Row],[PACE Job Number]],3,3)</f>
        <v>ANM</v>
      </c>
      <c r="C12" t="s">
        <v>1679</v>
      </c>
      <c r="D12" s="1">
        <v>43420</v>
      </c>
    </row>
    <row r="13" spans="1:4" x14ac:dyDescent="0.25">
      <c r="A13" t="s">
        <v>1707</v>
      </c>
      <c r="B13" t="str">
        <f>MID(tbl_lock[[#This Row],[PACE Job Number]],3,3)</f>
        <v>ANM</v>
      </c>
      <c r="C13" t="s">
        <v>1679</v>
      </c>
      <c r="D13" s="1">
        <v>43420</v>
      </c>
    </row>
    <row r="14" spans="1:4" x14ac:dyDescent="0.25">
      <c r="A14" t="s">
        <v>1700</v>
      </c>
      <c r="B14" t="str">
        <f>MID(tbl_lock[[#This Row],[PACE Job Number]],3,3)</f>
        <v>ANM</v>
      </c>
      <c r="C14" t="s">
        <v>1679</v>
      </c>
      <c r="D14" s="1">
        <v>43420</v>
      </c>
    </row>
    <row r="15" spans="1:4" x14ac:dyDescent="0.25">
      <c r="A15" t="s">
        <v>4114</v>
      </c>
      <c r="B15" t="str">
        <f>MID(tbl_lock[[#This Row],[PACE Job Number]],3,3)</f>
        <v>ANM</v>
      </c>
      <c r="C15" t="s">
        <v>1679</v>
      </c>
      <c r="D15" s="1">
        <v>43430</v>
      </c>
    </row>
    <row r="16" spans="1:4" x14ac:dyDescent="0.25">
      <c r="A16" t="s">
        <v>4671</v>
      </c>
      <c r="B16" t="str">
        <f>MID(tbl_lock[[#This Row],[PACE Job Number]],3,3)</f>
        <v>ANM</v>
      </c>
      <c r="C16" t="s">
        <v>1679</v>
      </c>
      <c r="D16" s="1">
        <v>43434</v>
      </c>
    </row>
    <row r="17" spans="1:4" x14ac:dyDescent="0.25">
      <c r="A17" t="s">
        <v>4672</v>
      </c>
      <c r="B17" t="str">
        <f>MID(tbl_lock[[#This Row],[PACE Job Number]],3,3)</f>
        <v>ANM</v>
      </c>
      <c r="C17" t="s">
        <v>1679</v>
      </c>
      <c r="D17" s="1">
        <v>43424</v>
      </c>
    </row>
    <row r="18" spans="1:4" x14ac:dyDescent="0.25">
      <c r="A18" t="s">
        <v>4673</v>
      </c>
      <c r="B18" t="str">
        <f>MID(tbl_lock[[#This Row],[PACE Job Number]],3,3)</f>
        <v>ANM</v>
      </c>
      <c r="C18" t="s">
        <v>1679</v>
      </c>
      <c r="D18" s="1">
        <v>43413</v>
      </c>
    </row>
    <row r="19" spans="1:4" x14ac:dyDescent="0.25">
      <c r="A19" t="s">
        <v>4674</v>
      </c>
      <c r="B19" t="str">
        <f>MID(tbl_lock[[#This Row],[PACE Job Number]],3,3)</f>
        <v>ANM</v>
      </c>
      <c r="C19" t="s">
        <v>1679</v>
      </c>
      <c r="D19" s="1">
        <v>43434</v>
      </c>
    </row>
    <row r="20" spans="1:4" x14ac:dyDescent="0.25">
      <c r="A20" t="s">
        <v>4675</v>
      </c>
      <c r="B20" t="str">
        <f>MID(tbl_lock[[#This Row],[PACE Job Number]],3,3)</f>
        <v>ANM</v>
      </c>
      <c r="C20" t="s">
        <v>1679</v>
      </c>
      <c r="D20" s="1">
        <v>43420</v>
      </c>
    </row>
    <row r="21" spans="1:4" x14ac:dyDescent="0.25">
      <c r="A21" t="s">
        <v>4676</v>
      </c>
      <c r="B21" t="str">
        <f>MID(tbl_lock[[#This Row],[PACE Job Number]],3,3)</f>
        <v>ANM</v>
      </c>
      <c r="C21" t="s">
        <v>1679</v>
      </c>
      <c r="D21" s="1">
        <v>43420</v>
      </c>
    </row>
    <row r="22" spans="1:4" x14ac:dyDescent="0.25">
      <c r="A22" t="s">
        <v>4677</v>
      </c>
      <c r="B22" t="str">
        <f>MID(tbl_lock[[#This Row],[PACE Job Number]],3,3)</f>
        <v>ANM</v>
      </c>
      <c r="C22" t="s">
        <v>1679</v>
      </c>
      <c r="D22" s="1">
        <v>43427</v>
      </c>
    </row>
    <row r="23" spans="1:4" x14ac:dyDescent="0.25">
      <c r="A23" t="s">
        <v>4678</v>
      </c>
      <c r="B23" t="str">
        <f>MID(tbl_lock[[#This Row],[PACE Job Number]],3,3)</f>
        <v>ANM</v>
      </c>
      <c r="C23" t="s">
        <v>1679</v>
      </c>
      <c r="D23" s="1">
        <v>43424</v>
      </c>
    </row>
    <row r="24" spans="1:4" x14ac:dyDescent="0.25">
      <c r="A24" t="s">
        <v>4679</v>
      </c>
      <c r="B24" t="str">
        <f>MID(tbl_lock[[#This Row],[PACE Job Number]],3,3)</f>
        <v>ANM</v>
      </c>
      <c r="C24" t="s">
        <v>1679</v>
      </c>
      <c r="D24" s="1">
        <v>43434</v>
      </c>
    </row>
    <row r="25" spans="1:4" x14ac:dyDescent="0.25">
      <c r="A25" t="s">
        <v>4680</v>
      </c>
      <c r="B25" t="str">
        <f>MID(tbl_lock[[#This Row],[PACE Job Number]],3,3)</f>
        <v>ANM</v>
      </c>
      <c r="C25" t="s">
        <v>1679</v>
      </c>
      <c r="D25" s="1">
        <v>43425</v>
      </c>
    </row>
    <row r="26" spans="1:4" x14ac:dyDescent="0.25">
      <c r="A26" t="s">
        <v>4681</v>
      </c>
      <c r="B26" t="str">
        <f>MID(tbl_lock[[#This Row],[PACE Job Number]],3,3)</f>
        <v>ANM</v>
      </c>
      <c r="C26" t="s">
        <v>1679</v>
      </c>
      <c r="D26" s="1">
        <v>43425</v>
      </c>
    </row>
    <row r="27" spans="1:4" x14ac:dyDescent="0.25">
      <c r="A27" t="s">
        <v>4115</v>
      </c>
      <c r="B27" t="str">
        <f>MID(tbl_lock[[#This Row],[PACE Job Number]],3,3)</f>
        <v>ANM</v>
      </c>
      <c r="C27" t="s">
        <v>1679</v>
      </c>
      <c r="D27" s="1">
        <v>43430</v>
      </c>
    </row>
    <row r="28" spans="1:4" x14ac:dyDescent="0.25">
      <c r="A28" t="s">
        <v>4682</v>
      </c>
      <c r="B28" t="str">
        <f>MID(tbl_lock[[#This Row],[PACE Job Number]],3,3)</f>
        <v>ANM</v>
      </c>
      <c r="C28" t="s">
        <v>1679</v>
      </c>
      <c r="D28" s="1">
        <v>43425</v>
      </c>
    </row>
    <row r="29" spans="1:4" x14ac:dyDescent="0.25">
      <c r="A29" t="s">
        <v>4683</v>
      </c>
      <c r="B29" t="str">
        <f>MID(tbl_lock[[#This Row],[PACE Job Number]],3,3)</f>
        <v>ANM</v>
      </c>
      <c r="C29" t="s">
        <v>1679</v>
      </c>
      <c r="D29" s="1">
        <v>43434</v>
      </c>
    </row>
    <row r="30" spans="1:4" x14ac:dyDescent="0.25">
      <c r="A30" t="s">
        <v>4684</v>
      </c>
      <c r="B30" t="str">
        <f>MID(tbl_lock[[#This Row],[PACE Job Number]],3,3)</f>
        <v>ANM</v>
      </c>
      <c r="C30" t="s">
        <v>1679</v>
      </c>
      <c r="D30" s="1">
        <v>43425</v>
      </c>
    </row>
    <row r="31" spans="1:4" x14ac:dyDescent="0.25">
      <c r="A31" t="s">
        <v>4685</v>
      </c>
      <c r="B31" t="str">
        <f>MID(tbl_lock[[#This Row],[PACE Job Number]],3,3)</f>
        <v>ANM</v>
      </c>
      <c r="C31" t="s">
        <v>1679</v>
      </c>
      <c r="D31" s="1">
        <v>43427</v>
      </c>
    </row>
    <row r="32" spans="1:4" x14ac:dyDescent="0.25">
      <c r="A32" t="s">
        <v>4686</v>
      </c>
      <c r="B32" t="str">
        <f>MID(tbl_lock[[#This Row],[PACE Job Number]],3,3)</f>
        <v>NTX</v>
      </c>
      <c r="C32" t="s">
        <v>1699</v>
      </c>
      <c r="D32" s="1">
        <v>43405</v>
      </c>
    </row>
    <row r="33" spans="1:4" x14ac:dyDescent="0.25">
      <c r="A33" t="s">
        <v>4687</v>
      </c>
      <c r="B33" t="str">
        <f>MID(tbl_lock[[#This Row],[PACE Job Number]],3,3)</f>
        <v>NTX</v>
      </c>
      <c r="C33" t="s">
        <v>1699</v>
      </c>
      <c r="D33" s="1">
        <v>43405</v>
      </c>
    </row>
    <row r="34" spans="1:4" x14ac:dyDescent="0.25">
      <c r="A34" t="s">
        <v>4688</v>
      </c>
      <c r="B34" t="str">
        <f>MID(tbl_lock[[#This Row],[PACE Job Number]],3,3)</f>
        <v>STX</v>
      </c>
      <c r="C34" t="s">
        <v>1699</v>
      </c>
      <c r="D34" s="1">
        <v>43410</v>
      </c>
    </row>
    <row r="35" spans="1:4" x14ac:dyDescent="0.25">
      <c r="A35" t="s">
        <v>4689</v>
      </c>
      <c r="B35" t="str">
        <f>MID(tbl_lock[[#This Row],[PACE Job Number]],3,3)</f>
        <v>NTX</v>
      </c>
      <c r="C35" t="s">
        <v>1699</v>
      </c>
      <c r="D35" s="1">
        <v>43405</v>
      </c>
    </row>
    <row r="36" spans="1:4" x14ac:dyDescent="0.25">
      <c r="A36" t="s">
        <v>4690</v>
      </c>
      <c r="B36" t="str">
        <f>MID(tbl_lock[[#This Row],[PACE Job Number]],3,3)</f>
        <v>NTX</v>
      </c>
      <c r="C36" t="s">
        <v>1699</v>
      </c>
      <c r="D36" s="1">
        <v>43405</v>
      </c>
    </row>
    <row r="37" spans="1:4" x14ac:dyDescent="0.25">
      <c r="A37" t="s">
        <v>4691</v>
      </c>
      <c r="B37" t="str">
        <f>MID(tbl_lock[[#This Row],[PACE Job Number]],3,3)</f>
        <v>NTX</v>
      </c>
      <c r="C37" t="s">
        <v>1699</v>
      </c>
      <c r="D37" s="1">
        <v>43405</v>
      </c>
    </row>
    <row r="38" spans="1:4" x14ac:dyDescent="0.25">
      <c r="A38" t="s">
        <v>3769</v>
      </c>
      <c r="B38" t="str">
        <f>MID(tbl_lock[[#This Row],[PACE Job Number]],3,3)</f>
        <v>STX</v>
      </c>
      <c r="C38" t="s">
        <v>1709</v>
      </c>
      <c r="D38" s="1">
        <v>43413</v>
      </c>
    </row>
    <row r="39" spans="1:4" x14ac:dyDescent="0.25">
      <c r="A39" t="s">
        <v>3770</v>
      </c>
      <c r="B39" t="str">
        <f>MID(tbl_lock[[#This Row],[PACE Job Number]],3,3)</f>
        <v>STX</v>
      </c>
      <c r="C39" t="s">
        <v>1709</v>
      </c>
      <c r="D39" s="1">
        <v>43413</v>
      </c>
    </row>
    <row r="40" spans="1:4" x14ac:dyDescent="0.25">
      <c r="A40" t="s">
        <v>4076</v>
      </c>
      <c r="B40" t="str">
        <f>MID(tbl_lock[[#This Row],[PACE Job Number]],3,3)</f>
        <v>STX</v>
      </c>
      <c r="C40" t="s">
        <v>1709</v>
      </c>
      <c r="D40" s="1">
        <v>43413</v>
      </c>
    </row>
    <row r="41" spans="1:4" x14ac:dyDescent="0.25">
      <c r="A41" t="s">
        <v>3771</v>
      </c>
      <c r="B41" t="str">
        <f>MID(tbl_lock[[#This Row],[PACE Job Number]],3,3)</f>
        <v>STX</v>
      </c>
      <c r="C41" t="s">
        <v>1709</v>
      </c>
      <c r="D41" s="1">
        <v>43411</v>
      </c>
    </row>
    <row r="42" spans="1:4" x14ac:dyDescent="0.25">
      <c r="A42" t="s">
        <v>3584</v>
      </c>
      <c r="B42" t="str">
        <f>MID(tbl_lock[[#This Row],[PACE Job Number]],3,3)</f>
        <v>STX</v>
      </c>
      <c r="C42" t="s">
        <v>1709</v>
      </c>
      <c r="D42" s="1">
        <v>43410</v>
      </c>
    </row>
    <row r="43" spans="1:4" x14ac:dyDescent="0.25">
      <c r="A43" t="s">
        <v>3585</v>
      </c>
      <c r="B43" t="str">
        <f>MID(tbl_lock[[#This Row],[PACE Job Number]],3,3)</f>
        <v>STX</v>
      </c>
      <c r="C43" t="s">
        <v>1709</v>
      </c>
      <c r="D43" s="1">
        <v>43410</v>
      </c>
    </row>
    <row r="44" spans="1:4" x14ac:dyDescent="0.25">
      <c r="A44" t="s">
        <v>4102</v>
      </c>
      <c r="B44" t="str">
        <f>MID(tbl_lock[[#This Row],[PACE Job Number]],3,3)</f>
        <v>NTX</v>
      </c>
      <c r="C44" t="s">
        <v>1709</v>
      </c>
      <c r="D44" s="1">
        <v>43413</v>
      </c>
    </row>
    <row r="45" spans="1:4" x14ac:dyDescent="0.25">
      <c r="A45" t="s">
        <v>3733</v>
      </c>
      <c r="B45" t="str">
        <f>MID(tbl_lock[[#This Row],[PACE Job Number]],3,3)</f>
        <v>NTX</v>
      </c>
      <c r="C45" t="s">
        <v>1709</v>
      </c>
      <c r="D45" s="1">
        <v>43406</v>
      </c>
    </row>
    <row r="46" spans="1:4" x14ac:dyDescent="0.25">
      <c r="A46" t="s">
        <v>4692</v>
      </c>
      <c r="B46" t="str">
        <f>MID(tbl_lock[[#This Row],[PACE Job Number]],3,3)</f>
        <v>NTX</v>
      </c>
      <c r="C46" t="s">
        <v>1709</v>
      </c>
      <c r="D46" s="1">
        <v>43415</v>
      </c>
    </row>
    <row r="47" spans="1:4" x14ac:dyDescent="0.25">
      <c r="A47" t="s">
        <v>4693</v>
      </c>
      <c r="B47" t="str">
        <f>MID(tbl_lock[[#This Row],[PACE Job Number]],3,3)</f>
        <v>NTX</v>
      </c>
      <c r="C47" t="s">
        <v>1709</v>
      </c>
      <c r="D47" s="1">
        <v>43405</v>
      </c>
    </row>
    <row r="48" spans="1:4" x14ac:dyDescent="0.25">
      <c r="A48" t="s">
        <v>4694</v>
      </c>
      <c r="B48" t="str">
        <f>MID(tbl_lock[[#This Row],[PACE Job Number]],3,3)</f>
        <v>NTX</v>
      </c>
      <c r="C48" t="s">
        <v>1709</v>
      </c>
      <c r="D48" s="1">
        <v>43415</v>
      </c>
    </row>
    <row r="49" spans="1:4" x14ac:dyDescent="0.25">
      <c r="A49" t="s">
        <v>3734</v>
      </c>
      <c r="B49" t="str">
        <f>MID(tbl_lock[[#This Row],[PACE Job Number]],3,3)</f>
        <v>NTX</v>
      </c>
      <c r="C49" t="s">
        <v>1709</v>
      </c>
      <c r="D49" s="1">
        <v>43406</v>
      </c>
    </row>
    <row r="50" spans="1:4" x14ac:dyDescent="0.25">
      <c r="A50" t="s">
        <v>3735</v>
      </c>
      <c r="B50" t="str">
        <f>MID(tbl_lock[[#This Row],[PACE Job Number]],3,3)</f>
        <v>NTX</v>
      </c>
      <c r="C50" t="s">
        <v>1709</v>
      </c>
      <c r="D50" s="1">
        <v>43412</v>
      </c>
    </row>
    <row r="51" spans="1:4" x14ac:dyDescent="0.25">
      <c r="A51" t="s">
        <v>3736</v>
      </c>
      <c r="B51" t="str">
        <f>MID(tbl_lock[[#This Row],[PACE Job Number]],3,3)</f>
        <v>NTX</v>
      </c>
      <c r="C51" t="s">
        <v>1709</v>
      </c>
      <c r="D51" s="1">
        <v>43412</v>
      </c>
    </row>
    <row r="52" spans="1:4" x14ac:dyDescent="0.25">
      <c r="A52" t="s">
        <v>4103</v>
      </c>
      <c r="B52" t="str">
        <f>MID(tbl_lock[[#This Row],[PACE Job Number]],3,3)</f>
        <v>NTX</v>
      </c>
      <c r="C52" t="s">
        <v>1709</v>
      </c>
      <c r="D52" s="1">
        <v>43413</v>
      </c>
    </row>
    <row r="53" spans="1:4" x14ac:dyDescent="0.25">
      <c r="A53" t="s">
        <v>3570</v>
      </c>
      <c r="B53" t="str">
        <f>MID(tbl_lock[[#This Row],[PACE Job Number]],3,3)</f>
        <v>NTX</v>
      </c>
      <c r="C53" t="s">
        <v>1709</v>
      </c>
      <c r="D53" s="1">
        <v>43406</v>
      </c>
    </row>
    <row r="54" spans="1:4" x14ac:dyDescent="0.25">
      <c r="A54" t="s">
        <v>4695</v>
      </c>
      <c r="B54" t="str">
        <f>MID(tbl_lock[[#This Row],[PACE Job Number]],3,3)</f>
        <v>NTX</v>
      </c>
      <c r="C54" t="s">
        <v>1709</v>
      </c>
      <c r="D54" s="1">
        <v>43412</v>
      </c>
    </row>
    <row r="55" spans="1:4" x14ac:dyDescent="0.25">
      <c r="A55" t="s">
        <v>3571</v>
      </c>
      <c r="B55" t="str">
        <f>MID(tbl_lock[[#This Row],[PACE Job Number]],3,3)</f>
        <v>NTX</v>
      </c>
      <c r="C55" t="s">
        <v>1709</v>
      </c>
      <c r="D55" s="1">
        <v>43406</v>
      </c>
    </row>
    <row r="56" spans="1:4" x14ac:dyDescent="0.25">
      <c r="A56" t="s">
        <v>4696</v>
      </c>
      <c r="B56" t="str">
        <f>MID(tbl_lock[[#This Row],[PACE Job Number]],3,3)</f>
        <v>NTX</v>
      </c>
      <c r="C56" t="s">
        <v>1709</v>
      </c>
      <c r="D56" s="1">
        <v>43415</v>
      </c>
    </row>
    <row r="57" spans="1:4" x14ac:dyDescent="0.25">
      <c r="A57" t="s">
        <v>4117</v>
      </c>
      <c r="B57" t="str">
        <f>MID(tbl_lock[[#This Row],[PACE Job Number]],3,3)</f>
        <v>WSH</v>
      </c>
      <c r="C57" t="s">
        <v>1709</v>
      </c>
      <c r="D57" s="1">
        <v>43406</v>
      </c>
    </row>
    <row r="58" spans="1:4" x14ac:dyDescent="0.25">
      <c r="A58" t="s">
        <v>3469</v>
      </c>
      <c r="B58" t="str">
        <f>MID(tbl_lock[[#This Row],[PACE Job Number]],3,3)</f>
        <v>STX</v>
      </c>
      <c r="C58" t="s">
        <v>1709</v>
      </c>
      <c r="D58" s="1">
        <v>43410</v>
      </c>
    </row>
    <row r="59" spans="1:4" x14ac:dyDescent="0.25">
      <c r="A59" t="s">
        <v>3625</v>
      </c>
      <c r="B59" t="str">
        <f>MID(tbl_lock[[#This Row],[PACE Job Number]],3,3)</f>
        <v>STX</v>
      </c>
      <c r="C59" t="s">
        <v>1709</v>
      </c>
      <c r="D59" s="1">
        <v>43410</v>
      </c>
    </row>
    <row r="60" spans="1:4" x14ac:dyDescent="0.25">
      <c r="A60" t="s">
        <v>3626</v>
      </c>
      <c r="B60" t="str">
        <f>MID(tbl_lock[[#This Row],[PACE Job Number]],3,3)</f>
        <v>STX</v>
      </c>
      <c r="C60" t="s">
        <v>1709</v>
      </c>
      <c r="D60" s="1">
        <v>43411</v>
      </c>
    </row>
    <row r="61" spans="1:4" x14ac:dyDescent="0.25">
      <c r="A61" t="s">
        <v>3627</v>
      </c>
      <c r="B61" t="str">
        <f>MID(tbl_lock[[#This Row],[PACE Job Number]],3,3)</f>
        <v>STX</v>
      </c>
      <c r="C61" t="s">
        <v>1709</v>
      </c>
      <c r="D61" s="1">
        <v>43411</v>
      </c>
    </row>
    <row r="62" spans="1:4" x14ac:dyDescent="0.25">
      <c r="A62" t="s">
        <v>3628</v>
      </c>
      <c r="B62" t="str">
        <f>MID(tbl_lock[[#This Row],[PACE Job Number]],3,3)</f>
        <v>STX</v>
      </c>
      <c r="C62" t="s">
        <v>1709</v>
      </c>
      <c r="D62" s="1">
        <v>43410</v>
      </c>
    </row>
    <row r="63" spans="1:4" x14ac:dyDescent="0.25">
      <c r="A63" t="s">
        <v>3629</v>
      </c>
      <c r="B63" t="str">
        <f>MID(tbl_lock[[#This Row],[PACE Job Number]],3,3)</f>
        <v>STX</v>
      </c>
      <c r="C63" t="s">
        <v>1709</v>
      </c>
      <c r="D63" s="1">
        <v>43413</v>
      </c>
    </row>
    <row r="64" spans="1:4" x14ac:dyDescent="0.25">
      <c r="A64" t="s">
        <v>3630</v>
      </c>
      <c r="B64" t="str">
        <f>MID(tbl_lock[[#This Row],[PACE Job Number]],3,3)</f>
        <v>STX</v>
      </c>
      <c r="C64" t="s">
        <v>1709</v>
      </c>
      <c r="D64" s="1">
        <v>43420</v>
      </c>
    </row>
    <row r="65" spans="1:4" x14ac:dyDescent="0.25">
      <c r="A65" t="s">
        <v>3631</v>
      </c>
      <c r="B65" t="str">
        <f>MID(tbl_lock[[#This Row],[PACE Job Number]],3,3)</f>
        <v>STX</v>
      </c>
      <c r="C65" t="s">
        <v>1709</v>
      </c>
      <c r="D65" s="1">
        <v>43406</v>
      </c>
    </row>
    <row r="66" spans="1:4" x14ac:dyDescent="0.25">
      <c r="A66" t="s">
        <v>3632</v>
      </c>
      <c r="B66" t="str">
        <f>MID(tbl_lock[[#This Row],[PACE Job Number]],3,3)</f>
        <v>STX</v>
      </c>
      <c r="C66" t="s">
        <v>1709</v>
      </c>
      <c r="D66" s="1">
        <v>43411</v>
      </c>
    </row>
    <row r="67" spans="1:4" x14ac:dyDescent="0.25">
      <c r="A67" t="s">
        <v>3633</v>
      </c>
      <c r="B67" t="str">
        <f>MID(tbl_lock[[#This Row],[PACE Job Number]],3,3)</f>
        <v>STX</v>
      </c>
      <c r="C67" t="s">
        <v>1709</v>
      </c>
      <c r="D67" s="1">
        <v>43413</v>
      </c>
    </row>
    <row r="68" spans="1:4" x14ac:dyDescent="0.25">
      <c r="A68" t="s">
        <v>3634</v>
      </c>
      <c r="B68" t="str">
        <f>MID(tbl_lock[[#This Row],[PACE Job Number]],3,3)</f>
        <v>STX</v>
      </c>
      <c r="C68" t="s">
        <v>1709</v>
      </c>
      <c r="D68" s="1">
        <v>43413</v>
      </c>
    </row>
    <row r="69" spans="1:4" x14ac:dyDescent="0.25">
      <c r="A69" t="s">
        <v>3635</v>
      </c>
      <c r="B69" t="str">
        <f>MID(tbl_lock[[#This Row],[PACE Job Number]],3,3)</f>
        <v>STX</v>
      </c>
      <c r="C69" t="s">
        <v>1709</v>
      </c>
      <c r="D69" s="1">
        <v>43411</v>
      </c>
    </row>
    <row r="70" spans="1:4" x14ac:dyDescent="0.25">
      <c r="A70" t="s">
        <v>3636</v>
      </c>
      <c r="B70" t="str">
        <f>MID(tbl_lock[[#This Row],[PACE Job Number]],3,3)</f>
        <v>STX</v>
      </c>
      <c r="C70" t="s">
        <v>1709</v>
      </c>
      <c r="D70" s="1">
        <v>43411</v>
      </c>
    </row>
    <row r="71" spans="1:4" x14ac:dyDescent="0.25">
      <c r="A71" t="s">
        <v>3637</v>
      </c>
      <c r="B71" t="str">
        <f>MID(tbl_lock[[#This Row],[PACE Job Number]],3,3)</f>
        <v>STX</v>
      </c>
      <c r="C71" t="s">
        <v>1709</v>
      </c>
      <c r="D71" s="1">
        <v>43405</v>
      </c>
    </row>
    <row r="72" spans="1:4" x14ac:dyDescent="0.25">
      <c r="A72" t="s">
        <v>3638</v>
      </c>
      <c r="B72" t="str">
        <f>MID(tbl_lock[[#This Row],[PACE Job Number]],3,3)</f>
        <v>STX</v>
      </c>
      <c r="C72" t="s">
        <v>1709</v>
      </c>
      <c r="D72" s="1">
        <v>43411</v>
      </c>
    </row>
    <row r="73" spans="1:4" x14ac:dyDescent="0.25">
      <c r="A73" t="s">
        <v>3639</v>
      </c>
      <c r="B73" t="str">
        <f>MID(tbl_lock[[#This Row],[PACE Job Number]],3,3)</f>
        <v>STX</v>
      </c>
      <c r="C73" t="s">
        <v>1709</v>
      </c>
      <c r="D73" s="1">
        <v>43413</v>
      </c>
    </row>
    <row r="74" spans="1:4" x14ac:dyDescent="0.25">
      <c r="A74" t="s">
        <v>3640</v>
      </c>
      <c r="B74" t="str">
        <f>MID(tbl_lock[[#This Row],[PACE Job Number]],3,3)</f>
        <v>STX</v>
      </c>
      <c r="C74" t="s">
        <v>1709</v>
      </c>
      <c r="D74" s="1">
        <v>43413</v>
      </c>
    </row>
    <row r="75" spans="1:4" x14ac:dyDescent="0.25">
      <c r="A75" t="s">
        <v>3641</v>
      </c>
      <c r="B75" t="str">
        <f>MID(tbl_lock[[#This Row],[PACE Job Number]],3,3)</f>
        <v>STX</v>
      </c>
      <c r="C75" t="s">
        <v>1709</v>
      </c>
      <c r="D75" s="1">
        <v>43413</v>
      </c>
    </row>
    <row r="76" spans="1:4" x14ac:dyDescent="0.25">
      <c r="A76" t="s">
        <v>3642</v>
      </c>
      <c r="B76" t="str">
        <f>MID(tbl_lock[[#This Row],[PACE Job Number]],3,3)</f>
        <v>STX</v>
      </c>
      <c r="C76" t="s">
        <v>1709</v>
      </c>
      <c r="D76" s="1">
        <v>43410</v>
      </c>
    </row>
    <row r="77" spans="1:4" x14ac:dyDescent="0.25">
      <c r="A77" t="s">
        <v>3643</v>
      </c>
      <c r="B77" t="str">
        <f>MID(tbl_lock[[#This Row],[PACE Job Number]],3,3)</f>
        <v>STX</v>
      </c>
      <c r="C77" t="s">
        <v>1709</v>
      </c>
      <c r="D77" s="1">
        <v>43413</v>
      </c>
    </row>
    <row r="78" spans="1:4" x14ac:dyDescent="0.25">
      <c r="A78" t="s">
        <v>3644</v>
      </c>
      <c r="B78" t="str">
        <f>MID(tbl_lock[[#This Row],[PACE Job Number]],3,3)</f>
        <v>STX</v>
      </c>
      <c r="C78" t="s">
        <v>1709</v>
      </c>
      <c r="D78" s="1">
        <v>43413</v>
      </c>
    </row>
    <row r="79" spans="1:4" x14ac:dyDescent="0.25">
      <c r="A79" t="s">
        <v>3645</v>
      </c>
      <c r="B79" t="str">
        <f>MID(tbl_lock[[#This Row],[PACE Job Number]],3,3)</f>
        <v>STX</v>
      </c>
      <c r="C79" t="s">
        <v>1709</v>
      </c>
      <c r="D79" s="1">
        <v>43410</v>
      </c>
    </row>
    <row r="80" spans="1:4" x14ac:dyDescent="0.25">
      <c r="A80" t="s">
        <v>3646</v>
      </c>
      <c r="B80" t="str">
        <f>MID(tbl_lock[[#This Row],[PACE Job Number]],3,3)</f>
        <v>STX</v>
      </c>
      <c r="C80" t="s">
        <v>1709</v>
      </c>
      <c r="D80" s="1">
        <v>43413</v>
      </c>
    </row>
    <row r="81" spans="1:4" x14ac:dyDescent="0.25">
      <c r="A81" t="s">
        <v>3647</v>
      </c>
      <c r="B81" t="str">
        <f>MID(tbl_lock[[#This Row],[PACE Job Number]],3,3)</f>
        <v>STX</v>
      </c>
      <c r="C81" t="s">
        <v>1709</v>
      </c>
      <c r="D81" s="1">
        <v>43411</v>
      </c>
    </row>
    <row r="82" spans="1:4" x14ac:dyDescent="0.25">
      <c r="A82" t="s">
        <v>3648</v>
      </c>
      <c r="B82" t="str">
        <f>MID(tbl_lock[[#This Row],[PACE Job Number]],3,3)</f>
        <v>STX</v>
      </c>
      <c r="C82" t="s">
        <v>1709</v>
      </c>
      <c r="D82" s="1">
        <v>43413</v>
      </c>
    </row>
    <row r="83" spans="1:4" x14ac:dyDescent="0.25">
      <c r="A83" t="s">
        <v>3554</v>
      </c>
      <c r="B83" t="str">
        <f>MID(tbl_lock[[#This Row],[PACE Job Number]],3,3)</f>
        <v>STX</v>
      </c>
      <c r="C83" t="s">
        <v>1709</v>
      </c>
      <c r="D83" s="1">
        <v>43410</v>
      </c>
    </row>
    <row r="84" spans="1:4" x14ac:dyDescent="0.25">
      <c r="A84" t="s">
        <v>3649</v>
      </c>
      <c r="B84" t="str">
        <f>MID(tbl_lock[[#This Row],[PACE Job Number]],3,3)</f>
        <v>STX</v>
      </c>
      <c r="C84" t="s">
        <v>1709</v>
      </c>
      <c r="D84" s="1">
        <v>43411</v>
      </c>
    </row>
    <row r="85" spans="1:4" x14ac:dyDescent="0.25">
      <c r="A85" t="s">
        <v>3650</v>
      </c>
      <c r="B85" t="str">
        <f>MID(tbl_lock[[#This Row],[PACE Job Number]],3,3)</f>
        <v>STX</v>
      </c>
      <c r="C85" t="s">
        <v>1709</v>
      </c>
      <c r="D85" s="1">
        <v>43411</v>
      </c>
    </row>
    <row r="86" spans="1:4" x14ac:dyDescent="0.25">
      <c r="A86" t="s">
        <v>3651</v>
      </c>
      <c r="B86" t="str">
        <f>MID(tbl_lock[[#This Row],[PACE Job Number]],3,3)</f>
        <v>STX</v>
      </c>
      <c r="C86" t="s">
        <v>1709</v>
      </c>
      <c r="D86" s="1">
        <v>43410</v>
      </c>
    </row>
    <row r="87" spans="1:4" x14ac:dyDescent="0.25">
      <c r="A87" t="s">
        <v>3652</v>
      </c>
      <c r="B87" t="str">
        <f>MID(tbl_lock[[#This Row],[PACE Job Number]],3,3)</f>
        <v>STX</v>
      </c>
      <c r="C87" t="s">
        <v>1709</v>
      </c>
      <c r="D87" s="1">
        <v>43410</v>
      </c>
    </row>
    <row r="88" spans="1:4" x14ac:dyDescent="0.25">
      <c r="A88" t="s">
        <v>3653</v>
      </c>
      <c r="B88" t="str">
        <f>MID(tbl_lock[[#This Row],[PACE Job Number]],3,3)</f>
        <v>STX</v>
      </c>
      <c r="C88" t="s">
        <v>1709</v>
      </c>
      <c r="D88" s="1">
        <v>43410</v>
      </c>
    </row>
    <row r="89" spans="1:4" x14ac:dyDescent="0.25">
      <c r="A89" t="s">
        <v>3655</v>
      </c>
      <c r="B89" t="str">
        <f>MID(tbl_lock[[#This Row],[PACE Job Number]],3,3)</f>
        <v>STX</v>
      </c>
      <c r="C89" t="s">
        <v>1709</v>
      </c>
      <c r="D89" s="1">
        <v>43410</v>
      </c>
    </row>
    <row r="90" spans="1:4" x14ac:dyDescent="0.25">
      <c r="A90" t="s">
        <v>3656</v>
      </c>
      <c r="B90" t="str">
        <f>MID(tbl_lock[[#This Row],[PACE Job Number]],3,3)</f>
        <v>STX</v>
      </c>
      <c r="C90" t="s">
        <v>1709</v>
      </c>
      <c r="D90" s="1">
        <v>43410</v>
      </c>
    </row>
    <row r="91" spans="1:4" x14ac:dyDescent="0.25">
      <c r="A91" t="s">
        <v>3657</v>
      </c>
      <c r="B91" t="str">
        <f>MID(tbl_lock[[#This Row],[PACE Job Number]],3,3)</f>
        <v>STX</v>
      </c>
      <c r="C91" t="s">
        <v>1709</v>
      </c>
      <c r="D91" s="1">
        <v>43418</v>
      </c>
    </row>
    <row r="92" spans="1:4" x14ac:dyDescent="0.25">
      <c r="A92" t="s">
        <v>3658</v>
      </c>
      <c r="B92" t="str">
        <f>MID(tbl_lock[[#This Row],[PACE Job Number]],3,3)</f>
        <v>STX</v>
      </c>
      <c r="C92" t="s">
        <v>1709</v>
      </c>
      <c r="D92" s="1">
        <v>43411</v>
      </c>
    </row>
    <row r="93" spans="1:4" x14ac:dyDescent="0.25">
      <c r="A93" t="s">
        <v>3659</v>
      </c>
      <c r="B93" t="str">
        <f>MID(tbl_lock[[#This Row],[PACE Job Number]],3,3)</f>
        <v>STX</v>
      </c>
      <c r="C93" t="s">
        <v>1709</v>
      </c>
      <c r="D93" s="1">
        <v>43413</v>
      </c>
    </row>
    <row r="94" spans="1:4" x14ac:dyDescent="0.25">
      <c r="A94" t="s">
        <v>4063</v>
      </c>
      <c r="B94" t="str">
        <f>MID(tbl_lock[[#This Row],[PACE Job Number]],3,3)</f>
        <v>STX</v>
      </c>
      <c r="C94" t="s">
        <v>1709</v>
      </c>
      <c r="D94" s="1">
        <v>43413</v>
      </c>
    </row>
    <row r="95" spans="1:4" x14ac:dyDescent="0.25">
      <c r="A95" t="s">
        <v>3660</v>
      </c>
      <c r="B95" t="str">
        <f>MID(tbl_lock[[#This Row],[PACE Job Number]],3,3)</f>
        <v>STX</v>
      </c>
      <c r="C95" t="s">
        <v>1709</v>
      </c>
      <c r="D95" s="1">
        <v>43410</v>
      </c>
    </row>
    <row r="96" spans="1:4" x14ac:dyDescent="0.25">
      <c r="A96" t="s">
        <v>3661</v>
      </c>
      <c r="B96" t="str">
        <f>MID(tbl_lock[[#This Row],[PACE Job Number]],3,3)</f>
        <v>STX</v>
      </c>
      <c r="C96" t="s">
        <v>1709</v>
      </c>
      <c r="D96" s="1">
        <v>43411</v>
      </c>
    </row>
    <row r="97" spans="1:4" x14ac:dyDescent="0.25">
      <c r="A97" t="s">
        <v>3662</v>
      </c>
      <c r="B97" t="str">
        <f>MID(tbl_lock[[#This Row],[PACE Job Number]],3,3)</f>
        <v>STX</v>
      </c>
      <c r="C97" t="s">
        <v>1709</v>
      </c>
      <c r="D97" s="1">
        <v>43411</v>
      </c>
    </row>
    <row r="98" spans="1:4" x14ac:dyDescent="0.25">
      <c r="A98" t="s">
        <v>3663</v>
      </c>
      <c r="B98" t="str">
        <f>MID(tbl_lock[[#This Row],[PACE Job Number]],3,3)</f>
        <v>STX</v>
      </c>
      <c r="C98" t="s">
        <v>1709</v>
      </c>
      <c r="D98" s="1">
        <v>43411</v>
      </c>
    </row>
    <row r="99" spans="1:4" x14ac:dyDescent="0.25">
      <c r="A99" t="s">
        <v>4118</v>
      </c>
      <c r="B99" t="str">
        <f>MID(tbl_lock[[#This Row],[PACE Job Number]],3,3)</f>
        <v>WSH</v>
      </c>
      <c r="C99" t="s">
        <v>1709</v>
      </c>
      <c r="D99" s="1">
        <v>43406</v>
      </c>
    </row>
    <row r="100" spans="1:4" x14ac:dyDescent="0.25">
      <c r="A100" t="s">
        <v>3665</v>
      </c>
      <c r="B100" t="str">
        <f>MID(tbl_lock[[#This Row],[PACE Job Number]],3,3)</f>
        <v>STX</v>
      </c>
      <c r="C100" t="s">
        <v>1709</v>
      </c>
      <c r="D100" s="1">
        <v>43413</v>
      </c>
    </row>
    <row r="101" spans="1:4" x14ac:dyDescent="0.25">
      <c r="A101" t="s">
        <v>3666</v>
      </c>
      <c r="B101" t="str">
        <f>MID(tbl_lock[[#This Row],[PACE Job Number]],3,3)</f>
        <v>STX</v>
      </c>
      <c r="C101" t="s">
        <v>1709</v>
      </c>
      <c r="D101" s="1">
        <v>43413</v>
      </c>
    </row>
    <row r="102" spans="1:4" x14ac:dyDescent="0.25">
      <c r="A102" t="s">
        <v>3667</v>
      </c>
      <c r="B102" t="str">
        <f>MID(tbl_lock[[#This Row],[PACE Job Number]],3,3)</f>
        <v>STX</v>
      </c>
      <c r="C102" t="s">
        <v>1709</v>
      </c>
      <c r="D102" s="1">
        <v>43412</v>
      </c>
    </row>
    <row r="103" spans="1:4" x14ac:dyDescent="0.25">
      <c r="A103" t="s">
        <v>3668</v>
      </c>
      <c r="B103" t="str">
        <f>MID(tbl_lock[[#This Row],[PACE Job Number]],3,3)</f>
        <v>STX</v>
      </c>
      <c r="C103" t="s">
        <v>1709</v>
      </c>
      <c r="D103" s="1">
        <v>43410</v>
      </c>
    </row>
    <row r="104" spans="1:4" x14ac:dyDescent="0.25">
      <c r="A104" t="s">
        <v>3669</v>
      </c>
      <c r="B104" t="str">
        <f>MID(tbl_lock[[#This Row],[PACE Job Number]],3,3)</f>
        <v>STX</v>
      </c>
      <c r="C104" t="s">
        <v>1709</v>
      </c>
      <c r="D104" s="1">
        <v>43418</v>
      </c>
    </row>
    <row r="105" spans="1:4" x14ac:dyDescent="0.25">
      <c r="A105" t="s">
        <v>3670</v>
      </c>
      <c r="B105" t="str">
        <f>MID(tbl_lock[[#This Row],[PACE Job Number]],3,3)</f>
        <v>STX</v>
      </c>
      <c r="C105" t="s">
        <v>1709</v>
      </c>
      <c r="D105" s="1">
        <v>43418</v>
      </c>
    </row>
    <row r="106" spans="1:4" x14ac:dyDescent="0.25">
      <c r="A106" t="s">
        <v>4104</v>
      </c>
      <c r="B106" t="str">
        <f>MID(tbl_lock[[#This Row],[PACE Job Number]],3,3)</f>
        <v>STX</v>
      </c>
      <c r="C106" t="s">
        <v>1709</v>
      </c>
      <c r="D106" s="1">
        <v>43410</v>
      </c>
    </row>
    <row r="107" spans="1:4" x14ac:dyDescent="0.25">
      <c r="A107" t="s">
        <v>3671</v>
      </c>
      <c r="B107" t="str">
        <f>MID(tbl_lock[[#This Row],[PACE Job Number]],3,3)</f>
        <v>STX</v>
      </c>
      <c r="C107" t="s">
        <v>1709</v>
      </c>
      <c r="D107" s="1">
        <v>43413</v>
      </c>
    </row>
    <row r="108" spans="1:4" x14ac:dyDescent="0.25">
      <c r="A108" t="s">
        <v>3672</v>
      </c>
      <c r="B108" t="str">
        <f>MID(tbl_lock[[#This Row],[PACE Job Number]],3,3)</f>
        <v>STX</v>
      </c>
      <c r="C108" t="s">
        <v>1709</v>
      </c>
      <c r="D108" s="1">
        <v>43410</v>
      </c>
    </row>
    <row r="109" spans="1:4" x14ac:dyDescent="0.25">
      <c r="A109" t="s">
        <v>3673</v>
      </c>
      <c r="B109" t="str">
        <f>MID(tbl_lock[[#This Row],[PACE Job Number]],3,3)</f>
        <v>STX</v>
      </c>
      <c r="C109" t="s">
        <v>1709</v>
      </c>
      <c r="D109" s="1">
        <v>43411</v>
      </c>
    </row>
    <row r="110" spans="1:4" x14ac:dyDescent="0.25">
      <c r="A110" t="s">
        <v>3674</v>
      </c>
      <c r="B110" t="str">
        <f>MID(tbl_lock[[#This Row],[PACE Job Number]],3,3)</f>
        <v>STX</v>
      </c>
      <c r="C110" t="s">
        <v>1709</v>
      </c>
      <c r="D110" s="1">
        <v>43411</v>
      </c>
    </row>
    <row r="111" spans="1:4" x14ac:dyDescent="0.25">
      <c r="A111" t="s">
        <v>3675</v>
      </c>
      <c r="B111" t="str">
        <f>MID(tbl_lock[[#This Row],[PACE Job Number]],3,3)</f>
        <v>STX</v>
      </c>
      <c r="C111" t="s">
        <v>1709</v>
      </c>
      <c r="D111" s="1">
        <v>43413</v>
      </c>
    </row>
    <row r="112" spans="1:4" x14ac:dyDescent="0.25">
      <c r="A112" t="s">
        <v>4064</v>
      </c>
      <c r="B112" t="str">
        <f>MID(tbl_lock[[#This Row],[PACE Job Number]],3,3)</f>
        <v>STX</v>
      </c>
      <c r="C112" t="s">
        <v>1709</v>
      </c>
      <c r="D112" s="1">
        <v>43413</v>
      </c>
    </row>
    <row r="113" spans="1:4" x14ac:dyDescent="0.25">
      <c r="A113" t="s">
        <v>4065</v>
      </c>
      <c r="B113" t="str">
        <f>MID(tbl_lock[[#This Row],[PACE Job Number]],3,3)</f>
        <v>STX</v>
      </c>
      <c r="C113" t="s">
        <v>1709</v>
      </c>
      <c r="D113" s="1">
        <v>43413</v>
      </c>
    </row>
    <row r="114" spans="1:4" x14ac:dyDescent="0.25">
      <c r="A114" t="s">
        <v>4697</v>
      </c>
      <c r="B114" t="str">
        <f>MID(tbl_lock[[#This Row],[PACE Job Number]],3,3)</f>
        <v>NTX</v>
      </c>
      <c r="C114" t="s">
        <v>1709</v>
      </c>
      <c r="D114" s="1">
        <v>43427</v>
      </c>
    </row>
    <row r="115" spans="1:4" x14ac:dyDescent="0.25">
      <c r="A115" t="s">
        <v>4698</v>
      </c>
      <c r="B115" t="str">
        <f>MID(tbl_lock[[#This Row],[PACE Job Number]],3,3)</f>
        <v>NTX</v>
      </c>
      <c r="C115" t="s">
        <v>1709</v>
      </c>
      <c r="D115" s="1">
        <v>43434</v>
      </c>
    </row>
    <row r="116" spans="1:4" x14ac:dyDescent="0.25">
      <c r="A116" t="s">
        <v>4699</v>
      </c>
      <c r="B116" t="str">
        <f>MID(tbl_lock[[#This Row],[PACE Job Number]],3,3)</f>
        <v>NTX</v>
      </c>
      <c r="C116" t="s">
        <v>1709</v>
      </c>
      <c r="D116" s="1">
        <v>43427</v>
      </c>
    </row>
    <row r="117" spans="1:4" x14ac:dyDescent="0.25">
      <c r="A117" t="s">
        <v>4700</v>
      </c>
      <c r="B117" t="str">
        <f>MID(tbl_lock[[#This Row],[PACE Job Number]],3,3)</f>
        <v>NTX</v>
      </c>
      <c r="C117" t="s">
        <v>1709</v>
      </c>
      <c r="D117" s="1">
        <v>43434</v>
      </c>
    </row>
    <row r="118" spans="1:4" x14ac:dyDescent="0.25">
      <c r="A118" t="s">
        <v>4701</v>
      </c>
      <c r="B118" t="str">
        <f>MID(tbl_lock[[#This Row],[PACE Job Number]],3,3)</f>
        <v>NTX</v>
      </c>
      <c r="C118" t="s">
        <v>1709</v>
      </c>
      <c r="D118" s="1">
        <v>43427</v>
      </c>
    </row>
    <row r="119" spans="1:4" x14ac:dyDescent="0.25">
      <c r="A119" t="s">
        <v>4702</v>
      </c>
      <c r="B119" t="str">
        <f>MID(tbl_lock[[#This Row],[PACE Job Number]],3,3)</f>
        <v>NTX</v>
      </c>
      <c r="C119" t="s">
        <v>1709</v>
      </c>
      <c r="D119" s="1">
        <v>43427</v>
      </c>
    </row>
    <row r="120" spans="1:4" x14ac:dyDescent="0.25">
      <c r="A120" t="s">
        <v>4703</v>
      </c>
      <c r="B120" t="str">
        <f>MID(tbl_lock[[#This Row],[PACE Job Number]],3,3)</f>
        <v>NTX</v>
      </c>
      <c r="C120" t="s">
        <v>1709</v>
      </c>
      <c r="D120" s="1">
        <v>43434</v>
      </c>
    </row>
    <row r="121" spans="1:4" x14ac:dyDescent="0.25">
      <c r="A121" t="s">
        <v>4704</v>
      </c>
      <c r="B121" t="str">
        <f>MID(tbl_lock[[#This Row],[PACE Job Number]],3,3)</f>
        <v>NTX</v>
      </c>
      <c r="C121" t="s">
        <v>1709</v>
      </c>
      <c r="D121" s="1">
        <v>43434</v>
      </c>
    </row>
    <row r="122" spans="1:4" x14ac:dyDescent="0.25">
      <c r="A122" t="s">
        <v>4705</v>
      </c>
      <c r="B122" t="str">
        <f>MID(tbl_lock[[#This Row],[PACE Job Number]],3,3)</f>
        <v>NTX</v>
      </c>
      <c r="C122" t="s">
        <v>1709</v>
      </c>
      <c r="D122" s="1">
        <v>43434</v>
      </c>
    </row>
    <row r="123" spans="1:4" x14ac:dyDescent="0.25">
      <c r="A123" t="s">
        <v>4706</v>
      </c>
      <c r="B123" t="str">
        <f>MID(tbl_lock[[#This Row],[PACE Job Number]],3,3)</f>
        <v>NTX</v>
      </c>
      <c r="C123" t="s">
        <v>1709</v>
      </c>
      <c r="D123" s="1">
        <v>43427</v>
      </c>
    </row>
    <row r="124" spans="1:4" x14ac:dyDescent="0.25">
      <c r="A124" t="s">
        <v>4707</v>
      </c>
      <c r="B124" t="str">
        <f>MID(tbl_lock[[#This Row],[PACE Job Number]],3,3)</f>
        <v>NTX</v>
      </c>
      <c r="C124" t="s">
        <v>1709</v>
      </c>
      <c r="D124" s="1">
        <v>43434</v>
      </c>
    </row>
    <row r="125" spans="1:4" x14ac:dyDescent="0.25">
      <c r="A125" t="s">
        <v>4708</v>
      </c>
      <c r="B125" t="str">
        <f>MID(tbl_lock[[#This Row],[PACE Job Number]],3,3)</f>
        <v>NTX</v>
      </c>
      <c r="C125" t="s">
        <v>1709</v>
      </c>
      <c r="D125" s="1">
        <v>43434</v>
      </c>
    </row>
    <row r="126" spans="1:4" x14ac:dyDescent="0.25">
      <c r="A126" t="s">
        <v>4709</v>
      </c>
      <c r="B126" t="str">
        <f>MID(tbl_lock[[#This Row],[PACE Job Number]],3,3)</f>
        <v>STX</v>
      </c>
      <c r="C126" t="s">
        <v>1709</v>
      </c>
      <c r="D126" s="1">
        <v>43410</v>
      </c>
    </row>
    <row r="127" spans="1:4" x14ac:dyDescent="0.25">
      <c r="A127" t="s">
        <v>4079</v>
      </c>
      <c r="B127" t="str">
        <f>MID(tbl_lock[[#This Row],[PACE Job Number]],3,3)</f>
        <v>STX</v>
      </c>
      <c r="C127" t="s">
        <v>1709</v>
      </c>
      <c r="D127" s="1">
        <v>43406</v>
      </c>
    </row>
    <row r="128" spans="1:4" x14ac:dyDescent="0.25">
      <c r="A128" t="s">
        <v>4080</v>
      </c>
      <c r="B128" t="str">
        <f>MID(tbl_lock[[#This Row],[PACE Job Number]],3,3)</f>
        <v>STX</v>
      </c>
      <c r="C128" t="s">
        <v>1709</v>
      </c>
      <c r="D128" s="1">
        <v>43413</v>
      </c>
    </row>
    <row r="129" spans="1:4" x14ac:dyDescent="0.25">
      <c r="A129" t="s">
        <v>4116</v>
      </c>
      <c r="B129" t="str">
        <f>MID(tbl_lock[[#This Row],[PACE Job Number]],3,3)</f>
        <v>STX</v>
      </c>
      <c r="C129" t="s">
        <v>1709</v>
      </c>
      <c r="D129" s="1">
        <v>43410</v>
      </c>
    </row>
    <row r="130" spans="1:4" x14ac:dyDescent="0.25">
      <c r="A130" t="s">
        <v>4710</v>
      </c>
      <c r="B130" t="str">
        <f>MID(tbl_lock[[#This Row],[PACE Job Number]],3,3)</f>
        <v>NTX</v>
      </c>
      <c r="C130" t="s">
        <v>1709</v>
      </c>
      <c r="D130" s="1">
        <v>43406</v>
      </c>
    </row>
    <row r="131" spans="1:4" x14ac:dyDescent="0.25">
      <c r="A131" t="s">
        <v>4711</v>
      </c>
      <c r="B131" t="str">
        <f>MID(tbl_lock[[#This Row],[PACE Job Number]],3,3)</f>
        <v>NTX</v>
      </c>
      <c r="C131" t="s">
        <v>1709</v>
      </c>
      <c r="D131" s="1">
        <v>43412</v>
      </c>
    </row>
    <row r="132" spans="1:4" x14ac:dyDescent="0.25">
      <c r="A132" t="s">
        <v>4712</v>
      </c>
      <c r="B132" t="str">
        <f>MID(tbl_lock[[#This Row],[PACE Job Number]],3,3)</f>
        <v>NTX</v>
      </c>
      <c r="C132" t="s">
        <v>1709</v>
      </c>
      <c r="D132" s="1">
        <v>43406</v>
      </c>
    </row>
    <row r="133" spans="1:4" x14ac:dyDescent="0.25">
      <c r="A133" t="s">
        <v>4713</v>
      </c>
      <c r="B133" t="str">
        <f>MID(tbl_lock[[#This Row],[PACE Job Number]],3,3)</f>
        <v>NTX</v>
      </c>
      <c r="C133" t="s">
        <v>1709</v>
      </c>
      <c r="D133" s="1">
        <v>43406</v>
      </c>
    </row>
    <row r="134" spans="1:4" x14ac:dyDescent="0.25">
      <c r="A134" t="s">
        <v>4714</v>
      </c>
      <c r="B134" t="str">
        <f>MID(tbl_lock[[#This Row],[PACE Job Number]],3,3)</f>
        <v>NTX</v>
      </c>
      <c r="C134" t="s">
        <v>1709</v>
      </c>
      <c r="D134" s="1">
        <v>43406</v>
      </c>
    </row>
    <row r="135" spans="1:4" x14ac:dyDescent="0.25">
      <c r="A135" t="s">
        <v>4715</v>
      </c>
      <c r="B135" t="str">
        <f>MID(tbl_lock[[#This Row],[PACE Job Number]],3,3)</f>
        <v>NTX</v>
      </c>
      <c r="C135" t="s">
        <v>1709</v>
      </c>
      <c r="D135" s="1">
        <v>43406</v>
      </c>
    </row>
    <row r="136" spans="1:4" x14ac:dyDescent="0.25">
      <c r="A136" t="s">
        <v>4716</v>
      </c>
      <c r="B136" t="str">
        <f>MID(tbl_lock[[#This Row],[PACE Job Number]],3,3)</f>
        <v>NTX</v>
      </c>
      <c r="C136" t="s">
        <v>1709</v>
      </c>
      <c r="D136" s="1">
        <v>43420</v>
      </c>
    </row>
    <row r="137" spans="1:4" x14ac:dyDescent="0.25">
      <c r="A137" t="s">
        <v>4717</v>
      </c>
      <c r="B137" t="str">
        <f>MID(tbl_lock[[#This Row],[PACE Job Number]],3,3)</f>
        <v>NTX</v>
      </c>
      <c r="C137" t="s">
        <v>1709</v>
      </c>
      <c r="D137" s="1">
        <v>43412</v>
      </c>
    </row>
    <row r="138" spans="1:4" x14ac:dyDescent="0.25">
      <c r="A138" t="s">
        <v>4105</v>
      </c>
      <c r="B138" t="str">
        <f>MID(tbl_lock[[#This Row],[PACE Job Number]],3,3)</f>
        <v>NTX</v>
      </c>
      <c r="C138" t="s">
        <v>1709</v>
      </c>
      <c r="D138" s="1">
        <v>43420</v>
      </c>
    </row>
    <row r="139" spans="1:4" x14ac:dyDescent="0.25">
      <c r="A139" t="s">
        <v>4718</v>
      </c>
      <c r="B139" t="str">
        <f>MID(tbl_lock[[#This Row],[PACE Job Number]],3,3)</f>
        <v>NTX</v>
      </c>
      <c r="C139" t="s">
        <v>1709</v>
      </c>
      <c r="D139" s="1">
        <v>43406</v>
      </c>
    </row>
    <row r="140" spans="1:4" x14ac:dyDescent="0.25">
      <c r="A140" t="s">
        <v>4719</v>
      </c>
      <c r="B140" t="str">
        <f>MID(tbl_lock[[#This Row],[PACE Job Number]],3,3)</f>
        <v>NTX</v>
      </c>
      <c r="C140" t="s">
        <v>1709</v>
      </c>
      <c r="D140" s="1">
        <v>43412</v>
      </c>
    </row>
    <row r="141" spans="1:4" x14ac:dyDescent="0.25">
      <c r="A141" t="s">
        <v>4720</v>
      </c>
      <c r="B141" t="str">
        <f>MID(tbl_lock[[#This Row],[PACE Job Number]],3,3)</f>
        <v>NTX</v>
      </c>
      <c r="C141" t="s">
        <v>1709</v>
      </c>
      <c r="D141" s="1">
        <v>43420</v>
      </c>
    </row>
    <row r="142" spans="1:4" x14ac:dyDescent="0.25">
      <c r="A142" t="s">
        <v>4721</v>
      </c>
      <c r="B142" t="str">
        <f>MID(tbl_lock[[#This Row],[PACE Job Number]],3,3)</f>
        <v>NTX</v>
      </c>
      <c r="C142" t="s">
        <v>1709</v>
      </c>
      <c r="D142" s="1">
        <v>43406</v>
      </c>
    </row>
    <row r="143" spans="1:4" x14ac:dyDescent="0.25">
      <c r="A143" t="s">
        <v>3578</v>
      </c>
      <c r="B143" t="str">
        <f>MID(tbl_lock[[#This Row],[PACE Job Number]],3,3)</f>
        <v>NTX</v>
      </c>
      <c r="C143" t="s">
        <v>1709</v>
      </c>
      <c r="D143" s="1">
        <v>43412</v>
      </c>
    </row>
    <row r="144" spans="1:4" x14ac:dyDescent="0.25">
      <c r="A144" t="s">
        <v>4722</v>
      </c>
      <c r="B144" t="str">
        <f>MID(tbl_lock[[#This Row],[PACE Job Number]],3,3)</f>
        <v>NTX</v>
      </c>
      <c r="C144" t="s">
        <v>1709</v>
      </c>
      <c r="D144" s="1">
        <v>43420</v>
      </c>
    </row>
    <row r="145" spans="1:4" x14ac:dyDescent="0.25">
      <c r="A145" t="s">
        <v>4106</v>
      </c>
      <c r="B145" t="str">
        <f>MID(tbl_lock[[#This Row],[PACE Job Number]],3,3)</f>
        <v>NTX</v>
      </c>
      <c r="C145" t="s">
        <v>1709</v>
      </c>
      <c r="D145" s="1">
        <v>43420</v>
      </c>
    </row>
    <row r="146" spans="1:4" x14ac:dyDescent="0.25">
      <c r="A146" t="s">
        <v>3579</v>
      </c>
      <c r="B146" t="str">
        <f>MID(tbl_lock[[#This Row],[PACE Job Number]],3,3)</f>
        <v>NTX</v>
      </c>
      <c r="C146" t="s">
        <v>1709</v>
      </c>
      <c r="D146" s="1">
        <v>43412</v>
      </c>
    </row>
    <row r="147" spans="1:4" x14ac:dyDescent="0.25">
      <c r="A147" t="s">
        <v>4723</v>
      </c>
      <c r="B147" t="str">
        <f>MID(tbl_lock[[#This Row],[PACE Job Number]],3,3)</f>
        <v>NTX</v>
      </c>
      <c r="C147" t="s">
        <v>1709</v>
      </c>
      <c r="D147" s="1">
        <v>43420</v>
      </c>
    </row>
    <row r="148" spans="1:4" x14ac:dyDescent="0.25">
      <c r="A148" t="s">
        <v>4066</v>
      </c>
      <c r="B148" t="str">
        <f>MID(tbl_lock[[#This Row],[PACE Job Number]],3,3)</f>
        <v>STX</v>
      </c>
      <c r="C148" t="s">
        <v>1709</v>
      </c>
      <c r="D148" s="1">
        <v>43413</v>
      </c>
    </row>
    <row r="149" spans="1:4" x14ac:dyDescent="0.25">
      <c r="A149" t="s">
        <v>3676</v>
      </c>
      <c r="B149" t="str">
        <f>MID(tbl_lock[[#This Row],[PACE Job Number]],3,3)</f>
        <v>STX</v>
      </c>
      <c r="C149" t="s">
        <v>1709</v>
      </c>
      <c r="D149" s="1">
        <v>43418</v>
      </c>
    </row>
    <row r="150" spans="1:4" x14ac:dyDescent="0.25">
      <c r="A150" t="s">
        <v>3677</v>
      </c>
      <c r="B150" t="str">
        <f>MID(tbl_lock[[#This Row],[PACE Job Number]],3,3)</f>
        <v>STX</v>
      </c>
      <c r="C150" t="s">
        <v>1709</v>
      </c>
      <c r="D150" s="1">
        <v>43411</v>
      </c>
    </row>
    <row r="151" spans="1:4" x14ac:dyDescent="0.25">
      <c r="A151" t="s">
        <v>3678</v>
      </c>
      <c r="B151" t="str">
        <f>MID(tbl_lock[[#This Row],[PACE Job Number]],3,3)</f>
        <v>STX</v>
      </c>
      <c r="C151" t="s">
        <v>1709</v>
      </c>
      <c r="D151" s="1">
        <v>43411</v>
      </c>
    </row>
    <row r="152" spans="1:4" x14ac:dyDescent="0.25">
      <c r="A152" t="s">
        <v>3679</v>
      </c>
      <c r="B152" t="str">
        <f>MID(tbl_lock[[#This Row],[PACE Job Number]],3,3)</f>
        <v>STX</v>
      </c>
      <c r="C152" t="s">
        <v>1709</v>
      </c>
      <c r="D152" s="1">
        <v>43410</v>
      </c>
    </row>
    <row r="153" spans="1:4" x14ac:dyDescent="0.25">
      <c r="A153" t="s">
        <v>3680</v>
      </c>
      <c r="B153" t="str">
        <f>MID(tbl_lock[[#This Row],[PACE Job Number]],3,3)</f>
        <v>STX</v>
      </c>
      <c r="C153" t="s">
        <v>1709</v>
      </c>
      <c r="D153" s="1">
        <v>43411</v>
      </c>
    </row>
    <row r="154" spans="1:4" x14ac:dyDescent="0.25">
      <c r="A154" t="s">
        <v>3681</v>
      </c>
      <c r="B154" t="str">
        <f>MID(tbl_lock[[#This Row],[PACE Job Number]],3,3)</f>
        <v>STX</v>
      </c>
      <c r="C154" t="s">
        <v>1709</v>
      </c>
      <c r="D154" s="1">
        <v>43413</v>
      </c>
    </row>
    <row r="155" spans="1:4" x14ac:dyDescent="0.25">
      <c r="A155" t="s">
        <v>3682</v>
      </c>
      <c r="B155" t="str">
        <f>MID(tbl_lock[[#This Row],[PACE Job Number]],3,3)</f>
        <v>STX</v>
      </c>
      <c r="C155" t="s">
        <v>1709</v>
      </c>
      <c r="D155" s="1">
        <v>43411</v>
      </c>
    </row>
    <row r="156" spans="1:4" x14ac:dyDescent="0.25">
      <c r="A156" t="s">
        <v>4067</v>
      </c>
      <c r="B156" t="str">
        <f>MID(tbl_lock[[#This Row],[PACE Job Number]],3,3)</f>
        <v>STX</v>
      </c>
      <c r="C156" t="s">
        <v>1709</v>
      </c>
      <c r="D156" s="1">
        <v>43413</v>
      </c>
    </row>
    <row r="157" spans="1:4" x14ac:dyDescent="0.25">
      <c r="A157" t="s">
        <v>4107</v>
      </c>
      <c r="B157" t="str">
        <f>MID(tbl_lock[[#This Row],[PACE Job Number]],3,3)</f>
        <v>STX</v>
      </c>
      <c r="C157" t="s">
        <v>1709</v>
      </c>
      <c r="D157" s="1">
        <v>43410</v>
      </c>
    </row>
    <row r="158" spans="1:4" x14ac:dyDescent="0.25">
      <c r="A158" t="s">
        <v>3683</v>
      </c>
      <c r="B158" t="str">
        <f>MID(tbl_lock[[#This Row],[PACE Job Number]],3,3)</f>
        <v>STX</v>
      </c>
      <c r="C158" t="s">
        <v>1709</v>
      </c>
      <c r="D158" s="1">
        <v>43411</v>
      </c>
    </row>
    <row r="159" spans="1:4" x14ac:dyDescent="0.25">
      <c r="A159" t="s">
        <v>3684</v>
      </c>
      <c r="B159" t="str">
        <f>MID(tbl_lock[[#This Row],[PACE Job Number]],3,3)</f>
        <v>STX</v>
      </c>
      <c r="C159" t="s">
        <v>1709</v>
      </c>
      <c r="D159" s="1">
        <v>43411</v>
      </c>
    </row>
    <row r="160" spans="1:4" x14ac:dyDescent="0.25">
      <c r="A160" t="s">
        <v>3685</v>
      </c>
      <c r="B160" t="str">
        <f>MID(tbl_lock[[#This Row],[PACE Job Number]],3,3)</f>
        <v>STX</v>
      </c>
      <c r="C160" t="s">
        <v>1709</v>
      </c>
      <c r="D160" s="1">
        <v>43413</v>
      </c>
    </row>
    <row r="161" spans="1:4" x14ac:dyDescent="0.25">
      <c r="A161" t="s">
        <v>3689</v>
      </c>
      <c r="B161" t="str">
        <f>MID(tbl_lock[[#This Row],[PACE Job Number]],3,3)</f>
        <v>STX</v>
      </c>
      <c r="C161" t="s">
        <v>1709</v>
      </c>
      <c r="D161" s="1">
        <v>43410</v>
      </c>
    </row>
    <row r="162" spans="1:4" x14ac:dyDescent="0.25">
      <c r="A162" t="s">
        <v>3690</v>
      </c>
      <c r="B162" t="str">
        <f>MID(tbl_lock[[#This Row],[PACE Job Number]],3,3)</f>
        <v>STX</v>
      </c>
      <c r="C162" t="s">
        <v>1709</v>
      </c>
      <c r="D162" s="1">
        <v>43410</v>
      </c>
    </row>
    <row r="163" spans="1:4" x14ac:dyDescent="0.25">
      <c r="A163" t="s">
        <v>3557</v>
      </c>
      <c r="B163" t="str">
        <f>MID(tbl_lock[[#This Row],[PACE Job Number]],3,3)</f>
        <v>STX</v>
      </c>
      <c r="C163" t="s">
        <v>1709</v>
      </c>
      <c r="D163" s="1">
        <v>43410</v>
      </c>
    </row>
    <row r="164" spans="1:4" x14ac:dyDescent="0.25">
      <c r="A164" t="s">
        <v>3691</v>
      </c>
      <c r="B164" t="str">
        <f>MID(tbl_lock[[#This Row],[PACE Job Number]],3,3)</f>
        <v>STX</v>
      </c>
      <c r="C164" t="s">
        <v>1709</v>
      </c>
      <c r="D164" s="1">
        <v>43411</v>
      </c>
    </row>
    <row r="165" spans="1:4" x14ac:dyDescent="0.25">
      <c r="A165" t="s">
        <v>3692</v>
      </c>
      <c r="B165" t="str">
        <f>MID(tbl_lock[[#This Row],[PACE Job Number]],3,3)</f>
        <v>STX</v>
      </c>
      <c r="C165" t="s">
        <v>1709</v>
      </c>
      <c r="D165" s="1">
        <v>43411</v>
      </c>
    </row>
    <row r="166" spans="1:4" x14ac:dyDescent="0.25">
      <c r="A166" t="s">
        <v>3693</v>
      </c>
      <c r="B166" t="str">
        <f>MID(tbl_lock[[#This Row],[PACE Job Number]],3,3)</f>
        <v>STX</v>
      </c>
      <c r="C166" t="s">
        <v>1709</v>
      </c>
      <c r="D166" s="1">
        <v>43413</v>
      </c>
    </row>
    <row r="167" spans="1:4" x14ac:dyDescent="0.25">
      <c r="A167" t="s">
        <v>3694</v>
      </c>
      <c r="B167" t="str">
        <f>MID(tbl_lock[[#This Row],[PACE Job Number]],3,3)</f>
        <v>STX</v>
      </c>
      <c r="C167" t="s">
        <v>1709</v>
      </c>
      <c r="D167" s="1">
        <v>43411</v>
      </c>
    </row>
    <row r="168" spans="1:4" x14ac:dyDescent="0.25">
      <c r="A168" t="s">
        <v>3695</v>
      </c>
      <c r="B168" t="str">
        <f>MID(tbl_lock[[#This Row],[PACE Job Number]],3,3)</f>
        <v>STX</v>
      </c>
      <c r="C168" t="s">
        <v>1709</v>
      </c>
      <c r="D168" s="1">
        <v>43410</v>
      </c>
    </row>
    <row r="169" spans="1:4" x14ac:dyDescent="0.25">
      <c r="A169" t="s">
        <v>3696</v>
      </c>
      <c r="B169" t="str">
        <f>MID(tbl_lock[[#This Row],[PACE Job Number]],3,3)</f>
        <v>STX</v>
      </c>
      <c r="C169" t="s">
        <v>1709</v>
      </c>
      <c r="D169" s="1">
        <v>43410</v>
      </c>
    </row>
    <row r="170" spans="1:4" x14ac:dyDescent="0.25">
      <c r="A170" t="s">
        <v>3697</v>
      </c>
      <c r="B170" t="str">
        <f>MID(tbl_lock[[#This Row],[PACE Job Number]],3,3)</f>
        <v>STX</v>
      </c>
      <c r="C170" t="s">
        <v>1709</v>
      </c>
      <c r="D170" s="1">
        <v>43410</v>
      </c>
    </row>
    <row r="171" spans="1:4" x14ac:dyDescent="0.25">
      <c r="A171" t="s">
        <v>3698</v>
      </c>
      <c r="B171" t="str">
        <f>MID(tbl_lock[[#This Row],[PACE Job Number]],3,3)</f>
        <v>STX</v>
      </c>
      <c r="C171" t="s">
        <v>1709</v>
      </c>
      <c r="D171" s="1">
        <v>43411</v>
      </c>
    </row>
    <row r="172" spans="1:4" x14ac:dyDescent="0.25">
      <c r="A172" t="s">
        <v>3699</v>
      </c>
      <c r="B172" t="str">
        <f>MID(tbl_lock[[#This Row],[PACE Job Number]],3,3)</f>
        <v>STX</v>
      </c>
      <c r="C172" t="s">
        <v>1709</v>
      </c>
      <c r="D172" s="1">
        <v>43410</v>
      </c>
    </row>
    <row r="173" spans="1:4" x14ac:dyDescent="0.25">
      <c r="A173" t="s">
        <v>3700</v>
      </c>
      <c r="B173" t="str">
        <f>MID(tbl_lock[[#This Row],[PACE Job Number]],3,3)</f>
        <v>STX</v>
      </c>
      <c r="C173" t="s">
        <v>1709</v>
      </c>
      <c r="D173" s="1">
        <v>43410</v>
      </c>
    </row>
    <row r="174" spans="1:4" x14ac:dyDescent="0.25">
      <c r="A174" t="s">
        <v>3701</v>
      </c>
      <c r="B174" t="str">
        <f>MID(tbl_lock[[#This Row],[PACE Job Number]],3,3)</f>
        <v>STX</v>
      </c>
      <c r="C174" t="s">
        <v>1709</v>
      </c>
      <c r="D174" s="1">
        <v>43411</v>
      </c>
    </row>
    <row r="175" spans="1:4" x14ac:dyDescent="0.25">
      <c r="A175" t="s">
        <v>3702</v>
      </c>
      <c r="B175" t="str">
        <f>MID(tbl_lock[[#This Row],[PACE Job Number]],3,3)</f>
        <v>STX</v>
      </c>
      <c r="C175" t="s">
        <v>1709</v>
      </c>
      <c r="D175" s="1">
        <v>43413</v>
      </c>
    </row>
    <row r="176" spans="1:4" x14ac:dyDescent="0.25">
      <c r="A176" t="s">
        <v>3703</v>
      </c>
      <c r="B176" t="str">
        <f>MID(tbl_lock[[#This Row],[PACE Job Number]],3,3)</f>
        <v>STX</v>
      </c>
      <c r="C176" t="s">
        <v>1709</v>
      </c>
      <c r="D176" s="1">
        <v>43413</v>
      </c>
    </row>
    <row r="177" spans="1:4" x14ac:dyDescent="0.25">
      <c r="A177" t="s">
        <v>4068</v>
      </c>
      <c r="B177" t="str">
        <f>MID(tbl_lock[[#This Row],[PACE Job Number]],3,3)</f>
        <v>STX</v>
      </c>
      <c r="C177" t="s">
        <v>1709</v>
      </c>
      <c r="D177" s="1">
        <v>43413</v>
      </c>
    </row>
    <row r="178" spans="1:4" x14ac:dyDescent="0.25">
      <c r="A178" t="s">
        <v>3704</v>
      </c>
      <c r="B178" t="str">
        <f>MID(tbl_lock[[#This Row],[PACE Job Number]],3,3)</f>
        <v>STX</v>
      </c>
      <c r="C178" t="s">
        <v>1709</v>
      </c>
      <c r="D178" s="1">
        <v>43411</v>
      </c>
    </row>
    <row r="179" spans="1:4" x14ac:dyDescent="0.25">
      <c r="A179" t="s">
        <v>3705</v>
      </c>
      <c r="B179" t="str">
        <f>MID(tbl_lock[[#This Row],[PACE Job Number]],3,3)</f>
        <v>STX</v>
      </c>
      <c r="C179" t="s">
        <v>1709</v>
      </c>
      <c r="D179" s="1">
        <v>43418</v>
      </c>
    </row>
    <row r="180" spans="1:4" x14ac:dyDescent="0.25">
      <c r="A180" t="s">
        <v>3706</v>
      </c>
      <c r="B180" t="str">
        <f>MID(tbl_lock[[#This Row],[PACE Job Number]],3,3)</f>
        <v>STX</v>
      </c>
      <c r="C180" t="s">
        <v>1709</v>
      </c>
      <c r="D180" s="1">
        <v>43413</v>
      </c>
    </row>
    <row r="181" spans="1:4" x14ac:dyDescent="0.25">
      <c r="A181" t="s">
        <v>4069</v>
      </c>
      <c r="B181" t="str">
        <f>MID(tbl_lock[[#This Row],[PACE Job Number]],3,3)</f>
        <v>STX</v>
      </c>
      <c r="C181" t="s">
        <v>1709</v>
      </c>
      <c r="D181" s="1">
        <v>43413</v>
      </c>
    </row>
    <row r="182" spans="1:4" x14ac:dyDescent="0.25">
      <c r="A182" t="s">
        <v>3707</v>
      </c>
      <c r="B182" t="str">
        <f>MID(tbl_lock[[#This Row],[PACE Job Number]],3,3)</f>
        <v>STX</v>
      </c>
      <c r="C182" t="s">
        <v>1709</v>
      </c>
      <c r="D182" s="1">
        <v>43413</v>
      </c>
    </row>
    <row r="183" spans="1:4" x14ac:dyDescent="0.25">
      <c r="A183" t="s">
        <v>3708</v>
      </c>
      <c r="B183" t="str">
        <f>MID(tbl_lock[[#This Row],[PACE Job Number]],3,3)</f>
        <v>STX</v>
      </c>
      <c r="C183" t="s">
        <v>1709</v>
      </c>
      <c r="D183" s="1">
        <v>43413</v>
      </c>
    </row>
    <row r="184" spans="1:4" x14ac:dyDescent="0.25">
      <c r="A184" t="s">
        <v>3537</v>
      </c>
      <c r="B184" t="str">
        <f>MID(tbl_lock[[#This Row],[PACE Job Number]],3,3)</f>
        <v>NTX</v>
      </c>
      <c r="C184" t="s">
        <v>1709</v>
      </c>
      <c r="D184" s="1">
        <v>43405</v>
      </c>
    </row>
    <row r="185" spans="1:4" x14ac:dyDescent="0.25">
      <c r="A185" t="s">
        <v>4724</v>
      </c>
      <c r="B185" t="str">
        <f>MID(tbl_lock[[#This Row],[PACE Job Number]],3,3)</f>
        <v>NTX</v>
      </c>
      <c r="C185" t="s">
        <v>1709</v>
      </c>
      <c r="D185" s="1">
        <v>43413</v>
      </c>
    </row>
    <row r="186" spans="1:4" x14ac:dyDescent="0.25">
      <c r="A186" t="s">
        <v>4725</v>
      </c>
      <c r="B186" t="str">
        <f>MID(tbl_lock[[#This Row],[PACE Job Number]],3,3)</f>
        <v>NTX</v>
      </c>
      <c r="C186" t="s">
        <v>1709</v>
      </c>
      <c r="D186" s="1">
        <v>43413</v>
      </c>
    </row>
    <row r="187" spans="1:4" x14ac:dyDescent="0.25">
      <c r="A187" t="s">
        <v>3709</v>
      </c>
      <c r="B187" t="str">
        <f>MID(tbl_lock[[#This Row],[PACE Job Number]],3,3)</f>
        <v>STX</v>
      </c>
      <c r="C187" t="s">
        <v>1709</v>
      </c>
      <c r="D187" s="1">
        <v>43413</v>
      </c>
    </row>
    <row r="188" spans="1:4" x14ac:dyDescent="0.25">
      <c r="A188" t="s">
        <v>4726</v>
      </c>
      <c r="B188" t="str">
        <f>MID(tbl_lock[[#This Row],[PACE Job Number]],3,3)</f>
        <v>NTX</v>
      </c>
      <c r="C188" t="s">
        <v>1709</v>
      </c>
      <c r="D188" s="1">
        <v>43413</v>
      </c>
    </row>
    <row r="189" spans="1:4" x14ac:dyDescent="0.25">
      <c r="A189" t="s">
        <v>3580</v>
      </c>
      <c r="B189" t="str">
        <f>MID(tbl_lock[[#This Row],[PACE Job Number]],3,3)</f>
        <v>NTX</v>
      </c>
      <c r="C189" t="s">
        <v>1709</v>
      </c>
      <c r="D189" s="1">
        <v>43412</v>
      </c>
    </row>
    <row r="190" spans="1:4" x14ac:dyDescent="0.25">
      <c r="A190" t="s">
        <v>3581</v>
      </c>
      <c r="B190" t="str">
        <f>MID(tbl_lock[[#This Row],[PACE Job Number]],3,3)</f>
        <v>NTX</v>
      </c>
      <c r="C190" t="s">
        <v>1709</v>
      </c>
      <c r="D190" s="1">
        <v>43412</v>
      </c>
    </row>
    <row r="191" spans="1:4" x14ac:dyDescent="0.25">
      <c r="A191" t="s">
        <v>4108</v>
      </c>
      <c r="B191" t="str">
        <f>MID(tbl_lock[[#This Row],[PACE Job Number]],3,3)</f>
        <v>NTX</v>
      </c>
      <c r="C191" t="s">
        <v>1709</v>
      </c>
      <c r="D191" s="1">
        <v>43406</v>
      </c>
    </row>
    <row r="192" spans="1:4" x14ac:dyDescent="0.25">
      <c r="A192" t="s">
        <v>4727</v>
      </c>
      <c r="B192" t="str">
        <f>MID(tbl_lock[[#This Row],[PACE Job Number]],3,3)</f>
        <v>NTX</v>
      </c>
      <c r="C192" t="s">
        <v>1709</v>
      </c>
      <c r="D192" s="1">
        <v>43405</v>
      </c>
    </row>
    <row r="193" spans="1:4" x14ac:dyDescent="0.25">
      <c r="A193" t="s">
        <v>4109</v>
      </c>
      <c r="B193" t="str">
        <f>MID(tbl_lock[[#This Row],[PACE Job Number]],3,3)</f>
        <v>NTX</v>
      </c>
      <c r="C193" t="s">
        <v>1709</v>
      </c>
      <c r="D193" s="1">
        <v>43413</v>
      </c>
    </row>
    <row r="194" spans="1:4" x14ac:dyDescent="0.25">
      <c r="A194" t="s">
        <v>4728</v>
      </c>
      <c r="B194" t="str">
        <f>MID(tbl_lock[[#This Row],[PACE Job Number]],3,3)</f>
        <v>NTX</v>
      </c>
      <c r="C194" t="s">
        <v>1709</v>
      </c>
      <c r="D194" s="1">
        <v>43410</v>
      </c>
    </row>
    <row r="195" spans="1:4" x14ac:dyDescent="0.25">
      <c r="A195" t="s">
        <v>4729</v>
      </c>
      <c r="B195" t="str">
        <f>MID(tbl_lock[[#This Row],[PACE Job Number]],3,3)</f>
        <v>NTX</v>
      </c>
      <c r="C195" t="s">
        <v>1709</v>
      </c>
      <c r="D195" s="1">
        <v>43415</v>
      </c>
    </row>
    <row r="196" spans="1:4" x14ac:dyDescent="0.25">
      <c r="A196" t="s">
        <v>3582</v>
      </c>
      <c r="B196" t="str">
        <f>MID(tbl_lock[[#This Row],[PACE Job Number]],3,3)</f>
        <v>NTX</v>
      </c>
      <c r="C196" t="s">
        <v>1709</v>
      </c>
      <c r="D196" s="1">
        <v>43406</v>
      </c>
    </row>
    <row r="197" spans="1:4" x14ac:dyDescent="0.25">
      <c r="A197" t="s">
        <v>4730</v>
      </c>
      <c r="B197" t="str">
        <f>MID(tbl_lock[[#This Row],[PACE Job Number]],3,3)</f>
        <v>NTX</v>
      </c>
      <c r="C197" t="s">
        <v>1709</v>
      </c>
      <c r="D197" s="1">
        <v>43410</v>
      </c>
    </row>
    <row r="198" spans="1:4" x14ac:dyDescent="0.25">
      <c r="A198" t="s">
        <v>3583</v>
      </c>
      <c r="B198" t="str">
        <f>MID(tbl_lock[[#This Row],[PACE Job Number]],3,3)</f>
        <v>NTX</v>
      </c>
      <c r="C198" t="s">
        <v>1709</v>
      </c>
      <c r="D198" s="1">
        <v>43406</v>
      </c>
    </row>
    <row r="199" spans="1:4" x14ac:dyDescent="0.25">
      <c r="A199" t="s">
        <v>4731</v>
      </c>
      <c r="B199" t="str">
        <f>MID(tbl_lock[[#This Row],[PACE Job Number]],3,3)</f>
        <v>NTX</v>
      </c>
      <c r="C199" t="s">
        <v>1709</v>
      </c>
      <c r="D199" s="1">
        <v>43420</v>
      </c>
    </row>
    <row r="200" spans="1:4" x14ac:dyDescent="0.25">
      <c r="A200" t="s">
        <v>4732</v>
      </c>
      <c r="B200" t="str">
        <f>MID(tbl_lock[[#This Row],[PACE Job Number]],3,3)</f>
        <v>NTX</v>
      </c>
      <c r="C200" t="s">
        <v>1709</v>
      </c>
      <c r="D200" s="1">
        <v>43420</v>
      </c>
    </row>
    <row r="201" spans="1:4" x14ac:dyDescent="0.25">
      <c r="A201" t="s">
        <v>4733</v>
      </c>
      <c r="B201" t="str">
        <f>MID(tbl_lock[[#This Row],[PACE Job Number]],3,3)</f>
        <v>NTX</v>
      </c>
      <c r="C201" t="s">
        <v>1709</v>
      </c>
      <c r="D201" s="1">
        <v>43415</v>
      </c>
    </row>
    <row r="202" spans="1:4" x14ac:dyDescent="0.25">
      <c r="A202" t="s">
        <v>4734</v>
      </c>
      <c r="B202" t="str">
        <f>MID(tbl_lock[[#This Row],[PACE Job Number]],3,3)</f>
        <v>NTX</v>
      </c>
      <c r="C202" t="s">
        <v>1709</v>
      </c>
      <c r="D202" s="1">
        <v>43420</v>
      </c>
    </row>
    <row r="203" spans="1:4" x14ac:dyDescent="0.25">
      <c r="A203" t="s">
        <v>4735</v>
      </c>
      <c r="B203" t="str">
        <f>MID(tbl_lock[[#This Row],[PACE Job Number]],3,3)</f>
        <v>NTX</v>
      </c>
      <c r="C203" t="s">
        <v>1709</v>
      </c>
      <c r="D203" s="1">
        <v>43434</v>
      </c>
    </row>
    <row r="204" spans="1:4" x14ac:dyDescent="0.25">
      <c r="A204" t="s">
        <v>4736</v>
      </c>
      <c r="B204" t="str">
        <f>MID(tbl_lock[[#This Row],[PACE Job Number]],3,3)</f>
        <v>NTX</v>
      </c>
      <c r="C204" t="s">
        <v>1709</v>
      </c>
      <c r="D204" s="1">
        <v>43413</v>
      </c>
    </row>
    <row r="205" spans="1:4" x14ac:dyDescent="0.25">
      <c r="A205" t="s">
        <v>4737</v>
      </c>
      <c r="B205" t="str">
        <f>MID(tbl_lock[[#This Row],[PACE Job Number]],3,3)</f>
        <v>NTX</v>
      </c>
      <c r="C205" t="s">
        <v>1709</v>
      </c>
      <c r="D205" s="1">
        <v>43434</v>
      </c>
    </row>
    <row r="206" spans="1:4" x14ac:dyDescent="0.25">
      <c r="A206" t="s">
        <v>4110</v>
      </c>
      <c r="B206" t="str">
        <f>MID(tbl_lock[[#This Row],[PACE Job Number]],3,3)</f>
        <v>NTX</v>
      </c>
      <c r="C206" t="s">
        <v>1709</v>
      </c>
      <c r="D206" s="1">
        <v>43409</v>
      </c>
    </row>
    <row r="207" spans="1:4" x14ac:dyDescent="0.25">
      <c r="A207" t="s">
        <v>4111</v>
      </c>
      <c r="B207" t="str">
        <f>MID(tbl_lock[[#This Row],[PACE Job Number]],3,3)</f>
        <v>NTX</v>
      </c>
      <c r="C207" t="s">
        <v>1709</v>
      </c>
      <c r="D207" s="1">
        <v>43409</v>
      </c>
    </row>
    <row r="208" spans="1:4" x14ac:dyDescent="0.25">
      <c r="A208" t="s">
        <v>4112</v>
      </c>
      <c r="B208" t="str">
        <f>MID(tbl_lock[[#This Row],[PACE Job Number]],3,3)</f>
        <v>NTX</v>
      </c>
      <c r="C208" t="s">
        <v>1709</v>
      </c>
      <c r="D208" s="1">
        <v>43409</v>
      </c>
    </row>
    <row r="209" spans="1:4" x14ac:dyDescent="0.25">
      <c r="A209" t="s">
        <v>4738</v>
      </c>
      <c r="B209" t="str">
        <f>MID(tbl_lock[[#This Row],[PACE Job Number]],3,3)</f>
        <v>NTX</v>
      </c>
      <c r="C209" t="s">
        <v>1709</v>
      </c>
      <c r="D209" s="1">
        <v>43413</v>
      </c>
    </row>
    <row r="210" spans="1:4" x14ac:dyDescent="0.25">
      <c r="A210" t="s">
        <v>3710</v>
      </c>
      <c r="B210" t="str">
        <f>MID(tbl_lock[[#This Row],[PACE Job Number]],3,3)</f>
        <v>STX</v>
      </c>
      <c r="C210" t="s">
        <v>1709</v>
      </c>
      <c r="D210" s="1">
        <v>43418</v>
      </c>
    </row>
    <row r="211" spans="1:4" x14ac:dyDescent="0.25">
      <c r="A211" t="s">
        <v>3711</v>
      </c>
      <c r="B211" t="str">
        <f>MID(tbl_lock[[#This Row],[PACE Job Number]],3,3)</f>
        <v>STX</v>
      </c>
      <c r="C211" t="s">
        <v>1709</v>
      </c>
      <c r="D211" s="1">
        <v>43411</v>
      </c>
    </row>
    <row r="212" spans="1:4" x14ac:dyDescent="0.25">
      <c r="A212" t="s">
        <v>3712</v>
      </c>
      <c r="B212" t="str">
        <f>MID(tbl_lock[[#This Row],[PACE Job Number]],3,3)</f>
        <v>STX</v>
      </c>
      <c r="C212" t="s">
        <v>1709</v>
      </c>
      <c r="D212" s="1">
        <v>43411</v>
      </c>
    </row>
    <row r="213" spans="1:4" x14ac:dyDescent="0.25">
      <c r="A213" t="s">
        <v>3713</v>
      </c>
      <c r="B213" t="str">
        <f>MID(tbl_lock[[#This Row],[PACE Job Number]],3,3)</f>
        <v>STX</v>
      </c>
      <c r="C213" t="s">
        <v>1709</v>
      </c>
      <c r="D213" s="1">
        <v>43413</v>
      </c>
    </row>
    <row r="214" spans="1:4" x14ac:dyDescent="0.25">
      <c r="A214" t="s">
        <v>3714</v>
      </c>
      <c r="B214" t="str">
        <f>MID(tbl_lock[[#This Row],[PACE Job Number]],3,3)</f>
        <v>STX</v>
      </c>
      <c r="C214" t="s">
        <v>1709</v>
      </c>
      <c r="D214" s="1">
        <v>43418</v>
      </c>
    </row>
    <row r="215" spans="1:4" x14ac:dyDescent="0.25">
      <c r="A215" t="s">
        <v>3715</v>
      </c>
      <c r="B215" t="str">
        <f>MID(tbl_lock[[#This Row],[PACE Job Number]],3,3)</f>
        <v>STX</v>
      </c>
      <c r="C215" t="s">
        <v>1709</v>
      </c>
      <c r="D215" s="1">
        <v>43410</v>
      </c>
    </row>
    <row r="216" spans="1:4" x14ac:dyDescent="0.25">
      <c r="A216" t="s">
        <v>3716</v>
      </c>
      <c r="B216" t="str">
        <f>MID(tbl_lock[[#This Row],[PACE Job Number]],3,3)</f>
        <v>STX</v>
      </c>
      <c r="C216" t="s">
        <v>1709</v>
      </c>
      <c r="D216" s="1">
        <v>43411</v>
      </c>
    </row>
    <row r="217" spans="1:4" x14ac:dyDescent="0.25">
      <c r="A217" t="s">
        <v>3717</v>
      </c>
      <c r="B217" t="str">
        <f>MID(tbl_lock[[#This Row],[PACE Job Number]],3,3)</f>
        <v>STX</v>
      </c>
      <c r="C217" t="s">
        <v>1709</v>
      </c>
      <c r="D217" s="1">
        <v>43411</v>
      </c>
    </row>
    <row r="218" spans="1:4" x14ac:dyDescent="0.25">
      <c r="A218" t="s">
        <v>4070</v>
      </c>
      <c r="B218" t="str">
        <f>MID(tbl_lock[[#This Row],[PACE Job Number]],3,3)</f>
        <v>STX</v>
      </c>
      <c r="C218" t="s">
        <v>1709</v>
      </c>
      <c r="D218" s="1">
        <v>43413</v>
      </c>
    </row>
    <row r="219" spans="1:4" x14ac:dyDescent="0.25">
      <c r="A219" t="s">
        <v>4071</v>
      </c>
      <c r="B219" t="str">
        <f>MID(tbl_lock[[#This Row],[PACE Job Number]],3,3)</f>
        <v>STX</v>
      </c>
      <c r="C219" t="s">
        <v>1709</v>
      </c>
      <c r="D219" s="1">
        <v>43413</v>
      </c>
    </row>
    <row r="220" spans="1:4" x14ac:dyDescent="0.25">
      <c r="A220" t="s">
        <v>3718</v>
      </c>
      <c r="B220" t="str">
        <f>MID(tbl_lock[[#This Row],[PACE Job Number]],3,3)</f>
        <v>STX</v>
      </c>
      <c r="C220" t="s">
        <v>1709</v>
      </c>
      <c r="D220" s="1">
        <v>43410</v>
      </c>
    </row>
    <row r="221" spans="1:4" x14ac:dyDescent="0.25">
      <c r="A221" t="s">
        <v>3719</v>
      </c>
      <c r="B221" t="str">
        <f>MID(tbl_lock[[#This Row],[PACE Job Number]],3,3)</f>
        <v>STX</v>
      </c>
      <c r="C221" t="s">
        <v>1709</v>
      </c>
      <c r="D221" s="1">
        <v>43413</v>
      </c>
    </row>
    <row r="222" spans="1:4" x14ac:dyDescent="0.25">
      <c r="A222" t="s">
        <v>3720</v>
      </c>
      <c r="B222" t="str">
        <f>MID(tbl_lock[[#This Row],[PACE Job Number]],3,3)</f>
        <v>STX</v>
      </c>
      <c r="C222" t="s">
        <v>1709</v>
      </c>
      <c r="D222" s="1">
        <v>43413</v>
      </c>
    </row>
    <row r="223" spans="1:4" x14ac:dyDescent="0.25">
      <c r="A223" t="s">
        <v>3721</v>
      </c>
      <c r="B223" t="str">
        <f>MID(tbl_lock[[#This Row],[PACE Job Number]],3,3)</f>
        <v>STX</v>
      </c>
      <c r="C223" t="s">
        <v>1709</v>
      </c>
      <c r="D223" s="1">
        <v>43411</v>
      </c>
    </row>
    <row r="224" spans="1:4" x14ac:dyDescent="0.25">
      <c r="A224" t="s">
        <v>3722</v>
      </c>
      <c r="B224" t="str">
        <f>MID(tbl_lock[[#This Row],[PACE Job Number]],3,3)</f>
        <v>STX</v>
      </c>
      <c r="C224" t="s">
        <v>1709</v>
      </c>
      <c r="D224" s="1">
        <v>43413</v>
      </c>
    </row>
    <row r="225" spans="1:4" x14ac:dyDescent="0.25">
      <c r="A225" t="s">
        <v>3723</v>
      </c>
      <c r="B225" t="str">
        <f>MID(tbl_lock[[#This Row],[PACE Job Number]],3,3)</f>
        <v>STX</v>
      </c>
      <c r="C225" t="s">
        <v>1709</v>
      </c>
      <c r="D225" s="1">
        <v>43410</v>
      </c>
    </row>
    <row r="226" spans="1:4" x14ac:dyDescent="0.25">
      <c r="A226" t="s">
        <v>3724</v>
      </c>
      <c r="B226" t="str">
        <f>MID(tbl_lock[[#This Row],[PACE Job Number]],3,3)</f>
        <v>STX</v>
      </c>
      <c r="C226" t="s">
        <v>1709</v>
      </c>
      <c r="D226" s="1">
        <v>43410</v>
      </c>
    </row>
    <row r="227" spans="1:4" x14ac:dyDescent="0.25">
      <c r="A227" t="s">
        <v>3725</v>
      </c>
      <c r="B227" t="str">
        <f>MID(tbl_lock[[#This Row],[PACE Job Number]],3,3)</f>
        <v>STX</v>
      </c>
      <c r="C227" t="s">
        <v>1709</v>
      </c>
      <c r="D227" s="1">
        <v>43413</v>
      </c>
    </row>
    <row r="228" spans="1:4" x14ac:dyDescent="0.25">
      <c r="A228" t="s">
        <v>3726</v>
      </c>
      <c r="B228" t="str">
        <f>MID(tbl_lock[[#This Row],[PACE Job Number]],3,3)</f>
        <v>STX</v>
      </c>
      <c r="C228" t="s">
        <v>1709</v>
      </c>
      <c r="D228" s="1">
        <v>43410</v>
      </c>
    </row>
    <row r="229" spans="1:4" x14ac:dyDescent="0.25">
      <c r="A229" t="s">
        <v>3727</v>
      </c>
      <c r="B229" t="str">
        <f>MID(tbl_lock[[#This Row],[PACE Job Number]],3,3)</f>
        <v>STX</v>
      </c>
      <c r="C229" t="s">
        <v>1709</v>
      </c>
      <c r="D229" s="1">
        <v>43413</v>
      </c>
    </row>
    <row r="230" spans="1:4" x14ac:dyDescent="0.25">
      <c r="A230" t="s">
        <v>3728</v>
      </c>
      <c r="B230" t="str">
        <f>MID(tbl_lock[[#This Row],[PACE Job Number]],3,3)</f>
        <v>STX</v>
      </c>
      <c r="C230" t="s">
        <v>1709</v>
      </c>
      <c r="D230" s="1">
        <v>43413</v>
      </c>
    </row>
    <row r="231" spans="1:4" x14ac:dyDescent="0.25">
      <c r="A231" t="s">
        <v>3737</v>
      </c>
      <c r="B231" t="str">
        <f>MID(tbl_lock[[#This Row],[PACE Job Number]],3,3)</f>
        <v>STX</v>
      </c>
      <c r="C231" t="s">
        <v>1709</v>
      </c>
      <c r="D231" s="1">
        <v>43413</v>
      </c>
    </row>
    <row r="232" spans="1:4" x14ac:dyDescent="0.25">
      <c r="A232" t="s">
        <v>3568</v>
      </c>
      <c r="B232" t="str">
        <f>MID(tbl_lock[[#This Row],[PACE Job Number]],3,3)</f>
        <v>STX</v>
      </c>
      <c r="C232" t="s">
        <v>1709</v>
      </c>
      <c r="D232" s="1">
        <v>43410</v>
      </c>
    </row>
    <row r="233" spans="1:4" x14ac:dyDescent="0.25">
      <c r="A233" t="s">
        <v>3738</v>
      </c>
      <c r="B233" t="str">
        <f>MID(tbl_lock[[#This Row],[PACE Job Number]],3,3)</f>
        <v>STX</v>
      </c>
      <c r="C233" t="s">
        <v>1709</v>
      </c>
      <c r="D233" s="1">
        <v>43413</v>
      </c>
    </row>
    <row r="234" spans="1:4" x14ac:dyDescent="0.25">
      <c r="A234" t="s">
        <v>4739</v>
      </c>
      <c r="B234" t="str">
        <f>MID(tbl_lock[[#This Row],[PACE Job Number]],3,3)</f>
        <v>NTX</v>
      </c>
      <c r="C234" t="s">
        <v>1709</v>
      </c>
      <c r="D234" s="1">
        <v>43413</v>
      </c>
    </row>
    <row r="235" spans="1:4" x14ac:dyDescent="0.25">
      <c r="A235" t="s">
        <v>4740</v>
      </c>
      <c r="B235" t="str">
        <f>MID(tbl_lock[[#This Row],[PACE Job Number]],3,3)</f>
        <v>NTX</v>
      </c>
      <c r="C235" t="s">
        <v>1709</v>
      </c>
      <c r="D235" s="1">
        <v>43413</v>
      </c>
    </row>
    <row r="236" spans="1:4" x14ac:dyDescent="0.25">
      <c r="A236" t="s">
        <v>4741</v>
      </c>
      <c r="B236" t="str">
        <f>MID(tbl_lock[[#This Row],[PACE Job Number]],3,3)</f>
        <v>NTX</v>
      </c>
      <c r="C236" t="s">
        <v>1709</v>
      </c>
      <c r="D236" s="1">
        <v>43434</v>
      </c>
    </row>
    <row r="237" spans="1:4" x14ac:dyDescent="0.25">
      <c r="A237" t="s">
        <v>4166</v>
      </c>
      <c r="B237" t="str">
        <f>MID(tbl_lock[[#This Row],[PACE Job Number]],3,3)</f>
        <v>NTX</v>
      </c>
      <c r="C237" t="s">
        <v>1709</v>
      </c>
      <c r="D237" s="1">
        <v>43405</v>
      </c>
    </row>
    <row r="238" spans="1:4" x14ac:dyDescent="0.25">
      <c r="A238" t="s">
        <v>4742</v>
      </c>
      <c r="B238" t="str">
        <f>MID(tbl_lock[[#This Row],[PACE Job Number]],3,3)</f>
        <v>NTX</v>
      </c>
      <c r="C238" t="s">
        <v>1709</v>
      </c>
      <c r="D238" s="1">
        <v>43434</v>
      </c>
    </row>
    <row r="239" spans="1:4" x14ac:dyDescent="0.25">
      <c r="A239" t="s">
        <v>4167</v>
      </c>
      <c r="B239" t="str">
        <f>MID(tbl_lock[[#This Row],[PACE Job Number]],3,3)</f>
        <v>NTX</v>
      </c>
      <c r="C239" t="s">
        <v>1709</v>
      </c>
      <c r="D239" s="1">
        <v>43405</v>
      </c>
    </row>
    <row r="240" spans="1:4" x14ac:dyDescent="0.25">
      <c r="A240" t="s">
        <v>4743</v>
      </c>
      <c r="B240" t="str">
        <f>MID(tbl_lock[[#This Row],[PACE Job Number]],3,3)</f>
        <v>NTX</v>
      </c>
      <c r="C240" t="s">
        <v>1709</v>
      </c>
      <c r="D240" s="1">
        <v>43434</v>
      </c>
    </row>
    <row r="241" spans="1:4" x14ac:dyDescent="0.25">
      <c r="A241" t="s">
        <v>4744</v>
      </c>
      <c r="B241" t="str">
        <f>MID(tbl_lock[[#This Row],[PACE Job Number]],3,3)</f>
        <v>ANM</v>
      </c>
      <c r="C241" t="s">
        <v>1709</v>
      </c>
      <c r="D241" s="1">
        <v>43420</v>
      </c>
    </row>
    <row r="242" spans="1:4" x14ac:dyDescent="0.25">
      <c r="A242" t="s">
        <v>4745</v>
      </c>
      <c r="B242" t="str">
        <f>MID(tbl_lock[[#This Row],[PACE Job Number]],3,3)</f>
        <v>ANM</v>
      </c>
      <c r="C242" t="s">
        <v>1709</v>
      </c>
      <c r="D242" s="1">
        <v>43427</v>
      </c>
    </row>
    <row r="243" spans="1:4" x14ac:dyDescent="0.25">
      <c r="A243" t="s">
        <v>4746</v>
      </c>
      <c r="B243" t="str">
        <f>MID(tbl_lock[[#This Row],[PACE Job Number]],3,3)</f>
        <v>ANM</v>
      </c>
      <c r="C243" t="s">
        <v>1709</v>
      </c>
      <c r="D243" s="1">
        <v>43427</v>
      </c>
    </row>
    <row r="244" spans="1:4" x14ac:dyDescent="0.25">
      <c r="A244" t="s">
        <v>4747</v>
      </c>
      <c r="B244" t="str">
        <f>MID(tbl_lock[[#This Row],[PACE Job Number]],3,3)</f>
        <v>ANM</v>
      </c>
      <c r="C244" t="s">
        <v>1709</v>
      </c>
      <c r="D244" s="1">
        <v>43413</v>
      </c>
    </row>
    <row r="245" spans="1:4" x14ac:dyDescent="0.25">
      <c r="A245" t="s">
        <v>4748</v>
      </c>
      <c r="B245" t="str">
        <f>MID(tbl_lock[[#This Row],[PACE Job Number]],3,3)</f>
        <v>ANM</v>
      </c>
      <c r="C245" t="s">
        <v>1709</v>
      </c>
      <c r="D245" s="1">
        <v>43420</v>
      </c>
    </row>
    <row r="246" spans="1:4" x14ac:dyDescent="0.25">
      <c r="A246" t="s">
        <v>4749</v>
      </c>
      <c r="B246" t="str">
        <f>MID(tbl_lock[[#This Row],[PACE Job Number]],3,3)</f>
        <v>ANM</v>
      </c>
      <c r="C246" t="s">
        <v>1709</v>
      </c>
      <c r="D246" s="1">
        <v>43420</v>
      </c>
    </row>
    <row r="247" spans="1:4" x14ac:dyDescent="0.25">
      <c r="A247" t="s">
        <v>4750</v>
      </c>
      <c r="B247" t="str">
        <f>MID(tbl_lock[[#This Row],[PACE Job Number]],3,3)</f>
        <v>ANM</v>
      </c>
      <c r="C247" t="s">
        <v>1709</v>
      </c>
      <c r="D247" s="1">
        <v>43406</v>
      </c>
    </row>
    <row r="248" spans="1:4" x14ac:dyDescent="0.25">
      <c r="A248" t="s">
        <v>4751</v>
      </c>
      <c r="B248" t="str">
        <f>MID(tbl_lock[[#This Row],[PACE Job Number]],3,3)</f>
        <v>ANM</v>
      </c>
      <c r="C248" t="s">
        <v>1709</v>
      </c>
      <c r="D248" s="1">
        <v>43420</v>
      </c>
    </row>
    <row r="249" spans="1:4" x14ac:dyDescent="0.25">
      <c r="A249" t="s">
        <v>4752</v>
      </c>
      <c r="B249" t="str">
        <f>MID(tbl_lock[[#This Row],[PACE Job Number]],3,3)</f>
        <v>ANM</v>
      </c>
      <c r="C249" t="s">
        <v>1709</v>
      </c>
      <c r="D249" s="1">
        <v>43427</v>
      </c>
    </row>
    <row r="250" spans="1:4" x14ac:dyDescent="0.25">
      <c r="A250" t="s">
        <v>4753</v>
      </c>
      <c r="B250" t="str">
        <f>MID(tbl_lock[[#This Row],[PACE Job Number]],3,3)</f>
        <v>ANM</v>
      </c>
      <c r="C250" t="s">
        <v>1709</v>
      </c>
      <c r="D250" s="1">
        <v>43427</v>
      </c>
    </row>
    <row r="251" spans="1:4" x14ac:dyDescent="0.25">
      <c r="A251" t="s">
        <v>4754</v>
      </c>
      <c r="B251" t="str">
        <f>MID(tbl_lock[[#This Row],[PACE Job Number]],3,3)</f>
        <v>ANM</v>
      </c>
      <c r="C251" t="s">
        <v>1709</v>
      </c>
      <c r="D251" s="1">
        <v>43413</v>
      </c>
    </row>
    <row r="252" spans="1:4" x14ac:dyDescent="0.25">
      <c r="A252" t="s">
        <v>4755</v>
      </c>
      <c r="B252" t="str">
        <f>MID(tbl_lock[[#This Row],[PACE Job Number]],3,3)</f>
        <v>ANM</v>
      </c>
      <c r="C252" t="s">
        <v>1709</v>
      </c>
      <c r="D252" s="1">
        <v>43427</v>
      </c>
    </row>
    <row r="253" spans="1:4" x14ac:dyDescent="0.25">
      <c r="A253" t="s">
        <v>4756</v>
      </c>
      <c r="B253" t="str">
        <f>MID(tbl_lock[[#This Row],[PACE Job Number]],3,3)</f>
        <v>ANM</v>
      </c>
      <c r="C253" t="s">
        <v>1709</v>
      </c>
      <c r="D253" s="1">
        <v>43420</v>
      </c>
    </row>
    <row r="254" spans="1:4" x14ac:dyDescent="0.25">
      <c r="A254" t="s">
        <v>4757</v>
      </c>
      <c r="B254" t="str">
        <f>MID(tbl_lock[[#This Row],[PACE Job Number]],3,3)</f>
        <v>ANM</v>
      </c>
      <c r="C254" t="s">
        <v>1709</v>
      </c>
      <c r="D254" s="1">
        <v>43420</v>
      </c>
    </row>
    <row r="255" spans="1:4" x14ac:dyDescent="0.25">
      <c r="A255" t="s">
        <v>4758</v>
      </c>
      <c r="B255" t="str">
        <f>MID(tbl_lock[[#This Row],[PACE Job Number]],3,3)</f>
        <v>ANM</v>
      </c>
      <c r="C255" t="s">
        <v>1709</v>
      </c>
      <c r="D255" s="1">
        <v>43420</v>
      </c>
    </row>
    <row r="256" spans="1:4" x14ac:dyDescent="0.25">
      <c r="A256" t="s">
        <v>4759</v>
      </c>
      <c r="B256" t="str">
        <f>MID(tbl_lock[[#This Row],[PACE Job Number]],3,3)</f>
        <v>ANM</v>
      </c>
      <c r="C256" t="s">
        <v>1709</v>
      </c>
      <c r="D256" s="1">
        <v>43427</v>
      </c>
    </row>
    <row r="257" spans="1:4" x14ac:dyDescent="0.25">
      <c r="A257" t="s">
        <v>4760</v>
      </c>
      <c r="B257" t="str">
        <f>MID(tbl_lock[[#This Row],[PACE Job Number]],3,3)</f>
        <v>ANM</v>
      </c>
      <c r="C257" t="s">
        <v>1709</v>
      </c>
      <c r="D257" s="1">
        <v>43420</v>
      </c>
    </row>
    <row r="258" spans="1:4" x14ac:dyDescent="0.25">
      <c r="A258" t="s">
        <v>4761</v>
      </c>
      <c r="B258" t="str">
        <f>MID(tbl_lock[[#This Row],[PACE Job Number]],3,3)</f>
        <v>ANM</v>
      </c>
      <c r="C258" t="s">
        <v>1709</v>
      </c>
      <c r="D258" s="1">
        <v>43409</v>
      </c>
    </row>
    <row r="259" spans="1:4" x14ac:dyDescent="0.25">
      <c r="A259" t="s">
        <v>4762</v>
      </c>
      <c r="B259" t="str">
        <f>MID(tbl_lock[[#This Row],[PACE Job Number]],3,3)</f>
        <v>ANM</v>
      </c>
      <c r="C259" t="s">
        <v>1709</v>
      </c>
      <c r="D259" s="1">
        <v>43420</v>
      </c>
    </row>
    <row r="260" spans="1:4" x14ac:dyDescent="0.25">
      <c r="A260" t="s">
        <v>4763</v>
      </c>
      <c r="B260" t="str">
        <f>MID(tbl_lock[[#This Row],[PACE Job Number]],3,3)</f>
        <v>ANM</v>
      </c>
      <c r="C260" t="s">
        <v>1709</v>
      </c>
      <c r="D260" s="1">
        <v>43427</v>
      </c>
    </row>
    <row r="261" spans="1:4" x14ac:dyDescent="0.25">
      <c r="A261" t="s">
        <v>4764</v>
      </c>
      <c r="B261" t="str">
        <f>MID(tbl_lock[[#This Row],[PACE Job Number]],3,3)</f>
        <v>ANM</v>
      </c>
      <c r="C261" t="s">
        <v>1709</v>
      </c>
      <c r="D261" s="1">
        <v>43420</v>
      </c>
    </row>
    <row r="262" spans="1:4" x14ac:dyDescent="0.25">
      <c r="A262" t="s">
        <v>4765</v>
      </c>
      <c r="B262" t="str">
        <f>MID(tbl_lock[[#This Row],[PACE Job Number]],3,3)</f>
        <v>ANM</v>
      </c>
      <c r="C262" t="s">
        <v>1709</v>
      </c>
      <c r="D262" s="1">
        <v>43420</v>
      </c>
    </row>
    <row r="263" spans="1:4" x14ac:dyDescent="0.25">
      <c r="A263" t="s">
        <v>4766</v>
      </c>
      <c r="B263" t="str">
        <f>MID(tbl_lock[[#This Row],[PACE Job Number]],3,3)</f>
        <v>ANM</v>
      </c>
      <c r="C263" t="s">
        <v>1709</v>
      </c>
      <c r="D263" s="1">
        <v>43427</v>
      </c>
    </row>
    <row r="264" spans="1:4" x14ac:dyDescent="0.25">
      <c r="A264" t="s">
        <v>4767</v>
      </c>
      <c r="B264" t="str">
        <f>MID(tbl_lock[[#This Row],[PACE Job Number]],3,3)</f>
        <v>ANM</v>
      </c>
      <c r="C264" t="s">
        <v>1709</v>
      </c>
      <c r="D264" s="1">
        <v>43427</v>
      </c>
    </row>
    <row r="265" spans="1:4" x14ac:dyDescent="0.25">
      <c r="A265" t="s">
        <v>4768</v>
      </c>
      <c r="B265" t="str">
        <f>MID(tbl_lock[[#This Row],[PACE Job Number]],3,3)</f>
        <v>ANM</v>
      </c>
      <c r="C265" t="s">
        <v>1709</v>
      </c>
      <c r="D265" s="1">
        <v>43420</v>
      </c>
    </row>
    <row r="266" spans="1:4" x14ac:dyDescent="0.25">
      <c r="A266" t="s">
        <v>4769</v>
      </c>
      <c r="B266" t="str">
        <f>MID(tbl_lock[[#This Row],[PACE Job Number]],3,3)</f>
        <v>ANM</v>
      </c>
      <c r="C266" t="s">
        <v>1709</v>
      </c>
      <c r="D266" s="1">
        <v>43427</v>
      </c>
    </row>
    <row r="267" spans="1:4" x14ac:dyDescent="0.25">
      <c r="A267" t="s">
        <v>4770</v>
      </c>
      <c r="B267" t="str">
        <f>MID(tbl_lock[[#This Row],[PACE Job Number]],3,3)</f>
        <v>ANM</v>
      </c>
      <c r="C267" t="s">
        <v>1709</v>
      </c>
      <c r="D267" s="1">
        <v>43420</v>
      </c>
    </row>
    <row r="268" spans="1:4" x14ac:dyDescent="0.25">
      <c r="A268" t="s">
        <v>4771</v>
      </c>
      <c r="B268" t="str">
        <f>MID(tbl_lock[[#This Row],[PACE Job Number]],3,3)</f>
        <v>ANM</v>
      </c>
      <c r="C268" t="s">
        <v>1709</v>
      </c>
      <c r="D268" s="1">
        <v>43427</v>
      </c>
    </row>
    <row r="269" spans="1:4" x14ac:dyDescent="0.25">
      <c r="A269" t="s">
        <v>4772</v>
      </c>
      <c r="B269" t="str">
        <f>MID(tbl_lock[[#This Row],[PACE Job Number]],3,3)</f>
        <v>ANM</v>
      </c>
      <c r="C269" t="s">
        <v>1709</v>
      </c>
      <c r="D269" s="1">
        <v>43406</v>
      </c>
    </row>
    <row r="270" spans="1:4" x14ac:dyDescent="0.25">
      <c r="A270" t="s">
        <v>4773</v>
      </c>
      <c r="B270" t="str">
        <f>MID(tbl_lock[[#This Row],[PACE Job Number]],3,3)</f>
        <v>ANM</v>
      </c>
      <c r="C270" t="s">
        <v>1709</v>
      </c>
      <c r="D270" s="1">
        <v>43406</v>
      </c>
    </row>
    <row r="271" spans="1:4" x14ac:dyDescent="0.25">
      <c r="A271" t="s">
        <v>4774</v>
      </c>
      <c r="B271" t="str">
        <f>MID(tbl_lock[[#This Row],[PACE Job Number]],3,3)</f>
        <v>ANM</v>
      </c>
      <c r="C271" t="s">
        <v>1709</v>
      </c>
      <c r="D271" s="1">
        <v>43427</v>
      </c>
    </row>
    <row r="272" spans="1:4" x14ac:dyDescent="0.25">
      <c r="A272" t="s">
        <v>4775</v>
      </c>
      <c r="B272" t="str">
        <f>MID(tbl_lock[[#This Row],[PACE Job Number]],3,3)</f>
        <v>ANM</v>
      </c>
      <c r="C272" t="s">
        <v>1709</v>
      </c>
      <c r="D272" s="1">
        <v>43427</v>
      </c>
    </row>
    <row r="273" spans="1:4" x14ac:dyDescent="0.25">
      <c r="A273" t="s">
        <v>4685</v>
      </c>
      <c r="B273" t="str">
        <f>MID(tbl_lock[[#This Row],[PACE Job Number]],3,3)</f>
        <v>ANM</v>
      </c>
      <c r="C273" t="s">
        <v>1709</v>
      </c>
      <c r="D273" s="1">
        <v>43406</v>
      </c>
    </row>
    <row r="274" spans="1:4" x14ac:dyDescent="0.25">
      <c r="A274" t="s">
        <v>4776</v>
      </c>
      <c r="B274" t="str">
        <f>MID(tbl_lock[[#This Row],[PACE Job Number]],3,3)</f>
        <v>ANM</v>
      </c>
      <c r="C274" t="s">
        <v>1709</v>
      </c>
      <c r="D274" s="1">
        <v>43409</v>
      </c>
    </row>
    <row r="275" spans="1:4" x14ac:dyDescent="0.25">
      <c r="A275" t="s">
        <v>4081</v>
      </c>
      <c r="B275" t="str">
        <f>MID(tbl_lock[[#This Row],[PACE Job Number]],3,3)</f>
        <v>STX</v>
      </c>
      <c r="C275" t="s">
        <v>1709</v>
      </c>
      <c r="D275" s="1">
        <v>43410</v>
      </c>
    </row>
    <row r="276" spans="1:4" x14ac:dyDescent="0.25">
      <c r="A276" t="s">
        <v>3572</v>
      </c>
      <c r="B276" t="str">
        <f>MID(tbl_lock[[#This Row],[PACE Job Number]],3,3)</f>
        <v>STX</v>
      </c>
      <c r="C276" t="s">
        <v>1709</v>
      </c>
      <c r="D276" s="1">
        <v>43411</v>
      </c>
    </row>
    <row r="277" spans="1:4" x14ac:dyDescent="0.25">
      <c r="A277" t="s">
        <v>3573</v>
      </c>
      <c r="B277" t="str">
        <f>MID(tbl_lock[[#This Row],[PACE Job Number]],3,3)</f>
        <v>STX</v>
      </c>
      <c r="C277" t="s">
        <v>1709</v>
      </c>
      <c r="D277" s="1">
        <v>43411</v>
      </c>
    </row>
    <row r="278" spans="1:4" x14ac:dyDescent="0.25">
      <c r="A278" t="s">
        <v>3574</v>
      </c>
      <c r="B278" t="str">
        <f>MID(tbl_lock[[#This Row],[PACE Job Number]],3,3)</f>
        <v>STX</v>
      </c>
      <c r="C278" t="s">
        <v>1709</v>
      </c>
      <c r="D278" s="1">
        <v>43413</v>
      </c>
    </row>
    <row r="279" spans="1:4" x14ac:dyDescent="0.25">
      <c r="A279" t="s">
        <v>4082</v>
      </c>
      <c r="B279" t="str">
        <f>MID(tbl_lock[[#This Row],[PACE Job Number]],3,3)</f>
        <v>STX</v>
      </c>
      <c r="C279" t="s">
        <v>1709</v>
      </c>
      <c r="D279" s="1">
        <v>43413</v>
      </c>
    </row>
    <row r="280" spans="1:4" x14ac:dyDescent="0.25">
      <c r="A280" t="s">
        <v>4083</v>
      </c>
      <c r="B280" t="str">
        <f>MID(tbl_lock[[#This Row],[PACE Job Number]],3,3)</f>
        <v>STX</v>
      </c>
      <c r="C280" t="s">
        <v>1709</v>
      </c>
      <c r="D280" s="1">
        <v>43413</v>
      </c>
    </row>
    <row r="281" spans="1:4" x14ac:dyDescent="0.25">
      <c r="A281" t="s">
        <v>4084</v>
      </c>
      <c r="B281" t="str">
        <f>MID(tbl_lock[[#This Row],[PACE Job Number]],3,3)</f>
        <v>STX</v>
      </c>
      <c r="C281" t="s">
        <v>1709</v>
      </c>
      <c r="D281" s="1">
        <v>43413</v>
      </c>
    </row>
    <row r="282" spans="1:4" x14ac:dyDescent="0.25">
      <c r="A282" t="s">
        <v>3575</v>
      </c>
      <c r="B282" t="str">
        <f>MID(tbl_lock[[#This Row],[PACE Job Number]],3,3)</f>
        <v>STX</v>
      </c>
      <c r="C282" t="s">
        <v>1709</v>
      </c>
      <c r="D282" s="1">
        <v>43411</v>
      </c>
    </row>
    <row r="283" spans="1:4" x14ac:dyDescent="0.25">
      <c r="A283" t="s">
        <v>3544</v>
      </c>
      <c r="B283" t="str">
        <f>MID(tbl_lock[[#This Row],[PACE Job Number]],3,3)</f>
        <v>STX</v>
      </c>
      <c r="C283" t="s">
        <v>1709</v>
      </c>
      <c r="D283" s="1">
        <v>43410</v>
      </c>
    </row>
    <row r="284" spans="1:4" x14ac:dyDescent="0.25">
      <c r="A284" t="s">
        <v>4085</v>
      </c>
      <c r="B284" t="str">
        <f>MID(tbl_lock[[#This Row],[PACE Job Number]],3,3)</f>
        <v>STX</v>
      </c>
      <c r="C284" t="s">
        <v>1709</v>
      </c>
      <c r="D284" s="1">
        <v>43413</v>
      </c>
    </row>
    <row r="285" spans="1:4" x14ac:dyDescent="0.25">
      <c r="A285" t="s">
        <v>4086</v>
      </c>
      <c r="B285" t="str">
        <f>MID(tbl_lock[[#This Row],[PACE Job Number]],3,3)</f>
        <v>STX</v>
      </c>
      <c r="C285" t="s">
        <v>1709</v>
      </c>
      <c r="D285" s="1">
        <v>43413</v>
      </c>
    </row>
    <row r="286" spans="1:4" x14ac:dyDescent="0.25">
      <c r="A286" t="s">
        <v>4087</v>
      </c>
      <c r="B286" t="str">
        <f>MID(tbl_lock[[#This Row],[PACE Job Number]],3,3)</f>
        <v>STX</v>
      </c>
      <c r="C286" t="s">
        <v>1709</v>
      </c>
      <c r="D286" s="1">
        <v>43413</v>
      </c>
    </row>
    <row r="287" spans="1:4" x14ac:dyDescent="0.25">
      <c r="A287" t="s">
        <v>3576</v>
      </c>
      <c r="B287" t="str">
        <f>MID(tbl_lock[[#This Row],[PACE Job Number]],3,3)</f>
        <v>STX</v>
      </c>
      <c r="C287" t="s">
        <v>1709</v>
      </c>
      <c r="D287" s="1">
        <v>43411</v>
      </c>
    </row>
    <row r="288" spans="1:4" x14ac:dyDescent="0.25">
      <c r="A288" t="s">
        <v>4088</v>
      </c>
      <c r="B288" t="str">
        <f>MID(tbl_lock[[#This Row],[PACE Job Number]],3,3)</f>
        <v>STX</v>
      </c>
      <c r="C288" t="s">
        <v>1709</v>
      </c>
      <c r="D288" s="1">
        <v>43413</v>
      </c>
    </row>
    <row r="289" spans="1:4" x14ac:dyDescent="0.25">
      <c r="A289" t="s">
        <v>3545</v>
      </c>
      <c r="B289" t="str">
        <f>MID(tbl_lock[[#This Row],[PACE Job Number]],3,3)</f>
        <v>STX</v>
      </c>
      <c r="C289" t="s">
        <v>1709</v>
      </c>
      <c r="D289" s="1">
        <v>43410</v>
      </c>
    </row>
    <row r="290" spans="1:4" x14ac:dyDescent="0.25">
      <c r="A290" t="s">
        <v>3577</v>
      </c>
      <c r="B290" t="str">
        <f>MID(tbl_lock[[#This Row],[PACE Job Number]],3,3)</f>
        <v>STX</v>
      </c>
      <c r="C290" t="s">
        <v>1709</v>
      </c>
      <c r="D290" s="1">
        <v>43413</v>
      </c>
    </row>
    <row r="291" spans="1:4" x14ac:dyDescent="0.25">
      <c r="A291" t="s">
        <v>4089</v>
      </c>
      <c r="B291" t="str">
        <f>MID(tbl_lock[[#This Row],[PACE Job Number]],3,3)</f>
        <v>STX</v>
      </c>
      <c r="C291" t="s">
        <v>1709</v>
      </c>
      <c r="D291" s="1">
        <v>43413</v>
      </c>
    </row>
    <row r="292" spans="1:4" x14ac:dyDescent="0.25">
      <c r="A292" t="s">
        <v>4097</v>
      </c>
      <c r="B292" t="str">
        <f>MID(tbl_lock[[#This Row],[PACE Job Number]],3,3)</f>
        <v>NTX</v>
      </c>
      <c r="C292" t="s">
        <v>1709</v>
      </c>
      <c r="D292" s="1">
        <v>43423</v>
      </c>
    </row>
    <row r="293" spans="1:4" x14ac:dyDescent="0.25">
      <c r="A293" t="s">
        <v>4098</v>
      </c>
      <c r="B293" t="str">
        <f>MID(tbl_lock[[#This Row],[PACE Job Number]],3,3)</f>
        <v>NTX</v>
      </c>
      <c r="C293" t="s">
        <v>1709</v>
      </c>
      <c r="D293" s="1">
        <v>43423</v>
      </c>
    </row>
    <row r="294" spans="1:4" x14ac:dyDescent="0.25">
      <c r="A294" t="s">
        <v>4099</v>
      </c>
      <c r="B294" t="str">
        <f>MID(tbl_lock[[#This Row],[PACE Job Number]],3,3)</f>
        <v>NTX</v>
      </c>
      <c r="C294" t="s">
        <v>1709</v>
      </c>
      <c r="D294" s="1">
        <v>43406</v>
      </c>
    </row>
    <row r="295" spans="1:4" x14ac:dyDescent="0.25">
      <c r="A295" t="s">
        <v>4777</v>
      </c>
      <c r="B295" t="str">
        <f>MID(tbl_lock[[#This Row],[PACE Job Number]],3,3)</f>
        <v>NTX</v>
      </c>
      <c r="C295" t="s">
        <v>1709</v>
      </c>
      <c r="D295" s="1">
        <v>43434</v>
      </c>
    </row>
    <row r="296" spans="1:4" x14ac:dyDescent="0.25">
      <c r="A296" t="s">
        <v>4778</v>
      </c>
      <c r="B296" t="str">
        <f>MID(tbl_lock[[#This Row],[PACE Job Number]],3,3)</f>
        <v>NTX</v>
      </c>
      <c r="C296" t="s">
        <v>1709</v>
      </c>
      <c r="D296" s="1">
        <v>43413</v>
      </c>
    </row>
    <row r="297" spans="1:4" x14ac:dyDescent="0.25">
      <c r="A297" t="s">
        <v>4779</v>
      </c>
      <c r="B297" t="str">
        <f>MID(tbl_lock[[#This Row],[PACE Job Number]],3,3)</f>
        <v>NTX</v>
      </c>
      <c r="C297" t="s">
        <v>1709</v>
      </c>
      <c r="D297" s="1">
        <v>43427</v>
      </c>
    </row>
    <row r="298" spans="1:4" x14ac:dyDescent="0.25">
      <c r="A298" t="s">
        <v>4780</v>
      </c>
      <c r="B298" t="str">
        <f>MID(tbl_lock[[#This Row],[PACE Job Number]],3,3)</f>
        <v>NTX</v>
      </c>
      <c r="C298" t="s">
        <v>1709</v>
      </c>
      <c r="D298" s="1">
        <v>43434</v>
      </c>
    </row>
    <row r="299" spans="1:4" x14ac:dyDescent="0.25">
      <c r="A299" t="s">
        <v>4781</v>
      </c>
      <c r="B299" t="str">
        <f>MID(tbl_lock[[#This Row],[PACE Job Number]],3,3)</f>
        <v>NTX</v>
      </c>
      <c r="C299" t="s">
        <v>1709</v>
      </c>
      <c r="D299" s="1">
        <v>43420</v>
      </c>
    </row>
    <row r="300" spans="1:4" x14ac:dyDescent="0.25">
      <c r="A300" t="s">
        <v>4782</v>
      </c>
      <c r="B300" t="str">
        <f>MID(tbl_lock[[#This Row],[PACE Job Number]],3,3)</f>
        <v>NTX</v>
      </c>
      <c r="C300" t="s">
        <v>1709</v>
      </c>
      <c r="D300" s="1">
        <v>43427</v>
      </c>
    </row>
    <row r="301" spans="1:4" x14ac:dyDescent="0.25">
      <c r="A301" t="s">
        <v>4783</v>
      </c>
      <c r="B301" t="str">
        <f>MID(tbl_lock[[#This Row],[PACE Job Number]],3,3)</f>
        <v>NTX</v>
      </c>
      <c r="C301" t="s">
        <v>1709</v>
      </c>
      <c r="D301" s="1">
        <v>43427</v>
      </c>
    </row>
    <row r="302" spans="1:4" x14ac:dyDescent="0.25">
      <c r="A302" t="s">
        <v>4100</v>
      </c>
      <c r="B302" t="str">
        <f>MID(tbl_lock[[#This Row],[PACE Job Number]],3,3)</f>
        <v>NTX</v>
      </c>
      <c r="C302" t="s">
        <v>1709</v>
      </c>
      <c r="D302" s="1">
        <v>43434</v>
      </c>
    </row>
    <row r="303" spans="1:4" x14ac:dyDescent="0.25">
      <c r="A303" t="s">
        <v>4784</v>
      </c>
      <c r="B303" t="str">
        <f>MID(tbl_lock[[#This Row],[PACE Job Number]],3,3)</f>
        <v>NTX</v>
      </c>
      <c r="C303" t="s">
        <v>1709</v>
      </c>
      <c r="D303" s="1">
        <v>43427</v>
      </c>
    </row>
    <row r="304" spans="1:4" x14ac:dyDescent="0.25">
      <c r="A304" t="s">
        <v>4785</v>
      </c>
      <c r="B304" t="str">
        <f>MID(tbl_lock[[#This Row],[PACE Job Number]],3,3)</f>
        <v>NTX</v>
      </c>
      <c r="C304" t="s">
        <v>1709</v>
      </c>
      <c r="D304" s="1">
        <v>43413</v>
      </c>
    </row>
    <row r="305" spans="1:4" x14ac:dyDescent="0.25">
      <c r="A305" t="s">
        <v>4786</v>
      </c>
      <c r="B305" t="str">
        <f>MID(tbl_lock[[#This Row],[PACE Job Number]],3,3)</f>
        <v>NTX</v>
      </c>
      <c r="C305" t="s">
        <v>1709</v>
      </c>
      <c r="D305" s="1">
        <v>43434</v>
      </c>
    </row>
    <row r="306" spans="1:4" x14ac:dyDescent="0.25">
      <c r="A306" t="s">
        <v>4787</v>
      </c>
      <c r="B306" t="str">
        <f>MID(tbl_lock[[#This Row],[PACE Job Number]],3,3)</f>
        <v>NTX</v>
      </c>
      <c r="C306" t="s">
        <v>1709</v>
      </c>
      <c r="D306" s="1">
        <v>43434</v>
      </c>
    </row>
    <row r="307" spans="1:4" x14ac:dyDescent="0.25">
      <c r="A307" t="s">
        <v>4101</v>
      </c>
      <c r="B307" t="str">
        <f>MID(tbl_lock[[#This Row],[PACE Job Number]],3,3)</f>
        <v>NTX</v>
      </c>
      <c r="C307" t="s">
        <v>1709</v>
      </c>
      <c r="D307" s="1">
        <v>43434</v>
      </c>
    </row>
    <row r="308" spans="1:4" x14ac:dyDescent="0.25">
      <c r="A308" t="s">
        <v>4788</v>
      </c>
      <c r="B308" t="str">
        <f>MID(tbl_lock[[#This Row],[PACE Job Number]],3,3)</f>
        <v>NTX</v>
      </c>
      <c r="C308" t="s">
        <v>1709</v>
      </c>
      <c r="D308" s="1">
        <v>43427</v>
      </c>
    </row>
    <row r="309" spans="1:4" x14ac:dyDescent="0.25">
      <c r="A309" t="s">
        <v>4789</v>
      </c>
      <c r="B309" t="str">
        <f>MID(tbl_lock[[#This Row],[PACE Job Number]],3,3)</f>
        <v>NTX</v>
      </c>
      <c r="C309" t="s">
        <v>1709</v>
      </c>
      <c r="D309" s="1">
        <v>43430</v>
      </c>
    </row>
    <row r="310" spans="1:4" x14ac:dyDescent="0.25">
      <c r="A310" t="s">
        <v>4790</v>
      </c>
      <c r="B310" t="str">
        <f>MID(tbl_lock[[#This Row],[PACE Job Number]],3,3)</f>
        <v>NTX</v>
      </c>
      <c r="C310" t="s">
        <v>1709</v>
      </c>
      <c r="D310" s="1">
        <v>43427</v>
      </c>
    </row>
    <row r="311" spans="1:4" x14ac:dyDescent="0.25">
      <c r="A311" t="s">
        <v>4791</v>
      </c>
      <c r="B311" t="str">
        <f>MID(tbl_lock[[#This Row],[PACE Job Number]],3,3)</f>
        <v>NTX</v>
      </c>
      <c r="C311" t="s">
        <v>1709</v>
      </c>
      <c r="D311" s="1">
        <v>43434</v>
      </c>
    </row>
    <row r="312" spans="1:4" x14ac:dyDescent="0.25">
      <c r="A312" t="s">
        <v>4792</v>
      </c>
      <c r="B312" t="str">
        <f>MID(tbl_lock[[#This Row],[PACE Job Number]],3,3)</f>
        <v>NTX</v>
      </c>
      <c r="C312" t="s">
        <v>1709</v>
      </c>
      <c r="D312" s="1">
        <v>43434</v>
      </c>
    </row>
    <row r="313" spans="1:4" x14ac:dyDescent="0.25">
      <c r="A313" t="s">
        <v>4793</v>
      </c>
      <c r="B313" t="str">
        <f>MID(tbl_lock[[#This Row],[PACE Job Number]],3,3)</f>
        <v>NTX</v>
      </c>
      <c r="C313" t="s">
        <v>1709</v>
      </c>
      <c r="D313" s="1">
        <v>43413</v>
      </c>
    </row>
    <row r="314" spans="1:4" x14ac:dyDescent="0.25">
      <c r="A314" t="s">
        <v>4794</v>
      </c>
      <c r="B314" t="str">
        <f>MID(tbl_lock[[#This Row],[PACE Job Number]],3,3)</f>
        <v>ANM</v>
      </c>
      <c r="C314" t="s">
        <v>1709</v>
      </c>
      <c r="D314" s="1">
        <v>43406</v>
      </c>
    </row>
    <row r="315" spans="1:4" x14ac:dyDescent="0.25">
      <c r="A315" t="s">
        <v>3739</v>
      </c>
      <c r="B315" t="str">
        <f>MID(tbl_lock[[#This Row],[PACE Job Number]],3,3)</f>
        <v>STX</v>
      </c>
      <c r="C315" t="s">
        <v>1709</v>
      </c>
      <c r="D315" s="1">
        <v>43413</v>
      </c>
    </row>
    <row r="316" spans="1:4" x14ac:dyDescent="0.25">
      <c r="A316" t="s">
        <v>3740</v>
      </c>
      <c r="B316" t="str">
        <f>MID(tbl_lock[[#This Row],[PACE Job Number]],3,3)</f>
        <v>STX</v>
      </c>
      <c r="C316" t="s">
        <v>1709</v>
      </c>
      <c r="D316" s="1">
        <v>43411</v>
      </c>
    </row>
    <row r="317" spans="1:4" x14ac:dyDescent="0.25">
      <c r="A317" t="s">
        <v>3741</v>
      </c>
      <c r="B317" t="str">
        <f>MID(tbl_lock[[#This Row],[PACE Job Number]],3,3)</f>
        <v>STX</v>
      </c>
      <c r="C317" t="s">
        <v>1709</v>
      </c>
      <c r="D317" s="1">
        <v>43413</v>
      </c>
    </row>
    <row r="318" spans="1:4" x14ac:dyDescent="0.25">
      <c r="A318" t="s">
        <v>3742</v>
      </c>
      <c r="B318" t="str">
        <f>MID(tbl_lock[[#This Row],[PACE Job Number]],3,3)</f>
        <v>STX</v>
      </c>
      <c r="C318" t="s">
        <v>1709</v>
      </c>
      <c r="D318" s="1">
        <v>43410</v>
      </c>
    </row>
    <row r="319" spans="1:4" x14ac:dyDescent="0.25">
      <c r="A319" t="s">
        <v>3743</v>
      </c>
      <c r="B319" t="str">
        <f>MID(tbl_lock[[#This Row],[PACE Job Number]],3,3)</f>
        <v>STX</v>
      </c>
      <c r="C319" t="s">
        <v>1709</v>
      </c>
      <c r="D319" s="1">
        <v>43411</v>
      </c>
    </row>
    <row r="320" spans="1:4" x14ac:dyDescent="0.25">
      <c r="A320" t="s">
        <v>3744</v>
      </c>
      <c r="B320" t="str">
        <f>MID(tbl_lock[[#This Row],[PACE Job Number]],3,3)</f>
        <v>STX</v>
      </c>
      <c r="C320" t="s">
        <v>1709</v>
      </c>
      <c r="D320" s="1">
        <v>43413</v>
      </c>
    </row>
    <row r="321" spans="1:4" x14ac:dyDescent="0.25">
      <c r="A321" t="s">
        <v>3745</v>
      </c>
      <c r="B321" t="str">
        <f>MID(tbl_lock[[#This Row],[PACE Job Number]],3,3)</f>
        <v>STX</v>
      </c>
      <c r="C321" t="s">
        <v>1709</v>
      </c>
      <c r="D321" s="1">
        <v>43411</v>
      </c>
    </row>
    <row r="322" spans="1:4" x14ac:dyDescent="0.25">
      <c r="A322" t="s">
        <v>3746</v>
      </c>
      <c r="B322" t="str">
        <f>MID(tbl_lock[[#This Row],[PACE Job Number]],3,3)</f>
        <v>STX</v>
      </c>
      <c r="C322" t="s">
        <v>1709</v>
      </c>
      <c r="D322" s="1">
        <v>43413</v>
      </c>
    </row>
    <row r="323" spans="1:4" x14ac:dyDescent="0.25">
      <c r="A323" t="s">
        <v>4113</v>
      </c>
      <c r="B323" t="str">
        <f>MID(tbl_lock[[#This Row],[PACE Job Number]],3,3)</f>
        <v>STX</v>
      </c>
      <c r="C323" t="s">
        <v>1709</v>
      </c>
      <c r="D323" s="1">
        <v>43410</v>
      </c>
    </row>
    <row r="324" spans="1:4" x14ac:dyDescent="0.25">
      <c r="A324" t="s">
        <v>3747</v>
      </c>
      <c r="B324" t="str">
        <f>MID(tbl_lock[[#This Row],[PACE Job Number]],3,3)</f>
        <v>STX</v>
      </c>
      <c r="C324" t="s">
        <v>1709</v>
      </c>
      <c r="D324" s="1">
        <v>43411</v>
      </c>
    </row>
    <row r="325" spans="1:4" x14ac:dyDescent="0.25">
      <c r="A325" t="s">
        <v>3748</v>
      </c>
      <c r="B325" t="str">
        <f>MID(tbl_lock[[#This Row],[PACE Job Number]],3,3)</f>
        <v>STX</v>
      </c>
      <c r="C325" t="s">
        <v>1709</v>
      </c>
      <c r="D325" s="1">
        <v>43410</v>
      </c>
    </row>
    <row r="326" spans="1:4" x14ac:dyDescent="0.25">
      <c r="A326" t="s">
        <v>3749</v>
      </c>
      <c r="B326" t="str">
        <f>MID(tbl_lock[[#This Row],[PACE Job Number]],3,3)</f>
        <v>STX</v>
      </c>
      <c r="C326" t="s">
        <v>1709</v>
      </c>
      <c r="D326" s="1">
        <v>43411</v>
      </c>
    </row>
    <row r="327" spans="1:4" x14ac:dyDescent="0.25">
      <c r="A327" t="s">
        <v>3750</v>
      </c>
      <c r="B327" t="str">
        <f>MID(tbl_lock[[#This Row],[PACE Job Number]],3,3)</f>
        <v>STX</v>
      </c>
      <c r="C327" t="s">
        <v>1709</v>
      </c>
      <c r="D327" s="1">
        <v>43410</v>
      </c>
    </row>
    <row r="328" spans="1:4" x14ac:dyDescent="0.25">
      <c r="A328" t="s">
        <v>3751</v>
      </c>
      <c r="B328" t="str">
        <f>MID(tbl_lock[[#This Row],[PACE Job Number]],3,3)</f>
        <v>STX</v>
      </c>
      <c r="C328" t="s">
        <v>1709</v>
      </c>
      <c r="D328" s="1">
        <v>43410</v>
      </c>
    </row>
    <row r="329" spans="1:4" x14ac:dyDescent="0.25">
      <c r="A329" t="s">
        <v>3752</v>
      </c>
      <c r="B329" t="str">
        <f>MID(tbl_lock[[#This Row],[PACE Job Number]],3,3)</f>
        <v>STX</v>
      </c>
      <c r="C329" t="s">
        <v>1709</v>
      </c>
      <c r="D329" s="1">
        <v>43410</v>
      </c>
    </row>
    <row r="330" spans="1:4" x14ac:dyDescent="0.25">
      <c r="A330" t="s">
        <v>3753</v>
      </c>
      <c r="B330" t="str">
        <f>MID(tbl_lock[[#This Row],[PACE Job Number]],3,3)</f>
        <v>STX</v>
      </c>
      <c r="C330" t="s">
        <v>1709</v>
      </c>
      <c r="D330" s="1">
        <v>43413</v>
      </c>
    </row>
    <row r="331" spans="1:4" x14ac:dyDescent="0.25">
      <c r="A331" t="s">
        <v>3754</v>
      </c>
      <c r="B331" t="str">
        <f>MID(tbl_lock[[#This Row],[PACE Job Number]],3,3)</f>
        <v>STX</v>
      </c>
      <c r="C331" t="s">
        <v>1709</v>
      </c>
      <c r="D331" s="1">
        <v>43411</v>
      </c>
    </row>
    <row r="332" spans="1:4" x14ac:dyDescent="0.25">
      <c r="A332" t="s">
        <v>3755</v>
      </c>
      <c r="B332" t="str">
        <f>MID(tbl_lock[[#This Row],[PACE Job Number]],3,3)</f>
        <v>STX</v>
      </c>
      <c r="C332" t="s">
        <v>1709</v>
      </c>
      <c r="D332" s="1">
        <v>43411</v>
      </c>
    </row>
    <row r="333" spans="1:4" x14ac:dyDescent="0.25">
      <c r="A333" t="s">
        <v>3756</v>
      </c>
      <c r="B333" t="str">
        <f>MID(tbl_lock[[#This Row],[PACE Job Number]],3,3)</f>
        <v>STX</v>
      </c>
      <c r="C333" t="s">
        <v>1709</v>
      </c>
      <c r="D333" s="1">
        <v>43410</v>
      </c>
    </row>
    <row r="334" spans="1:4" x14ac:dyDescent="0.25">
      <c r="A334" t="s">
        <v>3569</v>
      </c>
      <c r="B334" t="str">
        <f>MID(tbl_lock[[#This Row],[PACE Job Number]],3,3)</f>
        <v>STX</v>
      </c>
      <c r="C334" t="s">
        <v>1709</v>
      </c>
      <c r="D334" s="1">
        <v>43410</v>
      </c>
    </row>
    <row r="335" spans="1:4" x14ac:dyDescent="0.25">
      <c r="A335" t="s">
        <v>3757</v>
      </c>
      <c r="B335" t="str">
        <f>MID(tbl_lock[[#This Row],[PACE Job Number]],3,3)</f>
        <v>STX</v>
      </c>
      <c r="C335" t="s">
        <v>1709</v>
      </c>
      <c r="D335" s="1">
        <v>43405</v>
      </c>
    </row>
    <row r="336" spans="1:4" x14ac:dyDescent="0.25">
      <c r="A336" t="s">
        <v>3758</v>
      </c>
      <c r="B336" t="str">
        <f>MID(tbl_lock[[#This Row],[PACE Job Number]],3,3)</f>
        <v>STX</v>
      </c>
      <c r="C336" t="s">
        <v>1709</v>
      </c>
      <c r="D336" s="1">
        <v>43418</v>
      </c>
    </row>
    <row r="337" spans="1:4" x14ac:dyDescent="0.25">
      <c r="A337" t="s">
        <v>3759</v>
      </c>
      <c r="B337" t="str">
        <f>MID(tbl_lock[[#This Row],[PACE Job Number]],3,3)</f>
        <v>STX</v>
      </c>
      <c r="C337" t="s">
        <v>1709</v>
      </c>
      <c r="D337" s="1">
        <v>43411</v>
      </c>
    </row>
    <row r="338" spans="1:4" x14ac:dyDescent="0.25">
      <c r="A338" t="s">
        <v>3760</v>
      </c>
      <c r="B338" t="str">
        <f>MID(tbl_lock[[#This Row],[PACE Job Number]],3,3)</f>
        <v>STX</v>
      </c>
      <c r="C338" t="s">
        <v>1709</v>
      </c>
      <c r="D338" s="1">
        <v>43413</v>
      </c>
    </row>
    <row r="339" spans="1:4" x14ac:dyDescent="0.25">
      <c r="A339" t="s">
        <v>4072</v>
      </c>
      <c r="B339" t="str">
        <f>MID(tbl_lock[[#This Row],[PACE Job Number]],3,3)</f>
        <v>STX</v>
      </c>
      <c r="C339" t="s">
        <v>1709</v>
      </c>
      <c r="D339" s="1">
        <v>43410</v>
      </c>
    </row>
    <row r="340" spans="1:4" x14ac:dyDescent="0.25">
      <c r="A340" t="s">
        <v>3761</v>
      </c>
      <c r="B340" t="str">
        <f>MID(tbl_lock[[#This Row],[PACE Job Number]],3,3)</f>
        <v>STX</v>
      </c>
      <c r="C340" t="s">
        <v>1709</v>
      </c>
      <c r="D340" s="1">
        <v>43410</v>
      </c>
    </row>
    <row r="341" spans="1:4" x14ac:dyDescent="0.25">
      <c r="A341" t="s">
        <v>3762</v>
      </c>
      <c r="B341" t="str">
        <f>MID(tbl_lock[[#This Row],[PACE Job Number]],3,3)</f>
        <v>STX</v>
      </c>
      <c r="C341" t="s">
        <v>1709</v>
      </c>
      <c r="D341" s="1">
        <v>43410</v>
      </c>
    </row>
    <row r="342" spans="1:4" x14ac:dyDescent="0.25">
      <c r="A342" t="s">
        <v>3763</v>
      </c>
      <c r="B342" t="str">
        <f>MID(tbl_lock[[#This Row],[PACE Job Number]],3,3)</f>
        <v>STX</v>
      </c>
      <c r="C342" t="s">
        <v>1709</v>
      </c>
      <c r="D342" s="1">
        <v>43411</v>
      </c>
    </row>
    <row r="343" spans="1:4" x14ac:dyDescent="0.25">
      <c r="A343" t="s">
        <v>4073</v>
      </c>
      <c r="B343" t="str">
        <f>MID(tbl_lock[[#This Row],[PACE Job Number]],3,3)</f>
        <v>STX</v>
      </c>
      <c r="C343" t="s">
        <v>1709</v>
      </c>
      <c r="D343" s="1">
        <v>43413</v>
      </c>
    </row>
    <row r="344" spans="1:4" x14ac:dyDescent="0.25">
      <c r="A344" t="s">
        <v>4074</v>
      </c>
      <c r="B344" t="str">
        <f>MID(tbl_lock[[#This Row],[PACE Job Number]],3,3)</f>
        <v>STX</v>
      </c>
      <c r="C344" t="s">
        <v>1709</v>
      </c>
      <c r="D344" s="1">
        <v>43413</v>
      </c>
    </row>
    <row r="345" spans="1:4" x14ac:dyDescent="0.25">
      <c r="A345" t="s">
        <v>3764</v>
      </c>
      <c r="B345" t="str">
        <f>MID(tbl_lock[[#This Row],[PACE Job Number]],3,3)</f>
        <v>STX</v>
      </c>
      <c r="C345" t="s">
        <v>1709</v>
      </c>
      <c r="D345" s="1">
        <v>43418</v>
      </c>
    </row>
    <row r="346" spans="1:4" x14ac:dyDescent="0.25">
      <c r="A346" t="s">
        <v>3765</v>
      </c>
      <c r="B346" t="str">
        <f>MID(tbl_lock[[#This Row],[PACE Job Number]],3,3)</f>
        <v>STX</v>
      </c>
      <c r="C346" t="s">
        <v>1709</v>
      </c>
      <c r="D346" s="1">
        <v>43418</v>
      </c>
    </row>
    <row r="347" spans="1:4" x14ac:dyDescent="0.25">
      <c r="A347" t="s">
        <v>3766</v>
      </c>
      <c r="B347" t="str">
        <f>MID(tbl_lock[[#This Row],[PACE Job Number]],3,3)</f>
        <v>STX</v>
      </c>
      <c r="C347" t="s">
        <v>1709</v>
      </c>
      <c r="D347" s="1">
        <v>43411</v>
      </c>
    </row>
    <row r="348" spans="1:4" x14ac:dyDescent="0.25">
      <c r="A348" t="s">
        <v>3767</v>
      </c>
      <c r="B348" t="str">
        <f>MID(tbl_lock[[#This Row],[PACE Job Number]],3,3)</f>
        <v>STX</v>
      </c>
      <c r="C348" t="s">
        <v>1709</v>
      </c>
      <c r="D348" s="1">
        <v>43411</v>
      </c>
    </row>
    <row r="349" spans="1:4" x14ac:dyDescent="0.25">
      <c r="A349" t="s">
        <v>3768</v>
      </c>
      <c r="B349" t="str">
        <f>MID(tbl_lock[[#This Row],[PACE Job Number]],3,3)</f>
        <v>STX</v>
      </c>
      <c r="C349" t="s">
        <v>1709</v>
      </c>
      <c r="D349" s="1">
        <v>43411</v>
      </c>
    </row>
    <row r="350" spans="1:4" x14ac:dyDescent="0.25">
      <c r="A350" t="s">
        <v>4090</v>
      </c>
      <c r="B350" t="str">
        <f>MID(tbl_lock[[#This Row],[PACE Job Number]],3,3)</f>
        <v>STX</v>
      </c>
      <c r="C350" t="s">
        <v>1709</v>
      </c>
      <c r="D350" s="1">
        <v>43418</v>
      </c>
    </row>
    <row r="351" spans="1:4" x14ac:dyDescent="0.25">
      <c r="A351" t="s">
        <v>4091</v>
      </c>
      <c r="B351" t="str">
        <f>MID(tbl_lock[[#This Row],[PACE Job Number]],3,3)</f>
        <v>STX</v>
      </c>
      <c r="C351" t="s">
        <v>1709</v>
      </c>
      <c r="D351" s="1">
        <v>43413</v>
      </c>
    </row>
    <row r="352" spans="1:4" x14ac:dyDescent="0.25">
      <c r="A352" t="s">
        <v>1688</v>
      </c>
      <c r="B352" t="str">
        <f>MID(tbl_lock[[#This Row],[PACE Job Number]],3,3)</f>
        <v>STX</v>
      </c>
      <c r="C352" t="s">
        <v>1709</v>
      </c>
      <c r="D352" s="1">
        <v>43410</v>
      </c>
    </row>
    <row r="353" spans="1:4" x14ac:dyDescent="0.25">
      <c r="A353" t="s">
        <v>3686</v>
      </c>
      <c r="B353" t="str">
        <f>MID(tbl_lock[[#This Row],[PACE Job Number]],3,3)</f>
        <v>NTX</v>
      </c>
      <c r="C353" t="s">
        <v>1709</v>
      </c>
      <c r="D353" s="1">
        <v>43406</v>
      </c>
    </row>
    <row r="354" spans="1:4" x14ac:dyDescent="0.25">
      <c r="A354" t="s">
        <v>3687</v>
      </c>
      <c r="B354" t="str">
        <f>MID(tbl_lock[[#This Row],[PACE Job Number]],3,3)</f>
        <v>NTX</v>
      </c>
      <c r="C354" t="s">
        <v>1709</v>
      </c>
      <c r="D354" s="1">
        <v>43406</v>
      </c>
    </row>
    <row r="355" spans="1:4" x14ac:dyDescent="0.25">
      <c r="A355" t="s">
        <v>3688</v>
      </c>
      <c r="B355" t="str">
        <f>MID(tbl_lock[[#This Row],[PACE Job Number]],3,3)</f>
        <v>NTX</v>
      </c>
      <c r="C355" t="s">
        <v>1709</v>
      </c>
      <c r="D355" s="1">
        <v>43406</v>
      </c>
    </row>
    <row r="356" spans="1:4" x14ac:dyDescent="0.25">
      <c r="A356" t="s">
        <v>3729</v>
      </c>
      <c r="B356" t="str">
        <f>MID(tbl_lock[[#This Row],[PACE Job Number]],3,3)</f>
        <v>NTX</v>
      </c>
      <c r="C356" t="s">
        <v>1709</v>
      </c>
      <c r="D356" s="1">
        <v>43412</v>
      </c>
    </row>
    <row r="357" spans="1:4" x14ac:dyDescent="0.25">
      <c r="A357" t="s">
        <v>3730</v>
      </c>
      <c r="B357" t="str">
        <f>MID(tbl_lock[[#This Row],[PACE Job Number]],3,3)</f>
        <v>NTX</v>
      </c>
      <c r="C357" t="s">
        <v>1709</v>
      </c>
      <c r="D357" s="1">
        <v>43412</v>
      </c>
    </row>
    <row r="358" spans="1:4" x14ac:dyDescent="0.25">
      <c r="A358" t="s">
        <v>3731</v>
      </c>
      <c r="B358" t="str">
        <f>MID(tbl_lock[[#This Row],[PACE Job Number]],3,3)</f>
        <v>NTX</v>
      </c>
      <c r="C358" t="s">
        <v>1709</v>
      </c>
      <c r="D358" s="1">
        <v>43412</v>
      </c>
    </row>
    <row r="359" spans="1:4" x14ac:dyDescent="0.25">
      <c r="A359" t="s">
        <v>3732</v>
      </c>
      <c r="B359" t="str">
        <f>MID(tbl_lock[[#This Row],[PACE Job Number]],3,3)</f>
        <v>NTX</v>
      </c>
      <c r="C359" t="s">
        <v>1709</v>
      </c>
      <c r="D359" s="1">
        <v>43412</v>
      </c>
    </row>
    <row r="360" spans="1:4" x14ac:dyDescent="0.25">
      <c r="A360" t="s">
        <v>4795</v>
      </c>
      <c r="B360" t="str">
        <f>MID(tbl_lock[[#This Row],[PACE Job Number]],3,3)</f>
        <v>NTX</v>
      </c>
      <c r="C360" t="s">
        <v>1709</v>
      </c>
      <c r="D360" s="1">
        <v>43432</v>
      </c>
    </row>
    <row r="361" spans="1:4" x14ac:dyDescent="0.25">
      <c r="A361" t="s">
        <v>4796</v>
      </c>
      <c r="B361" t="str">
        <f>MID(tbl_lock[[#This Row],[PACE Job Number]],3,3)</f>
        <v>NTX</v>
      </c>
      <c r="C361" t="s">
        <v>1709</v>
      </c>
      <c r="D361" s="1">
        <v>43405</v>
      </c>
    </row>
    <row r="362" spans="1:4" x14ac:dyDescent="0.25">
      <c r="A362" t="s">
        <v>4797</v>
      </c>
      <c r="B362" t="str">
        <f>MID(tbl_lock[[#This Row],[PACE Job Number]],3,3)</f>
        <v>NTX</v>
      </c>
      <c r="C362" t="s">
        <v>1709</v>
      </c>
      <c r="D362" s="1">
        <v>43432</v>
      </c>
    </row>
    <row r="363" spans="1:4" x14ac:dyDescent="0.25">
      <c r="A363" t="s">
        <v>4798</v>
      </c>
      <c r="B363" t="str">
        <f>MID(tbl_lock[[#This Row],[PACE Job Number]],3,3)</f>
        <v>NTX</v>
      </c>
      <c r="C363" t="s">
        <v>1709</v>
      </c>
      <c r="D363" s="1">
        <v>43412</v>
      </c>
    </row>
    <row r="364" spans="1:4" x14ac:dyDescent="0.25">
      <c r="A364" t="s">
        <v>4120</v>
      </c>
      <c r="B364" t="str">
        <f>MID(tbl_lock[[#This Row],[PACE Job Number]],3,3)</f>
        <v>NTX</v>
      </c>
      <c r="C364" t="s">
        <v>1709</v>
      </c>
      <c r="D364" s="1">
        <v>43413</v>
      </c>
    </row>
    <row r="365" spans="1:4" x14ac:dyDescent="0.25">
      <c r="A365" t="s">
        <v>3478</v>
      </c>
      <c r="B365" t="str">
        <f>MID(tbl_lock[[#This Row],[PACE Job Number]],3,3)</f>
        <v>STX</v>
      </c>
      <c r="C365" t="s">
        <v>1709</v>
      </c>
      <c r="D365" s="1">
        <v>43410</v>
      </c>
    </row>
    <row r="366" spans="1:4" x14ac:dyDescent="0.25">
      <c r="A366" t="s">
        <v>4205</v>
      </c>
      <c r="B366" t="str">
        <f>MID(tbl_lock[[#This Row],[PACE Job Number]],3,3)</f>
        <v>NTX</v>
      </c>
      <c r="C366" t="s">
        <v>1709</v>
      </c>
      <c r="D366" s="1">
        <v>43410</v>
      </c>
    </row>
    <row r="367" spans="1:4" x14ac:dyDescent="0.25">
      <c r="A367" t="s">
        <v>4241</v>
      </c>
      <c r="B367" t="str">
        <f>MID(tbl_lock[[#This Row],[PACE Job Number]],3,3)</f>
        <v>NTX</v>
      </c>
      <c r="C367" t="s">
        <v>1709</v>
      </c>
      <c r="D367" s="1">
        <v>43410</v>
      </c>
    </row>
    <row r="368" spans="1:4" x14ac:dyDescent="0.25">
      <c r="A368" t="s">
        <v>3586</v>
      </c>
      <c r="B368" t="str">
        <f>MID(tbl_lock[[#This Row],[PACE Job Number]],3,3)</f>
        <v>STX</v>
      </c>
      <c r="C368" t="s">
        <v>1709</v>
      </c>
      <c r="D368" s="1">
        <v>43413</v>
      </c>
    </row>
    <row r="369" spans="1:4" x14ac:dyDescent="0.25">
      <c r="A369" t="s">
        <v>3587</v>
      </c>
      <c r="B369" t="str">
        <f>MID(tbl_lock[[#This Row],[PACE Job Number]],3,3)</f>
        <v>STX</v>
      </c>
      <c r="C369" t="s">
        <v>1709</v>
      </c>
      <c r="D369" s="1">
        <v>43411</v>
      </c>
    </row>
    <row r="370" spans="1:4" x14ac:dyDescent="0.25">
      <c r="A370" t="s">
        <v>3546</v>
      </c>
      <c r="B370" t="str">
        <f>MID(tbl_lock[[#This Row],[PACE Job Number]],3,3)</f>
        <v>STX</v>
      </c>
      <c r="C370" t="s">
        <v>1709</v>
      </c>
      <c r="D370" s="1">
        <v>43410</v>
      </c>
    </row>
    <row r="371" spans="1:4" x14ac:dyDescent="0.25">
      <c r="A371" t="s">
        <v>4092</v>
      </c>
      <c r="B371" t="str">
        <f>MID(tbl_lock[[#This Row],[PACE Job Number]],3,3)</f>
        <v>STX</v>
      </c>
      <c r="C371" t="s">
        <v>1709</v>
      </c>
      <c r="D371" s="1">
        <v>43413</v>
      </c>
    </row>
    <row r="372" spans="1:4" x14ac:dyDescent="0.25">
      <c r="A372" t="s">
        <v>3588</v>
      </c>
      <c r="B372" t="str">
        <f>MID(tbl_lock[[#This Row],[PACE Job Number]],3,3)</f>
        <v>STX</v>
      </c>
      <c r="C372" t="s">
        <v>1709</v>
      </c>
      <c r="D372" s="1">
        <v>43405</v>
      </c>
    </row>
    <row r="373" spans="1:4" x14ac:dyDescent="0.25">
      <c r="A373" t="s">
        <v>4093</v>
      </c>
      <c r="B373" t="str">
        <f>MID(tbl_lock[[#This Row],[PACE Job Number]],3,3)</f>
        <v>STX</v>
      </c>
      <c r="C373" t="s">
        <v>1709</v>
      </c>
      <c r="D373" s="1">
        <v>43413</v>
      </c>
    </row>
    <row r="374" spans="1:4" x14ac:dyDescent="0.25">
      <c r="A374" t="s">
        <v>3589</v>
      </c>
      <c r="B374" t="str">
        <f>MID(tbl_lock[[#This Row],[PACE Job Number]],3,3)</f>
        <v>STX</v>
      </c>
      <c r="C374" t="s">
        <v>1709</v>
      </c>
      <c r="D374" s="1">
        <v>43413</v>
      </c>
    </row>
    <row r="375" spans="1:4" x14ac:dyDescent="0.25">
      <c r="A375" t="s">
        <v>3590</v>
      </c>
      <c r="B375" t="str">
        <f>MID(tbl_lock[[#This Row],[PACE Job Number]],3,3)</f>
        <v>STX</v>
      </c>
      <c r="C375" t="s">
        <v>1709</v>
      </c>
      <c r="D375" s="1">
        <v>43418</v>
      </c>
    </row>
    <row r="376" spans="1:4" x14ac:dyDescent="0.25">
      <c r="A376" t="s">
        <v>3547</v>
      </c>
      <c r="B376" t="str">
        <f>MID(tbl_lock[[#This Row],[PACE Job Number]],3,3)</f>
        <v>STX</v>
      </c>
      <c r="C376" t="s">
        <v>1709</v>
      </c>
      <c r="D376" s="1">
        <v>43410</v>
      </c>
    </row>
    <row r="377" spans="1:4" x14ac:dyDescent="0.25">
      <c r="A377" t="s">
        <v>3591</v>
      </c>
      <c r="B377" t="str">
        <f>MID(tbl_lock[[#This Row],[PACE Job Number]],3,3)</f>
        <v>STX</v>
      </c>
      <c r="C377" t="s">
        <v>1709</v>
      </c>
      <c r="D377" s="1">
        <v>43411</v>
      </c>
    </row>
    <row r="378" spans="1:4" x14ac:dyDescent="0.25">
      <c r="A378" t="s">
        <v>3592</v>
      </c>
      <c r="B378" t="str">
        <f>MID(tbl_lock[[#This Row],[PACE Job Number]],3,3)</f>
        <v>STX</v>
      </c>
      <c r="C378" t="s">
        <v>1709</v>
      </c>
      <c r="D378" s="1">
        <v>43405</v>
      </c>
    </row>
    <row r="379" spans="1:4" x14ac:dyDescent="0.25">
      <c r="A379" t="s">
        <v>3593</v>
      </c>
      <c r="B379" t="str">
        <f>MID(tbl_lock[[#This Row],[PACE Job Number]],3,3)</f>
        <v>STX</v>
      </c>
      <c r="C379" t="s">
        <v>1709</v>
      </c>
      <c r="D379" s="1">
        <v>43413</v>
      </c>
    </row>
    <row r="380" spans="1:4" x14ac:dyDescent="0.25">
      <c r="A380" t="s">
        <v>3594</v>
      </c>
      <c r="B380" t="str">
        <f>MID(tbl_lock[[#This Row],[PACE Job Number]],3,3)</f>
        <v>STX</v>
      </c>
      <c r="C380" t="s">
        <v>1709</v>
      </c>
      <c r="D380" s="1">
        <v>43410</v>
      </c>
    </row>
    <row r="381" spans="1:4" x14ac:dyDescent="0.25">
      <c r="A381" t="s">
        <v>3595</v>
      </c>
      <c r="B381" t="str">
        <f>MID(tbl_lock[[#This Row],[PACE Job Number]],3,3)</f>
        <v>STX</v>
      </c>
      <c r="C381" t="s">
        <v>1709</v>
      </c>
      <c r="D381" s="1">
        <v>43427</v>
      </c>
    </row>
    <row r="382" spans="1:4" x14ac:dyDescent="0.25">
      <c r="A382" t="s">
        <v>4094</v>
      </c>
      <c r="B382" t="str">
        <f>MID(tbl_lock[[#This Row],[PACE Job Number]],3,3)</f>
        <v>STX</v>
      </c>
      <c r="C382" t="s">
        <v>1709</v>
      </c>
      <c r="D382" s="1">
        <v>43413</v>
      </c>
    </row>
    <row r="383" spans="1:4" x14ac:dyDescent="0.25">
      <c r="A383" t="s">
        <v>3596</v>
      </c>
      <c r="B383" t="str">
        <f>MID(tbl_lock[[#This Row],[PACE Job Number]],3,3)</f>
        <v>STX</v>
      </c>
      <c r="C383" t="s">
        <v>1709</v>
      </c>
      <c r="D383" s="1">
        <v>43410</v>
      </c>
    </row>
    <row r="384" spans="1:4" x14ac:dyDescent="0.25">
      <c r="A384" t="s">
        <v>3597</v>
      </c>
      <c r="B384" t="str">
        <f>MID(tbl_lock[[#This Row],[PACE Job Number]],3,3)</f>
        <v>STX</v>
      </c>
      <c r="C384" t="s">
        <v>1709</v>
      </c>
      <c r="D384" s="1">
        <v>43413</v>
      </c>
    </row>
    <row r="385" spans="1:4" x14ac:dyDescent="0.25">
      <c r="A385" t="s">
        <v>3598</v>
      </c>
      <c r="B385" t="str">
        <f>MID(tbl_lock[[#This Row],[PACE Job Number]],3,3)</f>
        <v>STX</v>
      </c>
      <c r="C385" t="s">
        <v>1709</v>
      </c>
      <c r="D385" s="1">
        <v>43405</v>
      </c>
    </row>
    <row r="386" spans="1:4" x14ac:dyDescent="0.25">
      <c r="A386" t="s">
        <v>3599</v>
      </c>
      <c r="B386" t="str">
        <f>MID(tbl_lock[[#This Row],[PACE Job Number]],3,3)</f>
        <v>STX</v>
      </c>
      <c r="C386" t="s">
        <v>1709</v>
      </c>
      <c r="D386" s="1">
        <v>43411</v>
      </c>
    </row>
    <row r="387" spans="1:4" x14ac:dyDescent="0.25">
      <c r="A387" t="s">
        <v>4095</v>
      </c>
      <c r="B387" t="str">
        <f>MID(tbl_lock[[#This Row],[PACE Job Number]],3,3)</f>
        <v>STX</v>
      </c>
      <c r="C387" t="s">
        <v>1709</v>
      </c>
      <c r="D387" s="1">
        <v>43413</v>
      </c>
    </row>
    <row r="388" spans="1:4" x14ac:dyDescent="0.25">
      <c r="A388" t="s">
        <v>3600</v>
      </c>
      <c r="B388" t="str">
        <f>MID(tbl_lock[[#This Row],[PACE Job Number]],3,3)</f>
        <v>STX</v>
      </c>
      <c r="C388" t="s">
        <v>1709</v>
      </c>
      <c r="D388" s="1">
        <v>43418</v>
      </c>
    </row>
    <row r="389" spans="1:4" x14ac:dyDescent="0.25">
      <c r="A389" t="s">
        <v>3601</v>
      </c>
      <c r="B389" t="str">
        <f>MID(tbl_lock[[#This Row],[PACE Job Number]],3,3)</f>
        <v>STX</v>
      </c>
      <c r="C389" t="s">
        <v>1709</v>
      </c>
      <c r="D389" s="1">
        <v>43413</v>
      </c>
    </row>
    <row r="390" spans="1:4" x14ac:dyDescent="0.25">
      <c r="A390" t="s">
        <v>3602</v>
      </c>
      <c r="B390" t="str">
        <f>MID(tbl_lock[[#This Row],[PACE Job Number]],3,3)</f>
        <v>STX</v>
      </c>
      <c r="C390" t="s">
        <v>1709</v>
      </c>
      <c r="D390" s="1">
        <v>43418</v>
      </c>
    </row>
    <row r="391" spans="1:4" x14ac:dyDescent="0.25">
      <c r="A391" t="s">
        <v>3603</v>
      </c>
      <c r="B391" t="str">
        <f>MID(tbl_lock[[#This Row],[PACE Job Number]],3,3)</f>
        <v>STX</v>
      </c>
      <c r="C391" t="s">
        <v>1709</v>
      </c>
      <c r="D391" s="1">
        <v>43411</v>
      </c>
    </row>
    <row r="392" spans="1:4" x14ac:dyDescent="0.25">
      <c r="A392" t="s">
        <v>3604</v>
      </c>
      <c r="B392" t="str">
        <f>MID(tbl_lock[[#This Row],[PACE Job Number]],3,3)</f>
        <v>STX</v>
      </c>
      <c r="C392" t="s">
        <v>1709</v>
      </c>
      <c r="D392" s="1">
        <v>43411</v>
      </c>
    </row>
    <row r="393" spans="1:4" x14ac:dyDescent="0.25">
      <c r="A393" t="s">
        <v>3605</v>
      </c>
      <c r="B393" t="str">
        <f>MID(tbl_lock[[#This Row],[PACE Job Number]],3,3)</f>
        <v>STX</v>
      </c>
      <c r="C393" t="s">
        <v>1709</v>
      </c>
      <c r="D393" s="1">
        <v>43411</v>
      </c>
    </row>
    <row r="394" spans="1:4" x14ac:dyDescent="0.25">
      <c r="A394" t="s">
        <v>3606</v>
      </c>
      <c r="B394" t="str">
        <f>MID(tbl_lock[[#This Row],[PACE Job Number]],3,3)</f>
        <v>STX</v>
      </c>
      <c r="C394" t="s">
        <v>1709</v>
      </c>
      <c r="D394" s="1">
        <v>43411</v>
      </c>
    </row>
    <row r="395" spans="1:4" x14ac:dyDescent="0.25">
      <c r="A395" t="s">
        <v>3607</v>
      </c>
      <c r="B395" t="str">
        <f>MID(tbl_lock[[#This Row],[PACE Job Number]],3,3)</f>
        <v>STX</v>
      </c>
      <c r="C395" t="s">
        <v>1709</v>
      </c>
      <c r="D395" s="1">
        <v>43405</v>
      </c>
    </row>
    <row r="396" spans="1:4" x14ac:dyDescent="0.25">
      <c r="A396" t="s">
        <v>3608</v>
      </c>
      <c r="B396" t="str">
        <f>MID(tbl_lock[[#This Row],[PACE Job Number]],3,3)</f>
        <v>STX</v>
      </c>
      <c r="C396" t="s">
        <v>1709</v>
      </c>
      <c r="D396" s="1">
        <v>43411</v>
      </c>
    </row>
    <row r="397" spans="1:4" x14ac:dyDescent="0.25">
      <c r="A397" t="s">
        <v>3609</v>
      </c>
      <c r="B397" t="str">
        <f>MID(tbl_lock[[#This Row],[PACE Job Number]],3,3)</f>
        <v>STX</v>
      </c>
      <c r="C397" t="s">
        <v>1709</v>
      </c>
      <c r="D397" s="1">
        <v>43413</v>
      </c>
    </row>
    <row r="398" spans="1:4" x14ac:dyDescent="0.25">
      <c r="A398" t="s">
        <v>3610</v>
      </c>
      <c r="B398" t="str">
        <f>MID(tbl_lock[[#This Row],[PACE Job Number]],3,3)</f>
        <v>STX</v>
      </c>
      <c r="C398" t="s">
        <v>1709</v>
      </c>
      <c r="D398" s="1">
        <v>43413</v>
      </c>
    </row>
    <row r="399" spans="1:4" x14ac:dyDescent="0.25">
      <c r="A399" t="s">
        <v>3611</v>
      </c>
      <c r="B399" t="str">
        <f>MID(tbl_lock[[#This Row],[PACE Job Number]],3,3)</f>
        <v>STX</v>
      </c>
      <c r="C399" t="s">
        <v>1709</v>
      </c>
      <c r="D399" s="1">
        <v>43410</v>
      </c>
    </row>
    <row r="400" spans="1:4" x14ac:dyDescent="0.25">
      <c r="A400" t="s">
        <v>3612</v>
      </c>
      <c r="B400" t="str">
        <f>MID(tbl_lock[[#This Row],[PACE Job Number]],3,3)</f>
        <v>STX</v>
      </c>
      <c r="C400" t="s">
        <v>1709</v>
      </c>
      <c r="D400" s="1">
        <v>43410</v>
      </c>
    </row>
    <row r="401" spans="1:4" x14ac:dyDescent="0.25">
      <c r="A401" t="s">
        <v>3613</v>
      </c>
      <c r="B401" t="str">
        <f>MID(tbl_lock[[#This Row],[PACE Job Number]],3,3)</f>
        <v>STX</v>
      </c>
      <c r="C401" t="s">
        <v>1709</v>
      </c>
      <c r="D401" s="1">
        <v>43410</v>
      </c>
    </row>
    <row r="402" spans="1:4" x14ac:dyDescent="0.25">
      <c r="A402" t="s">
        <v>3614</v>
      </c>
      <c r="B402" t="str">
        <f>MID(tbl_lock[[#This Row],[PACE Job Number]],3,3)</f>
        <v>STX</v>
      </c>
      <c r="C402" t="s">
        <v>1709</v>
      </c>
      <c r="D402" s="1">
        <v>43410</v>
      </c>
    </row>
    <row r="403" spans="1:4" x14ac:dyDescent="0.25">
      <c r="A403" t="s">
        <v>4096</v>
      </c>
      <c r="B403" t="str">
        <f>MID(tbl_lock[[#This Row],[PACE Job Number]],3,3)</f>
        <v>STX</v>
      </c>
      <c r="C403" t="s">
        <v>1709</v>
      </c>
      <c r="D403" s="1">
        <v>43413</v>
      </c>
    </row>
    <row r="404" spans="1:4" x14ac:dyDescent="0.25">
      <c r="A404" t="s">
        <v>3615</v>
      </c>
      <c r="B404" t="str">
        <f>MID(tbl_lock[[#This Row],[PACE Job Number]],3,3)</f>
        <v>STX</v>
      </c>
      <c r="C404" t="s">
        <v>1709</v>
      </c>
      <c r="D404" s="1">
        <v>43410</v>
      </c>
    </row>
    <row r="405" spans="1:4" x14ac:dyDescent="0.25">
      <c r="A405" t="s">
        <v>3616</v>
      </c>
      <c r="B405" t="str">
        <f>MID(tbl_lock[[#This Row],[PACE Job Number]],3,3)</f>
        <v>STX</v>
      </c>
      <c r="C405" t="s">
        <v>1709</v>
      </c>
      <c r="D405" s="1">
        <v>43411</v>
      </c>
    </row>
    <row r="406" spans="1:4" x14ac:dyDescent="0.25">
      <c r="A406" t="s">
        <v>3548</v>
      </c>
      <c r="B406" t="str">
        <f>MID(tbl_lock[[#This Row],[PACE Job Number]],3,3)</f>
        <v>STX</v>
      </c>
      <c r="C406" t="s">
        <v>1709</v>
      </c>
      <c r="D406" s="1">
        <v>43410</v>
      </c>
    </row>
    <row r="407" spans="1:4" x14ac:dyDescent="0.25">
      <c r="A407" t="s">
        <v>3617</v>
      </c>
      <c r="B407" t="str">
        <f>MID(tbl_lock[[#This Row],[PACE Job Number]],3,3)</f>
        <v>STX</v>
      </c>
      <c r="C407" t="s">
        <v>1709</v>
      </c>
      <c r="D407" s="1">
        <v>43411</v>
      </c>
    </row>
    <row r="408" spans="1:4" x14ac:dyDescent="0.25">
      <c r="A408" t="s">
        <v>3618</v>
      </c>
      <c r="B408" t="str">
        <f>MID(tbl_lock[[#This Row],[PACE Job Number]],3,3)</f>
        <v>STX</v>
      </c>
      <c r="C408" t="s">
        <v>1709</v>
      </c>
      <c r="D408" s="1">
        <v>43411</v>
      </c>
    </row>
    <row r="409" spans="1:4" x14ac:dyDescent="0.25">
      <c r="A409" t="s">
        <v>3619</v>
      </c>
      <c r="B409" t="str">
        <f>MID(tbl_lock[[#This Row],[PACE Job Number]],3,3)</f>
        <v>STX</v>
      </c>
      <c r="C409" t="s">
        <v>1709</v>
      </c>
      <c r="D409" s="1">
        <v>43413</v>
      </c>
    </row>
    <row r="410" spans="1:4" x14ac:dyDescent="0.25">
      <c r="A410" t="s">
        <v>3620</v>
      </c>
      <c r="B410" t="str">
        <f>MID(tbl_lock[[#This Row],[PACE Job Number]],3,3)</f>
        <v>STX</v>
      </c>
      <c r="C410" t="s">
        <v>1709</v>
      </c>
      <c r="D410" s="1">
        <v>43405</v>
      </c>
    </row>
    <row r="411" spans="1:4" x14ac:dyDescent="0.25">
      <c r="A411" t="s">
        <v>3621</v>
      </c>
      <c r="B411" t="str">
        <f>MID(tbl_lock[[#This Row],[PACE Job Number]],3,3)</f>
        <v>STX</v>
      </c>
      <c r="C411" t="s">
        <v>1709</v>
      </c>
      <c r="D411" s="1">
        <v>43411</v>
      </c>
    </row>
    <row r="412" spans="1:4" x14ac:dyDescent="0.25">
      <c r="A412" t="s">
        <v>3622</v>
      </c>
      <c r="B412" t="str">
        <f>MID(tbl_lock[[#This Row],[PACE Job Number]],3,3)</f>
        <v>STX</v>
      </c>
      <c r="C412" t="s">
        <v>1709</v>
      </c>
      <c r="D412" s="1">
        <v>43411</v>
      </c>
    </row>
    <row r="413" spans="1:4" x14ac:dyDescent="0.25">
      <c r="A413" t="s">
        <v>3623</v>
      </c>
      <c r="B413" t="str">
        <f>MID(tbl_lock[[#This Row],[PACE Job Number]],3,3)</f>
        <v>STX</v>
      </c>
      <c r="C413" t="s">
        <v>1709</v>
      </c>
      <c r="D413" s="1">
        <v>43411</v>
      </c>
    </row>
    <row r="414" spans="1:4" x14ac:dyDescent="0.25">
      <c r="A414" t="s">
        <v>3624</v>
      </c>
      <c r="B414" t="str">
        <f>MID(tbl_lock[[#This Row],[PACE Job Number]],3,3)</f>
        <v>STX</v>
      </c>
      <c r="C414" t="s">
        <v>1709</v>
      </c>
      <c r="D414" s="1">
        <v>43411</v>
      </c>
    </row>
    <row r="415" spans="1:4" x14ac:dyDescent="0.25">
      <c r="A415" t="s">
        <v>4799</v>
      </c>
      <c r="B415" t="str">
        <f>MID(tbl_lock[[#This Row],[PACE Job Number]],3,3)</f>
        <v>NTX</v>
      </c>
      <c r="C415" t="s">
        <v>1709</v>
      </c>
      <c r="D415" s="1">
        <v>43434</v>
      </c>
    </row>
    <row r="416" spans="1:4" x14ac:dyDescent="0.25">
      <c r="A416" t="s">
        <v>4800</v>
      </c>
      <c r="B416" t="str">
        <f>MID(tbl_lock[[#This Row],[PACE Job Number]],3,3)</f>
        <v>NTX</v>
      </c>
      <c r="C416" t="s">
        <v>1709</v>
      </c>
      <c r="D416" s="1">
        <v>43427</v>
      </c>
    </row>
    <row r="417" spans="1:4" x14ac:dyDescent="0.25">
      <c r="A417" t="s">
        <v>4801</v>
      </c>
      <c r="B417" t="str">
        <f>MID(tbl_lock[[#This Row],[PACE Job Number]],3,3)</f>
        <v>NTX</v>
      </c>
      <c r="C417" t="s">
        <v>1709</v>
      </c>
      <c r="D417" s="1">
        <v>43434</v>
      </c>
    </row>
    <row r="418" spans="1:4" x14ac:dyDescent="0.25">
      <c r="A418" t="s">
        <v>4802</v>
      </c>
      <c r="B418" t="str">
        <f>MID(tbl_lock[[#This Row],[PACE Job Number]],3,3)</f>
        <v>NTX</v>
      </c>
      <c r="C418" t="s">
        <v>1709</v>
      </c>
      <c r="D418" s="1">
        <v>43427</v>
      </c>
    </row>
    <row r="419" spans="1:4" x14ac:dyDescent="0.25">
      <c r="A419" t="s">
        <v>4803</v>
      </c>
      <c r="B419" t="str">
        <f>MID(tbl_lock[[#This Row],[PACE Job Number]],3,3)</f>
        <v>NTX</v>
      </c>
      <c r="C419" t="s">
        <v>1709</v>
      </c>
      <c r="D419" s="1">
        <v>43434</v>
      </c>
    </row>
    <row r="420" spans="1:4" x14ac:dyDescent="0.25">
      <c r="A420" t="s">
        <v>4804</v>
      </c>
      <c r="B420" t="str">
        <f>MID(tbl_lock[[#This Row],[PACE Job Number]],3,3)</f>
        <v>NTX</v>
      </c>
      <c r="C420" t="s">
        <v>1709</v>
      </c>
      <c r="D420" s="1">
        <v>43434</v>
      </c>
    </row>
    <row r="421" spans="1:4" x14ac:dyDescent="0.25">
      <c r="A421" t="s">
        <v>4805</v>
      </c>
      <c r="B421" t="str">
        <f>MID(tbl_lock[[#This Row],[PACE Job Number]],3,3)</f>
        <v>NTX</v>
      </c>
      <c r="C421" t="s">
        <v>1709</v>
      </c>
      <c r="D421" s="1">
        <v>43413</v>
      </c>
    </row>
    <row r="422" spans="1:4" x14ac:dyDescent="0.25">
      <c r="A422" t="s">
        <v>4806</v>
      </c>
      <c r="B422" t="str">
        <f>MID(tbl_lock[[#This Row],[PACE Job Number]],3,3)</f>
        <v>NTX</v>
      </c>
      <c r="C422" t="s">
        <v>1709</v>
      </c>
      <c r="D422" s="1">
        <v>43427</v>
      </c>
    </row>
    <row r="423" spans="1:4" x14ac:dyDescent="0.25">
      <c r="A423" t="s">
        <v>4807</v>
      </c>
      <c r="B423" t="str">
        <f>MID(tbl_lock[[#This Row],[PACE Job Number]],3,3)</f>
        <v>NTX</v>
      </c>
      <c r="C423" t="s">
        <v>1709</v>
      </c>
      <c r="D423" s="1">
        <v>43427</v>
      </c>
    </row>
    <row r="424" spans="1:4" x14ac:dyDescent="0.25">
      <c r="A424" t="s">
        <v>4808</v>
      </c>
      <c r="B424" t="str">
        <f>MID(tbl_lock[[#This Row],[PACE Job Number]],3,3)</f>
        <v>NTX</v>
      </c>
      <c r="C424" t="s">
        <v>1709</v>
      </c>
      <c r="D424" s="1">
        <v>43434</v>
      </c>
    </row>
    <row r="425" spans="1:4" x14ac:dyDescent="0.25">
      <c r="A425" t="s">
        <v>4809</v>
      </c>
      <c r="B425" t="str">
        <f>MID(tbl_lock[[#This Row],[PACE Job Number]],3,3)</f>
        <v>NTX</v>
      </c>
      <c r="C425" t="s">
        <v>1709</v>
      </c>
      <c r="D425" s="1">
        <v>43427</v>
      </c>
    </row>
    <row r="426" spans="1:4" x14ac:dyDescent="0.25">
      <c r="A426" t="s">
        <v>4810</v>
      </c>
      <c r="B426" t="str">
        <f>MID(tbl_lock[[#This Row],[PACE Job Number]],3,3)</f>
        <v>NTX</v>
      </c>
      <c r="C426" t="s">
        <v>1709</v>
      </c>
      <c r="D426" s="1">
        <v>43427</v>
      </c>
    </row>
    <row r="427" spans="1:4" x14ac:dyDescent="0.25">
      <c r="A427" t="s">
        <v>4811</v>
      </c>
      <c r="B427" t="str">
        <f>MID(tbl_lock[[#This Row],[PACE Job Number]],3,3)</f>
        <v>NTX</v>
      </c>
      <c r="C427" t="s">
        <v>1709</v>
      </c>
      <c r="D427" s="1">
        <v>43427</v>
      </c>
    </row>
    <row r="428" spans="1:4" x14ac:dyDescent="0.25">
      <c r="A428" t="s">
        <v>4812</v>
      </c>
      <c r="B428" t="str">
        <f>MID(tbl_lock[[#This Row],[PACE Job Number]],3,3)</f>
        <v>NTX</v>
      </c>
      <c r="C428" t="s">
        <v>1709</v>
      </c>
      <c r="D428" s="1">
        <v>43413</v>
      </c>
    </row>
    <row r="429" spans="1:4" x14ac:dyDescent="0.25">
      <c r="A429" t="s">
        <v>4813</v>
      </c>
      <c r="B429" t="str">
        <f>MID(tbl_lock[[#This Row],[PACE Job Number]],3,3)</f>
        <v>NTX</v>
      </c>
      <c r="C429" t="s">
        <v>1709</v>
      </c>
      <c r="D429" s="1">
        <v>43427</v>
      </c>
    </row>
    <row r="430" spans="1:4" x14ac:dyDescent="0.25">
      <c r="A430" t="s">
        <v>4814</v>
      </c>
      <c r="B430" t="str">
        <f>MID(tbl_lock[[#This Row],[PACE Job Number]],3,3)</f>
        <v>NTX</v>
      </c>
      <c r="C430" t="s">
        <v>1709</v>
      </c>
      <c r="D430" s="1">
        <v>43434</v>
      </c>
    </row>
    <row r="431" spans="1:4" x14ac:dyDescent="0.25">
      <c r="A431" t="s">
        <v>4815</v>
      </c>
      <c r="B431" t="str">
        <f>MID(tbl_lock[[#This Row],[PACE Job Number]],3,3)</f>
        <v>NTX</v>
      </c>
      <c r="C431" t="s">
        <v>1709</v>
      </c>
      <c r="D431" s="1">
        <v>43427</v>
      </c>
    </row>
    <row r="432" spans="1:4" x14ac:dyDescent="0.25">
      <c r="A432" t="s">
        <v>4816</v>
      </c>
      <c r="B432" t="str">
        <f>MID(tbl_lock[[#This Row],[PACE Job Number]],3,3)</f>
        <v>NTX</v>
      </c>
      <c r="C432" t="s">
        <v>1709</v>
      </c>
      <c r="D432" s="1">
        <v>43434</v>
      </c>
    </row>
    <row r="433" spans="1:4" x14ac:dyDescent="0.25">
      <c r="A433" t="s">
        <v>4817</v>
      </c>
      <c r="B433" t="str">
        <f>MID(tbl_lock[[#This Row],[PACE Job Number]],3,3)</f>
        <v>STX</v>
      </c>
      <c r="C433" t="s">
        <v>16</v>
      </c>
      <c r="D433" s="1">
        <v>43434</v>
      </c>
    </row>
    <row r="434" spans="1:4" x14ac:dyDescent="0.25">
      <c r="A434" t="s">
        <v>4818</v>
      </c>
      <c r="B434" t="str">
        <f>MID(tbl_lock[[#This Row],[PACE Job Number]],3,3)</f>
        <v>STX</v>
      </c>
      <c r="C434" t="s">
        <v>16</v>
      </c>
      <c r="D434" s="1">
        <v>43430</v>
      </c>
    </row>
    <row r="435" spans="1:4" x14ac:dyDescent="0.25">
      <c r="A435" t="s">
        <v>4819</v>
      </c>
      <c r="B435" t="str">
        <f>MID(tbl_lock[[#This Row],[PACE Job Number]],3,3)</f>
        <v>STX</v>
      </c>
      <c r="C435" t="s">
        <v>16</v>
      </c>
      <c r="D435" s="1">
        <v>43420</v>
      </c>
    </row>
    <row r="436" spans="1:4" x14ac:dyDescent="0.25">
      <c r="A436" t="s">
        <v>4820</v>
      </c>
      <c r="B436" t="str">
        <f>MID(tbl_lock[[#This Row],[PACE Job Number]],3,3)</f>
        <v>STX</v>
      </c>
      <c r="C436" t="s">
        <v>16</v>
      </c>
      <c r="D436" s="1">
        <v>43405</v>
      </c>
    </row>
    <row r="437" spans="1:4" x14ac:dyDescent="0.25">
      <c r="A437" t="s">
        <v>4821</v>
      </c>
      <c r="B437" t="str">
        <f>MID(tbl_lock[[#This Row],[PACE Job Number]],3,3)</f>
        <v>STX</v>
      </c>
      <c r="C437" t="s">
        <v>16</v>
      </c>
      <c r="D437" s="1">
        <v>43421</v>
      </c>
    </row>
    <row r="438" spans="1:4" x14ac:dyDescent="0.25">
      <c r="A438" t="s">
        <v>4822</v>
      </c>
      <c r="B438" t="str">
        <f>MID(tbl_lock[[#This Row],[PACE Job Number]],3,3)</f>
        <v>STX</v>
      </c>
      <c r="C438" t="s">
        <v>16</v>
      </c>
      <c r="D438" s="1">
        <v>43421</v>
      </c>
    </row>
    <row r="439" spans="1:4" x14ac:dyDescent="0.25">
      <c r="A439" t="s">
        <v>3567</v>
      </c>
      <c r="B439" t="str">
        <f>MID(tbl_lock[[#This Row],[PACE Job Number]],3,3)</f>
        <v>STX</v>
      </c>
      <c r="C439" t="s">
        <v>16</v>
      </c>
      <c r="D439" s="1">
        <v>43421</v>
      </c>
    </row>
    <row r="440" spans="1:4" x14ac:dyDescent="0.25">
      <c r="A440" t="s">
        <v>4823</v>
      </c>
      <c r="B440" t="str">
        <f>MID(tbl_lock[[#This Row],[PACE Job Number]],3,3)</f>
        <v>STX</v>
      </c>
      <c r="C440" t="s">
        <v>16</v>
      </c>
      <c r="D440" s="1">
        <v>43434</v>
      </c>
    </row>
    <row r="441" spans="1:4" x14ac:dyDescent="0.25">
      <c r="A441" t="s">
        <v>4824</v>
      </c>
      <c r="B441" t="str">
        <f>MID(tbl_lock[[#This Row],[PACE Job Number]],3,3)</f>
        <v>STX</v>
      </c>
      <c r="C441" t="s">
        <v>16</v>
      </c>
      <c r="D441" s="1">
        <v>43421</v>
      </c>
    </row>
    <row r="442" spans="1:4" x14ac:dyDescent="0.25">
      <c r="A442" t="s">
        <v>2314</v>
      </c>
      <c r="B442" t="str">
        <f>MID(tbl_lock[[#This Row],[PACE Job Number]],3,3)</f>
        <v>NTX</v>
      </c>
      <c r="C442" t="s">
        <v>16</v>
      </c>
      <c r="D442" s="1">
        <v>43434</v>
      </c>
    </row>
    <row r="443" spans="1:4" x14ac:dyDescent="0.25">
      <c r="A443" t="s">
        <v>4825</v>
      </c>
      <c r="B443" t="str">
        <f>MID(tbl_lock[[#This Row],[PACE Job Number]],3,3)</f>
        <v>NTX</v>
      </c>
      <c r="C443" t="s">
        <v>16</v>
      </c>
      <c r="D443" s="1">
        <v>43430</v>
      </c>
    </row>
    <row r="444" spans="1:4" x14ac:dyDescent="0.25">
      <c r="A444" t="s">
        <v>4826</v>
      </c>
      <c r="B444" t="str">
        <f>MID(tbl_lock[[#This Row],[PACE Job Number]],3,3)</f>
        <v>STX</v>
      </c>
      <c r="C444" t="s">
        <v>16</v>
      </c>
      <c r="D444" s="1">
        <v>43420</v>
      </c>
    </row>
    <row r="445" spans="1:4" x14ac:dyDescent="0.25">
      <c r="A445" t="s">
        <v>4827</v>
      </c>
      <c r="B445" t="str">
        <f>MID(tbl_lock[[#This Row],[PACE Job Number]],3,3)</f>
        <v>STX</v>
      </c>
      <c r="C445" t="s">
        <v>16</v>
      </c>
      <c r="D445" s="1">
        <v>43432</v>
      </c>
    </row>
    <row r="446" spans="1:4" x14ac:dyDescent="0.25">
      <c r="A446" t="s">
        <v>4828</v>
      </c>
      <c r="B446" t="str">
        <f>MID(tbl_lock[[#This Row],[PACE Job Number]],3,3)</f>
        <v>STX</v>
      </c>
      <c r="C446" t="s">
        <v>16</v>
      </c>
      <c r="D446" s="1">
        <v>43420</v>
      </c>
    </row>
    <row r="447" spans="1:4" x14ac:dyDescent="0.25">
      <c r="A447" t="s">
        <v>4829</v>
      </c>
      <c r="B447" t="str">
        <f>MID(tbl_lock[[#This Row],[PACE Job Number]],3,3)</f>
        <v>STX</v>
      </c>
      <c r="C447" t="s">
        <v>16</v>
      </c>
      <c r="D447" s="1">
        <v>43434</v>
      </c>
    </row>
    <row r="448" spans="1:4" x14ac:dyDescent="0.25">
      <c r="A448" t="s">
        <v>4830</v>
      </c>
      <c r="B448" t="str">
        <f>MID(tbl_lock[[#This Row],[PACE Job Number]],3,3)</f>
        <v>STX</v>
      </c>
      <c r="C448" t="s">
        <v>16</v>
      </c>
      <c r="D448" s="1">
        <v>43420</v>
      </c>
    </row>
    <row r="449" spans="1:4" x14ac:dyDescent="0.25">
      <c r="A449" t="s">
        <v>4831</v>
      </c>
      <c r="B449" t="str">
        <f>MID(tbl_lock[[#This Row],[PACE Job Number]],3,3)</f>
        <v>STX</v>
      </c>
      <c r="C449" t="s">
        <v>16</v>
      </c>
      <c r="D449" s="1">
        <v>43420</v>
      </c>
    </row>
    <row r="450" spans="1:4" x14ac:dyDescent="0.25">
      <c r="A450" t="s">
        <v>4832</v>
      </c>
      <c r="B450" t="str">
        <f>MID(tbl_lock[[#This Row],[PACE Job Number]],3,3)</f>
        <v>STX</v>
      </c>
      <c r="C450" t="s">
        <v>16</v>
      </c>
      <c r="D450" s="1">
        <v>43427</v>
      </c>
    </row>
    <row r="451" spans="1:4" x14ac:dyDescent="0.25">
      <c r="A451" t="s">
        <v>4124</v>
      </c>
      <c r="B451" t="str">
        <f>MID(tbl_lock[[#This Row],[PACE Job Number]],3,3)</f>
        <v>STX</v>
      </c>
      <c r="C451" t="s">
        <v>16</v>
      </c>
      <c r="D451" s="1">
        <v>43420</v>
      </c>
    </row>
    <row r="452" spans="1:4" x14ac:dyDescent="0.25">
      <c r="A452" t="s">
        <v>4833</v>
      </c>
      <c r="B452" t="str">
        <f>MID(tbl_lock[[#This Row],[PACE Job Number]],3,3)</f>
        <v>STX</v>
      </c>
      <c r="C452" t="s">
        <v>16</v>
      </c>
      <c r="D452" s="1">
        <v>43419</v>
      </c>
    </row>
    <row r="453" spans="1:4" x14ac:dyDescent="0.25">
      <c r="A453" t="s">
        <v>4834</v>
      </c>
      <c r="B453" t="str">
        <f>MID(tbl_lock[[#This Row],[PACE Job Number]],3,3)</f>
        <v>STX</v>
      </c>
      <c r="C453" t="s">
        <v>16</v>
      </c>
      <c r="D453" s="1">
        <v>43434</v>
      </c>
    </row>
    <row r="454" spans="1:4" x14ac:dyDescent="0.25">
      <c r="A454" t="s">
        <v>4125</v>
      </c>
      <c r="B454" t="str">
        <f>MID(tbl_lock[[#This Row],[PACE Job Number]],3,3)</f>
        <v>STX</v>
      </c>
      <c r="C454" t="s">
        <v>16</v>
      </c>
      <c r="D454" s="1">
        <v>43413</v>
      </c>
    </row>
    <row r="455" spans="1:4" x14ac:dyDescent="0.25">
      <c r="A455" t="s">
        <v>4835</v>
      </c>
      <c r="B455" t="str">
        <f>MID(tbl_lock[[#This Row],[PACE Job Number]],3,3)</f>
        <v>STX</v>
      </c>
      <c r="C455" t="s">
        <v>16</v>
      </c>
      <c r="D455" s="1">
        <v>43406</v>
      </c>
    </row>
    <row r="456" spans="1:4" x14ac:dyDescent="0.25">
      <c r="A456" t="s">
        <v>4836</v>
      </c>
      <c r="B456" t="str">
        <f>MID(tbl_lock[[#This Row],[PACE Job Number]],3,3)</f>
        <v>STX</v>
      </c>
      <c r="C456" t="s">
        <v>16</v>
      </c>
      <c r="D456" s="1">
        <v>43434</v>
      </c>
    </row>
    <row r="457" spans="1:4" x14ac:dyDescent="0.25">
      <c r="A457" t="s">
        <v>4837</v>
      </c>
      <c r="B457" t="str">
        <f>MID(tbl_lock[[#This Row],[PACE Job Number]],3,3)</f>
        <v>STX</v>
      </c>
      <c r="C457" t="s">
        <v>16</v>
      </c>
      <c r="D457" s="1">
        <v>43413</v>
      </c>
    </row>
    <row r="458" spans="1:4" x14ac:dyDescent="0.25">
      <c r="A458" t="s">
        <v>4838</v>
      </c>
      <c r="B458" t="str">
        <f>MID(tbl_lock[[#This Row],[PACE Job Number]],3,3)</f>
        <v>STX</v>
      </c>
      <c r="C458" t="s">
        <v>16</v>
      </c>
      <c r="D458" s="1">
        <v>43413</v>
      </c>
    </row>
    <row r="459" spans="1:4" x14ac:dyDescent="0.25">
      <c r="A459" t="s">
        <v>4839</v>
      </c>
      <c r="B459" t="str">
        <f>MID(tbl_lock[[#This Row],[PACE Job Number]],3,3)</f>
        <v>STX</v>
      </c>
      <c r="C459" t="s">
        <v>16</v>
      </c>
      <c r="D459" s="1">
        <v>43420</v>
      </c>
    </row>
    <row r="460" spans="1:4" x14ac:dyDescent="0.25">
      <c r="A460" t="s">
        <v>4840</v>
      </c>
      <c r="B460" t="str">
        <f>MID(tbl_lock[[#This Row],[PACE Job Number]],3,3)</f>
        <v>STX</v>
      </c>
      <c r="C460" t="s">
        <v>16</v>
      </c>
      <c r="D460" s="1">
        <v>43419</v>
      </c>
    </row>
    <row r="461" spans="1:4" x14ac:dyDescent="0.25">
      <c r="A461" t="s">
        <v>4126</v>
      </c>
      <c r="B461" t="str">
        <f>MID(tbl_lock[[#This Row],[PACE Job Number]],3,3)</f>
        <v>STX</v>
      </c>
      <c r="C461" t="s">
        <v>16</v>
      </c>
      <c r="D461" s="1">
        <v>43413</v>
      </c>
    </row>
    <row r="462" spans="1:4" x14ac:dyDescent="0.25">
      <c r="A462" t="s">
        <v>4841</v>
      </c>
      <c r="B462" t="str">
        <f>MID(tbl_lock[[#This Row],[PACE Job Number]],3,3)</f>
        <v>STX</v>
      </c>
      <c r="C462" t="s">
        <v>16</v>
      </c>
      <c r="D462" s="1">
        <v>43419</v>
      </c>
    </row>
    <row r="463" spans="1:4" x14ac:dyDescent="0.25">
      <c r="A463" t="s">
        <v>4842</v>
      </c>
      <c r="B463" t="str">
        <f>MID(tbl_lock[[#This Row],[PACE Job Number]],3,3)</f>
        <v>STX</v>
      </c>
      <c r="C463" t="s">
        <v>16</v>
      </c>
      <c r="D463" s="1">
        <v>43420</v>
      </c>
    </row>
    <row r="464" spans="1:4" x14ac:dyDescent="0.25">
      <c r="A464" t="s">
        <v>4843</v>
      </c>
      <c r="B464" t="str">
        <f>MID(tbl_lock[[#This Row],[PACE Job Number]],3,3)</f>
        <v>STX</v>
      </c>
      <c r="C464" t="s">
        <v>16</v>
      </c>
      <c r="D464" s="1">
        <v>43420</v>
      </c>
    </row>
    <row r="465" spans="1:4" x14ac:dyDescent="0.25">
      <c r="A465" t="s">
        <v>4844</v>
      </c>
      <c r="B465" t="str">
        <f>MID(tbl_lock[[#This Row],[PACE Job Number]],3,3)</f>
        <v>STX</v>
      </c>
      <c r="C465" t="s">
        <v>16</v>
      </c>
      <c r="D465" s="1">
        <v>43420</v>
      </c>
    </row>
    <row r="466" spans="1:4" x14ac:dyDescent="0.25">
      <c r="A466" t="s">
        <v>4845</v>
      </c>
      <c r="B466" t="str">
        <f>MID(tbl_lock[[#This Row],[PACE Job Number]],3,3)</f>
        <v>STX</v>
      </c>
      <c r="C466" t="s">
        <v>16</v>
      </c>
      <c r="D466" s="1">
        <v>43406</v>
      </c>
    </row>
    <row r="467" spans="1:4" x14ac:dyDescent="0.25">
      <c r="A467" t="s">
        <v>4846</v>
      </c>
      <c r="B467" t="str">
        <f>MID(tbl_lock[[#This Row],[PACE Job Number]],3,3)</f>
        <v>STX</v>
      </c>
      <c r="C467" t="s">
        <v>16</v>
      </c>
      <c r="D467" s="1">
        <v>43434</v>
      </c>
    </row>
    <row r="468" spans="1:4" x14ac:dyDescent="0.25">
      <c r="A468" t="s">
        <v>4847</v>
      </c>
      <c r="B468" t="str">
        <f>MID(tbl_lock[[#This Row],[PACE Job Number]],3,3)</f>
        <v>STX</v>
      </c>
      <c r="C468" t="s">
        <v>16</v>
      </c>
      <c r="D468" s="1">
        <v>43420</v>
      </c>
    </row>
    <row r="469" spans="1:4" x14ac:dyDescent="0.25">
      <c r="A469" t="s">
        <v>4848</v>
      </c>
      <c r="B469" t="str">
        <f>MID(tbl_lock[[#This Row],[PACE Job Number]],3,3)</f>
        <v>STX</v>
      </c>
      <c r="C469" t="s">
        <v>16</v>
      </c>
      <c r="D469" s="1">
        <v>43418</v>
      </c>
    </row>
    <row r="470" spans="1:4" x14ac:dyDescent="0.25">
      <c r="A470" t="s">
        <v>4849</v>
      </c>
      <c r="B470" t="str">
        <f>MID(tbl_lock[[#This Row],[PACE Job Number]],3,3)</f>
        <v>STX</v>
      </c>
      <c r="C470" t="s">
        <v>16</v>
      </c>
      <c r="D470" s="1">
        <v>43419</v>
      </c>
    </row>
    <row r="471" spans="1:4" x14ac:dyDescent="0.25">
      <c r="A471" t="s">
        <v>4850</v>
      </c>
      <c r="B471" t="str">
        <f>MID(tbl_lock[[#This Row],[PACE Job Number]],3,3)</f>
        <v>STX</v>
      </c>
      <c r="C471" t="s">
        <v>16</v>
      </c>
      <c r="D471" s="1">
        <v>43419</v>
      </c>
    </row>
    <row r="472" spans="1:4" x14ac:dyDescent="0.25">
      <c r="A472" t="s">
        <v>4127</v>
      </c>
      <c r="B472" t="str">
        <f>MID(tbl_lock[[#This Row],[PACE Job Number]],3,3)</f>
        <v>STX</v>
      </c>
      <c r="C472" t="s">
        <v>16</v>
      </c>
      <c r="D472" s="1">
        <v>43420</v>
      </c>
    </row>
    <row r="473" spans="1:4" x14ac:dyDescent="0.25">
      <c r="A473" t="s">
        <v>4851</v>
      </c>
      <c r="B473" t="str">
        <f>MID(tbl_lock[[#This Row],[PACE Job Number]],3,3)</f>
        <v>STX</v>
      </c>
      <c r="C473" t="s">
        <v>16</v>
      </c>
      <c r="D473" s="1">
        <v>43406</v>
      </c>
    </row>
    <row r="474" spans="1:4" x14ac:dyDescent="0.25">
      <c r="A474" t="s">
        <v>4852</v>
      </c>
      <c r="B474" t="str">
        <f>MID(tbl_lock[[#This Row],[PACE Job Number]],3,3)</f>
        <v>STX</v>
      </c>
      <c r="C474" t="s">
        <v>16</v>
      </c>
      <c r="D474" s="1">
        <v>43434</v>
      </c>
    </row>
    <row r="475" spans="1:4" x14ac:dyDescent="0.25">
      <c r="A475" t="s">
        <v>4853</v>
      </c>
      <c r="B475" t="str">
        <f>MID(tbl_lock[[#This Row],[PACE Job Number]],3,3)</f>
        <v>STX</v>
      </c>
      <c r="C475" t="s">
        <v>16</v>
      </c>
      <c r="D475" s="1">
        <v>43419</v>
      </c>
    </row>
    <row r="476" spans="1:4" x14ac:dyDescent="0.25">
      <c r="A476" t="s">
        <v>4854</v>
      </c>
      <c r="B476" t="str">
        <f>MID(tbl_lock[[#This Row],[PACE Job Number]],3,3)</f>
        <v>STX</v>
      </c>
      <c r="C476" t="s">
        <v>16</v>
      </c>
      <c r="D476" s="1">
        <v>43413</v>
      </c>
    </row>
    <row r="477" spans="1:4" x14ac:dyDescent="0.25">
      <c r="A477" t="s">
        <v>4128</v>
      </c>
      <c r="B477" t="str">
        <f>MID(tbl_lock[[#This Row],[PACE Job Number]],3,3)</f>
        <v>STX</v>
      </c>
      <c r="C477" t="s">
        <v>16</v>
      </c>
      <c r="D477" s="1">
        <v>43413</v>
      </c>
    </row>
    <row r="478" spans="1:4" x14ac:dyDescent="0.25">
      <c r="A478" t="s">
        <v>4855</v>
      </c>
      <c r="B478" t="str">
        <f>MID(tbl_lock[[#This Row],[PACE Job Number]],3,3)</f>
        <v>STX</v>
      </c>
      <c r="C478" t="s">
        <v>16</v>
      </c>
      <c r="D478" s="1">
        <v>43434</v>
      </c>
    </row>
    <row r="479" spans="1:4" x14ac:dyDescent="0.25">
      <c r="A479" t="s">
        <v>4856</v>
      </c>
      <c r="B479" t="str">
        <f>MID(tbl_lock[[#This Row],[PACE Job Number]],3,3)</f>
        <v>STX</v>
      </c>
      <c r="C479" t="s">
        <v>16</v>
      </c>
      <c r="D479" s="1">
        <v>43434</v>
      </c>
    </row>
    <row r="480" spans="1:4" x14ac:dyDescent="0.25">
      <c r="A480" t="s">
        <v>4857</v>
      </c>
      <c r="B480" t="str">
        <f>MID(tbl_lock[[#This Row],[PACE Job Number]],3,3)</f>
        <v>STX</v>
      </c>
      <c r="C480" t="s">
        <v>16</v>
      </c>
      <c r="D480" s="1">
        <v>43419</v>
      </c>
    </row>
    <row r="481" spans="1:4" x14ac:dyDescent="0.25">
      <c r="A481" t="s">
        <v>4858</v>
      </c>
      <c r="B481" t="str">
        <f>MID(tbl_lock[[#This Row],[PACE Job Number]],3,3)</f>
        <v>STX</v>
      </c>
      <c r="C481" t="s">
        <v>16</v>
      </c>
      <c r="D481" s="1">
        <v>43434</v>
      </c>
    </row>
    <row r="482" spans="1:4" x14ac:dyDescent="0.25">
      <c r="A482" t="s">
        <v>4859</v>
      </c>
      <c r="B482" t="str">
        <f>MID(tbl_lock[[#This Row],[PACE Job Number]],3,3)</f>
        <v>STX</v>
      </c>
      <c r="C482" t="s">
        <v>16</v>
      </c>
      <c r="D482" s="1">
        <v>43406</v>
      </c>
    </row>
    <row r="483" spans="1:4" x14ac:dyDescent="0.25">
      <c r="A483" t="s">
        <v>4129</v>
      </c>
      <c r="B483" t="str">
        <f>MID(tbl_lock[[#This Row],[PACE Job Number]],3,3)</f>
        <v>STX</v>
      </c>
      <c r="C483" t="s">
        <v>16</v>
      </c>
      <c r="D483" s="1">
        <v>43413</v>
      </c>
    </row>
    <row r="484" spans="1:4" x14ac:dyDescent="0.25">
      <c r="A484" t="s">
        <v>4860</v>
      </c>
      <c r="B484" t="str">
        <f>MID(tbl_lock[[#This Row],[PACE Job Number]],3,3)</f>
        <v>NTX</v>
      </c>
      <c r="C484" t="s">
        <v>16</v>
      </c>
      <c r="D484" s="1">
        <v>43420</v>
      </c>
    </row>
    <row r="485" spans="1:4" x14ac:dyDescent="0.25">
      <c r="A485" t="s">
        <v>4861</v>
      </c>
      <c r="B485" t="str">
        <f>MID(tbl_lock[[#This Row],[PACE Job Number]],3,3)</f>
        <v>NTX</v>
      </c>
      <c r="C485" t="s">
        <v>16</v>
      </c>
      <c r="D485" s="1">
        <v>43420</v>
      </c>
    </row>
    <row r="486" spans="1:4" x14ac:dyDescent="0.25">
      <c r="A486" t="s">
        <v>4862</v>
      </c>
      <c r="B486" t="str">
        <f>MID(tbl_lock[[#This Row],[PACE Job Number]],3,3)</f>
        <v>NTX</v>
      </c>
      <c r="C486" t="s">
        <v>16</v>
      </c>
      <c r="D486" s="1">
        <v>43415</v>
      </c>
    </row>
    <row r="487" spans="1:4" x14ac:dyDescent="0.25">
      <c r="A487" t="s">
        <v>4863</v>
      </c>
      <c r="B487" t="str">
        <f>MID(tbl_lock[[#This Row],[PACE Job Number]],3,3)</f>
        <v>NTX</v>
      </c>
      <c r="C487" t="s">
        <v>16</v>
      </c>
      <c r="D487" s="1">
        <v>43405</v>
      </c>
    </row>
    <row r="488" spans="1:4" x14ac:dyDescent="0.25">
      <c r="A488" t="s">
        <v>4864</v>
      </c>
      <c r="B488" t="str">
        <f>MID(tbl_lock[[#This Row],[PACE Job Number]],3,3)</f>
        <v>NTX</v>
      </c>
      <c r="C488" t="s">
        <v>16</v>
      </c>
      <c r="D488" s="1">
        <v>43405</v>
      </c>
    </row>
    <row r="489" spans="1:4" x14ac:dyDescent="0.25">
      <c r="A489" t="s">
        <v>4865</v>
      </c>
      <c r="B489" t="str">
        <f>MID(tbl_lock[[#This Row],[PACE Job Number]],3,3)</f>
        <v>NTX</v>
      </c>
      <c r="C489" t="s">
        <v>16</v>
      </c>
      <c r="D489" s="1">
        <v>43434</v>
      </c>
    </row>
    <row r="490" spans="1:4" x14ac:dyDescent="0.25">
      <c r="A490" t="s">
        <v>4866</v>
      </c>
      <c r="B490" t="str">
        <f>MID(tbl_lock[[#This Row],[PACE Job Number]],3,3)</f>
        <v>NTX</v>
      </c>
      <c r="C490" t="s">
        <v>16</v>
      </c>
      <c r="D490" s="1">
        <v>43434</v>
      </c>
    </row>
    <row r="491" spans="1:4" x14ac:dyDescent="0.25">
      <c r="A491" t="s">
        <v>4867</v>
      </c>
      <c r="B491" t="str">
        <f>MID(tbl_lock[[#This Row],[PACE Job Number]],3,3)</f>
        <v>NTX</v>
      </c>
      <c r="C491" t="s">
        <v>16</v>
      </c>
      <c r="D491" s="1">
        <v>43406</v>
      </c>
    </row>
    <row r="492" spans="1:4" x14ac:dyDescent="0.25">
      <c r="A492" t="s">
        <v>4868</v>
      </c>
      <c r="B492" t="str">
        <f>MID(tbl_lock[[#This Row],[PACE Job Number]],3,3)</f>
        <v>NTX</v>
      </c>
      <c r="C492" t="s">
        <v>16</v>
      </c>
      <c r="D492" s="1">
        <v>43405</v>
      </c>
    </row>
    <row r="493" spans="1:4" x14ac:dyDescent="0.25">
      <c r="A493" t="s">
        <v>4869</v>
      </c>
      <c r="B493" t="str">
        <f>MID(tbl_lock[[#This Row],[PACE Job Number]],3,3)</f>
        <v>NTX</v>
      </c>
      <c r="C493" t="s">
        <v>16</v>
      </c>
      <c r="D493" s="1">
        <v>43424</v>
      </c>
    </row>
    <row r="494" spans="1:4" x14ac:dyDescent="0.25">
      <c r="A494" t="s">
        <v>4870</v>
      </c>
      <c r="B494" t="str">
        <f>MID(tbl_lock[[#This Row],[PACE Job Number]],3,3)</f>
        <v>NTX</v>
      </c>
      <c r="C494" t="s">
        <v>16</v>
      </c>
      <c r="D494" s="1">
        <v>43405</v>
      </c>
    </row>
    <row r="495" spans="1:4" x14ac:dyDescent="0.25">
      <c r="A495" t="s">
        <v>4871</v>
      </c>
      <c r="B495" t="str">
        <f>MID(tbl_lock[[#This Row],[PACE Job Number]],3,3)</f>
        <v>NTX</v>
      </c>
      <c r="C495" t="s">
        <v>16</v>
      </c>
      <c r="D495" s="1">
        <v>43405</v>
      </c>
    </row>
    <row r="496" spans="1:4" x14ac:dyDescent="0.25">
      <c r="A496" t="s">
        <v>4872</v>
      </c>
      <c r="B496" t="str">
        <f>MID(tbl_lock[[#This Row],[PACE Job Number]],3,3)</f>
        <v>NTX</v>
      </c>
      <c r="C496" t="s">
        <v>16</v>
      </c>
      <c r="D496" s="1">
        <v>43434</v>
      </c>
    </row>
    <row r="497" spans="1:4" x14ac:dyDescent="0.25">
      <c r="A497" t="s">
        <v>4873</v>
      </c>
      <c r="B497" t="str">
        <f>MID(tbl_lock[[#This Row],[PACE Job Number]],3,3)</f>
        <v>NTX</v>
      </c>
      <c r="C497" t="s">
        <v>16</v>
      </c>
      <c r="D497" s="1">
        <v>43434</v>
      </c>
    </row>
    <row r="498" spans="1:4" x14ac:dyDescent="0.25">
      <c r="A498" t="s">
        <v>4874</v>
      </c>
      <c r="B498" t="str">
        <f>MID(tbl_lock[[#This Row],[PACE Job Number]],3,3)</f>
        <v>NTX</v>
      </c>
      <c r="C498" t="s">
        <v>16</v>
      </c>
      <c r="D498" s="1">
        <v>43420</v>
      </c>
    </row>
    <row r="499" spans="1:4" x14ac:dyDescent="0.25">
      <c r="A499" t="s">
        <v>4875</v>
      </c>
      <c r="B499" t="str">
        <f>MID(tbl_lock[[#This Row],[PACE Job Number]],3,3)</f>
        <v>NTX</v>
      </c>
      <c r="C499" t="s">
        <v>16</v>
      </c>
      <c r="D499" s="1">
        <v>43432</v>
      </c>
    </row>
    <row r="500" spans="1:4" x14ac:dyDescent="0.25">
      <c r="A500" t="s">
        <v>4876</v>
      </c>
      <c r="B500" t="str">
        <f>MID(tbl_lock[[#This Row],[PACE Job Number]],3,3)</f>
        <v>NTX</v>
      </c>
      <c r="C500" t="s">
        <v>16</v>
      </c>
      <c r="D500" s="1">
        <v>43405</v>
      </c>
    </row>
    <row r="501" spans="1:4" x14ac:dyDescent="0.25">
      <c r="A501" t="s">
        <v>4877</v>
      </c>
      <c r="B501" t="str">
        <f>MID(tbl_lock[[#This Row],[PACE Job Number]],3,3)</f>
        <v>NTX</v>
      </c>
      <c r="C501" t="s">
        <v>16</v>
      </c>
      <c r="D501" s="1">
        <v>43434</v>
      </c>
    </row>
    <row r="502" spans="1:4" x14ac:dyDescent="0.25">
      <c r="A502" t="s">
        <v>4878</v>
      </c>
      <c r="B502" t="str">
        <f>MID(tbl_lock[[#This Row],[PACE Job Number]],3,3)</f>
        <v>NTX</v>
      </c>
      <c r="C502" t="s">
        <v>16</v>
      </c>
      <c r="D502" s="1">
        <v>43420</v>
      </c>
    </row>
    <row r="503" spans="1:4" x14ac:dyDescent="0.25">
      <c r="A503" t="s">
        <v>4879</v>
      </c>
      <c r="B503" t="str">
        <f>MID(tbl_lock[[#This Row],[PACE Job Number]],3,3)</f>
        <v>NTX</v>
      </c>
      <c r="C503" t="s">
        <v>16</v>
      </c>
      <c r="D503" s="1">
        <v>43434</v>
      </c>
    </row>
    <row r="504" spans="1:4" x14ac:dyDescent="0.25">
      <c r="A504" t="s">
        <v>4880</v>
      </c>
      <c r="B504" t="str">
        <f>MID(tbl_lock[[#This Row],[PACE Job Number]],3,3)</f>
        <v>NTX</v>
      </c>
      <c r="C504" t="s">
        <v>16</v>
      </c>
      <c r="D504" s="1">
        <v>43415</v>
      </c>
    </row>
    <row r="505" spans="1:4" x14ac:dyDescent="0.25">
      <c r="A505" t="s">
        <v>4881</v>
      </c>
      <c r="B505" t="str">
        <f>MID(tbl_lock[[#This Row],[PACE Job Number]],3,3)</f>
        <v>NTX</v>
      </c>
      <c r="C505" t="s">
        <v>16</v>
      </c>
      <c r="D505" s="1">
        <v>43434</v>
      </c>
    </row>
    <row r="506" spans="1:4" x14ac:dyDescent="0.25">
      <c r="A506" t="s">
        <v>4882</v>
      </c>
      <c r="B506" t="str">
        <f>MID(tbl_lock[[#This Row],[PACE Job Number]],3,3)</f>
        <v>NTX</v>
      </c>
      <c r="C506" t="s">
        <v>16</v>
      </c>
      <c r="D506" s="1">
        <v>43420</v>
      </c>
    </row>
    <row r="507" spans="1:4" x14ac:dyDescent="0.25">
      <c r="A507" t="s">
        <v>4883</v>
      </c>
      <c r="B507" t="str">
        <f>MID(tbl_lock[[#This Row],[PACE Job Number]],3,3)</f>
        <v>NTX</v>
      </c>
      <c r="C507" t="s">
        <v>16</v>
      </c>
      <c r="D507" s="1">
        <v>43434</v>
      </c>
    </row>
    <row r="508" spans="1:4" x14ac:dyDescent="0.25">
      <c r="A508" t="s">
        <v>4884</v>
      </c>
      <c r="B508" t="str">
        <f>MID(tbl_lock[[#This Row],[PACE Job Number]],3,3)</f>
        <v>NTX</v>
      </c>
      <c r="C508" t="s">
        <v>16</v>
      </c>
      <c r="D508" s="1">
        <v>43434</v>
      </c>
    </row>
    <row r="509" spans="1:4" x14ac:dyDescent="0.25">
      <c r="A509" t="s">
        <v>4885</v>
      </c>
      <c r="B509" t="str">
        <f>MID(tbl_lock[[#This Row],[PACE Job Number]],3,3)</f>
        <v>NTX</v>
      </c>
      <c r="C509" t="s">
        <v>16</v>
      </c>
      <c r="D509" s="1">
        <v>43420</v>
      </c>
    </row>
    <row r="510" spans="1:4" x14ac:dyDescent="0.25">
      <c r="A510" t="s">
        <v>4886</v>
      </c>
      <c r="B510" t="str">
        <f>MID(tbl_lock[[#This Row],[PACE Job Number]],3,3)</f>
        <v>NTX</v>
      </c>
      <c r="C510" t="s">
        <v>16</v>
      </c>
      <c r="D510" s="1">
        <v>43424</v>
      </c>
    </row>
    <row r="511" spans="1:4" x14ac:dyDescent="0.25">
      <c r="A511" t="s">
        <v>4887</v>
      </c>
      <c r="B511" t="str">
        <f>MID(tbl_lock[[#This Row],[PACE Job Number]],3,3)</f>
        <v>NTX</v>
      </c>
      <c r="C511" t="s">
        <v>16</v>
      </c>
      <c r="D511" s="1">
        <v>43434</v>
      </c>
    </row>
    <row r="512" spans="1:4" x14ac:dyDescent="0.25">
      <c r="A512" t="s">
        <v>4888</v>
      </c>
      <c r="B512" t="str">
        <f>MID(tbl_lock[[#This Row],[PACE Job Number]],3,3)</f>
        <v>NTX</v>
      </c>
      <c r="C512" t="s">
        <v>16</v>
      </c>
      <c r="D512" s="1">
        <v>43434</v>
      </c>
    </row>
    <row r="513" spans="1:4" x14ac:dyDescent="0.25">
      <c r="A513" t="s">
        <v>4889</v>
      </c>
      <c r="B513" t="str">
        <f>MID(tbl_lock[[#This Row],[PACE Job Number]],3,3)</f>
        <v>NTX</v>
      </c>
      <c r="C513" t="s">
        <v>16</v>
      </c>
      <c r="D513" s="1">
        <v>43406</v>
      </c>
    </row>
    <row r="514" spans="1:4" x14ac:dyDescent="0.25">
      <c r="A514" t="s">
        <v>4890</v>
      </c>
      <c r="B514" t="str">
        <f>MID(tbl_lock[[#This Row],[PACE Job Number]],3,3)</f>
        <v>NTX</v>
      </c>
      <c r="C514" t="s">
        <v>16</v>
      </c>
      <c r="D514" s="1">
        <v>43413</v>
      </c>
    </row>
    <row r="515" spans="1:4" x14ac:dyDescent="0.25">
      <c r="A515" t="s">
        <v>4891</v>
      </c>
      <c r="B515" t="str">
        <f>MID(tbl_lock[[#This Row],[PACE Job Number]],3,3)</f>
        <v>WSH</v>
      </c>
      <c r="C515" t="s">
        <v>16</v>
      </c>
      <c r="D515" s="1">
        <v>43420</v>
      </c>
    </row>
    <row r="516" spans="1:4" x14ac:dyDescent="0.25">
      <c r="A516" t="s">
        <v>4892</v>
      </c>
      <c r="B516" t="str">
        <f>MID(tbl_lock[[#This Row],[PACE Job Number]],3,3)</f>
        <v>WSH</v>
      </c>
      <c r="C516" t="s">
        <v>16</v>
      </c>
      <c r="D516" s="1">
        <v>43434</v>
      </c>
    </row>
    <row r="517" spans="1:4" x14ac:dyDescent="0.25">
      <c r="A517" t="s">
        <v>4144</v>
      </c>
      <c r="B517" t="str">
        <f>MID(tbl_lock[[#This Row],[PACE Job Number]],3,3)</f>
        <v>WSH</v>
      </c>
      <c r="C517" t="s">
        <v>16</v>
      </c>
      <c r="D517" s="1">
        <v>43405</v>
      </c>
    </row>
    <row r="518" spans="1:4" x14ac:dyDescent="0.25">
      <c r="A518" t="s">
        <v>3818</v>
      </c>
      <c r="B518" t="str">
        <f>MID(tbl_lock[[#This Row],[PACE Job Number]],3,3)</f>
        <v>WSH</v>
      </c>
      <c r="C518" t="s">
        <v>16</v>
      </c>
      <c r="D518" s="1">
        <v>43405</v>
      </c>
    </row>
    <row r="519" spans="1:4" x14ac:dyDescent="0.25">
      <c r="A519" t="s">
        <v>4893</v>
      </c>
      <c r="B519" t="str">
        <f>MID(tbl_lock[[#This Row],[PACE Job Number]],3,3)</f>
        <v>STX</v>
      </c>
      <c r="C519" t="s">
        <v>16</v>
      </c>
      <c r="D519" s="1">
        <v>43427</v>
      </c>
    </row>
    <row r="520" spans="1:4" x14ac:dyDescent="0.25">
      <c r="A520" t="s">
        <v>4894</v>
      </c>
      <c r="B520" t="str">
        <f>MID(tbl_lock[[#This Row],[PACE Job Number]],3,3)</f>
        <v>STX</v>
      </c>
      <c r="C520" t="s">
        <v>16</v>
      </c>
      <c r="D520" s="1">
        <v>43420</v>
      </c>
    </row>
    <row r="521" spans="1:4" x14ac:dyDescent="0.25">
      <c r="A521" t="s">
        <v>4895</v>
      </c>
      <c r="B521" t="str">
        <f>MID(tbl_lock[[#This Row],[PACE Job Number]],3,3)</f>
        <v>STX</v>
      </c>
      <c r="C521" t="s">
        <v>16</v>
      </c>
      <c r="D521" s="1">
        <v>43420</v>
      </c>
    </row>
    <row r="522" spans="1:4" x14ac:dyDescent="0.25">
      <c r="A522" t="s">
        <v>4896</v>
      </c>
      <c r="B522" t="str">
        <f>MID(tbl_lock[[#This Row],[PACE Job Number]],3,3)</f>
        <v>STX</v>
      </c>
      <c r="C522" t="s">
        <v>16</v>
      </c>
      <c r="D522" s="1">
        <v>43434</v>
      </c>
    </row>
    <row r="523" spans="1:4" x14ac:dyDescent="0.25">
      <c r="A523" t="s">
        <v>4897</v>
      </c>
      <c r="B523" t="str">
        <f>MID(tbl_lock[[#This Row],[PACE Job Number]],3,3)</f>
        <v>STX</v>
      </c>
      <c r="C523" t="s">
        <v>16</v>
      </c>
      <c r="D523" s="1">
        <v>43420</v>
      </c>
    </row>
    <row r="524" spans="1:4" x14ac:dyDescent="0.25">
      <c r="A524" t="s">
        <v>4898</v>
      </c>
      <c r="B524" t="str">
        <f>MID(tbl_lock[[#This Row],[PACE Job Number]],3,3)</f>
        <v>STX</v>
      </c>
      <c r="C524" t="s">
        <v>16</v>
      </c>
      <c r="D524" s="1">
        <v>43427</v>
      </c>
    </row>
    <row r="525" spans="1:4" x14ac:dyDescent="0.25">
      <c r="A525" t="s">
        <v>4899</v>
      </c>
      <c r="B525" t="str">
        <f>MID(tbl_lock[[#This Row],[PACE Job Number]],3,3)</f>
        <v>STX</v>
      </c>
      <c r="C525" t="s">
        <v>16</v>
      </c>
      <c r="D525" s="1">
        <v>43427</v>
      </c>
    </row>
    <row r="526" spans="1:4" x14ac:dyDescent="0.25">
      <c r="A526" t="s">
        <v>4900</v>
      </c>
      <c r="B526" t="str">
        <f>MID(tbl_lock[[#This Row],[PACE Job Number]],3,3)</f>
        <v>STX</v>
      </c>
      <c r="C526" t="s">
        <v>16</v>
      </c>
      <c r="D526" s="1">
        <v>43434</v>
      </c>
    </row>
    <row r="527" spans="1:4" x14ac:dyDescent="0.25">
      <c r="A527" t="s">
        <v>4901</v>
      </c>
      <c r="B527" t="str">
        <f>MID(tbl_lock[[#This Row],[PACE Job Number]],3,3)</f>
        <v>STX</v>
      </c>
      <c r="C527" t="s">
        <v>16</v>
      </c>
      <c r="D527" s="1">
        <v>43434</v>
      </c>
    </row>
    <row r="528" spans="1:4" x14ac:dyDescent="0.25">
      <c r="A528" t="s">
        <v>4902</v>
      </c>
      <c r="B528" t="str">
        <f>MID(tbl_lock[[#This Row],[PACE Job Number]],3,3)</f>
        <v>STX</v>
      </c>
      <c r="C528" t="s">
        <v>16</v>
      </c>
      <c r="D528" s="1">
        <v>43434</v>
      </c>
    </row>
    <row r="529" spans="1:4" x14ac:dyDescent="0.25">
      <c r="A529" t="s">
        <v>4903</v>
      </c>
      <c r="B529" t="str">
        <f>MID(tbl_lock[[#This Row],[PACE Job Number]],3,3)</f>
        <v>STX</v>
      </c>
      <c r="C529" t="s">
        <v>16</v>
      </c>
      <c r="D529" s="1">
        <v>43434</v>
      </c>
    </row>
    <row r="530" spans="1:4" x14ac:dyDescent="0.25">
      <c r="A530" t="s">
        <v>4904</v>
      </c>
      <c r="B530" t="str">
        <f>MID(tbl_lock[[#This Row],[PACE Job Number]],3,3)</f>
        <v>STX</v>
      </c>
      <c r="C530" t="s">
        <v>16</v>
      </c>
      <c r="D530" s="1">
        <v>43434</v>
      </c>
    </row>
    <row r="531" spans="1:4" x14ac:dyDescent="0.25">
      <c r="A531" t="s">
        <v>4905</v>
      </c>
      <c r="B531" t="str">
        <f>MID(tbl_lock[[#This Row],[PACE Job Number]],3,3)</f>
        <v>STX</v>
      </c>
      <c r="C531" t="s">
        <v>16</v>
      </c>
      <c r="D531" s="1">
        <v>43434</v>
      </c>
    </row>
    <row r="532" spans="1:4" x14ac:dyDescent="0.25">
      <c r="A532" t="s">
        <v>4906</v>
      </c>
      <c r="B532" t="str">
        <f>MID(tbl_lock[[#This Row],[PACE Job Number]],3,3)</f>
        <v>STX</v>
      </c>
      <c r="C532" t="s">
        <v>16</v>
      </c>
      <c r="D532" s="1">
        <v>43421</v>
      </c>
    </row>
    <row r="533" spans="1:4" x14ac:dyDescent="0.25">
      <c r="A533" t="s">
        <v>4907</v>
      </c>
      <c r="B533" t="str">
        <f>MID(tbl_lock[[#This Row],[PACE Job Number]],3,3)</f>
        <v>STX</v>
      </c>
      <c r="C533" t="s">
        <v>16</v>
      </c>
      <c r="D533" s="1">
        <v>43421</v>
      </c>
    </row>
    <row r="534" spans="1:4" x14ac:dyDescent="0.25">
      <c r="A534" t="s">
        <v>4908</v>
      </c>
      <c r="B534" t="str">
        <f>MID(tbl_lock[[#This Row],[PACE Job Number]],3,3)</f>
        <v>STX</v>
      </c>
      <c r="C534" t="s">
        <v>16</v>
      </c>
      <c r="D534" s="1">
        <v>43434</v>
      </c>
    </row>
    <row r="535" spans="1:4" x14ac:dyDescent="0.25">
      <c r="A535" t="s">
        <v>4909</v>
      </c>
      <c r="B535" t="str">
        <f>MID(tbl_lock[[#This Row],[PACE Job Number]],3,3)</f>
        <v>STX</v>
      </c>
      <c r="C535" t="s">
        <v>16</v>
      </c>
      <c r="D535" s="1">
        <v>43427</v>
      </c>
    </row>
    <row r="536" spans="1:4" x14ac:dyDescent="0.25">
      <c r="A536" t="s">
        <v>4910</v>
      </c>
      <c r="B536" t="str">
        <f>MID(tbl_lock[[#This Row],[PACE Job Number]],3,3)</f>
        <v>STX</v>
      </c>
      <c r="C536" t="s">
        <v>16</v>
      </c>
      <c r="D536" s="1">
        <v>43427</v>
      </c>
    </row>
    <row r="537" spans="1:4" x14ac:dyDescent="0.25">
      <c r="A537" t="s">
        <v>4911</v>
      </c>
      <c r="B537" t="str">
        <f>MID(tbl_lock[[#This Row],[PACE Job Number]],3,3)</f>
        <v>STX</v>
      </c>
      <c r="C537" t="s">
        <v>16</v>
      </c>
      <c r="D537" s="1">
        <v>43434</v>
      </c>
    </row>
    <row r="538" spans="1:4" x14ac:dyDescent="0.25">
      <c r="A538" t="s">
        <v>4912</v>
      </c>
      <c r="B538" t="str">
        <f>MID(tbl_lock[[#This Row],[PACE Job Number]],3,3)</f>
        <v>STX</v>
      </c>
      <c r="C538" t="s">
        <v>16</v>
      </c>
      <c r="D538" s="1">
        <v>43434</v>
      </c>
    </row>
    <row r="539" spans="1:4" x14ac:dyDescent="0.25">
      <c r="A539" t="s">
        <v>4913</v>
      </c>
      <c r="B539" t="str">
        <f>MID(tbl_lock[[#This Row],[PACE Job Number]],3,3)</f>
        <v>STX</v>
      </c>
      <c r="C539" t="s">
        <v>16</v>
      </c>
      <c r="D539" s="1">
        <v>43434</v>
      </c>
    </row>
    <row r="540" spans="1:4" x14ac:dyDescent="0.25">
      <c r="A540" t="s">
        <v>4914</v>
      </c>
      <c r="B540" t="str">
        <f>MID(tbl_lock[[#This Row],[PACE Job Number]],3,3)</f>
        <v>STX</v>
      </c>
      <c r="C540" t="s">
        <v>16</v>
      </c>
      <c r="D540" s="1">
        <v>43413</v>
      </c>
    </row>
    <row r="541" spans="1:4" x14ac:dyDescent="0.25">
      <c r="A541" t="s">
        <v>4915</v>
      </c>
      <c r="B541" t="str">
        <f>MID(tbl_lock[[#This Row],[PACE Job Number]],3,3)</f>
        <v>STX</v>
      </c>
      <c r="C541" t="s">
        <v>16</v>
      </c>
      <c r="D541" s="1">
        <v>43413</v>
      </c>
    </row>
    <row r="542" spans="1:4" x14ac:dyDescent="0.25">
      <c r="A542" t="s">
        <v>4916</v>
      </c>
      <c r="B542" t="str">
        <f>MID(tbl_lock[[#This Row],[PACE Job Number]],3,3)</f>
        <v>STX</v>
      </c>
      <c r="C542" t="s">
        <v>16</v>
      </c>
      <c r="D542" s="1">
        <v>43434</v>
      </c>
    </row>
    <row r="543" spans="1:4" x14ac:dyDescent="0.25">
      <c r="A543" t="s">
        <v>4917</v>
      </c>
      <c r="B543" t="str">
        <f>MID(tbl_lock[[#This Row],[PACE Job Number]],3,3)</f>
        <v>STX</v>
      </c>
      <c r="C543" t="s">
        <v>16</v>
      </c>
      <c r="D543" s="1">
        <v>43434</v>
      </c>
    </row>
    <row r="544" spans="1:4" x14ac:dyDescent="0.25">
      <c r="A544" t="s">
        <v>4918</v>
      </c>
      <c r="B544" t="str">
        <f>MID(tbl_lock[[#This Row],[PACE Job Number]],3,3)</f>
        <v>STX</v>
      </c>
      <c r="C544" t="s">
        <v>16</v>
      </c>
      <c r="D544" s="1">
        <v>43434</v>
      </c>
    </row>
    <row r="545" spans="1:4" x14ac:dyDescent="0.25">
      <c r="A545" t="s">
        <v>4919</v>
      </c>
      <c r="B545" t="str">
        <f>MID(tbl_lock[[#This Row],[PACE Job Number]],3,3)</f>
        <v>STX</v>
      </c>
      <c r="C545" t="s">
        <v>16</v>
      </c>
      <c r="D545" s="1">
        <v>43434</v>
      </c>
    </row>
    <row r="546" spans="1:4" x14ac:dyDescent="0.25">
      <c r="A546" t="s">
        <v>4920</v>
      </c>
      <c r="B546" t="str">
        <f>MID(tbl_lock[[#This Row],[PACE Job Number]],3,3)</f>
        <v>STX</v>
      </c>
      <c r="C546" t="s">
        <v>16</v>
      </c>
      <c r="D546" s="1">
        <v>43413</v>
      </c>
    </row>
    <row r="547" spans="1:4" x14ac:dyDescent="0.25">
      <c r="A547" t="s">
        <v>4921</v>
      </c>
      <c r="B547" t="str">
        <f>MID(tbl_lock[[#This Row],[PACE Job Number]],3,3)</f>
        <v>STX</v>
      </c>
      <c r="C547" t="s">
        <v>16</v>
      </c>
      <c r="D547" s="1">
        <v>43420</v>
      </c>
    </row>
    <row r="548" spans="1:4" x14ac:dyDescent="0.25">
      <c r="A548" t="s">
        <v>4922</v>
      </c>
      <c r="B548" t="str">
        <f>MID(tbl_lock[[#This Row],[PACE Job Number]],3,3)</f>
        <v>STX</v>
      </c>
      <c r="C548" t="s">
        <v>16</v>
      </c>
      <c r="D548" s="1">
        <v>43421</v>
      </c>
    </row>
    <row r="549" spans="1:4" x14ac:dyDescent="0.25">
      <c r="A549" t="s">
        <v>4923</v>
      </c>
      <c r="B549" t="str">
        <f>MID(tbl_lock[[#This Row],[PACE Job Number]],3,3)</f>
        <v>NTX</v>
      </c>
      <c r="C549" t="s">
        <v>16</v>
      </c>
      <c r="D549" s="1">
        <v>43420</v>
      </c>
    </row>
    <row r="550" spans="1:4" x14ac:dyDescent="0.25">
      <c r="A550" t="s">
        <v>4924</v>
      </c>
      <c r="B550" t="str">
        <f>MID(tbl_lock[[#This Row],[PACE Job Number]],3,3)</f>
        <v>STX</v>
      </c>
      <c r="C550" t="s">
        <v>16</v>
      </c>
      <c r="D550" s="1">
        <v>43432</v>
      </c>
    </row>
    <row r="551" spans="1:4" x14ac:dyDescent="0.25">
      <c r="A551" t="s">
        <v>3211</v>
      </c>
      <c r="B551" t="str">
        <f>MID(tbl_lock[[#This Row],[PACE Job Number]],3,3)</f>
        <v>STX</v>
      </c>
      <c r="C551" t="s">
        <v>16</v>
      </c>
      <c r="D551" s="1">
        <v>43434</v>
      </c>
    </row>
    <row r="552" spans="1:4" x14ac:dyDescent="0.25">
      <c r="A552" t="s">
        <v>4131</v>
      </c>
      <c r="B552" t="str">
        <f>MID(tbl_lock[[#This Row],[PACE Job Number]],3,3)</f>
        <v>STX</v>
      </c>
      <c r="C552" t="s">
        <v>16</v>
      </c>
      <c r="D552" s="1">
        <v>43413</v>
      </c>
    </row>
    <row r="553" spans="1:4" x14ac:dyDescent="0.25">
      <c r="A553" t="s">
        <v>4925</v>
      </c>
      <c r="B553" t="str">
        <f>MID(tbl_lock[[#This Row],[PACE Job Number]],3,3)</f>
        <v>STX</v>
      </c>
      <c r="C553" t="s">
        <v>16</v>
      </c>
      <c r="D553" s="1">
        <v>43434</v>
      </c>
    </row>
    <row r="554" spans="1:4" x14ac:dyDescent="0.25">
      <c r="A554" t="s">
        <v>3425</v>
      </c>
      <c r="B554" t="str">
        <f>MID(tbl_lock[[#This Row],[PACE Job Number]],3,3)</f>
        <v>STX</v>
      </c>
      <c r="C554" t="s">
        <v>16</v>
      </c>
      <c r="D554" s="1">
        <v>43427</v>
      </c>
    </row>
    <row r="555" spans="1:4" x14ac:dyDescent="0.25">
      <c r="A555" t="s">
        <v>3367</v>
      </c>
      <c r="B555" t="str">
        <f>MID(tbl_lock[[#This Row],[PACE Job Number]],3,3)</f>
        <v>STX</v>
      </c>
      <c r="C555" t="s">
        <v>16</v>
      </c>
      <c r="D555" s="1">
        <v>43434</v>
      </c>
    </row>
    <row r="556" spans="1:4" x14ac:dyDescent="0.25">
      <c r="A556" t="s">
        <v>4926</v>
      </c>
      <c r="B556" t="str">
        <f>MID(tbl_lock[[#This Row],[PACE Job Number]],3,3)</f>
        <v>STX</v>
      </c>
      <c r="C556" t="s">
        <v>16</v>
      </c>
      <c r="D556" s="1">
        <v>43420</v>
      </c>
    </row>
    <row r="557" spans="1:4" x14ac:dyDescent="0.25">
      <c r="A557" t="s">
        <v>3551</v>
      </c>
      <c r="B557" t="str">
        <f>MID(tbl_lock[[#This Row],[PACE Job Number]],3,3)</f>
        <v>STX</v>
      </c>
      <c r="C557" t="s">
        <v>16</v>
      </c>
      <c r="D557" s="1">
        <v>43434</v>
      </c>
    </row>
    <row r="558" spans="1:4" x14ac:dyDescent="0.25">
      <c r="A558" t="s">
        <v>4927</v>
      </c>
      <c r="B558" t="str">
        <f>MID(tbl_lock[[#This Row],[PACE Job Number]],3,3)</f>
        <v>STX</v>
      </c>
      <c r="C558" t="s">
        <v>16</v>
      </c>
      <c r="D558" s="1">
        <v>43434</v>
      </c>
    </row>
    <row r="559" spans="1:4" x14ac:dyDescent="0.25">
      <c r="A559" t="s">
        <v>3552</v>
      </c>
      <c r="B559" t="str">
        <f>MID(tbl_lock[[#This Row],[PACE Job Number]],3,3)</f>
        <v>STX</v>
      </c>
      <c r="C559" t="s">
        <v>16</v>
      </c>
      <c r="D559" s="1">
        <v>43434</v>
      </c>
    </row>
    <row r="560" spans="1:4" x14ac:dyDescent="0.25">
      <c r="A560" t="s">
        <v>4928</v>
      </c>
      <c r="B560" t="str">
        <f>MID(tbl_lock[[#This Row],[PACE Job Number]],3,3)</f>
        <v>STX</v>
      </c>
      <c r="C560" t="s">
        <v>16</v>
      </c>
      <c r="D560" s="1">
        <v>43434</v>
      </c>
    </row>
    <row r="561" spans="1:4" x14ac:dyDescent="0.25">
      <c r="A561" t="s">
        <v>4929</v>
      </c>
      <c r="B561" t="str">
        <f>MID(tbl_lock[[#This Row],[PACE Job Number]],3,3)</f>
        <v>STX</v>
      </c>
      <c r="C561" t="s">
        <v>16</v>
      </c>
      <c r="D561" s="1">
        <v>43421</v>
      </c>
    </row>
    <row r="562" spans="1:4" x14ac:dyDescent="0.25">
      <c r="A562" t="s">
        <v>4930</v>
      </c>
      <c r="B562" t="str">
        <f>MID(tbl_lock[[#This Row],[PACE Job Number]],3,3)</f>
        <v>STX</v>
      </c>
      <c r="C562" t="s">
        <v>16</v>
      </c>
      <c r="D562" s="1">
        <v>43421</v>
      </c>
    </row>
    <row r="563" spans="1:4" x14ac:dyDescent="0.25">
      <c r="A563" t="s">
        <v>3553</v>
      </c>
      <c r="B563" t="str">
        <f>MID(tbl_lock[[#This Row],[PACE Job Number]],3,3)</f>
        <v>STX</v>
      </c>
      <c r="C563" t="s">
        <v>16</v>
      </c>
      <c r="D563" s="1">
        <v>43420</v>
      </c>
    </row>
    <row r="564" spans="1:4" x14ac:dyDescent="0.25">
      <c r="A564" t="s">
        <v>4931</v>
      </c>
      <c r="B564" t="str">
        <f>MID(tbl_lock[[#This Row],[PACE Job Number]],3,3)</f>
        <v>STX</v>
      </c>
      <c r="C564" t="s">
        <v>16</v>
      </c>
      <c r="D564" s="1">
        <v>43434</v>
      </c>
    </row>
    <row r="565" spans="1:4" x14ac:dyDescent="0.25">
      <c r="A565" t="s">
        <v>4932</v>
      </c>
      <c r="B565" t="str">
        <f>MID(tbl_lock[[#This Row],[PACE Job Number]],3,3)</f>
        <v>STX</v>
      </c>
      <c r="C565" t="s">
        <v>16</v>
      </c>
      <c r="D565" s="1">
        <v>43421</v>
      </c>
    </row>
    <row r="566" spans="1:4" x14ac:dyDescent="0.25">
      <c r="A566" t="s">
        <v>4933</v>
      </c>
      <c r="B566" t="str">
        <f>MID(tbl_lock[[#This Row],[PACE Job Number]],3,3)</f>
        <v>STX</v>
      </c>
      <c r="C566" t="s">
        <v>16</v>
      </c>
      <c r="D566" s="1">
        <v>43421</v>
      </c>
    </row>
    <row r="567" spans="1:4" x14ac:dyDescent="0.25">
      <c r="A567" t="s">
        <v>4934</v>
      </c>
      <c r="B567" t="str">
        <f>MID(tbl_lock[[#This Row],[PACE Job Number]],3,3)</f>
        <v>STX</v>
      </c>
      <c r="C567" t="s">
        <v>16</v>
      </c>
      <c r="D567" s="1">
        <v>43420</v>
      </c>
    </row>
    <row r="568" spans="1:4" x14ac:dyDescent="0.25">
      <c r="A568" t="s">
        <v>4935</v>
      </c>
      <c r="B568" t="str">
        <f>MID(tbl_lock[[#This Row],[PACE Job Number]],3,3)</f>
        <v>STX</v>
      </c>
      <c r="C568" t="s">
        <v>16</v>
      </c>
      <c r="D568" s="1">
        <v>43421</v>
      </c>
    </row>
    <row r="569" spans="1:4" x14ac:dyDescent="0.25">
      <c r="A569" t="s">
        <v>4936</v>
      </c>
      <c r="B569" t="str">
        <f>MID(tbl_lock[[#This Row],[PACE Job Number]],3,3)</f>
        <v>STX</v>
      </c>
      <c r="C569" t="s">
        <v>16</v>
      </c>
      <c r="D569" s="1">
        <v>43434</v>
      </c>
    </row>
    <row r="570" spans="1:4" x14ac:dyDescent="0.25">
      <c r="A570" t="s">
        <v>3654</v>
      </c>
      <c r="B570" t="str">
        <f>MID(tbl_lock[[#This Row],[PACE Job Number]],3,3)</f>
        <v>STX</v>
      </c>
      <c r="C570" t="s">
        <v>16</v>
      </c>
      <c r="D570" s="1">
        <v>43420</v>
      </c>
    </row>
    <row r="571" spans="1:4" x14ac:dyDescent="0.25">
      <c r="A571" t="s">
        <v>4937</v>
      </c>
      <c r="B571" t="str">
        <f>MID(tbl_lock[[#This Row],[PACE Job Number]],3,3)</f>
        <v>STX</v>
      </c>
      <c r="C571" t="s">
        <v>16</v>
      </c>
      <c r="D571" s="1">
        <v>43421</v>
      </c>
    </row>
    <row r="572" spans="1:4" x14ac:dyDescent="0.25">
      <c r="A572" t="s">
        <v>3555</v>
      </c>
      <c r="B572" t="str">
        <f>MID(tbl_lock[[#This Row],[PACE Job Number]],3,3)</f>
        <v>STX</v>
      </c>
      <c r="C572" t="s">
        <v>16</v>
      </c>
      <c r="D572" s="1">
        <v>43420</v>
      </c>
    </row>
    <row r="573" spans="1:4" x14ac:dyDescent="0.25">
      <c r="A573" t="s">
        <v>4160</v>
      </c>
      <c r="B573" t="str">
        <f>MID(tbl_lock[[#This Row],[PACE Job Number]],3,3)</f>
        <v>NTX</v>
      </c>
      <c r="C573" t="s">
        <v>16</v>
      </c>
      <c r="D573" s="1">
        <v>43420</v>
      </c>
    </row>
    <row r="574" spans="1:4" x14ac:dyDescent="0.25">
      <c r="A574" t="s">
        <v>4938</v>
      </c>
      <c r="B574" t="str">
        <f>MID(tbl_lock[[#This Row],[PACE Job Number]],3,3)</f>
        <v>NTX</v>
      </c>
      <c r="C574" t="s">
        <v>16</v>
      </c>
      <c r="D574" s="1">
        <v>43426</v>
      </c>
    </row>
    <row r="575" spans="1:4" x14ac:dyDescent="0.25">
      <c r="A575" t="s">
        <v>3664</v>
      </c>
      <c r="B575" t="str">
        <f>MID(tbl_lock[[#This Row],[PACE Job Number]],3,3)</f>
        <v>STX</v>
      </c>
      <c r="C575" t="s">
        <v>16</v>
      </c>
      <c r="D575" s="1">
        <v>43421</v>
      </c>
    </row>
    <row r="576" spans="1:4" x14ac:dyDescent="0.25">
      <c r="A576" t="s">
        <v>4939</v>
      </c>
      <c r="B576" t="str">
        <f>MID(tbl_lock[[#This Row],[PACE Job Number]],3,3)</f>
        <v>STX</v>
      </c>
      <c r="C576" t="s">
        <v>16</v>
      </c>
      <c r="D576" s="1">
        <v>43421</v>
      </c>
    </row>
    <row r="577" spans="1:4" x14ac:dyDescent="0.25">
      <c r="A577" t="s">
        <v>4940</v>
      </c>
      <c r="B577" t="str">
        <f>MID(tbl_lock[[#This Row],[PACE Job Number]],3,3)</f>
        <v>STX</v>
      </c>
      <c r="C577" t="s">
        <v>16</v>
      </c>
      <c r="D577" s="1">
        <v>43420</v>
      </c>
    </row>
    <row r="578" spans="1:4" x14ac:dyDescent="0.25">
      <c r="A578" t="s">
        <v>1681</v>
      </c>
      <c r="B578" t="str">
        <f>MID(tbl_lock[[#This Row],[PACE Job Number]],3,3)</f>
        <v>NTX</v>
      </c>
      <c r="C578" t="s">
        <v>16</v>
      </c>
      <c r="D578" s="1">
        <v>43419</v>
      </c>
    </row>
    <row r="579" spans="1:4" x14ac:dyDescent="0.25">
      <c r="A579" t="s">
        <v>2514</v>
      </c>
      <c r="B579" t="str">
        <f>MID(tbl_lock[[#This Row],[PACE Job Number]],3,3)</f>
        <v>STX</v>
      </c>
      <c r="C579" t="s">
        <v>16</v>
      </c>
      <c r="D579" s="1">
        <v>43419</v>
      </c>
    </row>
    <row r="580" spans="1:4" x14ac:dyDescent="0.25">
      <c r="A580" t="s">
        <v>2515</v>
      </c>
      <c r="B580" t="str">
        <f>MID(tbl_lock[[#This Row],[PACE Job Number]],3,3)</f>
        <v>STX</v>
      </c>
      <c r="C580" t="s">
        <v>16</v>
      </c>
      <c r="D580" s="1">
        <v>43434</v>
      </c>
    </row>
    <row r="581" spans="1:4" x14ac:dyDescent="0.25">
      <c r="A581" t="s">
        <v>2518</v>
      </c>
      <c r="B581" t="str">
        <f>MID(tbl_lock[[#This Row],[PACE Job Number]],3,3)</f>
        <v>STX</v>
      </c>
      <c r="C581" t="s">
        <v>16</v>
      </c>
      <c r="D581" s="1">
        <v>43419</v>
      </c>
    </row>
    <row r="582" spans="1:4" x14ac:dyDescent="0.25">
      <c r="A582" t="s">
        <v>4941</v>
      </c>
      <c r="B582" t="str">
        <f>MID(tbl_lock[[#This Row],[PACE Job Number]],3,3)</f>
        <v>STX</v>
      </c>
      <c r="C582" t="s">
        <v>16</v>
      </c>
      <c r="D582" s="1">
        <v>43406</v>
      </c>
    </row>
    <row r="583" spans="1:4" x14ac:dyDescent="0.25">
      <c r="A583" t="s">
        <v>4942</v>
      </c>
      <c r="B583" t="str">
        <f>MID(tbl_lock[[#This Row],[PACE Job Number]],3,3)</f>
        <v>STX</v>
      </c>
      <c r="C583" t="s">
        <v>16</v>
      </c>
      <c r="D583" s="1">
        <v>43406</v>
      </c>
    </row>
    <row r="584" spans="1:4" x14ac:dyDescent="0.25">
      <c r="A584" t="s">
        <v>4943</v>
      </c>
      <c r="B584" t="str">
        <f>MID(tbl_lock[[#This Row],[PACE Job Number]],3,3)</f>
        <v>STX</v>
      </c>
      <c r="C584" t="s">
        <v>16</v>
      </c>
      <c r="D584" s="1">
        <v>43406</v>
      </c>
    </row>
    <row r="585" spans="1:4" x14ac:dyDescent="0.25">
      <c r="A585" t="s">
        <v>4944</v>
      </c>
      <c r="B585" t="str">
        <f>MID(tbl_lock[[#This Row],[PACE Job Number]],3,3)</f>
        <v>STX</v>
      </c>
      <c r="C585" t="s">
        <v>16</v>
      </c>
      <c r="D585" s="1">
        <v>43406</v>
      </c>
    </row>
    <row r="586" spans="1:4" x14ac:dyDescent="0.25">
      <c r="A586" t="s">
        <v>3775</v>
      </c>
      <c r="B586" t="str">
        <f>MID(tbl_lock[[#This Row],[PACE Job Number]],3,3)</f>
        <v>NTX</v>
      </c>
      <c r="C586" t="s">
        <v>16</v>
      </c>
      <c r="D586" s="1">
        <v>43419</v>
      </c>
    </row>
    <row r="587" spans="1:4" x14ac:dyDescent="0.25">
      <c r="A587" t="s">
        <v>4945</v>
      </c>
      <c r="B587" t="str">
        <f>MID(tbl_lock[[#This Row],[PACE Job Number]],3,3)</f>
        <v>STX</v>
      </c>
      <c r="C587" t="s">
        <v>16</v>
      </c>
      <c r="D587" s="1">
        <v>43434</v>
      </c>
    </row>
    <row r="588" spans="1:4" x14ac:dyDescent="0.25">
      <c r="A588" t="s">
        <v>4946</v>
      </c>
      <c r="B588" t="str">
        <f>MID(tbl_lock[[#This Row],[PACE Job Number]],3,3)</f>
        <v>STX</v>
      </c>
      <c r="C588" t="s">
        <v>16</v>
      </c>
      <c r="D588" s="1">
        <v>43420</v>
      </c>
    </row>
    <row r="589" spans="1:4" x14ac:dyDescent="0.25">
      <c r="A589" t="s">
        <v>4947</v>
      </c>
      <c r="B589" t="str">
        <f>MID(tbl_lock[[#This Row],[PACE Job Number]],3,3)</f>
        <v>STX</v>
      </c>
      <c r="C589" t="s">
        <v>16</v>
      </c>
      <c r="D589" s="1">
        <v>43405</v>
      </c>
    </row>
    <row r="590" spans="1:4" x14ac:dyDescent="0.25">
      <c r="A590" t="s">
        <v>4948</v>
      </c>
      <c r="B590" t="str">
        <f>MID(tbl_lock[[#This Row],[PACE Job Number]],3,3)</f>
        <v>STX</v>
      </c>
      <c r="C590" t="s">
        <v>16</v>
      </c>
      <c r="D590" s="1">
        <v>43434</v>
      </c>
    </row>
    <row r="591" spans="1:4" x14ac:dyDescent="0.25">
      <c r="A591" t="s">
        <v>4949</v>
      </c>
      <c r="B591" t="str">
        <f>MID(tbl_lock[[#This Row],[PACE Job Number]],3,3)</f>
        <v>STX</v>
      </c>
      <c r="C591" t="s">
        <v>16</v>
      </c>
      <c r="D591" s="1">
        <v>43420</v>
      </c>
    </row>
    <row r="592" spans="1:4" x14ac:dyDescent="0.25">
      <c r="A592" t="s">
        <v>4950</v>
      </c>
      <c r="B592" t="str">
        <f>MID(tbl_lock[[#This Row],[PACE Job Number]],3,3)</f>
        <v>STX</v>
      </c>
      <c r="C592" t="s">
        <v>16</v>
      </c>
      <c r="D592" s="1">
        <v>43434</v>
      </c>
    </row>
    <row r="593" spans="1:4" x14ac:dyDescent="0.25">
      <c r="A593" t="s">
        <v>4951</v>
      </c>
      <c r="B593" t="str">
        <f>MID(tbl_lock[[#This Row],[PACE Job Number]],3,3)</f>
        <v>STX</v>
      </c>
      <c r="C593" t="s">
        <v>16</v>
      </c>
      <c r="D593" s="1">
        <v>43434</v>
      </c>
    </row>
    <row r="594" spans="1:4" x14ac:dyDescent="0.25">
      <c r="A594" t="s">
        <v>4952</v>
      </c>
      <c r="B594" t="str">
        <f>MID(tbl_lock[[#This Row],[PACE Job Number]],3,3)</f>
        <v>WSH</v>
      </c>
      <c r="C594" t="s">
        <v>16</v>
      </c>
      <c r="D594" s="1">
        <v>43434</v>
      </c>
    </row>
    <row r="595" spans="1:4" x14ac:dyDescent="0.25">
      <c r="A595" t="s">
        <v>4211</v>
      </c>
      <c r="B595" t="str">
        <f>MID(tbl_lock[[#This Row],[PACE Job Number]],3,3)</f>
        <v>WSH</v>
      </c>
      <c r="C595" t="s">
        <v>16</v>
      </c>
      <c r="D595" s="1">
        <v>43434</v>
      </c>
    </row>
    <row r="596" spans="1:4" x14ac:dyDescent="0.25">
      <c r="A596" t="s">
        <v>4132</v>
      </c>
      <c r="B596" t="str">
        <f>MID(tbl_lock[[#This Row],[PACE Job Number]],3,3)</f>
        <v>NTX</v>
      </c>
      <c r="C596" t="s">
        <v>16</v>
      </c>
      <c r="D596" s="1">
        <v>43413</v>
      </c>
    </row>
    <row r="597" spans="1:4" x14ac:dyDescent="0.25">
      <c r="A597" t="s">
        <v>4953</v>
      </c>
      <c r="B597" t="str">
        <f>MID(tbl_lock[[#This Row],[PACE Job Number]],3,3)</f>
        <v>NTX</v>
      </c>
      <c r="C597" t="s">
        <v>16</v>
      </c>
      <c r="D597" s="1">
        <v>43434</v>
      </c>
    </row>
    <row r="598" spans="1:4" x14ac:dyDescent="0.25">
      <c r="A598" t="s">
        <v>4954</v>
      </c>
      <c r="B598" t="str">
        <f>MID(tbl_lock[[#This Row],[PACE Job Number]],3,3)</f>
        <v>NTX</v>
      </c>
      <c r="C598" t="s">
        <v>16</v>
      </c>
      <c r="D598" s="1">
        <v>43405</v>
      </c>
    </row>
    <row r="599" spans="1:4" x14ac:dyDescent="0.25">
      <c r="A599" t="s">
        <v>4710</v>
      </c>
      <c r="B599" t="str">
        <f>MID(tbl_lock[[#This Row],[PACE Job Number]],3,3)</f>
        <v>NTX</v>
      </c>
      <c r="C599" t="s">
        <v>16</v>
      </c>
      <c r="D599" s="1">
        <v>43405</v>
      </c>
    </row>
    <row r="600" spans="1:4" x14ac:dyDescent="0.25">
      <c r="A600" t="s">
        <v>4955</v>
      </c>
      <c r="B600" t="str">
        <f>MID(tbl_lock[[#This Row],[PACE Job Number]],3,3)</f>
        <v>NTX</v>
      </c>
      <c r="C600" t="s">
        <v>16</v>
      </c>
      <c r="D600" s="1">
        <v>43405</v>
      </c>
    </row>
    <row r="601" spans="1:4" x14ac:dyDescent="0.25">
      <c r="A601" t="s">
        <v>4956</v>
      </c>
      <c r="B601" t="str">
        <f>MID(tbl_lock[[#This Row],[PACE Job Number]],3,3)</f>
        <v>NTX</v>
      </c>
      <c r="C601" t="s">
        <v>16</v>
      </c>
      <c r="D601" s="1">
        <v>43434</v>
      </c>
    </row>
    <row r="602" spans="1:4" x14ac:dyDescent="0.25">
      <c r="A602" t="s">
        <v>4957</v>
      </c>
      <c r="B602" t="str">
        <f>MID(tbl_lock[[#This Row],[PACE Job Number]],3,3)</f>
        <v>NTX</v>
      </c>
      <c r="C602" t="s">
        <v>16</v>
      </c>
      <c r="D602" s="1">
        <v>43434</v>
      </c>
    </row>
    <row r="603" spans="1:4" x14ac:dyDescent="0.25">
      <c r="A603" t="s">
        <v>4958</v>
      </c>
      <c r="B603" t="str">
        <f>MID(tbl_lock[[#This Row],[PACE Job Number]],3,3)</f>
        <v>NTX</v>
      </c>
      <c r="C603" t="s">
        <v>16</v>
      </c>
      <c r="D603" s="1">
        <v>43420</v>
      </c>
    </row>
    <row r="604" spans="1:4" x14ac:dyDescent="0.25">
      <c r="A604" t="s">
        <v>4959</v>
      </c>
      <c r="B604" t="str">
        <f>MID(tbl_lock[[#This Row],[PACE Job Number]],3,3)</f>
        <v>NTX</v>
      </c>
      <c r="C604" t="s">
        <v>16</v>
      </c>
      <c r="D604" s="1">
        <v>43434</v>
      </c>
    </row>
    <row r="605" spans="1:4" x14ac:dyDescent="0.25">
      <c r="A605" t="s">
        <v>4960</v>
      </c>
      <c r="B605" t="str">
        <f>MID(tbl_lock[[#This Row],[PACE Job Number]],3,3)</f>
        <v>NTX</v>
      </c>
      <c r="C605" t="s">
        <v>16</v>
      </c>
      <c r="D605" s="1">
        <v>43434</v>
      </c>
    </row>
    <row r="606" spans="1:4" x14ac:dyDescent="0.25">
      <c r="A606" t="s">
        <v>4961</v>
      </c>
      <c r="B606" t="str">
        <f>MID(tbl_lock[[#This Row],[PACE Job Number]],3,3)</f>
        <v>NTX</v>
      </c>
      <c r="C606" t="s">
        <v>16</v>
      </c>
      <c r="D606" s="1">
        <v>43434</v>
      </c>
    </row>
    <row r="607" spans="1:4" x14ac:dyDescent="0.25">
      <c r="A607" t="s">
        <v>4962</v>
      </c>
      <c r="B607" t="str">
        <f>MID(tbl_lock[[#This Row],[PACE Job Number]],3,3)</f>
        <v>NTX</v>
      </c>
      <c r="C607" t="s">
        <v>16</v>
      </c>
      <c r="D607" s="1">
        <v>43434</v>
      </c>
    </row>
    <row r="608" spans="1:4" x14ac:dyDescent="0.25">
      <c r="A608" t="s">
        <v>4963</v>
      </c>
      <c r="B608" t="str">
        <f>MID(tbl_lock[[#This Row],[PACE Job Number]],3,3)</f>
        <v>NTX</v>
      </c>
      <c r="C608" t="s">
        <v>16</v>
      </c>
      <c r="D608" s="1">
        <v>43428</v>
      </c>
    </row>
    <row r="609" spans="1:4" x14ac:dyDescent="0.25">
      <c r="A609" t="s">
        <v>4964</v>
      </c>
      <c r="B609" t="str">
        <f>MID(tbl_lock[[#This Row],[PACE Job Number]],3,3)</f>
        <v>NTX</v>
      </c>
      <c r="C609" t="s">
        <v>16</v>
      </c>
      <c r="D609" s="1">
        <v>43434</v>
      </c>
    </row>
    <row r="610" spans="1:4" x14ac:dyDescent="0.25">
      <c r="A610" t="s">
        <v>4965</v>
      </c>
      <c r="B610" t="str">
        <f>MID(tbl_lock[[#This Row],[PACE Job Number]],3,3)</f>
        <v>NTX</v>
      </c>
      <c r="C610" t="s">
        <v>16</v>
      </c>
      <c r="D610" s="1">
        <v>43434</v>
      </c>
    </row>
    <row r="611" spans="1:4" x14ac:dyDescent="0.25">
      <c r="A611" t="s">
        <v>4966</v>
      </c>
      <c r="B611" t="str">
        <f>MID(tbl_lock[[#This Row],[PACE Job Number]],3,3)</f>
        <v>NTX</v>
      </c>
      <c r="C611" t="s">
        <v>16</v>
      </c>
      <c r="D611" s="1">
        <v>43434</v>
      </c>
    </row>
    <row r="612" spans="1:4" x14ac:dyDescent="0.25">
      <c r="A612" t="s">
        <v>4967</v>
      </c>
      <c r="B612" t="str">
        <f>MID(tbl_lock[[#This Row],[PACE Job Number]],3,3)</f>
        <v>NTX</v>
      </c>
      <c r="C612" t="s">
        <v>16</v>
      </c>
      <c r="D612" s="1">
        <v>43434</v>
      </c>
    </row>
    <row r="613" spans="1:4" x14ac:dyDescent="0.25">
      <c r="A613" t="s">
        <v>4968</v>
      </c>
      <c r="B613" t="str">
        <f>MID(tbl_lock[[#This Row],[PACE Job Number]],3,3)</f>
        <v>NTX</v>
      </c>
      <c r="C613" t="s">
        <v>16</v>
      </c>
      <c r="D613" s="1">
        <v>43434</v>
      </c>
    </row>
    <row r="614" spans="1:4" x14ac:dyDescent="0.25">
      <c r="A614" t="s">
        <v>4969</v>
      </c>
      <c r="B614" t="str">
        <f>MID(tbl_lock[[#This Row],[PACE Job Number]],3,3)</f>
        <v>NTX</v>
      </c>
      <c r="C614" t="s">
        <v>16</v>
      </c>
      <c r="D614" s="1">
        <v>43434</v>
      </c>
    </row>
    <row r="615" spans="1:4" x14ac:dyDescent="0.25">
      <c r="A615" t="s">
        <v>4970</v>
      </c>
      <c r="B615" t="str">
        <f>MID(tbl_lock[[#This Row],[PACE Job Number]],3,3)</f>
        <v>NTX</v>
      </c>
      <c r="C615" t="s">
        <v>16</v>
      </c>
      <c r="D615" s="1">
        <v>43428</v>
      </c>
    </row>
    <row r="616" spans="1:4" x14ac:dyDescent="0.25">
      <c r="A616" t="s">
        <v>4971</v>
      </c>
      <c r="B616" t="str">
        <f>MID(tbl_lock[[#This Row],[PACE Job Number]],3,3)</f>
        <v>NTX</v>
      </c>
      <c r="C616" t="s">
        <v>16</v>
      </c>
      <c r="D616" s="1">
        <v>43434</v>
      </c>
    </row>
    <row r="617" spans="1:4" x14ac:dyDescent="0.25">
      <c r="A617" t="s">
        <v>4972</v>
      </c>
      <c r="B617" t="str">
        <f>MID(tbl_lock[[#This Row],[PACE Job Number]],3,3)</f>
        <v>NTX</v>
      </c>
      <c r="C617" t="s">
        <v>16</v>
      </c>
      <c r="D617" s="1">
        <v>43434</v>
      </c>
    </row>
    <row r="618" spans="1:4" x14ac:dyDescent="0.25">
      <c r="A618" t="s">
        <v>4973</v>
      </c>
      <c r="B618" t="str">
        <f>MID(tbl_lock[[#This Row],[PACE Job Number]],3,3)</f>
        <v>NTX</v>
      </c>
      <c r="C618" t="s">
        <v>16</v>
      </c>
      <c r="D618" s="1">
        <v>43434</v>
      </c>
    </row>
    <row r="619" spans="1:4" x14ac:dyDescent="0.25">
      <c r="A619" t="s">
        <v>4974</v>
      </c>
      <c r="B619" t="str">
        <f>MID(tbl_lock[[#This Row],[PACE Job Number]],3,3)</f>
        <v>NTX</v>
      </c>
      <c r="C619" t="s">
        <v>16</v>
      </c>
      <c r="D619" s="1">
        <v>43428</v>
      </c>
    </row>
    <row r="620" spans="1:4" x14ac:dyDescent="0.25">
      <c r="A620" t="s">
        <v>4975</v>
      </c>
      <c r="B620" t="str">
        <f>MID(tbl_lock[[#This Row],[PACE Job Number]],3,3)</f>
        <v>NTX</v>
      </c>
      <c r="C620" t="s">
        <v>16</v>
      </c>
      <c r="D620" s="1">
        <v>43405</v>
      </c>
    </row>
    <row r="621" spans="1:4" x14ac:dyDescent="0.25">
      <c r="A621" t="s">
        <v>4976</v>
      </c>
      <c r="B621" t="str">
        <f>MID(tbl_lock[[#This Row],[PACE Job Number]],3,3)</f>
        <v>NTX</v>
      </c>
      <c r="C621" t="s">
        <v>16</v>
      </c>
      <c r="D621" s="1">
        <v>43406</v>
      </c>
    </row>
    <row r="622" spans="1:4" x14ac:dyDescent="0.25">
      <c r="A622" t="s">
        <v>4147</v>
      </c>
      <c r="B622" t="str">
        <f>MID(tbl_lock[[#This Row],[PACE Job Number]],3,3)</f>
        <v>WSH</v>
      </c>
      <c r="C622" t="s">
        <v>16</v>
      </c>
      <c r="D622" s="1">
        <v>43405</v>
      </c>
    </row>
    <row r="623" spans="1:4" x14ac:dyDescent="0.25">
      <c r="A623" t="s">
        <v>4977</v>
      </c>
      <c r="B623" t="str">
        <f>MID(tbl_lock[[#This Row],[PACE Job Number]],3,3)</f>
        <v>WSH</v>
      </c>
      <c r="C623" t="s">
        <v>16</v>
      </c>
      <c r="D623" s="1">
        <v>43434</v>
      </c>
    </row>
    <row r="624" spans="1:4" x14ac:dyDescent="0.25">
      <c r="A624" t="s">
        <v>4978</v>
      </c>
      <c r="B624" t="str">
        <f>MID(tbl_lock[[#This Row],[PACE Job Number]],3,3)</f>
        <v>WSH</v>
      </c>
      <c r="C624" t="s">
        <v>16</v>
      </c>
      <c r="D624" s="1">
        <v>43434</v>
      </c>
    </row>
    <row r="625" spans="1:4" x14ac:dyDescent="0.25">
      <c r="A625" t="s">
        <v>4979</v>
      </c>
      <c r="B625" t="str">
        <f>MID(tbl_lock[[#This Row],[PACE Job Number]],3,3)</f>
        <v>WSH</v>
      </c>
      <c r="C625" t="s">
        <v>16</v>
      </c>
      <c r="D625" s="1">
        <v>43430</v>
      </c>
    </row>
    <row r="626" spans="1:4" x14ac:dyDescent="0.25">
      <c r="A626" t="s">
        <v>4148</v>
      </c>
      <c r="B626" t="str">
        <f>MID(tbl_lock[[#This Row],[PACE Job Number]],3,3)</f>
        <v>WSH</v>
      </c>
      <c r="C626" t="s">
        <v>16</v>
      </c>
      <c r="D626" s="1">
        <v>43405</v>
      </c>
    </row>
    <row r="627" spans="1:4" x14ac:dyDescent="0.25">
      <c r="A627" t="s">
        <v>4980</v>
      </c>
      <c r="B627" t="str">
        <f>MID(tbl_lock[[#This Row],[PACE Job Number]],3,3)</f>
        <v>WSH</v>
      </c>
      <c r="C627" t="s">
        <v>16</v>
      </c>
      <c r="D627" s="1">
        <v>43432</v>
      </c>
    </row>
    <row r="628" spans="1:4" x14ac:dyDescent="0.25">
      <c r="A628" t="s">
        <v>4981</v>
      </c>
      <c r="B628" t="str">
        <f>MID(tbl_lock[[#This Row],[PACE Job Number]],3,3)</f>
        <v>WSH</v>
      </c>
      <c r="C628" t="s">
        <v>16</v>
      </c>
      <c r="D628" s="1">
        <v>43434</v>
      </c>
    </row>
    <row r="629" spans="1:4" x14ac:dyDescent="0.25">
      <c r="A629" t="s">
        <v>4149</v>
      </c>
      <c r="B629" t="str">
        <f>MID(tbl_lock[[#This Row],[PACE Job Number]],3,3)</f>
        <v>WSH</v>
      </c>
      <c r="C629" t="s">
        <v>16</v>
      </c>
      <c r="D629" s="1">
        <v>43405</v>
      </c>
    </row>
    <row r="630" spans="1:4" x14ac:dyDescent="0.25">
      <c r="A630" t="s">
        <v>4982</v>
      </c>
      <c r="B630" t="str">
        <f>MID(tbl_lock[[#This Row],[PACE Job Number]],3,3)</f>
        <v>WSH</v>
      </c>
      <c r="C630" t="s">
        <v>16</v>
      </c>
      <c r="D630" s="1">
        <v>43430</v>
      </c>
    </row>
    <row r="631" spans="1:4" x14ac:dyDescent="0.25">
      <c r="A631" t="s">
        <v>4983</v>
      </c>
      <c r="B631" t="str">
        <f>MID(tbl_lock[[#This Row],[PACE Job Number]],3,3)</f>
        <v>WSH</v>
      </c>
      <c r="C631" t="s">
        <v>16</v>
      </c>
      <c r="D631" s="1">
        <v>43416</v>
      </c>
    </row>
    <row r="632" spans="1:4" x14ac:dyDescent="0.25">
      <c r="A632" t="s">
        <v>4984</v>
      </c>
      <c r="B632" t="str">
        <f>MID(tbl_lock[[#This Row],[PACE Job Number]],3,3)</f>
        <v>WSH</v>
      </c>
      <c r="C632" t="s">
        <v>16</v>
      </c>
      <c r="D632" s="1">
        <v>43434</v>
      </c>
    </row>
    <row r="633" spans="1:4" x14ac:dyDescent="0.25">
      <c r="A633" t="s">
        <v>3829</v>
      </c>
      <c r="B633" t="str">
        <f>MID(tbl_lock[[#This Row],[PACE Job Number]],3,3)</f>
        <v>WSH</v>
      </c>
      <c r="C633" t="s">
        <v>16</v>
      </c>
      <c r="D633" s="1">
        <v>43405</v>
      </c>
    </row>
    <row r="634" spans="1:4" x14ac:dyDescent="0.25">
      <c r="A634" t="s">
        <v>4985</v>
      </c>
      <c r="B634" t="str">
        <f>MID(tbl_lock[[#This Row],[PACE Job Number]],3,3)</f>
        <v>WSH</v>
      </c>
      <c r="C634" t="s">
        <v>16</v>
      </c>
      <c r="D634" s="1">
        <v>43432</v>
      </c>
    </row>
    <row r="635" spans="1:4" x14ac:dyDescent="0.25">
      <c r="A635" t="s">
        <v>4150</v>
      </c>
      <c r="B635" t="str">
        <f>MID(tbl_lock[[#This Row],[PACE Job Number]],3,3)</f>
        <v>WSH</v>
      </c>
      <c r="C635" t="s">
        <v>16</v>
      </c>
      <c r="D635" s="1">
        <v>43405</v>
      </c>
    </row>
    <row r="636" spans="1:4" x14ac:dyDescent="0.25">
      <c r="A636" t="s">
        <v>4151</v>
      </c>
      <c r="B636" t="str">
        <f>MID(tbl_lock[[#This Row],[PACE Job Number]],3,3)</f>
        <v>WSH</v>
      </c>
      <c r="C636" t="s">
        <v>16</v>
      </c>
      <c r="D636" s="1">
        <v>43405</v>
      </c>
    </row>
    <row r="637" spans="1:4" x14ac:dyDescent="0.25">
      <c r="A637" t="s">
        <v>4986</v>
      </c>
      <c r="B637" t="str">
        <f>MID(tbl_lock[[#This Row],[PACE Job Number]],3,3)</f>
        <v>WSH</v>
      </c>
      <c r="C637" t="s">
        <v>16</v>
      </c>
      <c r="D637" s="1">
        <v>43434</v>
      </c>
    </row>
    <row r="638" spans="1:4" x14ac:dyDescent="0.25">
      <c r="A638" t="s">
        <v>4987</v>
      </c>
      <c r="B638" t="str">
        <f>MID(tbl_lock[[#This Row],[PACE Job Number]],3,3)</f>
        <v>WSH</v>
      </c>
      <c r="C638" t="s">
        <v>16</v>
      </c>
      <c r="D638" s="1">
        <v>43430</v>
      </c>
    </row>
    <row r="639" spans="1:4" x14ac:dyDescent="0.25">
      <c r="A639" t="s">
        <v>4133</v>
      </c>
      <c r="B639" t="str">
        <f>MID(tbl_lock[[#This Row],[PACE Job Number]],3,3)</f>
        <v>STX</v>
      </c>
      <c r="C639" t="s">
        <v>16</v>
      </c>
      <c r="D639" s="1">
        <v>43413</v>
      </c>
    </row>
    <row r="640" spans="1:4" x14ac:dyDescent="0.25">
      <c r="A640" t="s">
        <v>3231</v>
      </c>
      <c r="B640" t="str">
        <f>MID(tbl_lock[[#This Row],[PACE Job Number]],3,3)</f>
        <v>STX</v>
      </c>
      <c r="C640" t="s">
        <v>16</v>
      </c>
      <c r="D640" s="1">
        <v>43434</v>
      </c>
    </row>
    <row r="641" spans="1:4" x14ac:dyDescent="0.25">
      <c r="A641" t="s">
        <v>4988</v>
      </c>
      <c r="B641" t="str">
        <f>MID(tbl_lock[[#This Row],[PACE Job Number]],3,3)</f>
        <v>STX</v>
      </c>
      <c r="C641" t="s">
        <v>16</v>
      </c>
      <c r="D641" s="1">
        <v>43434</v>
      </c>
    </row>
    <row r="642" spans="1:4" x14ac:dyDescent="0.25">
      <c r="A642" t="s">
        <v>4989</v>
      </c>
      <c r="B642" t="str">
        <f>MID(tbl_lock[[#This Row],[PACE Job Number]],3,3)</f>
        <v>STX</v>
      </c>
      <c r="C642" t="s">
        <v>16</v>
      </c>
      <c r="D642" s="1">
        <v>43421</v>
      </c>
    </row>
    <row r="643" spans="1:4" x14ac:dyDescent="0.25">
      <c r="A643" t="s">
        <v>4990</v>
      </c>
      <c r="B643" t="str">
        <f>MID(tbl_lock[[#This Row],[PACE Job Number]],3,3)</f>
        <v>STX</v>
      </c>
      <c r="C643" t="s">
        <v>16</v>
      </c>
      <c r="D643" s="1">
        <v>43421</v>
      </c>
    </row>
    <row r="644" spans="1:4" x14ac:dyDescent="0.25">
      <c r="A644" t="s">
        <v>4991</v>
      </c>
      <c r="B644" t="str">
        <f>MID(tbl_lock[[#This Row],[PACE Job Number]],3,3)</f>
        <v>STX</v>
      </c>
      <c r="C644" t="s">
        <v>16</v>
      </c>
      <c r="D644" s="1">
        <v>43421</v>
      </c>
    </row>
    <row r="645" spans="1:4" x14ac:dyDescent="0.25">
      <c r="A645" t="s">
        <v>4992</v>
      </c>
      <c r="B645" t="str">
        <f>MID(tbl_lock[[#This Row],[PACE Job Number]],3,3)</f>
        <v>STX</v>
      </c>
      <c r="C645" t="s">
        <v>16</v>
      </c>
      <c r="D645" s="1">
        <v>43421</v>
      </c>
    </row>
    <row r="646" spans="1:4" x14ac:dyDescent="0.25">
      <c r="A646" t="s">
        <v>4993</v>
      </c>
      <c r="B646" t="str">
        <f>MID(tbl_lock[[#This Row],[PACE Job Number]],3,3)</f>
        <v>STX</v>
      </c>
      <c r="C646" t="s">
        <v>16</v>
      </c>
      <c r="D646" s="1">
        <v>43434</v>
      </c>
    </row>
    <row r="647" spans="1:4" x14ac:dyDescent="0.25">
      <c r="A647" t="s">
        <v>4994</v>
      </c>
      <c r="B647" t="str">
        <f>MID(tbl_lock[[#This Row],[PACE Job Number]],3,3)</f>
        <v>STX</v>
      </c>
      <c r="C647" t="s">
        <v>16</v>
      </c>
      <c r="D647" s="1">
        <v>43434</v>
      </c>
    </row>
    <row r="648" spans="1:4" x14ac:dyDescent="0.25">
      <c r="A648" t="s">
        <v>4995</v>
      </c>
      <c r="B648" t="str">
        <f>MID(tbl_lock[[#This Row],[PACE Job Number]],3,3)</f>
        <v>STX</v>
      </c>
      <c r="C648" t="s">
        <v>16</v>
      </c>
      <c r="D648" s="1">
        <v>43434</v>
      </c>
    </row>
    <row r="649" spans="1:4" x14ac:dyDescent="0.25">
      <c r="A649" t="s">
        <v>4996</v>
      </c>
      <c r="B649" t="str">
        <f>MID(tbl_lock[[#This Row],[PACE Job Number]],3,3)</f>
        <v>STX</v>
      </c>
      <c r="C649" t="s">
        <v>16</v>
      </c>
      <c r="D649" s="1">
        <v>43434</v>
      </c>
    </row>
    <row r="650" spans="1:4" x14ac:dyDescent="0.25">
      <c r="A650" t="s">
        <v>4997</v>
      </c>
      <c r="B650" t="str">
        <f>MID(tbl_lock[[#This Row],[PACE Job Number]],3,3)</f>
        <v>STX</v>
      </c>
      <c r="C650" t="s">
        <v>16</v>
      </c>
      <c r="D650" s="1">
        <v>43434</v>
      </c>
    </row>
    <row r="651" spans="1:4" x14ac:dyDescent="0.25">
      <c r="A651" t="s">
        <v>4998</v>
      </c>
      <c r="B651" t="str">
        <f>MID(tbl_lock[[#This Row],[PACE Job Number]],3,3)</f>
        <v>STX</v>
      </c>
      <c r="C651" t="s">
        <v>16</v>
      </c>
      <c r="D651" s="1">
        <v>43434</v>
      </c>
    </row>
    <row r="652" spans="1:4" x14ac:dyDescent="0.25">
      <c r="A652" t="s">
        <v>4999</v>
      </c>
      <c r="B652" t="str">
        <f>MID(tbl_lock[[#This Row],[PACE Job Number]],3,3)</f>
        <v>STX</v>
      </c>
      <c r="C652" t="s">
        <v>16</v>
      </c>
      <c r="D652" s="1">
        <v>43434</v>
      </c>
    </row>
    <row r="653" spans="1:4" x14ac:dyDescent="0.25">
      <c r="A653" t="s">
        <v>5000</v>
      </c>
      <c r="B653" t="str">
        <f>MID(tbl_lock[[#This Row],[PACE Job Number]],3,3)</f>
        <v>STX</v>
      </c>
      <c r="C653" t="s">
        <v>16</v>
      </c>
      <c r="D653" s="1">
        <v>43420</v>
      </c>
    </row>
    <row r="654" spans="1:4" x14ac:dyDescent="0.25">
      <c r="A654" t="s">
        <v>5001</v>
      </c>
      <c r="B654" t="str">
        <f>MID(tbl_lock[[#This Row],[PACE Job Number]],3,3)</f>
        <v>STX</v>
      </c>
      <c r="C654" t="s">
        <v>16</v>
      </c>
      <c r="D654" s="1">
        <v>43421</v>
      </c>
    </row>
    <row r="655" spans="1:4" x14ac:dyDescent="0.25">
      <c r="A655" t="s">
        <v>5002</v>
      </c>
      <c r="B655" t="str">
        <f>MID(tbl_lock[[#This Row],[PACE Job Number]],3,3)</f>
        <v>STX</v>
      </c>
      <c r="C655" t="s">
        <v>16</v>
      </c>
      <c r="D655" s="1">
        <v>43420</v>
      </c>
    </row>
    <row r="656" spans="1:4" x14ac:dyDescent="0.25">
      <c r="A656" t="s">
        <v>5003</v>
      </c>
      <c r="B656" t="str">
        <f>MID(tbl_lock[[#This Row],[PACE Job Number]],3,3)</f>
        <v>STX</v>
      </c>
      <c r="C656" t="s">
        <v>16</v>
      </c>
      <c r="D656" s="1">
        <v>43434</v>
      </c>
    </row>
    <row r="657" spans="1:4" x14ac:dyDescent="0.25">
      <c r="A657" t="s">
        <v>3558</v>
      </c>
      <c r="B657" t="str">
        <f>MID(tbl_lock[[#This Row],[PACE Job Number]],3,3)</f>
        <v>STX</v>
      </c>
      <c r="C657" t="s">
        <v>16</v>
      </c>
      <c r="D657" s="1">
        <v>43420</v>
      </c>
    </row>
    <row r="658" spans="1:4" x14ac:dyDescent="0.25">
      <c r="A658" t="s">
        <v>5004</v>
      </c>
      <c r="B658" t="str">
        <f>MID(tbl_lock[[#This Row],[PACE Job Number]],3,3)</f>
        <v>STX</v>
      </c>
      <c r="C658" t="s">
        <v>16</v>
      </c>
      <c r="D658" s="1">
        <v>43420</v>
      </c>
    </row>
    <row r="659" spans="1:4" x14ac:dyDescent="0.25">
      <c r="A659" t="s">
        <v>5005</v>
      </c>
      <c r="B659" t="str">
        <f>MID(tbl_lock[[#This Row],[PACE Job Number]],3,3)</f>
        <v>STX</v>
      </c>
      <c r="C659" t="s">
        <v>16</v>
      </c>
      <c r="D659" s="1">
        <v>43434</v>
      </c>
    </row>
    <row r="660" spans="1:4" x14ac:dyDescent="0.25">
      <c r="A660" t="s">
        <v>5006</v>
      </c>
      <c r="B660" t="str">
        <f>MID(tbl_lock[[#This Row],[PACE Job Number]],3,3)</f>
        <v>STX</v>
      </c>
      <c r="C660" t="s">
        <v>16</v>
      </c>
      <c r="D660" s="1">
        <v>43421</v>
      </c>
    </row>
    <row r="661" spans="1:4" x14ac:dyDescent="0.25">
      <c r="A661" t="s">
        <v>5007</v>
      </c>
      <c r="B661" t="str">
        <f>MID(tbl_lock[[#This Row],[PACE Job Number]],3,3)</f>
        <v>STX</v>
      </c>
      <c r="C661" t="s">
        <v>16</v>
      </c>
      <c r="D661" s="1">
        <v>43434</v>
      </c>
    </row>
    <row r="662" spans="1:4" x14ac:dyDescent="0.25">
      <c r="A662" t="s">
        <v>3537</v>
      </c>
      <c r="B662" t="str">
        <f>MID(tbl_lock[[#This Row],[PACE Job Number]],3,3)</f>
        <v>NTX</v>
      </c>
      <c r="C662" t="s">
        <v>16</v>
      </c>
      <c r="D662" s="1">
        <v>43405</v>
      </c>
    </row>
    <row r="663" spans="1:4" x14ac:dyDescent="0.25">
      <c r="A663" t="s">
        <v>4171</v>
      </c>
      <c r="B663" t="str">
        <f>MID(tbl_lock[[#This Row],[PACE Job Number]],3,3)</f>
        <v>NTX</v>
      </c>
      <c r="C663" t="s">
        <v>16</v>
      </c>
      <c r="D663" s="1">
        <v>43405</v>
      </c>
    </row>
    <row r="664" spans="1:4" x14ac:dyDescent="0.25">
      <c r="A664" t="s">
        <v>1690</v>
      </c>
      <c r="B664" t="str">
        <f>MID(tbl_lock[[#This Row],[PACE Job Number]],3,3)</f>
        <v>NTX</v>
      </c>
      <c r="C664" t="s">
        <v>16</v>
      </c>
      <c r="D664" s="1">
        <v>43419</v>
      </c>
    </row>
    <row r="665" spans="1:4" x14ac:dyDescent="0.25">
      <c r="A665" t="s">
        <v>5008</v>
      </c>
      <c r="B665" t="str">
        <f>MID(tbl_lock[[#This Row],[PACE Job Number]],3,3)</f>
        <v>STX</v>
      </c>
      <c r="C665" t="s">
        <v>16</v>
      </c>
      <c r="D665" s="1">
        <v>43427</v>
      </c>
    </row>
    <row r="666" spans="1:4" x14ac:dyDescent="0.25">
      <c r="A666" t="s">
        <v>5009</v>
      </c>
      <c r="B666" t="str">
        <f>MID(tbl_lock[[#This Row],[PACE Job Number]],3,3)</f>
        <v>STX</v>
      </c>
      <c r="C666" t="s">
        <v>16</v>
      </c>
      <c r="D666" s="1">
        <v>43420</v>
      </c>
    </row>
    <row r="667" spans="1:4" x14ac:dyDescent="0.25">
      <c r="A667" t="s">
        <v>2715</v>
      </c>
      <c r="B667" t="str">
        <f>MID(tbl_lock[[#This Row],[PACE Job Number]],3,3)</f>
        <v>STX</v>
      </c>
      <c r="C667" t="s">
        <v>16</v>
      </c>
      <c r="D667" s="1">
        <v>43420</v>
      </c>
    </row>
    <row r="668" spans="1:4" x14ac:dyDescent="0.25">
      <c r="A668" t="s">
        <v>5010</v>
      </c>
      <c r="B668" t="str">
        <f>MID(tbl_lock[[#This Row],[PACE Job Number]],3,3)</f>
        <v>ANM</v>
      </c>
      <c r="C668" t="s">
        <v>16</v>
      </c>
      <c r="D668" s="1">
        <v>43420</v>
      </c>
    </row>
    <row r="669" spans="1:4" x14ac:dyDescent="0.25">
      <c r="A669" t="s">
        <v>3781</v>
      </c>
      <c r="B669" t="str">
        <f>MID(tbl_lock[[#This Row],[PACE Job Number]],3,3)</f>
        <v>NTX</v>
      </c>
      <c r="C669" t="s">
        <v>16</v>
      </c>
      <c r="D669" s="1">
        <v>43419</v>
      </c>
    </row>
    <row r="670" spans="1:4" x14ac:dyDescent="0.25">
      <c r="A670" t="s">
        <v>4137</v>
      </c>
      <c r="B670" t="str">
        <f>MID(tbl_lock[[#This Row],[PACE Job Number]],3,3)</f>
        <v>NTX</v>
      </c>
      <c r="C670" t="s">
        <v>16</v>
      </c>
      <c r="D670" s="1">
        <v>43405</v>
      </c>
    </row>
    <row r="671" spans="1:4" x14ac:dyDescent="0.25">
      <c r="A671" t="s">
        <v>3783</v>
      </c>
      <c r="B671" t="str">
        <f>MID(tbl_lock[[#This Row],[PACE Job Number]],3,3)</f>
        <v>NTX</v>
      </c>
      <c r="C671" t="s">
        <v>16</v>
      </c>
      <c r="D671" s="1">
        <v>43419</v>
      </c>
    </row>
    <row r="672" spans="1:4" x14ac:dyDescent="0.25">
      <c r="A672" t="s">
        <v>2717</v>
      </c>
      <c r="B672" t="str">
        <f>MID(tbl_lock[[#This Row],[PACE Job Number]],3,3)</f>
        <v>STX</v>
      </c>
      <c r="C672" t="s">
        <v>16</v>
      </c>
      <c r="D672" s="1">
        <v>43413</v>
      </c>
    </row>
    <row r="673" spans="1:4" x14ac:dyDescent="0.25">
      <c r="A673" t="s">
        <v>2718</v>
      </c>
      <c r="B673" t="str">
        <f>MID(tbl_lock[[#This Row],[PACE Job Number]],3,3)</f>
        <v>STX</v>
      </c>
      <c r="C673" t="s">
        <v>16</v>
      </c>
      <c r="D673" s="1">
        <v>43420</v>
      </c>
    </row>
    <row r="674" spans="1:4" x14ac:dyDescent="0.25">
      <c r="A674" t="s">
        <v>5011</v>
      </c>
      <c r="B674" t="str">
        <f>MID(tbl_lock[[#This Row],[PACE Job Number]],3,3)</f>
        <v>WSH</v>
      </c>
      <c r="C674" t="s">
        <v>16</v>
      </c>
      <c r="D674" s="1">
        <v>43434</v>
      </c>
    </row>
    <row r="675" spans="1:4" x14ac:dyDescent="0.25">
      <c r="A675" t="s">
        <v>5012</v>
      </c>
      <c r="B675" t="str">
        <f>MID(tbl_lock[[#This Row],[PACE Job Number]],3,3)</f>
        <v>WSH</v>
      </c>
      <c r="C675" t="s">
        <v>16</v>
      </c>
      <c r="D675" s="1">
        <v>43430</v>
      </c>
    </row>
    <row r="676" spans="1:4" x14ac:dyDescent="0.25">
      <c r="A676" t="s">
        <v>5013</v>
      </c>
      <c r="B676" t="str">
        <f>MID(tbl_lock[[#This Row],[PACE Job Number]],3,3)</f>
        <v>WSH</v>
      </c>
      <c r="C676" t="s">
        <v>16</v>
      </c>
      <c r="D676" s="1">
        <v>43427</v>
      </c>
    </row>
    <row r="677" spans="1:4" x14ac:dyDescent="0.25">
      <c r="A677" t="s">
        <v>5014</v>
      </c>
      <c r="B677" t="str">
        <f>MID(tbl_lock[[#This Row],[PACE Job Number]],3,3)</f>
        <v>WSH</v>
      </c>
      <c r="C677" t="s">
        <v>16</v>
      </c>
      <c r="D677" s="1">
        <v>43430</v>
      </c>
    </row>
    <row r="678" spans="1:4" x14ac:dyDescent="0.25">
      <c r="A678" t="s">
        <v>5015</v>
      </c>
      <c r="B678" t="str">
        <f>MID(tbl_lock[[#This Row],[PACE Job Number]],3,3)</f>
        <v>NTX</v>
      </c>
      <c r="C678" t="s">
        <v>16</v>
      </c>
      <c r="D678" s="1">
        <v>43432</v>
      </c>
    </row>
    <row r="679" spans="1:4" x14ac:dyDescent="0.25">
      <c r="A679" t="s">
        <v>5016</v>
      </c>
      <c r="B679" t="str">
        <f>MID(tbl_lock[[#This Row],[PACE Job Number]],3,3)</f>
        <v>NTX</v>
      </c>
      <c r="C679" t="s">
        <v>16</v>
      </c>
      <c r="D679" s="1">
        <v>43434</v>
      </c>
    </row>
    <row r="680" spans="1:4" x14ac:dyDescent="0.25">
      <c r="A680" t="s">
        <v>5017</v>
      </c>
      <c r="B680" t="str">
        <f>MID(tbl_lock[[#This Row],[PACE Job Number]],3,3)</f>
        <v>NTX</v>
      </c>
      <c r="C680" t="s">
        <v>16</v>
      </c>
      <c r="D680" s="1">
        <v>43434</v>
      </c>
    </row>
    <row r="681" spans="1:4" x14ac:dyDescent="0.25">
      <c r="A681" t="s">
        <v>5018</v>
      </c>
      <c r="B681" t="str">
        <f>MID(tbl_lock[[#This Row],[PACE Job Number]],3,3)</f>
        <v>NTX</v>
      </c>
      <c r="C681" t="s">
        <v>16</v>
      </c>
      <c r="D681" s="1">
        <v>43434</v>
      </c>
    </row>
    <row r="682" spans="1:4" x14ac:dyDescent="0.25">
      <c r="A682" t="s">
        <v>5019</v>
      </c>
      <c r="B682" t="str">
        <f>MID(tbl_lock[[#This Row],[PACE Job Number]],3,3)</f>
        <v>NTX</v>
      </c>
      <c r="C682" t="s">
        <v>16</v>
      </c>
      <c r="D682" s="1">
        <v>43434</v>
      </c>
    </row>
    <row r="683" spans="1:4" x14ac:dyDescent="0.25">
      <c r="A683" t="s">
        <v>5020</v>
      </c>
      <c r="B683" t="str">
        <f>MID(tbl_lock[[#This Row],[PACE Job Number]],3,3)</f>
        <v>NTX</v>
      </c>
      <c r="C683" t="s">
        <v>16</v>
      </c>
      <c r="D683" s="1">
        <v>43405</v>
      </c>
    </row>
    <row r="684" spans="1:4" x14ac:dyDescent="0.25">
      <c r="A684" t="s">
        <v>5021</v>
      </c>
      <c r="B684" t="str">
        <f>MID(tbl_lock[[#This Row],[PACE Job Number]],3,3)</f>
        <v>NTX</v>
      </c>
      <c r="C684" t="s">
        <v>16</v>
      </c>
      <c r="D684" s="1">
        <v>43434</v>
      </c>
    </row>
    <row r="685" spans="1:4" x14ac:dyDescent="0.25">
      <c r="A685" t="s">
        <v>5022</v>
      </c>
      <c r="B685" t="str">
        <f>MID(tbl_lock[[#This Row],[PACE Job Number]],3,3)</f>
        <v>NTX</v>
      </c>
      <c r="C685" t="s">
        <v>16</v>
      </c>
      <c r="D685" s="1">
        <v>43434</v>
      </c>
    </row>
    <row r="686" spans="1:4" x14ac:dyDescent="0.25">
      <c r="A686" t="s">
        <v>5023</v>
      </c>
      <c r="B686" t="str">
        <f>MID(tbl_lock[[#This Row],[PACE Job Number]],3,3)</f>
        <v>NTX</v>
      </c>
      <c r="C686" t="s">
        <v>16</v>
      </c>
      <c r="D686" s="1">
        <v>43434</v>
      </c>
    </row>
    <row r="687" spans="1:4" x14ac:dyDescent="0.25">
      <c r="A687" t="s">
        <v>5024</v>
      </c>
      <c r="B687" t="str">
        <f>MID(tbl_lock[[#This Row],[PACE Job Number]],3,3)</f>
        <v>NTX</v>
      </c>
      <c r="C687" t="s">
        <v>16</v>
      </c>
      <c r="D687" s="1">
        <v>43434</v>
      </c>
    </row>
    <row r="688" spans="1:4" x14ac:dyDescent="0.25">
      <c r="A688" t="s">
        <v>5025</v>
      </c>
      <c r="B688" t="str">
        <f>MID(tbl_lock[[#This Row],[PACE Job Number]],3,3)</f>
        <v>NTX</v>
      </c>
      <c r="C688" t="s">
        <v>16</v>
      </c>
      <c r="D688" s="1">
        <v>43434</v>
      </c>
    </row>
    <row r="689" spans="1:4" x14ac:dyDescent="0.25">
      <c r="A689" t="s">
        <v>5026</v>
      </c>
      <c r="B689" t="str">
        <f>MID(tbl_lock[[#This Row],[PACE Job Number]],3,3)</f>
        <v>NTX</v>
      </c>
      <c r="C689" t="s">
        <v>16</v>
      </c>
      <c r="D689" s="1">
        <v>43419</v>
      </c>
    </row>
    <row r="690" spans="1:4" x14ac:dyDescent="0.25">
      <c r="A690" t="s">
        <v>5027</v>
      </c>
      <c r="B690" t="str">
        <f>MID(tbl_lock[[#This Row],[PACE Job Number]],3,3)</f>
        <v>NTX</v>
      </c>
      <c r="C690" t="s">
        <v>16</v>
      </c>
      <c r="D690" s="1">
        <v>43419</v>
      </c>
    </row>
    <row r="691" spans="1:4" x14ac:dyDescent="0.25">
      <c r="A691" t="s">
        <v>5028</v>
      </c>
      <c r="B691" t="str">
        <f>MID(tbl_lock[[#This Row],[PACE Job Number]],3,3)</f>
        <v>NTX</v>
      </c>
      <c r="C691" t="s">
        <v>16</v>
      </c>
      <c r="D691" s="1">
        <v>43434</v>
      </c>
    </row>
    <row r="692" spans="1:4" x14ac:dyDescent="0.25">
      <c r="A692" t="s">
        <v>5029</v>
      </c>
      <c r="B692" t="str">
        <f>MID(tbl_lock[[#This Row],[PACE Job Number]],3,3)</f>
        <v>NTX</v>
      </c>
      <c r="C692" t="s">
        <v>16</v>
      </c>
      <c r="D692" s="1">
        <v>43434</v>
      </c>
    </row>
    <row r="693" spans="1:4" x14ac:dyDescent="0.25">
      <c r="A693" t="s">
        <v>5030</v>
      </c>
      <c r="B693" t="str">
        <f>MID(tbl_lock[[#This Row],[PACE Job Number]],3,3)</f>
        <v>NTX</v>
      </c>
      <c r="C693" t="s">
        <v>16</v>
      </c>
      <c r="D693" s="1">
        <v>43434</v>
      </c>
    </row>
    <row r="694" spans="1:4" x14ac:dyDescent="0.25">
      <c r="A694" t="s">
        <v>5031</v>
      </c>
      <c r="B694" t="str">
        <f>MID(tbl_lock[[#This Row],[PACE Job Number]],3,3)</f>
        <v>NTX</v>
      </c>
      <c r="C694" t="s">
        <v>16</v>
      </c>
      <c r="D694" s="1">
        <v>43434</v>
      </c>
    </row>
    <row r="695" spans="1:4" x14ac:dyDescent="0.25">
      <c r="A695" t="s">
        <v>5032</v>
      </c>
      <c r="B695" t="str">
        <f>MID(tbl_lock[[#This Row],[PACE Job Number]],3,3)</f>
        <v>NTX</v>
      </c>
      <c r="C695" t="s">
        <v>16</v>
      </c>
      <c r="D695" s="1">
        <v>43405</v>
      </c>
    </row>
    <row r="696" spans="1:4" x14ac:dyDescent="0.25">
      <c r="A696" t="s">
        <v>5033</v>
      </c>
      <c r="B696" t="str">
        <f>MID(tbl_lock[[#This Row],[PACE Job Number]],3,3)</f>
        <v>NTX</v>
      </c>
      <c r="C696" t="s">
        <v>16</v>
      </c>
      <c r="D696" s="1">
        <v>43434</v>
      </c>
    </row>
    <row r="697" spans="1:4" x14ac:dyDescent="0.25">
      <c r="A697" t="s">
        <v>5034</v>
      </c>
      <c r="B697" t="str">
        <f>MID(tbl_lock[[#This Row],[PACE Job Number]],3,3)</f>
        <v>NTX</v>
      </c>
      <c r="C697" t="s">
        <v>16</v>
      </c>
      <c r="D697" s="1">
        <v>43434</v>
      </c>
    </row>
    <row r="698" spans="1:4" x14ac:dyDescent="0.25">
      <c r="A698" t="s">
        <v>5035</v>
      </c>
      <c r="B698" t="str">
        <f>MID(tbl_lock[[#This Row],[PACE Job Number]],3,3)</f>
        <v>NTX</v>
      </c>
      <c r="C698" t="s">
        <v>16</v>
      </c>
      <c r="D698" s="1">
        <v>43434</v>
      </c>
    </row>
    <row r="699" spans="1:4" x14ac:dyDescent="0.25">
      <c r="A699" t="s">
        <v>5036</v>
      </c>
      <c r="B699" t="str">
        <f>MID(tbl_lock[[#This Row],[PACE Job Number]],3,3)</f>
        <v>NTX</v>
      </c>
      <c r="C699" t="s">
        <v>16</v>
      </c>
      <c r="D699" s="1">
        <v>43434</v>
      </c>
    </row>
    <row r="700" spans="1:4" x14ac:dyDescent="0.25">
      <c r="A700" t="s">
        <v>5037</v>
      </c>
      <c r="B700" t="str">
        <f>MID(tbl_lock[[#This Row],[PACE Job Number]],3,3)</f>
        <v>NTX</v>
      </c>
      <c r="C700" t="s">
        <v>16</v>
      </c>
      <c r="D700" s="1">
        <v>43434</v>
      </c>
    </row>
    <row r="701" spans="1:4" x14ac:dyDescent="0.25">
      <c r="A701" t="s">
        <v>5038</v>
      </c>
      <c r="B701" t="str">
        <f>MID(tbl_lock[[#This Row],[PACE Job Number]],3,3)</f>
        <v>NTX</v>
      </c>
      <c r="C701" t="s">
        <v>16</v>
      </c>
      <c r="D701" s="1">
        <v>43434</v>
      </c>
    </row>
    <row r="702" spans="1:4" x14ac:dyDescent="0.25">
      <c r="A702" t="s">
        <v>5039</v>
      </c>
      <c r="B702" t="str">
        <f>MID(tbl_lock[[#This Row],[PACE Job Number]],3,3)</f>
        <v>NTX</v>
      </c>
      <c r="C702" t="s">
        <v>16</v>
      </c>
      <c r="D702" s="1">
        <v>43434</v>
      </c>
    </row>
    <row r="703" spans="1:4" x14ac:dyDescent="0.25">
      <c r="A703" t="s">
        <v>3251</v>
      </c>
      <c r="B703" t="str">
        <f>MID(tbl_lock[[#This Row],[PACE Job Number]],3,3)</f>
        <v>STX</v>
      </c>
      <c r="C703" t="s">
        <v>16</v>
      </c>
      <c r="D703" s="1">
        <v>43434</v>
      </c>
    </row>
    <row r="704" spans="1:4" x14ac:dyDescent="0.25">
      <c r="A704" t="s">
        <v>349</v>
      </c>
      <c r="B704" t="str">
        <f>MID(tbl_lock[[#This Row],[PACE Job Number]],3,3)</f>
        <v>ANM</v>
      </c>
      <c r="C704" t="s">
        <v>16</v>
      </c>
      <c r="D704" s="1">
        <v>43434</v>
      </c>
    </row>
    <row r="705" spans="1:4" x14ac:dyDescent="0.25">
      <c r="A705" t="s">
        <v>4130</v>
      </c>
      <c r="B705" t="str">
        <f>MID(tbl_lock[[#This Row],[PACE Job Number]],3,3)</f>
        <v>ANM</v>
      </c>
      <c r="C705" t="s">
        <v>16</v>
      </c>
      <c r="D705" s="1">
        <v>43420</v>
      </c>
    </row>
    <row r="706" spans="1:4" x14ac:dyDescent="0.25">
      <c r="A706" t="s">
        <v>4139</v>
      </c>
      <c r="B706" t="str">
        <f>MID(tbl_lock[[#This Row],[PACE Job Number]],3,3)</f>
        <v>STX</v>
      </c>
      <c r="C706" t="s">
        <v>16</v>
      </c>
      <c r="D706" s="1">
        <v>43413</v>
      </c>
    </row>
    <row r="707" spans="1:4" x14ac:dyDescent="0.25">
      <c r="A707" t="s">
        <v>3346</v>
      </c>
      <c r="B707" t="str">
        <f>MID(tbl_lock[[#This Row],[PACE Job Number]],3,3)</f>
        <v>STX</v>
      </c>
      <c r="C707" t="s">
        <v>16</v>
      </c>
      <c r="D707" s="1">
        <v>43434</v>
      </c>
    </row>
    <row r="708" spans="1:4" x14ac:dyDescent="0.25">
      <c r="A708" t="s">
        <v>5040</v>
      </c>
      <c r="B708" t="str">
        <f>MID(tbl_lock[[#This Row],[PACE Job Number]],3,3)</f>
        <v>STX</v>
      </c>
      <c r="C708" t="s">
        <v>16</v>
      </c>
      <c r="D708" s="1">
        <v>43434</v>
      </c>
    </row>
    <row r="709" spans="1:4" x14ac:dyDescent="0.25">
      <c r="A709" t="s">
        <v>3100</v>
      </c>
      <c r="B709" t="str">
        <f>MID(tbl_lock[[#This Row],[PACE Job Number]],3,3)</f>
        <v>STX</v>
      </c>
      <c r="C709" t="s">
        <v>16</v>
      </c>
      <c r="D709" s="1">
        <v>43434</v>
      </c>
    </row>
    <row r="710" spans="1:4" x14ac:dyDescent="0.25">
      <c r="A710" t="s">
        <v>3131</v>
      </c>
      <c r="B710" t="str">
        <f>MID(tbl_lock[[#This Row],[PACE Job Number]],3,3)</f>
        <v>STX</v>
      </c>
      <c r="C710" t="s">
        <v>16</v>
      </c>
      <c r="D710" s="1">
        <v>43434</v>
      </c>
    </row>
    <row r="711" spans="1:4" x14ac:dyDescent="0.25">
      <c r="A711" t="s">
        <v>5041</v>
      </c>
      <c r="B711" t="str">
        <f>MID(tbl_lock[[#This Row],[PACE Job Number]],3,3)</f>
        <v>STX</v>
      </c>
      <c r="C711" t="s">
        <v>16</v>
      </c>
      <c r="D711" s="1">
        <v>43421</v>
      </c>
    </row>
    <row r="712" spans="1:4" x14ac:dyDescent="0.25">
      <c r="A712" t="s">
        <v>5042</v>
      </c>
      <c r="B712" t="str">
        <f>MID(tbl_lock[[#This Row],[PACE Job Number]],3,3)</f>
        <v>STX</v>
      </c>
      <c r="C712" t="s">
        <v>16</v>
      </c>
      <c r="D712" s="1">
        <v>43421</v>
      </c>
    </row>
    <row r="713" spans="1:4" x14ac:dyDescent="0.25">
      <c r="A713" t="s">
        <v>3559</v>
      </c>
      <c r="B713" t="str">
        <f>MID(tbl_lock[[#This Row],[PACE Job Number]],3,3)</f>
        <v>STX</v>
      </c>
      <c r="C713" t="s">
        <v>16</v>
      </c>
      <c r="D713" s="1">
        <v>43420</v>
      </c>
    </row>
    <row r="714" spans="1:4" x14ac:dyDescent="0.25">
      <c r="A714" t="s">
        <v>5043</v>
      </c>
      <c r="B714" t="str">
        <f>MID(tbl_lock[[#This Row],[PACE Job Number]],3,3)</f>
        <v>STX</v>
      </c>
      <c r="C714" t="s">
        <v>16</v>
      </c>
      <c r="D714" s="1">
        <v>43434</v>
      </c>
    </row>
    <row r="715" spans="1:4" x14ac:dyDescent="0.25">
      <c r="A715" t="s">
        <v>5044</v>
      </c>
      <c r="B715" t="str">
        <f>MID(tbl_lock[[#This Row],[PACE Job Number]],3,3)</f>
        <v>STX</v>
      </c>
      <c r="C715" t="s">
        <v>16</v>
      </c>
      <c r="D715" s="1">
        <v>43434</v>
      </c>
    </row>
    <row r="716" spans="1:4" x14ac:dyDescent="0.25">
      <c r="A716" t="s">
        <v>5045</v>
      </c>
      <c r="B716" t="str">
        <f>MID(tbl_lock[[#This Row],[PACE Job Number]],3,3)</f>
        <v>STX</v>
      </c>
      <c r="C716" t="s">
        <v>16</v>
      </c>
      <c r="D716" s="1">
        <v>43420</v>
      </c>
    </row>
    <row r="717" spans="1:4" x14ac:dyDescent="0.25">
      <c r="A717" t="s">
        <v>3560</v>
      </c>
      <c r="B717" t="str">
        <f>MID(tbl_lock[[#This Row],[PACE Job Number]],3,3)</f>
        <v>STX</v>
      </c>
      <c r="C717" t="s">
        <v>16</v>
      </c>
      <c r="D717" s="1">
        <v>43420</v>
      </c>
    </row>
    <row r="718" spans="1:4" x14ac:dyDescent="0.25">
      <c r="A718" t="s">
        <v>5046</v>
      </c>
      <c r="B718" t="str">
        <f>MID(tbl_lock[[#This Row],[PACE Job Number]],3,3)</f>
        <v>STX</v>
      </c>
      <c r="C718" t="s">
        <v>16</v>
      </c>
      <c r="D718" s="1">
        <v>43406</v>
      </c>
    </row>
    <row r="719" spans="1:4" x14ac:dyDescent="0.25">
      <c r="A719" t="s">
        <v>5047</v>
      </c>
      <c r="B719" t="str">
        <f>MID(tbl_lock[[#This Row],[PACE Job Number]],3,3)</f>
        <v>STX</v>
      </c>
      <c r="C719" t="s">
        <v>16</v>
      </c>
      <c r="D719" s="1">
        <v>43421</v>
      </c>
    </row>
    <row r="720" spans="1:4" x14ac:dyDescent="0.25">
      <c r="A720" t="s">
        <v>5048</v>
      </c>
      <c r="B720" t="str">
        <f>MID(tbl_lock[[#This Row],[PACE Job Number]],3,3)</f>
        <v>STX</v>
      </c>
      <c r="C720" t="s">
        <v>16</v>
      </c>
      <c r="D720" s="1">
        <v>43421</v>
      </c>
    </row>
    <row r="721" spans="1:4" x14ac:dyDescent="0.25">
      <c r="A721" t="s">
        <v>5049</v>
      </c>
      <c r="B721" t="str">
        <f>MID(tbl_lock[[#This Row],[PACE Job Number]],3,3)</f>
        <v>STX</v>
      </c>
      <c r="C721" t="s">
        <v>16</v>
      </c>
      <c r="D721" s="1">
        <v>43420</v>
      </c>
    </row>
    <row r="722" spans="1:4" x14ac:dyDescent="0.25">
      <c r="A722" t="s">
        <v>5050</v>
      </c>
      <c r="B722" t="str">
        <f>MID(tbl_lock[[#This Row],[PACE Job Number]],3,3)</f>
        <v>STX</v>
      </c>
      <c r="C722" t="s">
        <v>16</v>
      </c>
      <c r="D722" s="1">
        <v>43434</v>
      </c>
    </row>
    <row r="723" spans="1:4" x14ac:dyDescent="0.25">
      <c r="A723" t="s">
        <v>5051</v>
      </c>
      <c r="B723" t="str">
        <f>MID(tbl_lock[[#This Row],[PACE Job Number]],3,3)</f>
        <v>STX</v>
      </c>
      <c r="C723" t="s">
        <v>16</v>
      </c>
      <c r="D723" s="1">
        <v>43434</v>
      </c>
    </row>
    <row r="724" spans="1:4" x14ac:dyDescent="0.25">
      <c r="A724" t="s">
        <v>3561</v>
      </c>
      <c r="B724" t="str">
        <f>MID(tbl_lock[[#This Row],[PACE Job Number]],3,3)</f>
        <v>STX</v>
      </c>
      <c r="C724" t="s">
        <v>16</v>
      </c>
      <c r="D724" s="1">
        <v>43427</v>
      </c>
    </row>
    <row r="725" spans="1:4" x14ac:dyDescent="0.25">
      <c r="A725" t="s">
        <v>5052</v>
      </c>
      <c r="B725" t="str">
        <f>MID(tbl_lock[[#This Row],[PACE Job Number]],3,3)</f>
        <v>STX</v>
      </c>
      <c r="C725" t="s">
        <v>16</v>
      </c>
      <c r="D725" s="1">
        <v>43405</v>
      </c>
    </row>
    <row r="726" spans="1:4" x14ac:dyDescent="0.25">
      <c r="A726" t="s">
        <v>3562</v>
      </c>
      <c r="B726" t="str">
        <f>MID(tbl_lock[[#This Row],[PACE Job Number]],3,3)</f>
        <v>STX</v>
      </c>
      <c r="C726" t="s">
        <v>16</v>
      </c>
      <c r="D726" s="1">
        <v>43434</v>
      </c>
    </row>
    <row r="727" spans="1:4" x14ac:dyDescent="0.25">
      <c r="A727" t="s">
        <v>5053</v>
      </c>
      <c r="B727" t="str">
        <f>MID(tbl_lock[[#This Row],[PACE Job Number]],3,3)</f>
        <v>STX</v>
      </c>
      <c r="C727" t="s">
        <v>16</v>
      </c>
      <c r="D727" s="1">
        <v>43434</v>
      </c>
    </row>
    <row r="728" spans="1:4" x14ac:dyDescent="0.25">
      <c r="A728" t="s">
        <v>5054</v>
      </c>
      <c r="B728" t="str">
        <f>MID(tbl_lock[[#This Row],[PACE Job Number]],3,3)</f>
        <v>STX</v>
      </c>
      <c r="C728" t="s">
        <v>16</v>
      </c>
      <c r="D728" s="1">
        <v>43420</v>
      </c>
    </row>
    <row r="729" spans="1:4" x14ac:dyDescent="0.25">
      <c r="A729" t="s">
        <v>5055</v>
      </c>
      <c r="B729" t="str">
        <f>MID(tbl_lock[[#This Row],[PACE Job Number]],3,3)</f>
        <v>STX</v>
      </c>
      <c r="C729" t="s">
        <v>16</v>
      </c>
      <c r="D729" s="1">
        <v>43434</v>
      </c>
    </row>
    <row r="730" spans="1:4" x14ac:dyDescent="0.25">
      <c r="A730" t="s">
        <v>5056</v>
      </c>
      <c r="B730" t="str">
        <f>MID(tbl_lock[[#This Row],[PACE Job Number]],3,3)</f>
        <v>NTX</v>
      </c>
      <c r="C730" t="s">
        <v>16</v>
      </c>
      <c r="D730" s="1">
        <v>43430</v>
      </c>
    </row>
    <row r="731" spans="1:4" x14ac:dyDescent="0.25">
      <c r="A731" t="s">
        <v>5057</v>
      </c>
      <c r="B731" t="str">
        <f>MID(tbl_lock[[#This Row],[PACE Job Number]],3,3)</f>
        <v>NTX</v>
      </c>
      <c r="C731" t="s">
        <v>16</v>
      </c>
      <c r="D731" s="1">
        <v>43409</v>
      </c>
    </row>
    <row r="732" spans="1:4" x14ac:dyDescent="0.25">
      <c r="A732" t="s">
        <v>4162</v>
      </c>
      <c r="B732" t="str">
        <f>MID(tbl_lock[[#This Row],[PACE Job Number]],3,3)</f>
        <v>NTX</v>
      </c>
      <c r="C732" t="s">
        <v>16</v>
      </c>
      <c r="D732" s="1">
        <v>43413</v>
      </c>
    </row>
    <row r="733" spans="1:4" x14ac:dyDescent="0.25">
      <c r="A733" t="s">
        <v>5058</v>
      </c>
      <c r="B733" t="str">
        <f>MID(tbl_lock[[#This Row],[PACE Job Number]],3,3)</f>
        <v>NTX</v>
      </c>
      <c r="C733" t="s">
        <v>16</v>
      </c>
      <c r="D733" s="1">
        <v>43434</v>
      </c>
    </row>
    <row r="734" spans="1:4" x14ac:dyDescent="0.25">
      <c r="A734" t="s">
        <v>5059</v>
      </c>
      <c r="B734" t="str">
        <f>MID(tbl_lock[[#This Row],[PACE Job Number]],3,3)</f>
        <v>NTX</v>
      </c>
      <c r="C734" t="s">
        <v>16</v>
      </c>
      <c r="D734" s="1">
        <v>43434</v>
      </c>
    </row>
    <row r="735" spans="1:4" x14ac:dyDescent="0.25">
      <c r="A735" t="s">
        <v>4161</v>
      </c>
      <c r="B735" t="str">
        <f>MID(tbl_lock[[#This Row],[PACE Job Number]],3,3)</f>
        <v>NTX</v>
      </c>
      <c r="C735" t="s">
        <v>16</v>
      </c>
      <c r="D735" s="1">
        <v>43420</v>
      </c>
    </row>
    <row r="736" spans="1:4" x14ac:dyDescent="0.25">
      <c r="A736" t="s">
        <v>5060</v>
      </c>
      <c r="B736" t="str">
        <f>MID(tbl_lock[[#This Row],[PACE Job Number]],3,3)</f>
        <v>NTX</v>
      </c>
      <c r="C736" t="s">
        <v>16</v>
      </c>
      <c r="D736" s="1">
        <v>43427</v>
      </c>
    </row>
    <row r="737" spans="1:4" x14ac:dyDescent="0.25">
      <c r="A737" t="s">
        <v>4164</v>
      </c>
      <c r="B737" t="str">
        <f>MID(tbl_lock[[#This Row],[PACE Job Number]],3,3)</f>
        <v>NTX</v>
      </c>
      <c r="C737" t="s">
        <v>16</v>
      </c>
      <c r="D737" s="1">
        <v>43420</v>
      </c>
    </row>
    <row r="738" spans="1:4" x14ac:dyDescent="0.25">
      <c r="A738" t="s">
        <v>5061</v>
      </c>
      <c r="B738" t="str">
        <f>MID(tbl_lock[[#This Row],[PACE Job Number]],3,3)</f>
        <v>NTX</v>
      </c>
      <c r="C738" t="s">
        <v>16</v>
      </c>
      <c r="D738" s="1">
        <v>43427</v>
      </c>
    </row>
    <row r="739" spans="1:4" x14ac:dyDescent="0.25">
      <c r="A739" t="s">
        <v>4165</v>
      </c>
      <c r="B739" t="str">
        <f>MID(tbl_lock[[#This Row],[PACE Job Number]],3,3)</f>
        <v>NTX</v>
      </c>
      <c r="C739" t="s">
        <v>16</v>
      </c>
      <c r="D739" s="1">
        <v>43420</v>
      </c>
    </row>
    <row r="740" spans="1:4" x14ac:dyDescent="0.25">
      <c r="A740" t="s">
        <v>1682</v>
      </c>
      <c r="B740" t="str">
        <f>MID(tbl_lock[[#This Row],[PACE Job Number]],3,3)</f>
        <v>NTX</v>
      </c>
      <c r="C740" t="s">
        <v>16</v>
      </c>
      <c r="D740" s="1">
        <v>43419</v>
      </c>
    </row>
    <row r="741" spans="1:4" x14ac:dyDescent="0.25">
      <c r="A741" t="s">
        <v>5062</v>
      </c>
      <c r="B741" t="str">
        <f>MID(tbl_lock[[#This Row],[PACE Job Number]],3,3)</f>
        <v>NTX</v>
      </c>
      <c r="C741" t="s">
        <v>16</v>
      </c>
      <c r="D741" s="1">
        <v>43426</v>
      </c>
    </row>
    <row r="742" spans="1:4" x14ac:dyDescent="0.25">
      <c r="A742" t="s">
        <v>1689</v>
      </c>
      <c r="B742" t="str">
        <f>MID(tbl_lock[[#This Row],[PACE Job Number]],3,3)</f>
        <v>NTX</v>
      </c>
      <c r="C742" t="s">
        <v>16</v>
      </c>
      <c r="D742" s="1">
        <v>43419</v>
      </c>
    </row>
    <row r="743" spans="1:4" x14ac:dyDescent="0.25">
      <c r="A743" t="s">
        <v>5063</v>
      </c>
      <c r="B743" t="str">
        <f>MID(tbl_lock[[#This Row],[PACE Job Number]],3,3)</f>
        <v>WSH</v>
      </c>
      <c r="C743" t="s">
        <v>16</v>
      </c>
      <c r="D743" s="1">
        <v>43434</v>
      </c>
    </row>
    <row r="744" spans="1:4" x14ac:dyDescent="0.25">
      <c r="A744" t="s">
        <v>5064</v>
      </c>
      <c r="B744" t="str">
        <f>MID(tbl_lock[[#This Row],[PACE Job Number]],3,3)</f>
        <v>WSH</v>
      </c>
      <c r="C744" t="s">
        <v>16</v>
      </c>
      <c r="D744" s="1">
        <v>43434</v>
      </c>
    </row>
    <row r="745" spans="1:4" x14ac:dyDescent="0.25">
      <c r="A745" t="s">
        <v>1696</v>
      </c>
      <c r="B745" t="str">
        <f>MID(tbl_lock[[#This Row],[PACE Job Number]],3,3)</f>
        <v>ANM</v>
      </c>
      <c r="C745" t="s">
        <v>16</v>
      </c>
      <c r="D745" s="1">
        <v>43420</v>
      </c>
    </row>
    <row r="746" spans="1:4" x14ac:dyDescent="0.25">
      <c r="A746" t="s">
        <v>5065</v>
      </c>
      <c r="B746" t="str">
        <f>MID(tbl_lock[[#This Row],[PACE Job Number]],3,3)</f>
        <v>ANM</v>
      </c>
      <c r="C746" t="s">
        <v>16</v>
      </c>
      <c r="D746" s="1">
        <v>43420</v>
      </c>
    </row>
    <row r="747" spans="1:4" x14ac:dyDescent="0.25">
      <c r="A747" t="s">
        <v>4153</v>
      </c>
      <c r="B747" t="str">
        <f>MID(tbl_lock[[#This Row],[PACE Job Number]],3,3)</f>
        <v>ANM</v>
      </c>
      <c r="C747" t="s">
        <v>16</v>
      </c>
      <c r="D747" s="1">
        <v>43434</v>
      </c>
    </row>
    <row r="748" spans="1:4" x14ac:dyDescent="0.25">
      <c r="A748" t="s">
        <v>1680</v>
      </c>
      <c r="B748" t="str">
        <f>MID(tbl_lock[[#This Row],[PACE Job Number]],3,3)</f>
        <v>ANM</v>
      </c>
      <c r="C748" t="s">
        <v>16</v>
      </c>
      <c r="D748" s="1">
        <v>43420</v>
      </c>
    </row>
    <row r="749" spans="1:4" x14ac:dyDescent="0.25">
      <c r="A749" t="s">
        <v>5066</v>
      </c>
      <c r="B749" t="str">
        <f>MID(tbl_lock[[#This Row],[PACE Job Number]],3,3)</f>
        <v>ANM</v>
      </c>
      <c r="C749" t="s">
        <v>16</v>
      </c>
      <c r="D749" s="1">
        <v>43432</v>
      </c>
    </row>
    <row r="750" spans="1:4" x14ac:dyDescent="0.25">
      <c r="A750" t="s">
        <v>4156</v>
      </c>
      <c r="B750" t="str">
        <f>MID(tbl_lock[[#This Row],[PACE Job Number]],3,3)</f>
        <v>ANM</v>
      </c>
      <c r="C750" t="s">
        <v>16</v>
      </c>
      <c r="D750" s="1">
        <v>43434</v>
      </c>
    </row>
    <row r="751" spans="1:4" x14ac:dyDescent="0.25">
      <c r="A751" t="s">
        <v>1694</v>
      </c>
      <c r="B751" t="str">
        <f>MID(tbl_lock[[#This Row],[PACE Job Number]],3,3)</f>
        <v>ANM</v>
      </c>
      <c r="C751" t="s">
        <v>16</v>
      </c>
      <c r="D751" s="1">
        <v>43420</v>
      </c>
    </row>
    <row r="752" spans="1:4" x14ac:dyDescent="0.25">
      <c r="A752" t="s">
        <v>5067</v>
      </c>
      <c r="B752" t="str">
        <f>MID(tbl_lock[[#This Row],[PACE Job Number]],3,3)</f>
        <v>ANM</v>
      </c>
      <c r="C752" t="s">
        <v>16</v>
      </c>
      <c r="D752" s="1">
        <v>43420</v>
      </c>
    </row>
    <row r="753" spans="1:4" x14ac:dyDescent="0.25">
      <c r="A753" t="s">
        <v>5068</v>
      </c>
      <c r="B753" t="str">
        <f>MID(tbl_lock[[#This Row],[PACE Job Number]],3,3)</f>
        <v>ANM</v>
      </c>
      <c r="C753" t="s">
        <v>16</v>
      </c>
      <c r="D753" s="1">
        <v>43420</v>
      </c>
    </row>
    <row r="754" spans="1:4" x14ac:dyDescent="0.25">
      <c r="A754" t="s">
        <v>5069</v>
      </c>
      <c r="B754" t="str">
        <f>MID(tbl_lock[[#This Row],[PACE Job Number]],3,3)</f>
        <v>ANM</v>
      </c>
      <c r="C754" t="s">
        <v>16</v>
      </c>
      <c r="D754" s="1">
        <v>43432</v>
      </c>
    </row>
    <row r="755" spans="1:4" x14ac:dyDescent="0.25">
      <c r="A755" t="s">
        <v>2699</v>
      </c>
      <c r="B755" t="str">
        <f>MID(tbl_lock[[#This Row],[PACE Job Number]],3,3)</f>
        <v>STX</v>
      </c>
      <c r="C755" t="s">
        <v>16</v>
      </c>
      <c r="D755" s="1">
        <v>43420</v>
      </c>
    </row>
    <row r="756" spans="1:4" x14ac:dyDescent="0.25">
      <c r="A756" t="s">
        <v>2714</v>
      </c>
      <c r="B756" t="str">
        <f>MID(tbl_lock[[#This Row],[PACE Job Number]],3,3)</f>
        <v>STX</v>
      </c>
      <c r="C756" t="s">
        <v>16</v>
      </c>
      <c r="D756" s="1">
        <v>43413</v>
      </c>
    </row>
    <row r="757" spans="1:4" x14ac:dyDescent="0.25">
      <c r="A757" t="s">
        <v>5070</v>
      </c>
      <c r="B757" t="str">
        <f>MID(tbl_lock[[#This Row],[PACE Job Number]],3,3)</f>
        <v>STX</v>
      </c>
      <c r="C757" t="s">
        <v>16</v>
      </c>
      <c r="D757" s="1">
        <v>43419</v>
      </c>
    </row>
    <row r="758" spans="1:4" x14ac:dyDescent="0.25">
      <c r="A758" t="s">
        <v>5071</v>
      </c>
      <c r="B758" t="str">
        <f>MID(tbl_lock[[#This Row],[PACE Job Number]],3,3)</f>
        <v>STX</v>
      </c>
      <c r="C758" t="s">
        <v>16</v>
      </c>
      <c r="D758" s="1">
        <v>43434</v>
      </c>
    </row>
    <row r="759" spans="1:4" x14ac:dyDescent="0.25">
      <c r="A759" t="s">
        <v>5072</v>
      </c>
      <c r="B759" t="str">
        <f>MID(tbl_lock[[#This Row],[PACE Job Number]],3,3)</f>
        <v>WSH</v>
      </c>
      <c r="C759" t="s">
        <v>16</v>
      </c>
      <c r="D759" s="1">
        <v>43434</v>
      </c>
    </row>
    <row r="760" spans="1:4" x14ac:dyDescent="0.25">
      <c r="A760" t="s">
        <v>5073</v>
      </c>
      <c r="B760" t="str">
        <f>MID(tbl_lock[[#This Row],[PACE Job Number]],3,3)</f>
        <v>WSH</v>
      </c>
      <c r="C760" t="s">
        <v>16</v>
      </c>
      <c r="D760" s="1">
        <v>43434</v>
      </c>
    </row>
    <row r="761" spans="1:4" x14ac:dyDescent="0.25">
      <c r="A761" t="s">
        <v>3832</v>
      </c>
      <c r="B761" t="str">
        <f>MID(tbl_lock[[#This Row],[PACE Job Number]],3,3)</f>
        <v>WSH</v>
      </c>
      <c r="C761" t="s">
        <v>16</v>
      </c>
      <c r="D761" s="1">
        <v>43405</v>
      </c>
    </row>
    <row r="762" spans="1:4" x14ac:dyDescent="0.25">
      <c r="A762" t="s">
        <v>5074</v>
      </c>
      <c r="B762" t="str">
        <f>MID(tbl_lock[[#This Row],[PACE Job Number]],3,3)</f>
        <v>WSH</v>
      </c>
      <c r="C762" t="s">
        <v>16</v>
      </c>
      <c r="D762" s="1">
        <v>43420</v>
      </c>
    </row>
    <row r="763" spans="1:4" x14ac:dyDescent="0.25">
      <c r="A763" t="s">
        <v>4140</v>
      </c>
      <c r="B763" t="str">
        <f>MID(tbl_lock[[#This Row],[PACE Job Number]],3,3)</f>
        <v>NTX</v>
      </c>
      <c r="C763" t="s">
        <v>16</v>
      </c>
      <c r="D763" s="1">
        <v>43405</v>
      </c>
    </row>
    <row r="764" spans="1:4" x14ac:dyDescent="0.25">
      <c r="A764" t="s">
        <v>1901</v>
      </c>
      <c r="B764" t="str">
        <f>MID(tbl_lock[[#This Row],[PACE Job Number]],3,3)</f>
        <v>NTX</v>
      </c>
      <c r="C764" t="s">
        <v>16</v>
      </c>
      <c r="D764" s="1">
        <v>43427</v>
      </c>
    </row>
    <row r="765" spans="1:4" x14ac:dyDescent="0.25">
      <c r="A765" t="s">
        <v>5075</v>
      </c>
      <c r="B765" t="str">
        <f>MID(tbl_lock[[#This Row],[PACE Job Number]],3,3)</f>
        <v>NTX</v>
      </c>
      <c r="C765" t="s">
        <v>16</v>
      </c>
      <c r="D765" s="1">
        <v>43405</v>
      </c>
    </row>
    <row r="766" spans="1:4" x14ac:dyDescent="0.25">
      <c r="A766" t="s">
        <v>5076</v>
      </c>
      <c r="B766" t="str">
        <f>MID(tbl_lock[[#This Row],[PACE Job Number]],3,3)</f>
        <v>NTX</v>
      </c>
      <c r="C766" t="s">
        <v>16</v>
      </c>
      <c r="D766" s="1">
        <v>43406</v>
      </c>
    </row>
    <row r="767" spans="1:4" x14ac:dyDescent="0.25">
      <c r="A767" t="s">
        <v>5077</v>
      </c>
      <c r="B767" t="str">
        <f>MID(tbl_lock[[#This Row],[PACE Job Number]],3,3)</f>
        <v>WSH</v>
      </c>
      <c r="C767" t="s">
        <v>16</v>
      </c>
      <c r="D767" s="1">
        <v>43420</v>
      </c>
    </row>
    <row r="768" spans="1:4" x14ac:dyDescent="0.25">
      <c r="A768" t="s">
        <v>5078</v>
      </c>
      <c r="B768" t="str">
        <f>MID(tbl_lock[[#This Row],[PACE Job Number]],3,3)</f>
        <v>WSH</v>
      </c>
      <c r="C768" t="s">
        <v>16</v>
      </c>
      <c r="D768" s="1">
        <v>43430</v>
      </c>
    </row>
    <row r="769" spans="1:4" x14ac:dyDescent="0.25">
      <c r="A769" t="s">
        <v>5079</v>
      </c>
      <c r="B769" t="str">
        <f>MID(tbl_lock[[#This Row],[PACE Job Number]],3,3)</f>
        <v>WSH</v>
      </c>
      <c r="C769" t="s">
        <v>16</v>
      </c>
      <c r="D769" s="1">
        <v>43420</v>
      </c>
    </row>
    <row r="770" spans="1:4" x14ac:dyDescent="0.25">
      <c r="A770" t="s">
        <v>3838</v>
      </c>
      <c r="B770" t="str">
        <f>MID(tbl_lock[[#This Row],[PACE Job Number]],3,3)</f>
        <v>WSH</v>
      </c>
      <c r="C770" t="s">
        <v>16</v>
      </c>
      <c r="D770" s="1">
        <v>43406</v>
      </c>
    </row>
    <row r="771" spans="1:4" x14ac:dyDescent="0.25">
      <c r="A771" t="s">
        <v>4158</v>
      </c>
      <c r="B771" t="str">
        <f>MID(tbl_lock[[#This Row],[PACE Job Number]],3,3)</f>
        <v>WSH</v>
      </c>
      <c r="C771" t="s">
        <v>16</v>
      </c>
      <c r="D771" s="1">
        <v>43434</v>
      </c>
    </row>
    <row r="772" spans="1:4" x14ac:dyDescent="0.25">
      <c r="A772" t="s">
        <v>5080</v>
      </c>
      <c r="B772" t="str">
        <f>MID(tbl_lock[[#This Row],[PACE Job Number]],3,3)</f>
        <v>STX</v>
      </c>
      <c r="C772" t="s">
        <v>16</v>
      </c>
      <c r="D772" s="1">
        <v>43434</v>
      </c>
    </row>
    <row r="773" spans="1:4" x14ac:dyDescent="0.25">
      <c r="A773" t="s">
        <v>3413</v>
      </c>
      <c r="B773" t="str">
        <f>MID(tbl_lock[[#This Row],[PACE Job Number]],3,3)</f>
        <v>STX</v>
      </c>
      <c r="C773" t="s">
        <v>16</v>
      </c>
      <c r="D773" s="1">
        <v>43427</v>
      </c>
    </row>
    <row r="774" spans="1:4" x14ac:dyDescent="0.25">
      <c r="A774" t="s">
        <v>5081</v>
      </c>
      <c r="B774" t="str">
        <f>MID(tbl_lock[[#This Row],[PACE Job Number]],3,3)</f>
        <v>STX</v>
      </c>
      <c r="C774" t="s">
        <v>16</v>
      </c>
      <c r="D774" s="1">
        <v>43434</v>
      </c>
    </row>
    <row r="775" spans="1:4" x14ac:dyDescent="0.25">
      <c r="A775" t="s">
        <v>5082</v>
      </c>
      <c r="B775" t="str">
        <f>MID(tbl_lock[[#This Row],[PACE Job Number]],3,3)</f>
        <v>STX</v>
      </c>
      <c r="C775" t="s">
        <v>16</v>
      </c>
      <c r="D775" s="1">
        <v>43434</v>
      </c>
    </row>
    <row r="776" spans="1:4" x14ac:dyDescent="0.25">
      <c r="A776" t="s">
        <v>3563</v>
      </c>
      <c r="B776" t="str">
        <f>MID(tbl_lock[[#This Row],[PACE Job Number]],3,3)</f>
        <v>STX</v>
      </c>
      <c r="C776" t="s">
        <v>16</v>
      </c>
      <c r="D776" s="1">
        <v>43421</v>
      </c>
    </row>
    <row r="777" spans="1:4" x14ac:dyDescent="0.25">
      <c r="A777" t="s">
        <v>5083</v>
      </c>
      <c r="B777" t="str">
        <f>MID(tbl_lock[[#This Row],[PACE Job Number]],3,3)</f>
        <v>STX</v>
      </c>
      <c r="C777" t="s">
        <v>16</v>
      </c>
      <c r="D777" s="1">
        <v>43421</v>
      </c>
    </row>
    <row r="778" spans="1:4" x14ac:dyDescent="0.25">
      <c r="A778" t="s">
        <v>5084</v>
      </c>
      <c r="B778" t="str">
        <f>MID(tbl_lock[[#This Row],[PACE Job Number]],3,3)</f>
        <v>STX</v>
      </c>
      <c r="C778" t="s">
        <v>16</v>
      </c>
      <c r="D778" s="1">
        <v>43421</v>
      </c>
    </row>
    <row r="779" spans="1:4" x14ac:dyDescent="0.25">
      <c r="A779" t="s">
        <v>5085</v>
      </c>
      <c r="B779" t="str">
        <f>MID(tbl_lock[[#This Row],[PACE Job Number]],3,3)</f>
        <v>STX</v>
      </c>
      <c r="C779" t="s">
        <v>16</v>
      </c>
      <c r="D779" s="1">
        <v>43420</v>
      </c>
    </row>
    <row r="780" spans="1:4" x14ac:dyDescent="0.25">
      <c r="A780" t="s">
        <v>5086</v>
      </c>
      <c r="B780" t="str">
        <f>MID(tbl_lock[[#This Row],[PACE Job Number]],3,3)</f>
        <v>STX</v>
      </c>
      <c r="C780" t="s">
        <v>16</v>
      </c>
      <c r="D780" s="1">
        <v>43434</v>
      </c>
    </row>
    <row r="781" spans="1:4" x14ac:dyDescent="0.25">
      <c r="A781" t="s">
        <v>5087</v>
      </c>
      <c r="B781" t="str">
        <f>MID(tbl_lock[[#This Row],[PACE Job Number]],3,3)</f>
        <v>STX</v>
      </c>
      <c r="C781" t="s">
        <v>16</v>
      </c>
      <c r="D781" s="1">
        <v>43421</v>
      </c>
    </row>
    <row r="782" spans="1:4" x14ac:dyDescent="0.25">
      <c r="A782" t="s">
        <v>3564</v>
      </c>
      <c r="B782" t="str">
        <f>MID(tbl_lock[[#This Row],[PACE Job Number]],3,3)</f>
        <v>STX</v>
      </c>
      <c r="C782" t="s">
        <v>16</v>
      </c>
      <c r="D782" s="1">
        <v>43420</v>
      </c>
    </row>
    <row r="783" spans="1:4" x14ac:dyDescent="0.25">
      <c r="A783" t="s">
        <v>5088</v>
      </c>
      <c r="B783" t="str">
        <f>MID(tbl_lock[[#This Row],[PACE Job Number]],3,3)</f>
        <v>STX</v>
      </c>
      <c r="C783" t="s">
        <v>16</v>
      </c>
      <c r="D783" s="1">
        <v>43420</v>
      </c>
    </row>
    <row r="784" spans="1:4" x14ac:dyDescent="0.25">
      <c r="A784" t="s">
        <v>5089</v>
      </c>
      <c r="B784" t="str">
        <f>MID(tbl_lock[[#This Row],[PACE Job Number]],3,3)</f>
        <v>STX</v>
      </c>
      <c r="C784" t="s">
        <v>16</v>
      </c>
      <c r="D784" s="1">
        <v>43420</v>
      </c>
    </row>
    <row r="785" spans="1:4" x14ac:dyDescent="0.25">
      <c r="A785" t="s">
        <v>5090</v>
      </c>
      <c r="B785" t="str">
        <f>MID(tbl_lock[[#This Row],[PACE Job Number]],3,3)</f>
        <v>STX</v>
      </c>
      <c r="C785" t="s">
        <v>16</v>
      </c>
      <c r="D785" s="1">
        <v>43420</v>
      </c>
    </row>
    <row r="786" spans="1:4" x14ac:dyDescent="0.25">
      <c r="A786" t="s">
        <v>2274</v>
      </c>
      <c r="B786" t="str">
        <f>MID(tbl_lock[[#This Row],[PACE Job Number]],3,3)</f>
        <v>NTX</v>
      </c>
      <c r="C786" t="s">
        <v>16</v>
      </c>
      <c r="D786" s="1">
        <v>43420</v>
      </c>
    </row>
    <row r="787" spans="1:4" x14ac:dyDescent="0.25">
      <c r="A787" t="s">
        <v>2297</v>
      </c>
      <c r="B787" t="str">
        <f>MID(tbl_lock[[#This Row],[PACE Job Number]],3,3)</f>
        <v>NTX</v>
      </c>
      <c r="C787" t="s">
        <v>16</v>
      </c>
      <c r="D787" s="1">
        <v>43420</v>
      </c>
    </row>
    <row r="788" spans="1:4" x14ac:dyDescent="0.25">
      <c r="A788" t="s">
        <v>5091</v>
      </c>
      <c r="B788" t="str">
        <f>MID(tbl_lock[[#This Row],[PACE Job Number]],3,3)</f>
        <v>NTX</v>
      </c>
      <c r="C788" t="s">
        <v>16</v>
      </c>
      <c r="D788" s="1">
        <v>43427</v>
      </c>
    </row>
    <row r="789" spans="1:4" x14ac:dyDescent="0.25">
      <c r="A789" t="s">
        <v>4172</v>
      </c>
      <c r="B789" t="str">
        <f>MID(tbl_lock[[#This Row],[PACE Job Number]],3,3)</f>
        <v>NTX</v>
      </c>
      <c r="C789" t="s">
        <v>16</v>
      </c>
      <c r="D789" s="1">
        <v>43420</v>
      </c>
    </row>
    <row r="790" spans="1:4" x14ac:dyDescent="0.25">
      <c r="A790" t="s">
        <v>4173</v>
      </c>
      <c r="B790" t="str">
        <f>MID(tbl_lock[[#This Row],[PACE Job Number]],3,3)</f>
        <v>NTX</v>
      </c>
      <c r="C790" t="s">
        <v>16</v>
      </c>
      <c r="D790" s="1">
        <v>43426</v>
      </c>
    </row>
    <row r="791" spans="1:4" x14ac:dyDescent="0.25">
      <c r="A791" t="s">
        <v>5092</v>
      </c>
      <c r="B791" t="str">
        <f>MID(tbl_lock[[#This Row],[PACE Job Number]],3,3)</f>
        <v>NTX</v>
      </c>
      <c r="C791" t="s">
        <v>16</v>
      </c>
      <c r="D791" s="1">
        <v>43409</v>
      </c>
    </row>
    <row r="792" spans="1:4" x14ac:dyDescent="0.25">
      <c r="A792" t="s">
        <v>5093</v>
      </c>
      <c r="B792" t="str">
        <f>MID(tbl_lock[[#This Row],[PACE Job Number]],3,3)</f>
        <v>NTX</v>
      </c>
      <c r="C792" t="s">
        <v>16</v>
      </c>
      <c r="D792" s="1">
        <v>43430</v>
      </c>
    </row>
    <row r="793" spans="1:4" x14ac:dyDescent="0.25">
      <c r="A793" t="s">
        <v>5094</v>
      </c>
      <c r="B793" t="str">
        <f>MID(tbl_lock[[#This Row],[PACE Job Number]],3,3)</f>
        <v>NTX</v>
      </c>
      <c r="C793" t="s">
        <v>16</v>
      </c>
      <c r="D793" s="1">
        <v>43409</v>
      </c>
    </row>
    <row r="794" spans="1:4" x14ac:dyDescent="0.25">
      <c r="A794" t="s">
        <v>5095</v>
      </c>
      <c r="B794" t="str">
        <f>MID(tbl_lock[[#This Row],[PACE Job Number]],3,3)</f>
        <v>WSH</v>
      </c>
      <c r="C794" t="s">
        <v>16</v>
      </c>
      <c r="D794" s="1">
        <v>43420</v>
      </c>
    </row>
    <row r="795" spans="1:4" x14ac:dyDescent="0.25">
      <c r="A795" t="s">
        <v>5096</v>
      </c>
      <c r="B795" t="str">
        <f>MID(tbl_lock[[#This Row],[PACE Job Number]],3,3)</f>
        <v>WSH</v>
      </c>
      <c r="C795" t="s">
        <v>16</v>
      </c>
      <c r="D795" s="1">
        <v>43420</v>
      </c>
    </row>
    <row r="796" spans="1:4" x14ac:dyDescent="0.25">
      <c r="A796" t="s">
        <v>4201</v>
      </c>
      <c r="B796" t="str">
        <f>MID(tbl_lock[[#This Row],[PACE Job Number]],3,3)</f>
        <v>WSH</v>
      </c>
      <c r="C796" t="s">
        <v>16</v>
      </c>
      <c r="D796" s="1">
        <v>43434</v>
      </c>
    </row>
    <row r="797" spans="1:4" x14ac:dyDescent="0.25">
      <c r="A797" t="s">
        <v>5097</v>
      </c>
      <c r="B797" t="str">
        <f>MID(tbl_lock[[#This Row],[PACE Job Number]],3,3)</f>
        <v>WSH</v>
      </c>
      <c r="C797" t="s">
        <v>16</v>
      </c>
      <c r="D797" s="1">
        <v>43420</v>
      </c>
    </row>
    <row r="798" spans="1:4" x14ac:dyDescent="0.25">
      <c r="A798" t="s">
        <v>5098</v>
      </c>
      <c r="B798" t="str">
        <f>MID(tbl_lock[[#This Row],[PACE Job Number]],3,3)</f>
        <v>WSH</v>
      </c>
      <c r="C798" t="s">
        <v>16</v>
      </c>
      <c r="D798" s="1">
        <v>43434</v>
      </c>
    </row>
    <row r="799" spans="1:4" x14ac:dyDescent="0.25">
      <c r="A799" t="s">
        <v>5099</v>
      </c>
      <c r="B799" t="str">
        <f>MID(tbl_lock[[#This Row],[PACE Job Number]],3,3)</f>
        <v>WSH</v>
      </c>
      <c r="C799" t="s">
        <v>16</v>
      </c>
      <c r="D799" s="1">
        <v>43430</v>
      </c>
    </row>
    <row r="800" spans="1:4" x14ac:dyDescent="0.25">
      <c r="A800" t="s">
        <v>5100</v>
      </c>
      <c r="B800" t="str">
        <f>MID(tbl_lock[[#This Row],[PACE Job Number]],3,3)</f>
        <v>STX</v>
      </c>
      <c r="C800" t="s">
        <v>16</v>
      </c>
      <c r="D800" s="1">
        <v>43419</v>
      </c>
    </row>
    <row r="801" spans="1:4" x14ac:dyDescent="0.25">
      <c r="A801" t="s">
        <v>4177</v>
      </c>
      <c r="B801" t="str">
        <f>MID(tbl_lock[[#This Row],[PACE Job Number]],3,3)</f>
        <v>STX</v>
      </c>
      <c r="C801" t="s">
        <v>16</v>
      </c>
      <c r="D801" s="1">
        <v>43420</v>
      </c>
    </row>
    <row r="802" spans="1:4" x14ac:dyDescent="0.25">
      <c r="A802" t="s">
        <v>5101</v>
      </c>
      <c r="B802" t="str">
        <f>MID(tbl_lock[[#This Row],[PACE Job Number]],3,3)</f>
        <v>STX</v>
      </c>
      <c r="C802" t="s">
        <v>16</v>
      </c>
      <c r="D802" s="1">
        <v>43413</v>
      </c>
    </row>
    <row r="803" spans="1:4" x14ac:dyDescent="0.25">
      <c r="A803" t="s">
        <v>4178</v>
      </c>
      <c r="B803" t="str">
        <f>MID(tbl_lock[[#This Row],[PACE Job Number]],3,3)</f>
        <v>STX</v>
      </c>
      <c r="C803" t="s">
        <v>16</v>
      </c>
      <c r="D803" s="1">
        <v>43420</v>
      </c>
    </row>
    <row r="804" spans="1:4" x14ac:dyDescent="0.25">
      <c r="A804" t="s">
        <v>4179</v>
      </c>
      <c r="B804" t="str">
        <f>MID(tbl_lock[[#This Row],[PACE Job Number]],3,3)</f>
        <v>STX</v>
      </c>
      <c r="C804" t="s">
        <v>16</v>
      </c>
      <c r="D804" s="1">
        <v>43420</v>
      </c>
    </row>
    <row r="805" spans="1:4" x14ac:dyDescent="0.25">
      <c r="A805" t="s">
        <v>5102</v>
      </c>
      <c r="B805" t="str">
        <f>MID(tbl_lock[[#This Row],[PACE Job Number]],3,3)</f>
        <v>STX</v>
      </c>
      <c r="C805" t="s">
        <v>16</v>
      </c>
      <c r="D805" s="1">
        <v>43413</v>
      </c>
    </row>
    <row r="806" spans="1:4" x14ac:dyDescent="0.25">
      <c r="A806" t="s">
        <v>5103</v>
      </c>
      <c r="B806" t="str">
        <f>MID(tbl_lock[[#This Row],[PACE Job Number]],3,3)</f>
        <v>STX</v>
      </c>
      <c r="C806" t="s">
        <v>16</v>
      </c>
      <c r="D806" s="1">
        <v>43413</v>
      </c>
    </row>
    <row r="807" spans="1:4" x14ac:dyDescent="0.25">
      <c r="A807" t="s">
        <v>4180</v>
      </c>
      <c r="B807" t="str">
        <f>MID(tbl_lock[[#This Row],[PACE Job Number]],3,3)</f>
        <v>STX</v>
      </c>
      <c r="C807" t="s">
        <v>16</v>
      </c>
      <c r="D807" s="1">
        <v>43420</v>
      </c>
    </row>
    <row r="808" spans="1:4" x14ac:dyDescent="0.25">
      <c r="A808" t="s">
        <v>5104</v>
      </c>
      <c r="B808" t="str">
        <f>MID(tbl_lock[[#This Row],[PACE Job Number]],3,3)</f>
        <v>STX</v>
      </c>
      <c r="C808" t="s">
        <v>16</v>
      </c>
      <c r="D808" s="1">
        <v>43413</v>
      </c>
    </row>
    <row r="809" spans="1:4" x14ac:dyDescent="0.25">
      <c r="A809" t="s">
        <v>5105</v>
      </c>
      <c r="B809" t="str">
        <f>MID(tbl_lock[[#This Row],[PACE Job Number]],3,3)</f>
        <v>STX</v>
      </c>
      <c r="C809" t="s">
        <v>16</v>
      </c>
      <c r="D809" s="1">
        <v>43419</v>
      </c>
    </row>
    <row r="810" spans="1:4" x14ac:dyDescent="0.25">
      <c r="A810" t="s">
        <v>5106</v>
      </c>
      <c r="B810" t="str">
        <f>MID(tbl_lock[[#This Row],[PACE Job Number]],3,3)</f>
        <v>STX</v>
      </c>
      <c r="C810" t="s">
        <v>16</v>
      </c>
      <c r="D810" s="1">
        <v>43420</v>
      </c>
    </row>
    <row r="811" spans="1:4" x14ac:dyDescent="0.25">
      <c r="A811" t="s">
        <v>5107</v>
      </c>
      <c r="B811" t="str">
        <f>MID(tbl_lock[[#This Row],[PACE Job Number]],3,3)</f>
        <v>STX</v>
      </c>
      <c r="C811" t="s">
        <v>16</v>
      </c>
      <c r="D811" s="1">
        <v>43434</v>
      </c>
    </row>
    <row r="812" spans="1:4" x14ac:dyDescent="0.25">
      <c r="A812" t="s">
        <v>4181</v>
      </c>
      <c r="B812" t="str">
        <f>MID(tbl_lock[[#This Row],[PACE Job Number]],3,3)</f>
        <v>STX</v>
      </c>
      <c r="C812" t="s">
        <v>16</v>
      </c>
      <c r="D812" s="1">
        <v>43413</v>
      </c>
    </row>
    <row r="813" spans="1:4" x14ac:dyDescent="0.25">
      <c r="A813" t="s">
        <v>5108</v>
      </c>
      <c r="B813" t="str">
        <f>MID(tbl_lock[[#This Row],[PACE Job Number]],3,3)</f>
        <v>STX</v>
      </c>
      <c r="C813" t="s">
        <v>16</v>
      </c>
      <c r="D813" s="1">
        <v>43434</v>
      </c>
    </row>
    <row r="814" spans="1:4" x14ac:dyDescent="0.25">
      <c r="A814" t="s">
        <v>5109</v>
      </c>
      <c r="B814" t="str">
        <f>MID(tbl_lock[[#This Row],[PACE Job Number]],3,3)</f>
        <v>STX</v>
      </c>
      <c r="C814" t="s">
        <v>16</v>
      </c>
      <c r="D814" s="1">
        <v>43406</v>
      </c>
    </row>
    <row r="815" spans="1:4" x14ac:dyDescent="0.25">
      <c r="A815" t="s">
        <v>5110</v>
      </c>
      <c r="B815" t="str">
        <f>MID(tbl_lock[[#This Row],[PACE Job Number]],3,3)</f>
        <v>STX</v>
      </c>
      <c r="C815" t="s">
        <v>16</v>
      </c>
      <c r="D815" s="1">
        <v>43434</v>
      </c>
    </row>
    <row r="816" spans="1:4" x14ac:dyDescent="0.25">
      <c r="A816" t="s">
        <v>5111</v>
      </c>
      <c r="B816" t="str">
        <f>MID(tbl_lock[[#This Row],[PACE Job Number]],3,3)</f>
        <v>STX</v>
      </c>
      <c r="C816" t="s">
        <v>16</v>
      </c>
      <c r="D816" s="1">
        <v>43420</v>
      </c>
    </row>
    <row r="817" spans="1:4" x14ac:dyDescent="0.25">
      <c r="A817" t="s">
        <v>1698</v>
      </c>
      <c r="B817" t="str">
        <f>MID(tbl_lock[[#This Row],[PACE Job Number]],3,3)</f>
        <v>STX</v>
      </c>
      <c r="C817" t="s">
        <v>16</v>
      </c>
      <c r="D817" s="1">
        <v>43434</v>
      </c>
    </row>
    <row r="818" spans="1:4" x14ac:dyDescent="0.25">
      <c r="A818" t="s">
        <v>1693</v>
      </c>
      <c r="B818" t="str">
        <f>MID(tbl_lock[[#This Row],[PACE Job Number]],3,3)</f>
        <v>STX</v>
      </c>
      <c r="C818" t="s">
        <v>16</v>
      </c>
      <c r="D818" s="1">
        <v>43434</v>
      </c>
    </row>
    <row r="819" spans="1:4" x14ac:dyDescent="0.25">
      <c r="A819" t="s">
        <v>5112</v>
      </c>
      <c r="B819" t="str">
        <f>MID(tbl_lock[[#This Row],[PACE Job Number]],3,3)</f>
        <v>STX</v>
      </c>
      <c r="C819" t="s">
        <v>16</v>
      </c>
      <c r="D819" s="1">
        <v>43418</v>
      </c>
    </row>
    <row r="820" spans="1:4" x14ac:dyDescent="0.25">
      <c r="A820" t="s">
        <v>5113</v>
      </c>
      <c r="B820" t="str">
        <f>MID(tbl_lock[[#This Row],[PACE Job Number]],3,3)</f>
        <v>STX</v>
      </c>
      <c r="C820" t="s">
        <v>16</v>
      </c>
      <c r="D820" s="1">
        <v>43406</v>
      </c>
    </row>
    <row r="821" spans="1:4" x14ac:dyDescent="0.25">
      <c r="A821" t="s">
        <v>5114</v>
      </c>
      <c r="B821" t="str">
        <f>MID(tbl_lock[[#This Row],[PACE Job Number]],3,3)</f>
        <v>STX</v>
      </c>
      <c r="C821" t="s">
        <v>16</v>
      </c>
      <c r="D821" s="1">
        <v>43434</v>
      </c>
    </row>
    <row r="822" spans="1:4" x14ac:dyDescent="0.25">
      <c r="A822" t="s">
        <v>4182</v>
      </c>
      <c r="B822" t="str">
        <f>MID(tbl_lock[[#This Row],[PACE Job Number]],3,3)</f>
        <v>STX</v>
      </c>
      <c r="C822" t="s">
        <v>16</v>
      </c>
      <c r="D822" s="1">
        <v>43413</v>
      </c>
    </row>
    <row r="823" spans="1:4" x14ac:dyDescent="0.25">
      <c r="A823" t="s">
        <v>5115</v>
      </c>
      <c r="B823" t="str">
        <f>MID(tbl_lock[[#This Row],[PACE Job Number]],3,3)</f>
        <v>STX</v>
      </c>
      <c r="C823" t="s">
        <v>16</v>
      </c>
      <c r="D823" s="1">
        <v>43420</v>
      </c>
    </row>
    <row r="824" spans="1:4" x14ac:dyDescent="0.25">
      <c r="A824" t="s">
        <v>5116</v>
      </c>
      <c r="B824" t="str">
        <f>MID(tbl_lock[[#This Row],[PACE Job Number]],3,3)</f>
        <v>STX</v>
      </c>
      <c r="C824" t="s">
        <v>16</v>
      </c>
      <c r="D824" s="1">
        <v>43413</v>
      </c>
    </row>
    <row r="825" spans="1:4" x14ac:dyDescent="0.25">
      <c r="A825" t="s">
        <v>5117</v>
      </c>
      <c r="B825" t="str">
        <f>MID(tbl_lock[[#This Row],[PACE Job Number]],3,3)</f>
        <v>STX</v>
      </c>
      <c r="C825" t="s">
        <v>16</v>
      </c>
      <c r="D825" s="1">
        <v>43420</v>
      </c>
    </row>
    <row r="826" spans="1:4" x14ac:dyDescent="0.25">
      <c r="A826" t="s">
        <v>5118</v>
      </c>
      <c r="B826" t="str">
        <f>MID(tbl_lock[[#This Row],[PACE Job Number]],3,3)</f>
        <v>STX</v>
      </c>
      <c r="C826" t="s">
        <v>16</v>
      </c>
      <c r="D826" s="1">
        <v>43420</v>
      </c>
    </row>
    <row r="827" spans="1:4" x14ac:dyDescent="0.25">
      <c r="A827" t="s">
        <v>4183</v>
      </c>
      <c r="B827" t="str">
        <f>MID(tbl_lock[[#This Row],[PACE Job Number]],3,3)</f>
        <v>STX</v>
      </c>
      <c r="C827" t="s">
        <v>16</v>
      </c>
      <c r="D827" s="1">
        <v>43420</v>
      </c>
    </row>
    <row r="828" spans="1:4" x14ac:dyDescent="0.25">
      <c r="A828" t="s">
        <v>5119</v>
      </c>
      <c r="B828" t="str">
        <f>MID(tbl_lock[[#This Row],[PACE Job Number]],3,3)</f>
        <v>STX</v>
      </c>
      <c r="C828" t="s">
        <v>16</v>
      </c>
      <c r="D828" s="1">
        <v>43434</v>
      </c>
    </row>
    <row r="829" spans="1:4" x14ac:dyDescent="0.25">
      <c r="A829" t="s">
        <v>5120</v>
      </c>
      <c r="B829" t="str">
        <f>MID(tbl_lock[[#This Row],[PACE Job Number]],3,3)</f>
        <v>STX</v>
      </c>
      <c r="C829" t="s">
        <v>16</v>
      </c>
      <c r="D829" s="1">
        <v>43420</v>
      </c>
    </row>
    <row r="830" spans="1:4" x14ac:dyDescent="0.25">
      <c r="A830" t="s">
        <v>4184</v>
      </c>
      <c r="B830" t="str">
        <f>MID(tbl_lock[[#This Row],[PACE Job Number]],3,3)</f>
        <v>STX</v>
      </c>
      <c r="C830" t="s">
        <v>16</v>
      </c>
      <c r="D830" s="1">
        <v>43413</v>
      </c>
    </row>
    <row r="831" spans="1:4" x14ac:dyDescent="0.25">
      <c r="A831" t="s">
        <v>5121</v>
      </c>
      <c r="B831" t="str">
        <f>MID(tbl_lock[[#This Row],[PACE Job Number]],3,3)</f>
        <v>STX</v>
      </c>
      <c r="C831" t="s">
        <v>16</v>
      </c>
      <c r="D831" s="1">
        <v>43434</v>
      </c>
    </row>
    <row r="832" spans="1:4" x14ac:dyDescent="0.25">
      <c r="A832" t="s">
        <v>5122</v>
      </c>
      <c r="B832" t="str">
        <f>MID(tbl_lock[[#This Row],[PACE Job Number]],3,3)</f>
        <v>STX</v>
      </c>
      <c r="C832" t="s">
        <v>16</v>
      </c>
      <c r="D832" s="1">
        <v>43418</v>
      </c>
    </row>
    <row r="833" spans="1:4" x14ac:dyDescent="0.25">
      <c r="A833" t="s">
        <v>4185</v>
      </c>
      <c r="B833" t="str">
        <f>MID(tbl_lock[[#This Row],[PACE Job Number]],3,3)</f>
        <v>STX</v>
      </c>
      <c r="C833" t="s">
        <v>16</v>
      </c>
      <c r="D833" s="1">
        <v>43413</v>
      </c>
    </row>
    <row r="834" spans="1:4" x14ac:dyDescent="0.25">
      <c r="A834" t="s">
        <v>5123</v>
      </c>
      <c r="B834" t="str">
        <f>MID(tbl_lock[[#This Row],[PACE Job Number]],3,3)</f>
        <v>STX</v>
      </c>
      <c r="C834" t="s">
        <v>16</v>
      </c>
      <c r="D834" s="1">
        <v>43420</v>
      </c>
    </row>
    <row r="835" spans="1:4" x14ac:dyDescent="0.25">
      <c r="A835" t="s">
        <v>5124</v>
      </c>
      <c r="B835" t="str">
        <f>MID(tbl_lock[[#This Row],[PACE Job Number]],3,3)</f>
        <v>STX</v>
      </c>
      <c r="C835" t="s">
        <v>16</v>
      </c>
      <c r="D835" s="1">
        <v>43434</v>
      </c>
    </row>
    <row r="836" spans="1:4" x14ac:dyDescent="0.25">
      <c r="A836" t="s">
        <v>5125</v>
      </c>
      <c r="B836" t="str">
        <f>MID(tbl_lock[[#This Row],[PACE Job Number]],3,3)</f>
        <v>STX</v>
      </c>
      <c r="C836" t="s">
        <v>16</v>
      </c>
      <c r="D836" s="1">
        <v>43419</v>
      </c>
    </row>
    <row r="837" spans="1:4" x14ac:dyDescent="0.25">
      <c r="A837" t="s">
        <v>5126</v>
      </c>
      <c r="B837" t="str">
        <f>MID(tbl_lock[[#This Row],[PACE Job Number]],3,3)</f>
        <v>STX</v>
      </c>
      <c r="C837" t="s">
        <v>16</v>
      </c>
      <c r="D837" s="1">
        <v>43427</v>
      </c>
    </row>
    <row r="838" spans="1:4" x14ac:dyDescent="0.25">
      <c r="A838" t="s">
        <v>5127</v>
      </c>
      <c r="B838" t="str">
        <f>MID(tbl_lock[[#This Row],[PACE Job Number]],3,3)</f>
        <v>STX</v>
      </c>
      <c r="C838" t="s">
        <v>16</v>
      </c>
      <c r="D838" s="1">
        <v>43430</v>
      </c>
    </row>
    <row r="839" spans="1:4" x14ac:dyDescent="0.25">
      <c r="A839" t="s">
        <v>5128</v>
      </c>
      <c r="B839" t="str">
        <f>MID(tbl_lock[[#This Row],[PACE Job Number]],3,3)</f>
        <v>STX</v>
      </c>
      <c r="C839" t="s">
        <v>16</v>
      </c>
      <c r="D839" s="1">
        <v>43420</v>
      </c>
    </row>
    <row r="840" spans="1:4" x14ac:dyDescent="0.25">
      <c r="A840" t="s">
        <v>5129</v>
      </c>
      <c r="B840" t="str">
        <f>MID(tbl_lock[[#This Row],[PACE Job Number]],3,3)</f>
        <v>STX</v>
      </c>
      <c r="C840" t="s">
        <v>16</v>
      </c>
      <c r="D840" s="1">
        <v>43427</v>
      </c>
    </row>
    <row r="841" spans="1:4" x14ac:dyDescent="0.25">
      <c r="A841" t="s">
        <v>4186</v>
      </c>
      <c r="B841" t="str">
        <f>MID(tbl_lock[[#This Row],[PACE Job Number]],3,3)</f>
        <v>STX</v>
      </c>
      <c r="C841" t="s">
        <v>16</v>
      </c>
      <c r="D841" s="1">
        <v>43413</v>
      </c>
    </row>
    <row r="842" spans="1:4" x14ac:dyDescent="0.25">
      <c r="A842" t="s">
        <v>5130</v>
      </c>
      <c r="B842" t="str">
        <f>MID(tbl_lock[[#This Row],[PACE Job Number]],3,3)</f>
        <v>STX</v>
      </c>
      <c r="C842" t="s">
        <v>16</v>
      </c>
      <c r="D842" s="1">
        <v>43420</v>
      </c>
    </row>
    <row r="843" spans="1:4" x14ac:dyDescent="0.25">
      <c r="A843" t="s">
        <v>5131</v>
      </c>
      <c r="B843" t="str">
        <f>MID(tbl_lock[[#This Row],[PACE Job Number]],3,3)</f>
        <v>STX</v>
      </c>
      <c r="C843" t="s">
        <v>16</v>
      </c>
      <c r="D843" s="1">
        <v>43434</v>
      </c>
    </row>
    <row r="844" spans="1:4" x14ac:dyDescent="0.25">
      <c r="A844" t="s">
        <v>5132</v>
      </c>
      <c r="B844" t="str">
        <f>MID(tbl_lock[[#This Row],[PACE Job Number]],3,3)</f>
        <v>STX</v>
      </c>
      <c r="C844" t="s">
        <v>16</v>
      </c>
      <c r="D844" s="1">
        <v>43427</v>
      </c>
    </row>
    <row r="845" spans="1:4" x14ac:dyDescent="0.25">
      <c r="A845" t="s">
        <v>5133</v>
      </c>
      <c r="B845" t="str">
        <f>MID(tbl_lock[[#This Row],[PACE Job Number]],3,3)</f>
        <v>STX</v>
      </c>
      <c r="C845" t="s">
        <v>16</v>
      </c>
      <c r="D845" s="1">
        <v>43434</v>
      </c>
    </row>
    <row r="846" spans="1:4" x14ac:dyDescent="0.25">
      <c r="A846" t="s">
        <v>4187</v>
      </c>
      <c r="B846" t="str">
        <f>MID(tbl_lock[[#This Row],[PACE Job Number]],3,3)</f>
        <v>STX</v>
      </c>
      <c r="C846" t="s">
        <v>16</v>
      </c>
      <c r="D846" s="1">
        <v>43413</v>
      </c>
    </row>
    <row r="847" spans="1:4" x14ac:dyDescent="0.25">
      <c r="A847" t="s">
        <v>5134</v>
      </c>
      <c r="B847" t="str">
        <f>MID(tbl_lock[[#This Row],[PACE Job Number]],3,3)</f>
        <v>STX</v>
      </c>
      <c r="C847" t="s">
        <v>16</v>
      </c>
      <c r="D847" s="1">
        <v>43434</v>
      </c>
    </row>
    <row r="848" spans="1:4" x14ac:dyDescent="0.25">
      <c r="A848" t="s">
        <v>5135</v>
      </c>
      <c r="B848" t="str">
        <f>MID(tbl_lock[[#This Row],[PACE Job Number]],3,3)</f>
        <v>STX</v>
      </c>
      <c r="C848" t="s">
        <v>16</v>
      </c>
      <c r="D848" s="1">
        <v>43406</v>
      </c>
    </row>
    <row r="849" spans="1:4" x14ac:dyDescent="0.25">
      <c r="A849" t="s">
        <v>5136</v>
      </c>
      <c r="B849" t="str">
        <f>MID(tbl_lock[[#This Row],[PACE Job Number]],3,3)</f>
        <v>STX</v>
      </c>
      <c r="C849" t="s">
        <v>16</v>
      </c>
      <c r="D849" s="1">
        <v>43420</v>
      </c>
    </row>
    <row r="850" spans="1:4" x14ac:dyDescent="0.25">
      <c r="A850" t="s">
        <v>5137</v>
      </c>
      <c r="B850" t="str">
        <f>MID(tbl_lock[[#This Row],[PACE Job Number]],3,3)</f>
        <v>STX</v>
      </c>
      <c r="C850" t="s">
        <v>16</v>
      </c>
      <c r="D850" s="1">
        <v>43420</v>
      </c>
    </row>
    <row r="851" spans="1:4" x14ac:dyDescent="0.25">
      <c r="A851" t="s">
        <v>5138</v>
      </c>
      <c r="B851" t="str">
        <f>MID(tbl_lock[[#This Row],[PACE Job Number]],3,3)</f>
        <v>STX</v>
      </c>
      <c r="C851" t="s">
        <v>16</v>
      </c>
      <c r="D851" s="1">
        <v>43406</v>
      </c>
    </row>
    <row r="852" spans="1:4" x14ac:dyDescent="0.25">
      <c r="A852" t="s">
        <v>4188</v>
      </c>
      <c r="B852" t="str">
        <f>MID(tbl_lock[[#This Row],[PACE Job Number]],3,3)</f>
        <v>STX</v>
      </c>
      <c r="C852" t="s">
        <v>16</v>
      </c>
      <c r="D852" s="1">
        <v>43420</v>
      </c>
    </row>
    <row r="853" spans="1:4" x14ac:dyDescent="0.25">
      <c r="A853" t="s">
        <v>5139</v>
      </c>
      <c r="B853" t="str">
        <f>MID(tbl_lock[[#This Row],[PACE Job Number]],3,3)</f>
        <v>STX</v>
      </c>
      <c r="C853" t="s">
        <v>16</v>
      </c>
      <c r="D853" s="1">
        <v>43427</v>
      </c>
    </row>
    <row r="854" spans="1:4" x14ac:dyDescent="0.25">
      <c r="A854" t="s">
        <v>5140</v>
      </c>
      <c r="B854" t="str">
        <f>MID(tbl_lock[[#This Row],[PACE Job Number]],3,3)</f>
        <v>STX</v>
      </c>
      <c r="C854" t="s">
        <v>16</v>
      </c>
      <c r="D854" s="1">
        <v>43427</v>
      </c>
    </row>
    <row r="855" spans="1:4" x14ac:dyDescent="0.25">
      <c r="A855" t="s">
        <v>5141</v>
      </c>
      <c r="B855" t="str">
        <f>MID(tbl_lock[[#This Row],[PACE Job Number]],3,3)</f>
        <v>STX</v>
      </c>
      <c r="C855" t="s">
        <v>16</v>
      </c>
      <c r="D855" s="1">
        <v>43420</v>
      </c>
    </row>
    <row r="856" spans="1:4" x14ac:dyDescent="0.25">
      <c r="A856" t="s">
        <v>5142</v>
      </c>
      <c r="B856" t="str">
        <f>MID(tbl_lock[[#This Row],[PACE Job Number]],3,3)</f>
        <v>STX</v>
      </c>
      <c r="C856" t="s">
        <v>16</v>
      </c>
      <c r="D856" s="1">
        <v>43434</v>
      </c>
    </row>
    <row r="857" spans="1:4" x14ac:dyDescent="0.25">
      <c r="A857" t="s">
        <v>5143</v>
      </c>
      <c r="B857" t="str">
        <f>MID(tbl_lock[[#This Row],[PACE Job Number]],3,3)</f>
        <v>STX</v>
      </c>
      <c r="C857" t="s">
        <v>16</v>
      </c>
      <c r="D857" s="1">
        <v>43418</v>
      </c>
    </row>
    <row r="858" spans="1:4" x14ac:dyDescent="0.25">
      <c r="A858" t="s">
        <v>5144</v>
      </c>
      <c r="B858" t="str">
        <f>MID(tbl_lock[[#This Row],[PACE Job Number]],3,3)</f>
        <v>STX</v>
      </c>
      <c r="C858" t="s">
        <v>16</v>
      </c>
      <c r="D858" s="1">
        <v>43430</v>
      </c>
    </row>
    <row r="859" spans="1:4" x14ac:dyDescent="0.25">
      <c r="A859" t="s">
        <v>5145</v>
      </c>
      <c r="B859" t="str">
        <f>MID(tbl_lock[[#This Row],[PACE Job Number]],3,3)</f>
        <v>STX</v>
      </c>
      <c r="C859" t="s">
        <v>16</v>
      </c>
      <c r="D859" s="1">
        <v>43406</v>
      </c>
    </row>
    <row r="860" spans="1:4" x14ac:dyDescent="0.25">
      <c r="A860" t="s">
        <v>5146</v>
      </c>
      <c r="B860" t="str">
        <f>MID(tbl_lock[[#This Row],[PACE Job Number]],3,3)</f>
        <v>NTX</v>
      </c>
      <c r="C860" t="s">
        <v>16</v>
      </c>
      <c r="D860" s="1">
        <v>43420</v>
      </c>
    </row>
    <row r="861" spans="1:4" x14ac:dyDescent="0.25">
      <c r="A861" t="s">
        <v>4119</v>
      </c>
      <c r="B861" t="str">
        <f>MID(tbl_lock[[#This Row],[PACE Job Number]],3,3)</f>
        <v>NTX</v>
      </c>
      <c r="C861" t="s">
        <v>16</v>
      </c>
      <c r="D861" s="1">
        <v>43416</v>
      </c>
    </row>
    <row r="862" spans="1:4" x14ac:dyDescent="0.25">
      <c r="A862" t="s">
        <v>5147</v>
      </c>
      <c r="B862" t="str">
        <f>MID(tbl_lock[[#This Row],[PACE Job Number]],3,3)</f>
        <v>NTX</v>
      </c>
      <c r="C862" t="s">
        <v>16</v>
      </c>
      <c r="D862" s="1">
        <v>43433</v>
      </c>
    </row>
    <row r="863" spans="1:4" x14ac:dyDescent="0.25">
      <c r="A863" t="s">
        <v>5148</v>
      </c>
      <c r="B863" t="str">
        <f>MID(tbl_lock[[#This Row],[PACE Job Number]],3,3)</f>
        <v>NTX</v>
      </c>
      <c r="C863" t="s">
        <v>16</v>
      </c>
      <c r="D863" s="1">
        <v>43433</v>
      </c>
    </row>
    <row r="864" spans="1:4" x14ac:dyDescent="0.25">
      <c r="A864" t="s">
        <v>5149</v>
      </c>
      <c r="B864" t="str">
        <f>MID(tbl_lock[[#This Row],[PACE Job Number]],3,3)</f>
        <v>NTX</v>
      </c>
      <c r="C864" t="s">
        <v>16</v>
      </c>
      <c r="D864" s="1">
        <v>43433</v>
      </c>
    </row>
    <row r="865" spans="1:4" x14ac:dyDescent="0.25">
      <c r="A865" t="s">
        <v>5150</v>
      </c>
      <c r="B865" t="str">
        <f>MID(tbl_lock[[#This Row],[PACE Job Number]],3,3)</f>
        <v>NTX</v>
      </c>
      <c r="C865" t="s">
        <v>16</v>
      </c>
      <c r="D865" s="1">
        <v>43434</v>
      </c>
    </row>
    <row r="866" spans="1:4" x14ac:dyDescent="0.25">
      <c r="A866" t="s">
        <v>5151</v>
      </c>
      <c r="B866" t="str">
        <f>MID(tbl_lock[[#This Row],[PACE Job Number]],3,3)</f>
        <v>NTX</v>
      </c>
      <c r="C866" t="s">
        <v>16</v>
      </c>
      <c r="D866" s="1">
        <v>43432</v>
      </c>
    </row>
    <row r="867" spans="1:4" x14ac:dyDescent="0.25">
      <c r="A867" t="s">
        <v>5152</v>
      </c>
      <c r="B867" t="str">
        <f>MID(tbl_lock[[#This Row],[PACE Job Number]],3,3)</f>
        <v>NTX</v>
      </c>
      <c r="C867" t="s">
        <v>16</v>
      </c>
      <c r="D867" s="1">
        <v>43420</v>
      </c>
    </row>
    <row r="868" spans="1:4" x14ac:dyDescent="0.25">
      <c r="A868" t="s">
        <v>5153</v>
      </c>
      <c r="B868" t="str">
        <f>MID(tbl_lock[[#This Row],[PACE Job Number]],3,3)</f>
        <v>NTX</v>
      </c>
      <c r="C868" t="s">
        <v>16</v>
      </c>
      <c r="D868" s="1">
        <v>43405</v>
      </c>
    </row>
    <row r="869" spans="1:4" x14ac:dyDescent="0.25">
      <c r="A869" t="s">
        <v>5154</v>
      </c>
      <c r="B869" t="str">
        <f>MID(tbl_lock[[#This Row],[PACE Job Number]],3,3)</f>
        <v>NTX</v>
      </c>
      <c r="C869" t="s">
        <v>16</v>
      </c>
      <c r="D869" s="1">
        <v>43432</v>
      </c>
    </row>
    <row r="870" spans="1:4" x14ac:dyDescent="0.25">
      <c r="A870" t="s">
        <v>5155</v>
      </c>
      <c r="B870" t="str">
        <f>MID(tbl_lock[[#This Row],[PACE Job Number]],3,3)</f>
        <v>NTX</v>
      </c>
      <c r="C870" t="s">
        <v>16</v>
      </c>
      <c r="D870" s="1">
        <v>43415</v>
      </c>
    </row>
    <row r="871" spans="1:4" x14ac:dyDescent="0.25">
      <c r="A871" t="s">
        <v>5156</v>
      </c>
      <c r="B871" t="str">
        <f>MID(tbl_lock[[#This Row],[PACE Job Number]],3,3)</f>
        <v>NTX</v>
      </c>
      <c r="C871" t="s">
        <v>16</v>
      </c>
      <c r="D871" s="1">
        <v>43405</v>
      </c>
    </row>
    <row r="872" spans="1:4" x14ac:dyDescent="0.25">
      <c r="A872" t="s">
        <v>5157</v>
      </c>
      <c r="B872" t="str">
        <f>MID(tbl_lock[[#This Row],[PACE Job Number]],3,3)</f>
        <v>NTX</v>
      </c>
      <c r="C872" t="s">
        <v>16</v>
      </c>
      <c r="D872" s="1">
        <v>43420</v>
      </c>
    </row>
    <row r="873" spans="1:4" x14ac:dyDescent="0.25">
      <c r="A873" t="s">
        <v>5158</v>
      </c>
      <c r="B873" t="str">
        <f>MID(tbl_lock[[#This Row],[PACE Job Number]],3,3)</f>
        <v>NTX</v>
      </c>
      <c r="C873" t="s">
        <v>16</v>
      </c>
      <c r="D873" s="1">
        <v>43413</v>
      </c>
    </row>
    <row r="874" spans="1:4" x14ac:dyDescent="0.25">
      <c r="A874" t="s">
        <v>5159</v>
      </c>
      <c r="B874" t="str">
        <f>MID(tbl_lock[[#This Row],[PACE Job Number]],3,3)</f>
        <v>NTX</v>
      </c>
      <c r="C874" t="s">
        <v>16</v>
      </c>
      <c r="D874" s="1">
        <v>43424</v>
      </c>
    </row>
    <row r="875" spans="1:4" x14ac:dyDescent="0.25">
      <c r="A875" t="s">
        <v>5160</v>
      </c>
      <c r="B875" t="str">
        <f>MID(tbl_lock[[#This Row],[PACE Job Number]],3,3)</f>
        <v>NTX</v>
      </c>
      <c r="C875" t="s">
        <v>16</v>
      </c>
      <c r="D875" s="1">
        <v>43434</v>
      </c>
    </row>
    <row r="876" spans="1:4" x14ac:dyDescent="0.25">
      <c r="A876" t="s">
        <v>5161</v>
      </c>
      <c r="B876" t="str">
        <f>MID(tbl_lock[[#This Row],[PACE Job Number]],3,3)</f>
        <v>NTX</v>
      </c>
      <c r="C876" t="s">
        <v>16</v>
      </c>
      <c r="D876" s="1">
        <v>43434</v>
      </c>
    </row>
    <row r="877" spans="1:4" x14ac:dyDescent="0.25">
      <c r="A877" t="s">
        <v>5162</v>
      </c>
      <c r="B877" t="str">
        <f>MID(tbl_lock[[#This Row],[PACE Job Number]],3,3)</f>
        <v>NTX</v>
      </c>
      <c r="C877" t="s">
        <v>16</v>
      </c>
      <c r="D877" s="1">
        <v>43434</v>
      </c>
    </row>
    <row r="878" spans="1:4" x14ac:dyDescent="0.25">
      <c r="A878" t="s">
        <v>5163</v>
      </c>
      <c r="B878" t="str">
        <f>MID(tbl_lock[[#This Row],[PACE Job Number]],3,3)</f>
        <v>STX</v>
      </c>
      <c r="C878" t="s">
        <v>16</v>
      </c>
      <c r="D878" s="1">
        <v>43427</v>
      </c>
    </row>
    <row r="879" spans="1:4" x14ac:dyDescent="0.25">
      <c r="A879" t="s">
        <v>5164</v>
      </c>
      <c r="B879" t="str">
        <f>MID(tbl_lock[[#This Row],[PACE Job Number]],3,3)</f>
        <v>NTX</v>
      </c>
      <c r="C879" t="s">
        <v>16</v>
      </c>
      <c r="D879" s="1">
        <v>43430</v>
      </c>
    </row>
    <row r="880" spans="1:4" x14ac:dyDescent="0.25">
      <c r="A880" t="s">
        <v>5165</v>
      </c>
      <c r="B880" t="str">
        <f>MID(tbl_lock[[#This Row],[PACE Job Number]],3,3)</f>
        <v>WSH</v>
      </c>
      <c r="C880" t="s">
        <v>16</v>
      </c>
      <c r="D880" s="1">
        <v>43423</v>
      </c>
    </row>
    <row r="881" spans="1:4" x14ac:dyDescent="0.25">
      <c r="A881" t="s">
        <v>4170</v>
      </c>
      <c r="B881" t="str">
        <f>MID(tbl_lock[[#This Row],[PACE Job Number]],3,3)</f>
        <v>WSH</v>
      </c>
      <c r="C881" t="s">
        <v>16</v>
      </c>
      <c r="D881" s="1">
        <v>43434</v>
      </c>
    </row>
    <row r="882" spans="1:4" x14ac:dyDescent="0.25">
      <c r="A882" t="s">
        <v>3786</v>
      </c>
      <c r="B882" t="str">
        <f>MID(tbl_lock[[#This Row],[PACE Job Number]],3,3)</f>
        <v>WSH</v>
      </c>
      <c r="C882" t="s">
        <v>16</v>
      </c>
      <c r="D882" s="1">
        <v>43406</v>
      </c>
    </row>
    <row r="883" spans="1:4" x14ac:dyDescent="0.25">
      <c r="A883" t="s">
        <v>5166</v>
      </c>
      <c r="B883" t="str">
        <f>MID(tbl_lock[[#This Row],[PACE Job Number]],3,3)</f>
        <v>WSH</v>
      </c>
      <c r="C883" t="s">
        <v>16</v>
      </c>
      <c r="D883" s="1">
        <v>43427</v>
      </c>
    </row>
    <row r="884" spans="1:4" x14ac:dyDescent="0.25">
      <c r="A884" t="s">
        <v>5167</v>
      </c>
      <c r="B884" t="str">
        <f>MID(tbl_lock[[#This Row],[PACE Job Number]],3,3)</f>
        <v>WSH</v>
      </c>
      <c r="C884" t="s">
        <v>16</v>
      </c>
      <c r="D884" s="1">
        <v>43420</v>
      </c>
    </row>
    <row r="885" spans="1:4" x14ac:dyDescent="0.25">
      <c r="A885" t="s">
        <v>5168</v>
      </c>
      <c r="B885" t="str">
        <f>MID(tbl_lock[[#This Row],[PACE Job Number]],3,3)</f>
        <v>WSH</v>
      </c>
      <c r="C885" t="s">
        <v>16</v>
      </c>
      <c r="D885" s="1">
        <v>43416</v>
      </c>
    </row>
    <row r="886" spans="1:4" x14ac:dyDescent="0.25">
      <c r="A886" t="s">
        <v>5169</v>
      </c>
      <c r="B886" t="str">
        <f>MID(tbl_lock[[#This Row],[PACE Job Number]],3,3)</f>
        <v>WSH</v>
      </c>
      <c r="C886" t="s">
        <v>16</v>
      </c>
      <c r="D886" s="1">
        <v>43430</v>
      </c>
    </row>
    <row r="887" spans="1:4" x14ac:dyDescent="0.25">
      <c r="A887" t="s">
        <v>5170</v>
      </c>
      <c r="B887" t="str">
        <f>MID(tbl_lock[[#This Row],[PACE Job Number]],3,3)</f>
        <v>WSH</v>
      </c>
      <c r="C887" t="s">
        <v>16</v>
      </c>
      <c r="D887" s="1">
        <v>43430</v>
      </c>
    </row>
    <row r="888" spans="1:4" x14ac:dyDescent="0.25">
      <c r="A888" t="s">
        <v>5171</v>
      </c>
      <c r="B888" t="str">
        <f>MID(tbl_lock[[#This Row],[PACE Job Number]],3,3)</f>
        <v>WSH</v>
      </c>
      <c r="C888" t="s">
        <v>16</v>
      </c>
      <c r="D888" s="1">
        <v>43430</v>
      </c>
    </row>
    <row r="889" spans="1:4" x14ac:dyDescent="0.25">
      <c r="A889" t="s">
        <v>5172</v>
      </c>
      <c r="B889" t="str">
        <f>MID(tbl_lock[[#This Row],[PACE Job Number]],3,3)</f>
        <v>WSH</v>
      </c>
      <c r="C889" t="s">
        <v>16</v>
      </c>
      <c r="D889" s="1">
        <v>43434</v>
      </c>
    </row>
    <row r="890" spans="1:4" x14ac:dyDescent="0.25">
      <c r="A890" t="s">
        <v>5173</v>
      </c>
      <c r="B890" t="str">
        <f>MID(tbl_lock[[#This Row],[PACE Job Number]],3,3)</f>
        <v>STX</v>
      </c>
      <c r="C890" t="s">
        <v>16</v>
      </c>
      <c r="D890" s="1">
        <v>43421</v>
      </c>
    </row>
    <row r="891" spans="1:4" x14ac:dyDescent="0.25">
      <c r="A891" t="s">
        <v>5174</v>
      </c>
      <c r="B891" t="str">
        <f>MID(tbl_lock[[#This Row],[PACE Job Number]],3,3)</f>
        <v>STX</v>
      </c>
      <c r="C891" t="s">
        <v>16</v>
      </c>
      <c r="D891" s="1">
        <v>43420</v>
      </c>
    </row>
    <row r="892" spans="1:4" x14ac:dyDescent="0.25">
      <c r="A892" t="s">
        <v>5175</v>
      </c>
      <c r="B892" t="str">
        <f>MID(tbl_lock[[#This Row],[PACE Job Number]],3,3)</f>
        <v>STX</v>
      </c>
      <c r="C892" t="s">
        <v>16</v>
      </c>
      <c r="D892" s="1">
        <v>43434</v>
      </c>
    </row>
    <row r="893" spans="1:4" x14ac:dyDescent="0.25">
      <c r="A893" t="s">
        <v>5176</v>
      </c>
      <c r="B893" t="str">
        <f>MID(tbl_lock[[#This Row],[PACE Job Number]],3,3)</f>
        <v>STX</v>
      </c>
      <c r="C893" t="s">
        <v>16</v>
      </c>
      <c r="D893" s="1">
        <v>43434</v>
      </c>
    </row>
    <row r="894" spans="1:4" x14ac:dyDescent="0.25">
      <c r="A894" t="s">
        <v>5177</v>
      </c>
      <c r="B894" t="str">
        <f>MID(tbl_lock[[#This Row],[PACE Job Number]],3,3)</f>
        <v>STX</v>
      </c>
      <c r="C894" t="s">
        <v>16</v>
      </c>
      <c r="D894" s="1">
        <v>43421</v>
      </c>
    </row>
    <row r="895" spans="1:4" x14ac:dyDescent="0.25">
      <c r="A895" t="s">
        <v>5178</v>
      </c>
      <c r="B895" t="str">
        <f>MID(tbl_lock[[#This Row],[PACE Job Number]],3,3)</f>
        <v>STX</v>
      </c>
      <c r="C895" t="s">
        <v>16</v>
      </c>
      <c r="D895" s="1">
        <v>43434</v>
      </c>
    </row>
    <row r="896" spans="1:4" x14ac:dyDescent="0.25">
      <c r="A896" t="s">
        <v>5179</v>
      </c>
      <c r="B896" t="str">
        <f>MID(tbl_lock[[#This Row],[PACE Job Number]],3,3)</f>
        <v>STX</v>
      </c>
      <c r="C896" t="s">
        <v>16</v>
      </c>
      <c r="D896" s="1">
        <v>43405</v>
      </c>
    </row>
    <row r="897" spans="1:4" x14ac:dyDescent="0.25">
      <c r="A897" t="s">
        <v>5180</v>
      </c>
      <c r="B897" t="str">
        <f>MID(tbl_lock[[#This Row],[PACE Job Number]],3,3)</f>
        <v>STX</v>
      </c>
      <c r="C897" t="s">
        <v>16</v>
      </c>
      <c r="D897" s="1">
        <v>43421</v>
      </c>
    </row>
    <row r="898" spans="1:4" x14ac:dyDescent="0.25">
      <c r="A898" t="s">
        <v>5181</v>
      </c>
      <c r="B898" t="str">
        <f>MID(tbl_lock[[#This Row],[PACE Job Number]],3,3)</f>
        <v>STX</v>
      </c>
      <c r="C898" t="s">
        <v>16</v>
      </c>
      <c r="D898" s="1">
        <v>43421</v>
      </c>
    </row>
    <row r="899" spans="1:4" x14ac:dyDescent="0.25">
      <c r="A899" t="s">
        <v>5182</v>
      </c>
      <c r="B899" t="str">
        <f>MID(tbl_lock[[#This Row],[PACE Job Number]],3,3)</f>
        <v>STX</v>
      </c>
      <c r="C899" t="s">
        <v>16</v>
      </c>
      <c r="D899" s="1">
        <v>43421</v>
      </c>
    </row>
    <row r="900" spans="1:4" x14ac:dyDescent="0.25">
      <c r="A900" t="s">
        <v>5183</v>
      </c>
      <c r="B900" t="str">
        <f>MID(tbl_lock[[#This Row],[PACE Job Number]],3,3)</f>
        <v>STX</v>
      </c>
      <c r="C900" t="s">
        <v>16</v>
      </c>
      <c r="D900" s="1">
        <v>43421</v>
      </c>
    </row>
    <row r="901" spans="1:4" x14ac:dyDescent="0.25">
      <c r="A901" t="s">
        <v>3549</v>
      </c>
      <c r="B901" t="str">
        <f>MID(tbl_lock[[#This Row],[PACE Job Number]],3,3)</f>
        <v>STX</v>
      </c>
      <c r="C901" t="s">
        <v>16</v>
      </c>
      <c r="D901" s="1">
        <v>43427</v>
      </c>
    </row>
    <row r="902" spans="1:4" x14ac:dyDescent="0.25">
      <c r="A902" t="s">
        <v>3550</v>
      </c>
      <c r="B902" t="str">
        <f>MID(tbl_lock[[#This Row],[PACE Job Number]],3,3)</f>
        <v>STX</v>
      </c>
      <c r="C902" t="s">
        <v>16</v>
      </c>
      <c r="D902" s="1">
        <v>43420</v>
      </c>
    </row>
    <row r="903" spans="1:4" x14ac:dyDescent="0.25">
      <c r="A903" t="s">
        <v>5184</v>
      </c>
      <c r="B903" t="str">
        <f>MID(tbl_lock[[#This Row],[PACE Job Number]],3,3)</f>
        <v>STX</v>
      </c>
      <c r="C903" t="s">
        <v>16</v>
      </c>
      <c r="D903" s="1">
        <v>43434</v>
      </c>
    </row>
    <row r="904" spans="1:4" x14ac:dyDescent="0.25">
      <c r="A904" t="s">
        <v>5185</v>
      </c>
      <c r="B904" t="str">
        <f>MID(tbl_lock[[#This Row],[PACE Job Number]],3,3)</f>
        <v>STX</v>
      </c>
      <c r="C904" t="s">
        <v>16</v>
      </c>
      <c r="D904" s="1">
        <v>43434</v>
      </c>
    </row>
    <row r="905" spans="1:4" x14ac:dyDescent="0.25">
      <c r="A905" t="s">
        <v>5186</v>
      </c>
      <c r="B905" t="str">
        <f>MID(tbl_lock[[#This Row],[PACE Job Number]],3,3)</f>
        <v>STX</v>
      </c>
      <c r="C905" t="s">
        <v>16</v>
      </c>
      <c r="D905" s="1">
        <v>43405</v>
      </c>
    </row>
    <row r="906" spans="1:4" x14ac:dyDescent="0.25">
      <c r="A906" t="s">
        <v>5187</v>
      </c>
      <c r="B906" t="str">
        <f>MID(tbl_lock[[#This Row],[PACE Job Number]],3,3)</f>
        <v>WSH</v>
      </c>
      <c r="C906" t="s">
        <v>16</v>
      </c>
      <c r="D906" s="1">
        <v>43406</v>
      </c>
    </row>
    <row r="907" spans="1:4" x14ac:dyDescent="0.25">
      <c r="A907" t="s">
        <v>5188</v>
      </c>
      <c r="B907" t="str">
        <f>MID(tbl_lock[[#This Row],[PACE Job Number]],3,3)</f>
        <v>WSH</v>
      </c>
      <c r="C907" t="s">
        <v>16</v>
      </c>
      <c r="D907" s="1">
        <v>43406</v>
      </c>
    </row>
    <row r="908" spans="1:4" x14ac:dyDescent="0.25">
      <c r="A908" t="s">
        <v>5189</v>
      </c>
      <c r="B908" t="str">
        <f>MID(tbl_lock[[#This Row],[PACE Job Number]],3,3)</f>
        <v>NTX</v>
      </c>
      <c r="C908" t="s">
        <v>16</v>
      </c>
      <c r="D908" s="1">
        <v>43430</v>
      </c>
    </row>
    <row r="909" spans="1:4" x14ac:dyDescent="0.25">
      <c r="A909" t="s">
        <v>5190</v>
      </c>
      <c r="B909" t="str">
        <f>MID(tbl_lock[[#This Row],[PACE Job Number]],3,3)</f>
        <v>NTX</v>
      </c>
      <c r="C909" t="s">
        <v>16</v>
      </c>
      <c r="D909" s="1">
        <v>43430</v>
      </c>
    </row>
    <row r="910" spans="1:4" x14ac:dyDescent="0.25">
      <c r="A910" t="s">
        <v>4176</v>
      </c>
      <c r="B910" t="str">
        <f>MID(tbl_lock[[#This Row],[PACE Job Number]],3,3)</f>
        <v>NTX</v>
      </c>
      <c r="C910" t="s">
        <v>16</v>
      </c>
      <c r="D910" s="1">
        <v>43426</v>
      </c>
    </row>
    <row r="911" spans="1:4" x14ac:dyDescent="0.25">
      <c r="A911" t="s">
        <v>5191</v>
      </c>
      <c r="B911" t="str">
        <f>MID(tbl_lock[[#This Row],[PACE Job Number]],3,3)</f>
        <v>NTX</v>
      </c>
      <c r="C911" t="s">
        <v>16</v>
      </c>
      <c r="D911" s="1">
        <v>43427</v>
      </c>
    </row>
    <row r="912" spans="1:4" x14ac:dyDescent="0.25">
      <c r="A912" t="s">
        <v>5192</v>
      </c>
      <c r="B912" t="str">
        <f>MID(tbl_lock[[#This Row],[PACE Job Number]],3,3)</f>
        <v>NTX</v>
      </c>
      <c r="C912" t="s">
        <v>16</v>
      </c>
      <c r="D912" s="1">
        <v>43430</v>
      </c>
    </row>
    <row r="913" spans="1:4" x14ac:dyDescent="0.25">
      <c r="A913" t="s">
        <v>2306</v>
      </c>
      <c r="B913" t="str">
        <f>MID(tbl_lock[[#This Row],[PACE Job Number]],3,3)</f>
        <v>NTX</v>
      </c>
      <c r="C913" t="s">
        <v>16</v>
      </c>
      <c r="D913" s="1">
        <v>43434</v>
      </c>
    </row>
    <row r="914" spans="1:4" x14ac:dyDescent="0.25">
      <c r="A914" t="s">
        <v>5193</v>
      </c>
      <c r="B914" t="str">
        <f>MID(tbl_lock[[#This Row],[PACE Job Number]],3,3)</f>
        <v>NTX</v>
      </c>
      <c r="C914" t="s">
        <v>16</v>
      </c>
      <c r="D914" s="1">
        <v>43427</v>
      </c>
    </row>
    <row r="915" spans="1:4" x14ac:dyDescent="0.25">
      <c r="A915" t="s">
        <v>4123</v>
      </c>
      <c r="B915" t="str">
        <f>MID(tbl_lock[[#This Row],[PACE Job Number]],3,3)</f>
        <v>NTX</v>
      </c>
      <c r="C915" t="s">
        <v>16</v>
      </c>
      <c r="D915" s="1">
        <v>43426</v>
      </c>
    </row>
    <row r="916" spans="1:4" x14ac:dyDescent="0.25">
      <c r="A916" t="s">
        <v>5194</v>
      </c>
      <c r="B916" t="str">
        <f>MID(tbl_lock[[#This Row],[PACE Job Number]],3,3)</f>
        <v>NTX</v>
      </c>
      <c r="C916" t="s">
        <v>16</v>
      </c>
      <c r="D916" s="1">
        <v>43430</v>
      </c>
    </row>
    <row r="917" spans="1:4" x14ac:dyDescent="0.25">
      <c r="A917" t="s">
        <v>3424</v>
      </c>
      <c r="B917" t="str">
        <f>MID(tbl_lock[[#This Row],[PACE Job Number]],3,3)</f>
        <v>ANM</v>
      </c>
      <c r="C917" t="s">
        <v>12</v>
      </c>
      <c r="D917" s="1">
        <v>43410</v>
      </c>
    </row>
    <row r="918" spans="1:4" x14ac:dyDescent="0.25">
      <c r="A918" t="s">
        <v>3566</v>
      </c>
      <c r="B918" t="str">
        <f>MID(tbl_lock[[#This Row],[PACE Job Number]],3,3)</f>
        <v>STX</v>
      </c>
      <c r="C918" t="s">
        <v>12</v>
      </c>
      <c r="D918" s="1">
        <v>43411</v>
      </c>
    </row>
    <row r="919" spans="1:4" x14ac:dyDescent="0.25">
      <c r="A919" t="s">
        <v>4820</v>
      </c>
      <c r="B919" t="str">
        <f>MID(tbl_lock[[#This Row],[PACE Job Number]],3,3)</f>
        <v>STX</v>
      </c>
      <c r="C919" t="s">
        <v>12</v>
      </c>
      <c r="D919" s="1">
        <v>43430</v>
      </c>
    </row>
    <row r="920" spans="1:4" x14ac:dyDescent="0.25">
      <c r="A920" t="s">
        <v>3810</v>
      </c>
      <c r="B920" t="str">
        <f>MID(tbl_lock[[#This Row],[PACE Job Number]],3,3)</f>
        <v>WSH</v>
      </c>
      <c r="C920" t="s">
        <v>12</v>
      </c>
      <c r="D920" s="1">
        <v>43412</v>
      </c>
    </row>
    <row r="921" spans="1:4" x14ac:dyDescent="0.25">
      <c r="A921" t="s">
        <v>3812</v>
      </c>
      <c r="B921" t="str">
        <f>MID(tbl_lock[[#This Row],[PACE Job Number]],3,3)</f>
        <v>WSH</v>
      </c>
      <c r="C921" t="s">
        <v>12</v>
      </c>
      <c r="D921" s="1">
        <v>43411</v>
      </c>
    </row>
    <row r="922" spans="1:4" x14ac:dyDescent="0.25">
      <c r="A922" t="s">
        <v>5195</v>
      </c>
      <c r="B922" t="str">
        <f>MID(tbl_lock[[#This Row],[PACE Job Number]],3,3)</f>
        <v>WSH</v>
      </c>
      <c r="C922" t="s">
        <v>12</v>
      </c>
      <c r="D922" s="1">
        <v>43410</v>
      </c>
    </row>
    <row r="923" spans="1:4" x14ac:dyDescent="0.25">
      <c r="A923" t="s">
        <v>4828</v>
      </c>
      <c r="B923" t="str">
        <f>MID(tbl_lock[[#This Row],[PACE Job Number]],3,3)</f>
        <v>STX</v>
      </c>
      <c r="C923" t="s">
        <v>12</v>
      </c>
      <c r="D923" s="1">
        <v>43427</v>
      </c>
    </row>
    <row r="924" spans="1:4" x14ac:dyDescent="0.25">
      <c r="A924" t="s">
        <v>4830</v>
      </c>
      <c r="B924" t="str">
        <f>MID(tbl_lock[[#This Row],[PACE Job Number]],3,3)</f>
        <v>STX</v>
      </c>
      <c r="C924" t="s">
        <v>12</v>
      </c>
      <c r="D924" s="1">
        <v>43427</v>
      </c>
    </row>
    <row r="925" spans="1:4" x14ac:dyDescent="0.25">
      <c r="A925" t="s">
        <v>4831</v>
      </c>
      <c r="B925" t="str">
        <f>MID(tbl_lock[[#This Row],[PACE Job Number]],3,3)</f>
        <v>STX</v>
      </c>
      <c r="C925" t="s">
        <v>12</v>
      </c>
      <c r="D925" s="1">
        <v>43427</v>
      </c>
    </row>
    <row r="926" spans="1:4" x14ac:dyDescent="0.25">
      <c r="A926" t="s">
        <v>4125</v>
      </c>
      <c r="B926" t="str">
        <f>MID(tbl_lock[[#This Row],[PACE Job Number]],3,3)</f>
        <v>STX</v>
      </c>
      <c r="C926" t="s">
        <v>12</v>
      </c>
      <c r="D926" s="1">
        <v>43415</v>
      </c>
    </row>
    <row r="927" spans="1:4" x14ac:dyDescent="0.25">
      <c r="A927" t="s">
        <v>4839</v>
      </c>
      <c r="B927" t="str">
        <f>MID(tbl_lock[[#This Row],[PACE Job Number]],3,3)</f>
        <v>STX</v>
      </c>
      <c r="C927" t="s">
        <v>12</v>
      </c>
      <c r="D927" s="1">
        <v>43427</v>
      </c>
    </row>
    <row r="928" spans="1:4" x14ac:dyDescent="0.25">
      <c r="A928" t="s">
        <v>4126</v>
      </c>
      <c r="B928" t="str">
        <f>MID(tbl_lock[[#This Row],[PACE Job Number]],3,3)</f>
        <v>STX</v>
      </c>
      <c r="C928" t="s">
        <v>12</v>
      </c>
      <c r="D928" s="1">
        <v>43415</v>
      </c>
    </row>
    <row r="929" spans="1:4" x14ac:dyDescent="0.25">
      <c r="A929" t="s">
        <v>4842</v>
      </c>
      <c r="B929" t="str">
        <f>MID(tbl_lock[[#This Row],[PACE Job Number]],3,3)</f>
        <v>STX</v>
      </c>
      <c r="C929" t="s">
        <v>12</v>
      </c>
      <c r="D929" s="1">
        <v>43426</v>
      </c>
    </row>
    <row r="930" spans="1:4" x14ac:dyDescent="0.25">
      <c r="A930" t="s">
        <v>4843</v>
      </c>
      <c r="B930" t="str">
        <f>MID(tbl_lock[[#This Row],[PACE Job Number]],3,3)</f>
        <v>STX</v>
      </c>
      <c r="C930" t="s">
        <v>12</v>
      </c>
      <c r="D930" s="1">
        <v>43427</v>
      </c>
    </row>
    <row r="931" spans="1:4" x14ac:dyDescent="0.25">
      <c r="A931" t="s">
        <v>4844</v>
      </c>
      <c r="B931" t="str">
        <f>MID(tbl_lock[[#This Row],[PACE Job Number]],3,3)</f>
        <v>STX</v>
      </c>
      <c r="C931" t="s">
        <v>12</v>
      </c>
      <c r="D931" s="1">
        <v>43427</v>
      </c>
    </row>
    <row r="932" spans="1:4" x14ac:dyDescent="0.25">
      <c r="A932" t="s">
        <v>5196</v>
      </c>
      <c r="B932" t="str">
        <f>MID(tbl_lock[[#This Row],[PACE Job Number]],3,3)</f>
        <v>STX</v>
      </c>
      <c r="C932" t="s">
        <v>12</v>
      </c>
      <c r="D932" s="1">
        <v>43434</v>
      </c>
    </row>
    <row r="933" spans="1:4" x14ac:dyDescent="0.25">
      <c r="A933" t="s">
        <v>4128</v>
      </c>
      <c r="B933" t="str">
        <f>MID(tbl_lock[[#This Row],[PACE Job Number]],3,3)</f>
        <v>STX</v>
      </c>
      <c r="C933" t="s">
        <v>12</v>
      </c>
      <c r="D933" s="1">
        <v>43411</v>
      </c>
    </row>
    <row r="934" spans="1:4" x14ac:dyDescent="0.25">
      <c r="A934" t="s">
        <v>5197</v>
      </c>
      <c r="B934" t="str">
        <f>MID(tbl_lock[[#This Row],[PACE Job Number]],3,3)</f>
        <v>WSH</v>
      </c>
      <c r="C934" t="s">
        <v>12</v>
      </c>
      <c r="D934" s="1">
        <v>43409</v>
      </c>
    </row>
    <row r="935" spans="1:4" x14ac:dyDescent="0.25">
      <c r="A935" t="s">
        <v>5198</v>
      </c>
      <c r="B935" t="str">
        <f>MID(tbl_lock[[#This Row],[PACE Job Number]],3,3)</f>
        <v>WSH</v>
      </c>
      <c r="C935" t="s">
        <v>12</v>
      </c>
      <c r="D935" s="1">
        <v>43430</v>
      </c>
    </row>
    <row r="936" spans="1:4" x14ac:dyDescent="0.25">
      <c r="A936" t="s">
        <v>4206</v>
      </c>
      <c r="B936" t="str">
        <f>MID(tbl_lock[[#This Row],[PACE Job Number]],3,3)</f>
        <v>WSH</v>
      </c>
      <c r="C936" t="s">
        <v>12</v>
      </c>
      <c r="D936" s="1">
        <v>43411</v>
      </c>
    </row>
    <row r="937" spans="1:4" x14ac:dyDescent="0.25">
      <c r="A937" t="s">
        <v>254</v>
      </c>
      <c r="B937" t="str">
        <f>MID(tbl_lock[[#This Row],[PACE Job Number]],3,3)</f>
        <v>WSH</v>
      </c>
      <c r="C937" t="s">
        <v>12</v>
      </c>
      <c r="D937" s="1">
        <v>43416</v>
      </c>
    </row>
    <row r="938" spans="1:4" x14ac:dyDescent="0.25">
      <c r="A938" t="s">
        <v>5199</v>
      </c>
      <c r="B938" t="str">
        <f>MID(tbl_lock[[#This Row],[PACE Job Number]],3,3)</f>
        <v>WSH</v>
      </c>
      <c r="C938" t="s">
        <v>12</v>
      </c>
      <c r="D938" s="1">
        <v>43409</v>
      </c>
    </row>
    <row r="939" spans="1:4" x14ac:dyDescent="0.25">
      <c r="A939" t="s">
        <v>5200</v>
      </c>
      <c r="B939" t="str">
        <f>MID(tbl_lock[[#This Row],[PACE Job Number]],3,3)</f>
        <v>WSH</v>
      </c>
      <c r="C939" t="s">
        <v>12</v>
      </c>
      <c r="D939" s="1">
        <v>43411</v>
      </c>
    </row>
    <row r="940" spans="1:4" x14ac:dyDescent="0.25">
      <c r="A940" t="s">
        <v>3813</v>
      </c>
      <c r="B940" t="str">
        <f>MID(tbl_lock[[#This Row],[PACE Job Number]],3,3)</f>
        <v>WSH</v>
      </c>
      <c r="C940" t="s">
        <v>12</v>
      </c>
      <c r="D940" s="1">
        <v>43409</v>
      </c>
    </row>
    <row r="941" spans="1:4" x14ac:dyDescent="0.25">
      <c r="A941" t="s">
        <v>5201</v>
      </c>
      <c r="B941" t="str">
        <f>MID(tbl_lock[[#This Row],[PACE Job Number]],3,3)</f>
        <v>WSH</v>
      </c>
      <c r="C941" t="s">
        <v>12</v>
      </c>
      <c r="D941" s="1">
        <v>43413</v>
      </c>
    </row>
    <row r="942" spans="1:4" x14ac:dyDescent="0.25">
      <c r="A942" t="s">
        <v>5202</v>
      </c>
      <c r="B942" t="str">
        <f>MID(tbl_lock[[#This Row],[PACE Job Number]],3,3)</f>
        <v>WSH</v>
      </c>
      <c r="C942" t="s">
        <v>12</v>
      </c>
      <c r="D942" s="1">
        <v>43412</v>
      </c>
    </row>
    <row r="943" spans="1:4" x14ac:dyDescent="0.25">
      <c r="A943" t="s">
        <v>3820</v>
      </c>
      <c r="B943" t="str">
        <f>MID(tbl_lock[[#This Row],[PACE Job Number]],3,3)</f>
        <v>WSH</v>
      </c>
      <c r="C943" t="s">
        <v>12</v>
      </c>
      <c r="D943" s="1">
        <v>43416</v>
      </c>
    </row>
    <row r="944" spans="1:4" x14ac:dyDescent="0.25">
      <c r="A944" t="s">
        <v>4893</v>
      </c>
      <c r="B944" t="str">
        <f>MID(tbl_lock[[#This Row],[PACE Job Number]],3,3)</f>
        <v>STX</v>
      </c>
      <c r="C944" t="s">
        <v>12</v>
      </c>
      <c r="D944" s="1">
        <v>43434</v>
      </c>
    </row>
    <row r="945" spans="1:4" x14ac:dyDescent="0.25">
      <c r="A945" t="s">
        <v>4895</v>
      </c>
      <c r="B945" t="str">
        <f>MID(tbl_lock[[#This Row],[PACE Job Number]],3,3)</f>
        <v>STX</v>
      </c>
      <c r="C945" t="s">
        <v>12</v>
      </c>
      <c r="D945" s="1">
        <v>43427</v>
      </c>
    </row>
    <row r="946" spans="1:4" x14ac:dyDescent="0.25">
      <c r="A946" t="s">
        <v>4897</v>
      </c>
      <c r="B946" t="str">
        <f>MID(tbl_lock[[#This Row],[PACE Job Number]],3,3)</f>
        <v>STX</v>
      </c>
      <c r="C946" t="s">
        <v>12</v>
      </c>
      <c r="D946" s="1">
        <v>43427</v>
      </c>
    </row>
    <row r="947" spans="1:4" x14ac:dyDescent="0.25">
      <c r="A947" t="s">
        <v>4898</v>
      </c>
      <c r="B947" t="str">
        <f>MID(tbl_lock[[#This Row],[PACE Job Number]],3,3)</f>
        <v>STX</v>
      </c>
      <c r="C947" t="s">
        <v>12</v>
      </c>
      <c r="D947" s="1">
        <v>43434</v>
      </c>
    </row>
    <row r="948" spans="1:4" x14ac:dyDescent="0.25">
      <c r="A948" t="s">
        <v>4899</v>
      </c>
      <c r="B948" t="str">
        <f>MID(tbl_lock[[#This Row],[PACE Job Number]],3,3)</f>
        <v>STX</v>
      </c>
      <c r="C948" t="s">
        <v>12</v>
      </c>
      <c r="D948" s="1">
        <v>43434</v>
      </c>
    </row>
    <row r="949" spans="1:4" x14ac:dyDescent="0.25">
      <c r="A949" t="s">
        <v>4909</v>
      </c>
      <c r="B949" t="str">
        <f>MID(tbl_lock[[#This Row],[PACE Job Number]],3,3)</f>
        <v>STX</v>
      </c>
      <c r="C949" t="s">
        <v>12</v>
      </c>
      <c r="D949" s="1">
        <v>43434</v>
      </c>
    </row>
    <row r="950" spans="1:4" x14ac:dyDescent="0.25">
      <c r="A950" t="s">
        <v>4914</v>
      </c>
      <c r="B950" t="str">
        <f>MID(tbl_lock[[#This Row],[PACE Job Number]],3,3)</f>
        <v>STX</v>
      </c>
      <c r="C950" t="s">
        <v>12</v>
      </c>
      <c r="D950" s="1">
        <v>43420</v>
      </c>
    </row>
    <row r="951" spans="1:4" x14ac:dyDescent="0.25">
      <c r="A951" t="s">
        <v>4915</v>
      </c>
      <c r="B951" t="str">
        <f>MID(tbl_lock[[#This Row],[PACE Job Number]],3,3)</f>
        <v>STX</v>
      </c>
      <c r="C951" t="s">
        <v>12</v>
      </c>
      <c r="D951" s="1">
        <v>43420</v>
      </c>
    </row>
    <row r="952" spans="1:4" x14ac:dyDescent="0.25">
      <c r="A952" t="s">
        <v>4920</v>
      </c>
      <c r="B952" t="str">
        <f>MID(tbl_lock[[#This Row],[PACE Job Number]],3,3)</f>
        <v>STX</v>
      </c>
      <c r="C952" t="s">
        <v>12</v>
      </c>
      <c r="D952" s="1">
        <v>43420</v>
      </c>
    </row>
    <row r="953" spans="1:4" x14ac:dyDescent="0.25">
      <c r="A953" t="s">
        <v>4193</v>
      </c>
      <c r="B953" t="str">
        <f>MID(tbl_lock[[#This Row],[PACE Job Number]],3,3)</f>
        <v>STX</v>
      </c>
      <c r="C953" t="s">
        <v>12</v>
      </c>
      <c r="D953" s="1">
        <v>43406</v>
      </c>
    </row>
    <row r="954" spans="1:4" x14ac:dyDescent="0.25">
      <c r="A954" t="s">
        <v>4926</v>
      </c>
      <c r="B954" t="str">
        <f>MID(tbl_lock[[#This Row],[PACE Job Number]],3,3)</f>
        <v>STX</v>
      </c>
      <c r="C954" t="s">
        <v>12</v>
      </c>
      <c r="D954" s="1">
        <v>43427</v>
      </c>
    </row>
    <row r="955" spans="1:4" x14ac:dyDescent="0.25">
      <c r="A955" t="s">
        <v>4934</v>
      </c>
      <c r="B955" t="str">
        <f>MID(tbl_lock[[#This Row],[PACE Job Number]],3,3)</f>
        <v>STX</v>
      </c>
      <c r="C955" t="s">
        <v>12</v>
      </c>
      <c r="D955" s="1">
        <v>43427</v>
      </c>
    </row>
    <row r="956" spans="1:4" x14ac:dyDescent="0.25">
      <c r="A956" t="s">
        <v>4936</v>
      </c>
      <c r="B956" t="str">
        <f>MID(tbl_lock[[#This Row],[PACE Job Number]],3,3)</f>
        <v>STX</v>
      </c>
      <c r="C956" t="s">
        <v>12</v>
      </c>
      <c r="D956" s="1">
        <v>43427</v>
      </c>
    </row>
    <row r="957" spans="1:4" x14ac:dyDescent="0.25">
      <c r="A957" t="s">
        <v>3556</v>
      </c>
      <c r="B957" t="str">
        <f>MID(tbl_lock[[#This Row],[PACE Job Number]],3,3)</f>
        <v>STX</v>
      </c>
      <c r="C957" t="s">
        <v>12</v>
      </c>
      <c r="D957" s="1">
        <v>43411</v>
      </c>
    </row>
    <row r="958" spans="1:4" x14ac:dyDescent="0.25">
      <c r="A958" t="s">
        <v>5203</v>
      </c>
      <c r="B958" t="str">
        <f>MID(tbl_lock[[#This Row],[PACE Job Number]],3,3)</f>
        <v>STX</v>
      </c>
      <c r="C958" t="s">
        <v>12</v>
      </c>
      <c r="D958" s="1">
        <v>43427</v>
      </c>
    </row>
    <row r="959" spans="1:4" x14ac:dyDescent="0.25">
      <c r="A959" t="s">
        <v>4940</v>
      </c>
      <c r="B959" t="str">
        <f>MID(tbl_lock[[#This Row],[PACE Job Number]],3,3)</f>
        <v>STX</v>
      </c>
      <c r="C959" t="s">
        <v>12</v>
      </c>
      <c r="D959" s="1">
        <v>43427</v>
      </c>
    </row>
    <row r="960" spans="1:4" x14ac:dyDescent="0.25">
      <c r="A960" t="s">
        <v>3879</v>
      </c>
      <c r="B960" t="str">
        <f>MID(tbl_lock[[#This Row],[PACE Job Number]],3,3)</f>
        <v>ANM</v>
      </c>
      <c r="C960" t="s">
        <v>12</v>
      </c>
      <c r="D960" s="1">
        <v>43409</v>
      </c>
    </row>
    <row r="961" spans="1:4" x14ac:dyDescent="0.25">
      <c r="A961" t="s">
        <v>5204</v>
      </c>
      <c r="B961" t="str">
        <f>MID(tbl_lock[[#This Row],[PACE Job Number]],3,3)</f>
        <v>NTX</v>
      </c>
      <c r="C961" t="s">
        <v>12</v>
      </c>
      <c r="D961" s="1">
        <v>43413</v>
      </c>
    </row>
    <row r="962" spans="1:4" x14ac:dyDescent="0.25">
      <c r="A962" t="s">
        <v>5205</v>
      </c>
      <c r="B962" t="str">
        <f>MID(tbl_lock[[#This Row],[PACE Job Number]],3,3)</f>
        <v>ANM</v>
      </c>
      <c r="C962" t="s">
        <v>12</v>
      </c>
      <c r="D962" s="1">
        <v>43423</v>
      </c>
    </row>
    <row r="963" spans="1:4" x14ac:dyDescent="0.25">
      <c r="A963" t="s">
        <v>3446</v>
      </c>
      <c r="B963" t="str">
        <f>MID(tbl_lock[[#This Row],[PACE Job Number]],3,3)</f>
        <v>ANM</v>
      </c>
      <c r="C963" t="s">
        <v>12</v>
      </c>
      <c r="D963" s="1">
        <v>43409</v>
      </c>
    </row>
    <row r="964" spans="1:4" x14ac:dyDescent="0.25">
      <c r="A964" t="s">
        <v>4204</v>
      </c>
      <c r="B964" t="str">
        <f>MID(tbl_lock[[#This Row],[PACE Job Number]],3,3)</f>
        <v>ANM</v>
      </c>
      <c r="C964" t="s">
        <v>12</v>
      </c>
      <c r="D964" s="1">
        <v>43412</v>
      </c>
    </row>
    <row r="965" spans="1:4" x14ac:dyDescent="0.25">
      <c r="A965" t="s">
        <v>5206</v>
      </c>
      <c r="B965" t="str">
        <f>MID(tbl_lock[[#This Row],[PACE Job Number]],3,3)</f>
        <v>ANM</v>
      </c>
      <c r="C965" t="s">
        <v>12</v>
      </c>
      <c r="D965" s="1">
        <v>43415</v>
      </c>
    </row>
    <row r="966" spans="1:4" x14ac:dyDescent="0.25">
      <c r="A966" t="s">
        <v>5207</v>
      </c>
      <c r="B966" t="str">
        <f>MID(tbl_lock[[#This Row],[PACE Job Number]],3,3)</f>
        <v>ANM</v>
      </c>
      <c r="C966" t="s">
        <v>12</v>
      </c>
      <c r="D966" s="1">
        <v>43409</v>
      </c>
    </row>
    <row r="967" spans="1:4" x14ac:dyDescent="0.25">
      <c r="A967" t="s">
        <v>5208</v>
      </c>
      <c r="B967" t="str">
        <f>MID(tbl_lock[[#This Row],[PACE Job Number]],3,3)</f>
        <v>ANM</v>
      </c>
      <c r="C967" t="s">
        <v>12</v>
      </c>
      <c r="D967" s="1">
        <v>43409</v>
      </c>
    </row>
    <row r="968" spans="1:4" x14ac:dyDescent="0.25">
      <c r="A968" t="s">
        <v>5209</v>
      </c>
      <c r="B968" t="str">
        <f>MID(tbl_lock[[#This Row],[PACE Job Number]],3,3)</f>
        <v>ANM</v>
      </c>
      <c r="C968" t="s">
        <v>12</v>
      </c>
      <c r="D968" s="1">
        <v>43409</v>
      </c>
    </row>
    <row r="969" spans="1:4" x14ac:dyDescent="0.25">
      <c r="A969" t="s">
        <v>3773</v>
      </c>
      <c r="B969" t="str">
        <f>MID(tbl_lock[[#This Row],[PACE Job Number]],3,3)</f>
        <v>NTX</v>
      </c>
      <c r="C969" t="s">
        <v>12</v>
      </c>
      <c r="D969" s="1">
        <v>43430</v>
      </c>
    </row>
    <row r="970" spans="1:4" x14ac:dyDescent="0.25">
      <c r="A970" t="s">
        <v>3774</v>
      </c>
      <c r="B970" t="str">
        <f>MID(tbl_lock[[#This Row],[PACE Job Number]],3,3)</f>
        <v>NTX</v>
      </c>
      <c r="C970" t="s">
        <v>12</v>
      </c>
      <c r="D970" s="1">
        <v>43430</v>
      </c>
    </row>
    <row r="971" spans="1:4" x14ac:dyDescent="0.25">
      <c r="A971" t="s">
        <v>4946</v>
      </c>
      <c r="B971" t="str">
        <f>MID(tbl_lock[[#This Row],[PACE Job Number]],3,3)</f>
        <v>STX</v>
      </c>
      <c r="C971" t="s">
        <v>12</v>
      </c>
      <c r="D971" s="1">
        <v>43427</v>
      </c>
    </row>
    <row r="972" spans="1:4" x14ac:dyDescent="0.25">
      <c r="A972" t="s">
        <v>4949</v>
      </c>
      <c r="B972" t="str">
        <f>MID(tbl_lock[[#This Row],[PACE Job Number]],3,3)</f>
        <v>STX</v>
      </c>
      <c r="C972" t="s">
        <v>12</v>
      </c>
      <c r="D972" s="1">
        <v>43427</v>
      </c>
    </row>
    <row r="973" spans="1:4" x14ac:dyDescent="0.25">
      <c r="A973" t="s">
        <v>4951</v>
      </c>
      <c r="B973" t="str">
        <f>MID(tbl_lock[[#This Row],[PACE Job Number]],3,3)</f>
        <v>STX</v>
      </c>
      <c r="C973" t="s">
        <v>12</v>
      </c>
      <c r="D973" s="1">
        <v>43427</v>
      </c>
    </row>
    <row r="974" spans="1:4" x14ac:dyDescent="0.25">
      <c r="A974" t="s">
        <v>3911</v>
      </c>
      <c r="B974" t="str">
        <f>MID(tbl_lock[[#This Row],[PACE Job Number]],3,3)</f>
        <v>WSH</v>
      </c>
      <c r="C974" t="s">
        <v>12</v>
      </c>
      <c r="D974" s="1">
        <v>43416</v>
      </c>
    </row>
    <row r="975" spans="1:4" x14ac:dyDescent="0.25">
      <c r="A975" t="s">
        <v>4210</v>
      </c>
      <c r="B975" t="str">
        <f>MID(tbl_lock[[#This Row],[PACE Job Number]],3,3)</f>
        <v>WSH</v>
      </c>
      <c r="C975" t="s">
        <v>12</v>
      </c>
      <c r="D975" s="1">
        <v>43423</v>
      </c>
    </row>
    <row r="976" spans="1:4" x14ac:dyDescent="0.25">
      <c r="A976" t="s">
        <v>5210</v>
      </c>
      <c r="B976" t="str">
        <f>MID(tbl_lock[[#This Row],[PACE Job Number]],3,3)</f>
        <v>WSH</v>
      </c>
      <c r="C976" t="s">
        <v>12</v>
      </c>
      <c r="D976" s="1">
        <v>43411</v>
      </c>
    </row>
    <row r="977" spans="1:4" x14ac:dyDescent="0.25">
      <c r="A977" t="s">
        <v>5211</v>
      </c>
      <c r="B977" t="str">
        <f>MID(tbl_lock[[#This Row],[PACE Job Number]],3,3)</f>
        <v>WSH</v>
      </c>
      <c r="C977" t="s">
        <v>12</v>
      </c>
      <c r="D977" s="1">
        <v>43423</v>
      </c>
    </row>
    <row r="978" spans="1:4" x14ac:dyDescent="0.25">
      <c r="A978" t="s">
        <v>5212</v>
      </c>
      <c r="B978" t="str">
        <f>MID(tbl_lock[[#This Row],[PACE Job Number]],3,3)</f>
        <v>WSH</v>
      </c>
      <c r="C978" t="s">
        <v>12</v>
      </c>
      <c r="D978" s="1">
        <v>43414</v>
      </c>
    </row>
    <row r="979" spans="1:4" x14ac:dyDescent="0.25">
      <c r="A979" t="s">
        <v>3821</v>
      </c>
      <c r="B979" t="str">
        <f>MID(tbl_lock[[#This Row],[PACE Job Number]],3,3)</f>
        <v>WSH</v>
      </c>
      <c r="C979" t="s">
        <v>12</v>
      </c>
      <c r="D979" s="1">
        <v>43416</v>
      </c>
    </row>
    <row r="980" spans="1:4" x14ac:dyDescent="0.25">
      <c r="A980" t="s">
        <v>3822</v>
      </c>
      <c r="B980" t="str">
        <f>MID(tbl_lock[[#This Row],[PACE Job Number]],3,3)</f>
        <v>WSH</v>
      </c>
      <c r="C980" t="s">
        <v>12</v>
      </c>
      <c r="D980" s="1">
        <v>43409</v>
      </c>
    </row>
    <row r="981" spans="1:4" x14ac:dyDescent="0.25">
      <c r="A981" t="s">
        <v>5213</v>
      </c>
      <c r="B981" t="str">
        <f>MID(tbl_lock[[#This Row],[PACE Job Number]],3,3)</f>
        <v>WSH</v>
      </c>
      <c r="C981" t="s">
        <v>12</v>
      </c>
      <c r="D981" s="1">
        <v>43409</v>
      </c>
    </row>
    <row r="982" spans="1:4" x14ac:dyDescent="0.25">
      <c r="A982" t="s">
        <v>5214</v>
      </c>
      <c r="B982" t="str">
        <f>MID(tbl_lock[[#This Row],[PACE Job Number]],3,3)</f>
        <v>WSH</v>
      </c>
      <c r="C982" t="s">
        <v>12</v>
      </c>
      <c r="D982" s="1">
        <v>43416</v>
      </c>
    </row>
    <row r="983" spans="1:4" x14ac:dyDescent="0.25">
      <c r="A983" t="s">
        <v>5215</v>
      </c>
      <c r="B983" t="str">
        <f>MID(tbl_lock[[#This Row],[PACE Job Number]],3,3)</f>
        <v>WSH</v>
      </c>
      <c r="C983" t="s">
        <v>12</v>
      </c>
      <c r="D983" s="1">
        <v>43410</v>
      </c>
    </row>
    <row r="984" spans="1:4" x14ac:dyDescent="0.25">
      <c r="A984" t="s">
        <v>5216</v>
      </c>
      <c r="B984" t="str">
        <f>MID(tbl_lock[[#This Row],[PACE Job Number]],3,3)</f>
        <v>WSH</v>
      </c>
      <c r="C984" t="s">
        <v>12</v>
      </c>
      <c r="D984" s="1">
        <v>43411</v>
      </c>
    </row>
    <row r="985" spans="1:4" x14ac:dyDescent="0.25">
      <c r="A985" t="s">
        <v>4242</v>
      </c>
      <c r="B985" t="str">
        <f>MID(tbl_lock[[#This Row],[PACE Job Number]],3,3)</f>
        <v>WSH</v>
      </c>
      <c r="C985" t="s">
        <v>12</v>
      </c>
      <c r="D985" s="1">
        <v>43411</v>
      </c>
    </row>
    <row r="986" spans="1:4" x14ac:dyDescent="0.25">
      <c r="A986" t="s">
        <v>5217</v>
      </c>
      <c r="B986" t="str">
        <f>MID(tbl_lock[[#This Row],[PACE Job Number]],3,3)</f>
        <v>WSH</v>
      </c>
      <c r="C986" t="s">
        <v>12</v>
      </c>
      <c r="D986" s="1">
        <v>43410</v>
      </c>
    </row>
    <row r="987" spans="1:4" x14ac:dyDescent="0.25">
      <c r="A987" t="s">
        <v>5218</v>
      </c>
      <c r="B987" t="str">
        <f>MID(tbl_lock[[#This Row],[PACE Job Number]],3,3)</f>
        <v>WSH</v>
      </c>
      <c r="C987" t="s">
        <v>12</v>
      </c>
      <c r="D987" s="1">
        <v>43430</v>
      </c>
    </row>
    <row r="988" spans="1:4" x14ac:dyDescent="0.25">
      <c r="A988" t="s">
        <v>4245</v>
      </c>
      <c r="B988" t="str">
        <f>MID(tbl_lock[[#This Row],[PACE Job Number]],3,3)</f>
        <v>WSH</v>
      </c>
      <c r="C988" t="s">
        <v>12</v>
      </c>
      <c r="D988" s="1">
        <v>43411</v>
      </c>
    </row>
    <row r="989" spans="1:4" x14ac:dyDescent="0.25">
      <c r="A989" t="s">
        <v>3830</v>
      </c>
      <c r="B989" t="str">
        <f>MID(tbl_lock[[#This Row],[PACE Job Number]],3,3)</f>
        <v>WSH</v>
      </c>
      <c r="C989" t="s">
        <v>12</v>
      </c>
      <c r="D989" s="1">
        <v>43416</v>
      </c>
    </row>
    <row r="990" spans="1:4" x14ac:dyDescent="0.25">
      <c r="A990" t="s">
        <v>5219</v>
      </c>
      <c r="B990" t="str">
        <f>MID(tbl_lock[[#This Row],[PACE Job Number]],3,3)</f>
        <v>WSH</v>
      </c>
      <c r="C990" t="s">
        <v>12</v>
      </c>
      <c r="D990" s="1">
        <v>43411</v>
      </c>
    </row>
    <row r="991" spans="1:4" x14ac:dyDescent="0.25">
      <c r="A991" t="s">
        <v>5220</v>
      </c>
      <c r="B991" t="str">
        <f>MID(tbl_lock[[#This Row],[PACE Job Number]],3,3)</f>
        <v>WSH</v>
      </c>
      <c r="C991" t="s">
        <v>12</v>
      </c>
      <c r="D991" s="1">
        <v>43413</v>
      </c>
    </row>
    <row r="992" spans="1:4" x14ac:dyDescent="0.25">
      <c r="A992" t="s">
        <v>5002</v>
      </c>
      <c r="B992" t="str">
        <f>MID(tbl_lock[[#This Row],[PACE Job Number]],3,3)</f>
        <v>STX</v>
      </c>
      <c r="C992" t="s">
        <v>12</v>
      </c>
      <c r="D992" s="1">
        <v>43427</v>
      </c>
    </row>
    <row r="993" spans="1:4" x14ac:dyDescent="0.25">
      <c r="A993" t="s">
        <v>5004</v>
      </c>
      <c r="B993" t="str">
        <f>MID(tbl_lock[[#This Row],[PACE Job Number]],3,3)</f>
        <v>STX</v>
      </c>
      <c r="C993" t="s">
        <v>12</v>
      </c>
      <c r="D993" s="1">
        <v>43427</v>
      </c>
    </row>
    <row r="994" spans="1:4" x14ac:dyDescent="0.25">
      <c r="A994" t="s">
        <v>5221</v>
      </c>
      <c r="B994" t="str">
        <f>MID(tbl_lock[[#This Row],[PACE Job Number]],3,3)</f>
        <v>STX</v>
      </c>
      <c r="C994" t="s">
        <v>12</v>
      </c>
      <c r="D994" s="1">
        <v>43427</v>
      </c>
    </row>
    <row r="995" spans="1:4" x14ac:dyDescent="0.25">
      <c r="A995" t="s">
        <v>3815</v>
      </c>
      <c r="B995" t="str">
        <f>MID(tbl_lock[[#This Row],[PACE Job Number]],3,3)</f>
        <v>NTX</v>
      </c>
      <c r="C995" t="s">
        <v>12</v>
      </c>
      <c r="D995" s="1">
        <v>43434</v>
      </c>
    </row>
    <row r="996" spans="1:4" x14ac:dyDescent="0.25">
      <c r="A996" t="s">
        <v>5222</v>
      </c>
      <c r="B996" t="str">
        <f>MID(tbl_lock[[#This Row],[PACE Job Number]],3,3)</f>
        <v>NTX</v>
      </c>
      <c r="C996" t="s">
        <v>12</v>
      </c>
      <c r="D996" s="1">
        <v>43413</v>
      </c>
    </row>
    <row r="997" spans="1:4" x14ac:dyDescent="0.25">
      <c r="A997" t="s">
        <v>5223</v>
      </c>
      <c r="B997" t="str">
        <f>MID(tbl_lock[[#This Row],[PACE Job Number]],3,3)</f>
        <v>ANM</v>
      </c>
      <c r="C997" t="s">
        <v>12</v>
      </c>
      <c r="D997" s="1">
        <v>43409</v>
      </c>
    </row>
    <row r="998" spans="1:4" x14ac:dyDescent="0.25">
      <c r="A998" t="s">
        <v>5224</v>
      </c>
      <c r="B998" t="str">
        <f>MID(tbl_lock[[#This Row],[PACE Job Number]],3,3)</f>
        <v>ANM</v>
      </c>
      <c r="C998" t="s">
        <v>12</v>
      </c>
      <c r="D998" s="1">
        <v>43409</v>
      </c>
    </row>
    <row r="999" spans="1:4" x14ac:dyDescent="0.25">
      <c r="A999" t="s">
        <v>5225</v>
      </c>
      <c r="B999" t="str">
        <f>MID(tbl_lock[[#This Row],[PACE Job Number]],3,3)</f>
        <v>ANM</v>
      </c>
      <c r="C999" t="s">
        <v>12</v>
      </c>
      <c r="D999" s="1">
        <v>43409</v>
      </c>
    </row>
    <row r="1000" spans="1:4" x14ac:dyDescent="0.25">
      <c r="A1000" t="s">
        <v>3430</v>
      </c>
      <c r="B1000" t="str">
        <f>MID(tbl_lock[[#This Row],[PACE Job Number]],3,3)</f>
        <v>ANM</v>
      </c>
      <c r="C1000" t="s">
        <v>12</v>
      </c>
      <c r="D1000" s="1">
        <v>43409</v>
      </c>
    </row>
    <row r="1001" spans="1:4" x14ac:dyDescent="0.25">
      <c r="A1001" t="s">
        <v>3431</v>
      </c>
      <c r="B1001" t="str">
        <f>MID(tbl_lock[[#This Row],[PACE Job Number]],3,3)</f>
        <v>ANM</v>
      </c>
      <c r="C1001" t="s">
        <v>12</v>
      </c>
      <c r="D1001" s="1">
        <v>43409</v>
      </c>
    </row>
    <row r="1002" spans="1:4" x14ac:dyDescent="0.25">
      <c r="A1002" t="s">
        <v>3440</v>
      </c>
      <c r="B1002" t="str">
        <f>MID(tbl_lock[[#This Row],[PACE Job Number]],3,3)</f>
        <v>ANM</v>
      </c>
      <c r="C1002" t="s">
        <v>12</v>
      </c>
      <c r="D1002" s="1">
        <v>43409</v>
      </c>
    </row>
    <row r="1003" spans="1:4" x14ac:dyDescent="0.25">
      <c r="A1003" t="s">
        <v>4145</v>
      </c>
      <c r="B1003" t="str">
        <f>MID(tbl_lock[[#This Row],[PACE Job Number]],3,3)</f>
        <v>ANM</v>
      </c>
      <c r="C1003" t="s">
        <v>12</v>
      </c>
      <c r="D1003" s="1">
        <v>43413</v>
      </c>
    </row>
    <row r="1004" spans="1:4" x14ac:dyDescent="0.25">
      <c r="A1004" t="s">
        <v>5226</v>
      </c>
      <c r="B1004" t="str">
        <f>MID(tbl_lock[[#This Row],[PACE Job Number]],3,3)</f>
        <v>ANM</v>
      </c>
      <c r="C1004" t="s">
        <v>12</v>
      </c>
      <c r="D1004" s="1">
        <v>43406</v>
      </c>
    </row>
    <row r="1005" spans="1:4" x14ac:dyDescent="0.25">
      <c r="A1005" t="s">
        <v>376</v>
      </c>
      <c r="B1005" t="str">
        <f>MID(tbl_lock[[#This Row],[PACE Job Number]],3,3)</f>
        <v>ANM</v>
      </c>
      <c r="C1005" t="s">
        <v>12</v>
      </c>
      <c r="D1005" s="1">
        <v>43423</v>
      </c>
    </row>
    <row r="1006" spans="1:4" x14ac:dyDescent="0.25">
      <c r="A1006" t="s">
        <v>5227</v>
      </c>
      <c r="B1006" t="str">
        <f>MID(tbl_lock[[#This Row],[PACE Job Number]],3,3)</f>
        <v>ANM</v>
      </c>
      <c r="C1006" t="s">
        <v>12</v>
      </c>
      <c r="D1006" s="1">
        <v>43409</v>
      </c>
    </row>
    <row r="1007" spans="1:4" x14ac:dyDescent="0.25">
      <c r="A1007" t="s">
        <v>5010</v>
      </c>
      <c r="B1007" t="str">
        <f>MID(tbl_lock[[#This Row],[PACE Job Number]],3,3)</f>
        <v>ANM</v>
      </c>
      <c r="C1007" t="s">
        <v>12</v>
      </c>
      <c r="D1007" s="1">
        <v>43416</v>
      </c>
    </row>
    <row r="1008" spans="1:4" x14ac:dyDescent="0.25">
      <c r="A1008" t="s">
        <v>4217</v>
      </c>
      <c r="B1008" t="str">
        <f>MID(tbl_lock[[#This Row],[PACE Job Number]],3,3)</f>
        <v>ANM</v>
      </c>
      <c r="C1008" t="s">
        <v>12</v>
      </c>
      <c r="D1008" s="1">
        <v>43423</v>
      </c>
    </row>
    <row r="1009" spans="1:4" x14ac:dyDescent="0.25">
      <c r="A1009" t="s">
        <v>4219</v>
      </c>
      <c r="B1009" t="str">
        <f>MID(tbl_lock[[#This Row],[PACE Job Number]],3,3)</f>
        <v>ANM</v>
      </c>
      <c r="C1009" t="s">
        <v>12</v>
      </c>
      <c r="D1009" s="1">
        <v>43409</v>
      </c>
    </row>
    <row r="1010" spans="1:4" x14ac:dyDescent="0.25">
      <c r="A1010" t="s">
        <v>4146</v>
      </c>
      <c r="B1010" t="str">
        <f>MID(tbl_lock[[#This Row],[PACE Job Number]],3,3)</f>
        <v>ANM</v>
      </c>
      <c r="C1010" t="s">
        <v>12</v>
      </c>
      <c r="D1010" s="1">
        <v>43413</v>
      </c>
    </row>
    <row r="1011" spans="1:4" x14ac:dyDescent="0.25">
      <c r="A1011" t="s">
        <v>4220</v>
      </c>
      <c r="B1011" t="str">
        <f>MID(tbl_lock[[#This Row],[PACE Job Number]],3,3)</f>
        <v>ANM</v>
      </c>
      <c r="C1011" t="s">
        <v>12</v>
      </c>
      <c r="D1011" s="1">
        <v>43413</v>
      </c>
    </row>
    <row r="1012" spans="1:4" x14ac:dyDescent="0.25">
      <c r="A1012" t="s">
        <v>4221</v>
      </c>
      <c r="B1012" t="str">
        <f>MID(tbl_lock[[#This Row],[PACE Job Number]],3,3)</f>
        <v>ANM</v>
      </c>
      <c r="C1012" t="s">
        <v>12</v>
      </c>
      <c r="D1012" s="1">
        <v>43416</v>
      </c>
    </row>
    <row r="1013" spans="1:4" x14ac:dyDescent="0.25">
      <c r="A1013" t="s">
        <v>412</v>
      </c>
      <c r="B1013" t="str">
        <f>MID(tbl_lock[[#This Row],[PACE Job Number]],3,3)</f>
        <v>ANM</v>
      </c>
      <c r="C1013" t="s">
        <v>12</v>
      </c>
      <c r="D1013" s="1">
        <v>43423</v>
      </c>
    </row>
    <row r="1014" spans="1:4" x14ac:dyDescent="0.25">
      <c r="A1014" t="s">
        <v>4224</v>
      </c>
      <c r="B1014" t="str">
        <f>MID(tbl_lock[[#This Row],[PACE Job Number]],3,3)</f>
        <v>ANM</v>
      </c>
      <c r="C1014" t="s">
        <v>12</v>
      </c>
      <c r="D1014" s="1">
        <v>43416</v>
      </c>
    </row>
    <row r="1015" spans="1:4" x14ac:dyDescent="0.25">
      <c r="A1015" t="s">
        <v>2317</v>
      </c>
      <c r="B1015" t="str">
        <f>MID(tbl_lock[[#This Row],[PACE Job Number]],3,3)</f>
        <v>NTX</v>
      </c>
      <c r="C1015" t="s">
        <v>12</v>
      </c>
      <c r="D1015" s="1">
        <v>43434</v>
      </c>
    </row>
    <row r="1016" spans="1:4" x14ac:dyDescent="0.25">
      <c r="A1016" t="s">
        <v>2717</v>
      </c>
      <c r="B1016" t="str">
        <f>MID(tbl_lock[[#This Row],[PACE Job Number]],3,3)</f>
        <v>STX</v>
      </c>
      <c r="C1016" t="s">
        <v>12</v>
      </c>
      <c r="D1016" s="1">
        <v>43413</v>
      </c>
    </row>
    <row r="1017" spans="1:4" x14ac:dyDescent="0.25">
      <c r="A1017" t="s">
        <v>5228</v>
      </c>
      <c r="B1017" t="str">
        <f>MID(tbl_lock[[#This Row],[PACE Job Number]],3,3)</f>
        <v>WSH</v>
      </c>
      <c r="C1017" t="s">
        <v>12</v>
      </c>
      <c r="D1017" s="1">
        <v>43416</v>
      </c>
    </row>
    <row r="1018" spans="1:4" x14ac:dyDescent="0.25">
      <c r="A1018" t="s">
        <v>5229</v>
      </c>
      <c r="B1018" t="str">
        <f>MID(tbl_lock[[#This Row],[PACE Job Number]],3,3)</f>
        <v>WSH</v>
      </c>
      <c r="C1018" t="s">
        <v>12</v>
      </c>
      <c r="D1018" s="1">
        <v>43423</v>
      </c>
    </row>
    <row r="1019" spans="1:4" x14ac:dyDescent="0.25">
      <c r="A1019" t="s">
        <v>5230</v>
      </c>
      <c r="B1019" t="str">
        <f>MID(tbl_lock[[#This Row],[PACE Job Number]],3,3)</f>
        <v>WSH</v>
      </c>
      <c r="C1019" t="s">
        <v>12</v>
      </c>
      <c r="D1019" s="1">
        <v>43430</v>
      </c>
    </row>
    <row r="1020" spans="1:4" x14ac:dyDescent="0.25">
      <c r="A1020" t="s">
        <v>5231</v>
      </c>
      <c r="B1020" t="str">
        <f>MID(tbl_lock[[#This Row],[PACE Job Number]],3,3)</f>
        <v>WSH</v>
      </c>
      <c r="C1020" t="s">
        <v>12</v>
      </c>
      <c r="D1020" s="1">
        <v>43410</v>
      </c>
    </row>
    <row r="1021" spans="1:4" x14ac:dyDescent="0.25">
      <c r="A1021" t="s">
        <v>5232</v>
      </c>
      <c r="B1021" t="str">
        <f>MID(tbl_lock[[#This Row],[PACE Job Number]],3,3)</f>
        <v>WSH</v>
      </c>
      <c r="C1021" t="s">
        <v>12</v>
      </c>
      <c r="D1021" s="1">
        <v>43405</v>
      </c>
    </row>
    <row r="1022" spans="1:4" x14ac:dyDescent="0.25">
      <c r="A1022" t="s">
        <v>5233</v>
      </c>
      <c r="B1022" t="str">
        <f>MID(tbl_lock[[#This Row],[PACE Job Number]],3,3)</f>
        <v>WSH</v>
      </c>
      <c r="C1022" t="s">
        <v>12</v>
      </c>
      <c r="D1022" s="1">
        <v>43409</v>
      </c>
    </row>
    <row r="1023" spans="1:4" x14ac:dyDescent="0.25">
      <c r="A1023" t="s">
        <v>4138</v>
      </c>
      <c r="B1023" t="str">
        <f>MID(tbl_lock[[#This Row],[PACE Job Number]],3,3)</f>
        <v>STX</v>
      </c>
      <c r="C1023" t="s">
        <v>12</v>
      </c>
      <c r="D1023" s="1">
        <v>43406</v>
      </c>
    </row>
    <row r="1024" spans="1:4" x14ac:dyDescent="0.25">
      <c r="A1024" t="s">
        <v>5234</v>
      </c>
      <c r="B1024" t="str">
        <f>MID(tbl_lock[[#This Row],[PACE Job Number]],3,3)</f>
        <v>WSH</v>
      </c>
      <c r="C1024" t="s">
        <v>12</v>
      </c>
      <c r="D1024" s="1">
        <v>43405</v>
      </c>
    </row>
    <row r="1025" spans="1:4" x14ac:dyDescent="0.25">
      <c r="A1025" t="s">
        <v>5235</v>
      </c>
      <c r="B1025" t="str">
        <f>MID(tbl_lock[[#This Row],[PACE Job Number]],3,3)</f>
        <v>WSH</v>
      </c>
      <c r="C1025" t="s">
        <v>12</v>
      </c>
      <c r="D1025" s="1">
        <v>43405</v>
      </c>
    </row>
    <row r="1026" spans="1:4" x14ac:dyDescent="0.25">
      <c r="A1026" t="s">
        <v>5236</v>
      </c>
      <c r="B1026" t="str">
        <f>MID(tbl_lock[[#This Row],[PACE Job Number]],3,3)</f>
        <v>WSH</v>
      </c>
      <c r="C1026" t="s">
        <v>12</v>
      </c>
      <c r="D1026" s="1">
        <v>43430</v>
      </c>
    </row>
    <row r="1027" spans="1:4" x14ac:dyDescent="0.25">
      <c r="A1027" t="s">
        <v>5237</v>
      </c>
      <c r="B1027" t="str">
        <f>MID(tbl_lock[[#This Row],[PACE Job Number]],3,3)</f>
        <v>WSH</v>
      </c>
      <c r="C1027" t="s">
        <v>12</v>
      </c>
      <c r="D1027" s="1">
        <v>43416</v>
      </c>
    </row>
    <row r="1028" spans="1:4" x14ac:dyDescent="0.25">
      <c r="A1028" t="s">
        <v>5238</v>
      </c>
      <c r="B1028" t="str">
        <f>MID(tbl_lock[[#This Row],[PACE Job Number]],3,3)</f>
        <v>WSH</v>
      </c>
      <c r="C1028" t="s">
        <v>12</v>
      </c>
      <c r="D1028" s="1">
        <v>43430</v>
      </c>
    </row>
    <row r="1029" spans="1:4" x14ac:dyDescent="0.25">
      <c r="A1029" t="s">
        <v>5239</v>
      </c>
      <c r="B1029" t="str">
        <f>MID(tbl_lock[[#This Row],[PACE Job Number]],3,3)</f>
        <v>WSH</v>
      </c>
      <c r="C1029" t="s">
        <v>12</v>
      </c>
      <c r="D1029" s="1">
        <v>43430</v>
      </c>
    </row>
    <row r="1030" spans="1:4" x14ac:dyDescent="0.25">
      <c r="A1030" t="s">
        <v>5240</v>
      </c>
      <c r="B1030" t="str">
        <f>MID(tbl_lock[[#This Row],[PACE Job Number]],3,3)</f>
        <v>WSH</v>
      </c>
      <c r="C1030" t="s">
        <v>12</v>
      </c>
      <c r="D1030" s="1">
        <v>43430</v>
      </c>
    </row>
    <row r="1031" spans="1:4" x14ac:dyDescent="0.25">
      <c r="A1031" t="s">
        <v>5241</v>
      </c>
      <c r="B1031" t="str">
        <f>MID(tbl_lock[[#This Row],[PACE Job Number]],3,3)</f>
        <v>WSH</v>
      </c>
      <c r="C1031" t="s">
        <v>12</v>
      </c>
      <c r="D1031" s="1">
        <v>43430</v>
      </c>
    </row>
    <row r="1032" spans="1:4" x14ac:dyDescent="0.25">
      <c r="A1032" t="s">
        <v>5242</v>
      </c>
      <c r="B1032" t="str">
        <f>MID(tbl_lock[[#This Row],[PACE Job Number]],3,3)</f>
        <v>WSH</v>
      </c>
      <c r="C1032" t="s">
        <v>12</v>
      </c>
      <c r="D1032" s="1">
        <v>43430</v>
      </c>
    </row>
    <row r="1033" spans="1:4" x14ac:dyDescent="0.25">
      <c r="A1033" t="s">
        <v>4159</v>
      </c>
      <c r="B1033" t="str">
        <f>MID(tbl_lock[[#This Row],[PACE Job Number]],3,3)</f>
        <v>WSH</v>
      </c>
      <c r="C1033" t="s">
        <v>12</v>
      </c>
      <c r="D1033" s="1">
        <v>43419</v>
      </c>
    </row>
    <row r="1034" spans="1:4" x14ac:dyDescent="0.25">
      <c r="A1034" t="s">
        <v>255</v>
      </c>
      <c r="B1034" t="str">
        <f>MID(tbl_lock[[#This Row],[PACE Job Number]],3,3)</f>
        <v>WSH</v>
      </c>
      <c r="C1034" t="s">
        <v>12</v>
      </c>
      <c r="D1034" s="1">
        <v>43411</v>
      </c>
    </row>
    <row r="1035" spans="1:4" x14ac:dyDescent="0.25">
      <c r="A1035" t="s">
        <v>5243</v>
      </c>
      <c r="B1035" t="str">
        <f>MID(tbl_lock[[#This Row],[PACE Job Number]],3,3)</f>
        <v>WSH</v>
      </c>
      <c r="C1035" t="s">
        <v>12</v>
      </c>
      <c r="D1035" s="1">
        <v>43410</v>
      </c>
    </row>
    <row r="1036" spans="1:4" x14ac:dyDescent="0.25">
      <c r="A1036" t="s">
        <v>5244</v>
      </c>
      <c r="B1036" t="str">
        <f>MID(tbl_lock[[#This Row],[PACE Job Number]],3,3)</f>
        <v>WSH</v>
      </c>
      <c r="C1036" t="s">
        <v>12</v>
      </c>
      <c r="D1036" s="1">
        <v>43423</v>
      </c>
    </row>
    <row r="1037" spans="1:4" x14ac:dyDescent="0.25">
      <c r="A1037" t="s">
        <v>5245</v>
      </c>
      <c r="B1037" t="str">
        <f>MID(tbl_lock[[#This Row],[PACE Job Number]],3,3)</f>
        <v>WSH</v>
      </c>
      <c r="C1037" t="s">
        <v>12</v>
      </c>
      <c r="D1037" s="1">
        <v>43416</v>
      </c>
    </row>
    <row r="1038" spans="1:4" x14ac:dyDescent="0.25">
      <c r="A1038" t="s">
        <v>3854</v>
      </c>
      <c r="B1038" t="str">
        <f>MID(tbl_lock[[#This Row],[PACE Job Number]],3,3)</f>
        <v>WSH</v>
      </c>
      <c r="C1038" t="s">
        <v>12</v>
      </c>
      <c r="D1038" s="1">
        <v>43411</v>
      </c>
    </row>
    <row r="1039" spans="1:4" x14ac:dyDescent="0.25">
      <c r="A1039" t="s">
        <v>3776</v>
      </c>
      <c r="B1039" t="str">
        <f>MID(tbl_lock[[#This Row],[PACE Job Number]],3,3)</f>
        <v>WSH</v>
      </c>
      <c r="C1039" t="s">
        <v>12</v>
      </c>
      <c r="D1039" s="1">
        <v>43411</v>
      </c>
    </row>
    <row r="1040" spans="1:4" x14ac:dyDescent="0.25">
      <c r="A1040" t="s">
        <v>5246</v>
      </c>
      <c r="B1040" t="str">
        <f>MID(tbl_lock[[#This Row],[PACE Job Number]],3,3)</f>
        <v>WSH</v>
      </c>
      <c r="C1040" t="s">
        <v>12</v>
      </c>
      <c r="D1040" s="1">
        <v>43409</v>
      </c>
    </row>
    <row r="1041" spans="1:4" x14ac:dyDescent="0.25">
      <c r="A1041" t="s">
        <v>3857</v>
      </c>
      <c r="B1041" t="str">
        <f>MID(tbl_lock[[#This Row],[PACE Job Number]],3,3)</f>
        <v>WSH</v>
      </c>
      <c r="C1041" t="s">
        <v>12</v>
      </c>
      <c r="D1041" s="1">
        <v>43416</v>
      </c>
    </row>
    <row r="1042" spans="1:4" x14ac:dyDescent="0.25">
      <c r="A1042" t="s">
        <v>3861</v>
      </c>
      <c r="B1042" t="str">
        <f>MID(tbl_lock[[#This Row],[PACE Job Number]],3,3)</f>
        <v>WSH</v>
      </c>
      <c r="C1042" t="s">
        <v>12</v>
      </c>
      <c r="D1042" s="1">
        <v>43416</v>
      </c>
    </row>
    <row r="1043" spans="1:4" x14ac:dyDescent="0.25">
      <c r="A1043" t="s">
        <v>349</v>
      </c>
      <c r="B1043" t="str">
        <f>MID(tbl_lock[[#This Row],[PACE Job Number]],3,3)</f>
        <v>ANM</v>
      </c>
      <c r="C1043" t="s">
        <v>12</v>
      </c>
      <c r="D1043" s="1">
        <v>43410</v>
      </c>
    </row>
    <row r="1044" spans="1:4" x14ac:dyDescent="0.25">
      <c r="A1044" t="s">
        <v>5044</v>
      </c>
      <c r="B1044" t="str">
        <f>MID(tbl_lock[[#This Row],[PACE Job Number]],3,3)</f>
        <v>STX</v>
      </c>
      <c r="C1044" t="s">
        <v>12</v>
      </c>
      <c r="D1044" s="1">
        <v>43427</v>
      </c>
    </row>
    <row r="1045" spans="1:4" x14ac:dyDescent="0.25">
      <c r="A1045" t="s">
        <v>5045</v>
      </c>
      <c r="B1045" t="str">
        <f>MID(tbl_lock[[#This Row],[PACE Job Number]],3,3)</f>
        <v>STX</v>
      </c>
      <c r="C1045" t="s">
        <v>12</v>
      </c>
      <c r="D1045" s="1">
        <v>43427</v>
      </c>
    </row>
    <row r="1046" spans="1:4" x14ac:dyDescent="0.25">
      <c r="A1046" t="s">
        <v>5046</v>
      </c>
      <c r="B1046" t="str">
        <f>MID(tbl_lock[[#This Row],[PACE Job Number]],3,3)</f>
        <v>STX</v>
      </c>
      <c r="C1046" t="s">
        <v>12</v>
      </c>
      <c r="D1046" s="1">
        <v>43413</v>
      </c>
    </row>
    <row r="1047" spans="1:4" x14ac:dyDescent="0.25">
      <c r="A1047" t="s">
        <v>5049</v>
      </c>
      <c r="B1047" t="str">
        <f>MID(tbl_lock[[#This Row],[PACE Job Number]],3,3)</f>
        <v>STX</v>
      </c>
      <c r="C1047" t="s">
        <v>12</v>
      </c>
      <c r="D1047" s="1">
        <v>43427</v>
      </c>
    </row>
    <row r="1048" spans="1:4" x14ac:dyDescent="0.25">
      <c r="A1048" t="s">
        <v>5052</v>
      </c>
      <c r="B1048" t="str">
        <f>MID(tbl_lock[[#This Row],[PACE Job Number]],3,3)</f>
        <v>STX</v>
      </c>
      <c r="C1048" t="s">
        <v>12</v>
      </c>
      <c r="D1048" s="1">
        <v>43430</v>
      </c>
    </row>
    <row r="1049" spans="1:4" x14ac:dyDescent="0.25">
      <c r="A1049" t="s">
        <v>4166</v>
      </c>
      <c r="B1049" t="str">
        <f>MID(tbl_lock[[#This Row],[PACE Job Number]],3,3)</f>
        <v>NTX</v>
      </c>
      <c r="C1049" t="s">
        <v>12</v>
      </c>
      <c r="D1049" s="1">
        <v>43431</v>
      </c>
    </row>
    <row r="1050" spans="1:4" x14ac:dyDescent="0.25">
      <c r="A1050" t="s">
        <v>4167</v>
      </c>
      <c r="B1050" t="str">
        <f>MID(tbl_lock[[#This Row],[PACE Job Number]],3,3)</f>
        <v>NTX</v>
      </c>
      <c r="C1050" t="s">
        <v>12</v>
      </c>
      <c r="D1050" s="1">
        <v>43431</v>
      </c>
    </row>
    <row r="1051" spans="1:4" x14ac:dyDescent="0.25">
      <c r="A1051" t="s">
        <v>3797</v>
      </c>
      <c r="B1051" t="str">
        <f>MID(tbl_lock[[#This Row],[PACE Job Number]],3,3)</f>
        <v>NTX</v>
      </c>
      <c r="C1051" t="s">
        <v>12</v>
      </c>
      <c r="D1051" s="1">
        <v>43416</v>
      </c>
    </row>
    <row r="1052" spans="1:4" x14ac:dyDescent="0.25">
      <c r="A1052" t="s">
        <v>3802</v>
      </c>
      <c r="B1052" t="str">
        <f>MID(tbl_lock[[#This Row],[PACE Job Number]],3,3)</f>
        <v>NTX</v>
      </c>
      <c r="C1052" t="s">
        <v>12</v>
      </c>
      <c r="D1052" s="1">
        <v>43416</v>
      </c>
    </row>
    <row r="1053" spans="1:4" x14ac:dyDescent="0.25">
      <c r="A1053" t="s">
        <v>3803</v>
      </c>
      <c r="B1053" t="str">
        <f>MID(tbl_lock[[#This Row],[PACE Job Number]],3,3)</f>
        <v>NTX</v>
      </c>
      <c r="C1053" t="s">
        <v>12</v>
      </c>
      <c r="D1053" s="1">
        <v>43416</v>
      </c>
    </row>
    <row r="1054" spans="1:4" x14ac:dyDescent="0.25">
      <c r="A1054" t="s">
        <v>5247</v>
      </c>
      <c r="B1054" t="str">
        <f>MID(tbl_lock[[#This Row],[PACE Job Number]],3,3)</f>
        <v>NTX</v>
      </c>
      <c r="C1054" t="s">
        <v>12</v>
      </c>
      <c r="D1054" s="1">
        <v>43413</v>
      </c>
    </row>
    <row r="1055" spans="1:4" x14ac:dyDescent="0.25">
      <c r="A1055" t="s">
        <v>5248</v>
      </c>
      <c r="B1055" t="str">
        <f>MID(tbl_lock[[#This Row],[PACE Job Number]],3,3)</f>
        <v>NTX</v>
      </c>
      <c r="C1055" t="s">
        <v>12</v>
      </c>
      <c r="D1055" s="1">
        <v>43413</v>
      </c>
    </row>
    <row r="1056" spans="1:4" x14ac:dyDescent="0.25">
      <c r="A1056" t="s">
        <v>3798</v>
      </c>
      <c r="B1056" t="str">
        <f>MID(tbl_lock[[#This Row],[PACE Job Number]],3,3)</f>
        <v>WSH</v>
      </c>
      <c r="C1056" t="s">
        <v>12</v>
      </c>
      <c r="D1056" s="1">
        <v>43430</v>
      </c>
    </row>
    <row r="1057" spans="1:4" x14ac:dyDescent="0.25">
      <c r="A1057" t="s">
        <v>4196</v>
      </c>
      <c r="B1057" t="str">
        <f>MID(tbl_lock[[#This Row],[PACE Job Number]],3,3)</f>
        <v>WSH</v>
      </c>
      <c r="C1057" t="s">
        <v>12</v>
      </c>
      <c r="D1057" s="1">
        <v>43406</v>
      </c>
    </row>
    <row r="1058" spans="1:4" x14ac:dyDescent="0.25">
      <c r="A1058" t="s">
        <v>5249</v>
      </c>
      <c r="B1058" t="str">
        <f>MID(tbl_lock[[#This Row],[PACE Job Number]],3,3)</f>
        <v>WSH</v>
      </c>
      <c r="C1058" t="s">
        <v>12</v>
      </c>
      <c r="D1058" s="1">
        <v>43416</v>
      </c>
    </row>
    <row r="1059" spans="1:4" x14ac:dyDescent="0.25">
      <c r="A1059" t="s">
        <v>31</v>
      </c>
      <c r="B1059" t="str">
        <f>MID(tbl_lock[[#This Row],[PACE Job Number]],3,3)</f>
        <v>WSH</v>
      </c>
      <c r="C1059" t="s">
        <v>12</v>
      </c>
      <c r="D1059" s="1">
        <v>43430</v>
      </c>
    </row>
    <row r="1060" spans="1:4" x14ac:dyDescent="0.25">
      <c r="A1060" t="s">
        <v>5250</v>
      </c>
      <c r="B1060" t="str">
        <f>MID(tbl_lock[[#This Row],[PACE Job Number]],3,3)</f>
        <v>WSH</v>
      </c>
      <c r="C1060" t="s">
        <v>12</v>
      </c>
      <c r="D1060" s="1">
        <v>43423</v>
      </c>
    </row>
    <row r="1061" spans="1:4" x14ac:dyDescent="0.25">
      <c r="A1061" t="s">
        <v>5251</v>
      </c>
      <c r="B1061" t="str">
        <f>MID(tbl_lock[[#This Row],[PACE Job Number]],3,3)</f>
        <v>WSH</v>
      </c>
      <c r="C1061" t="s">
        <v>12</v>
      </c>
      <c r="D1061" s="1">
        <v>43430</v>
      </c>
    </row>
    <row r="1062" spans="1:4" x14ac:dyDescent="0.25">
      <c r="A1062" t="s">
        <v>5252</v>
      </c>
      <c r="B1062" t="str">
        <f>MID(tbl_lock[[#This Row],[PACE Job Number]],3,3)</f>
        <v>WSH</v>
      </c>
      <c r="C1062" t="s">
        <v>12</v>
      </c>
      <c r="D1062" s="1">
        <v>43410</v>
      </c>
    </row>
    <row r="1063" spans="1:4" x14ac:dyDescent="0.25">
      <c r="A1063" t="s">
        <v>3799</v>
      </c>
      <c r="B1063" t="str">
        <f>MID(tbl_lock[[#This Row],[PACE Job Number]],3,3)</f>
        <v>WSH</v>
      </c>
      <c r="C1063" t="s">
        <v>12</v>
      </c>
      <c r="D1063" s="1">
        <v>43409</v>
      </c>
    </row>
    <row r="1064" spans="1:4" x14ac:dyDescent="0.25">
      <c r="A1064" t="s">
        <v>4230</v>
      </c>
      <c r="B1064" t="str">
        <f>MID(tbl_lock[[#This Row],[PACE Job Number]],3,3)</f>
        <v>ANM</v>
      </c>
      <c r="C1064" t="s">
        <v>12</v>
      </c>
      <c r="D1064" s="1">
        <v>43423</v>
      </c>
    </row>
    <row r="1065" spans="1:4" x14ac:dyDescent="0.25">
      <c r="A1065" t="s">
        <v>5253</v>
      </c>
      <c r="B1065" t="str">
        <f>MID(tbl_lock[[#This Row],[PACE Job Number]],3,3)</f>
        <v>ANM</v>
      </c>
      <c r="C1065" t="s">
        <v>12</v>
      </c>
      <c r="D1065" s="1">
        <v>43416</v>
      </c>
    </row>
    <row r="1066" spans="1:4" x14ac:dyDescent="0.25">
      <c r="A1066" t="s">
        <v>4238</v>
      </c>
      <c r="B1066" t="str">
        <f>MID(tbl_lock[[#This Row],[PACE Job Number]],3,3)</f>
        <v>ANM</v>
      </c>
      <c r="C1066" t="s">
        <v>12</v>
      </c>
      <c r="D1066" s="1">
        <v>43423</v>
      </c>
    </row>
    <row r="1067" spans="1:4" x14ac:dyDescent="0.25">
      <c r="A1067" t="s">
        <v>1696</v>
      </c>
      <c r="B1067" t="str">
        <f>MID(tbl_lock[[#This Row],[PACE Job Number]],3,3)</f>
        <v>ANM</v>
      </c>
      <c r="C1067" t="s">
        <v>12</v>
      </c>
      <c r="D1067" s="1">
        <v>43434</v>
      </c>
    </row>
    <row r="1068" spans="1:4" x14ac:dyDescent="0.25">
      <c r="A1068" t="s">
        <v>4075</v>
      </c>
      <c r="B1068" t="str">
        <f>MID(tbl_lock[[#This Row],[PACE Job Number]],3,3)</f>
        <v>ANM</v>
      </c>
      <c r="C1068" t="s">
        <v>12</v>
      </c>
      <c r="D1068" s="1">
        <v>43423</v>
      </c>
    </row>
    <row r="1069" spans="1:4" x14ac:dyDescent="0.25">
      <c r="A1069" t="s">
        <v>1686</v>
      </c>
      <c r="B1069" t="str">
        <f>MID(tbl_lock[[#This Row],[PACE Job Number]],3,3)</f>
        <v>ANM</v>
      </c>
      <c r="C1069" t="s">
        <v>12</v>
      </c>
      <c r="D1069" s="1">
        <v>43423</v>
      </c>
    </row>
    <row r="1070" spans="1:4" x14ac:dyDescent="0.25">
      <c r="A1070" t="s">
        <v>5065</v>
      </c>
      <c r="B1070" t="str">
        <f>MID(tbl_lock[[#This Row],[PACE Job Number]],3,3)</f>
        <v>ANM</v>
      </c>
      <c r="C1070" t="s">
        <v>12</v>
      </c>
      <c r="D1070" s="1">
        <v>43416</v>
      </c>
    </row>
    <row r="1071" spans="1:4" x14ac:dyDescent="0.25">
      <c r="A1071" t="s">
        <v>5254</v>
      </c>
      <c r="B1071" t="str">
        <f>MID(tbl_lock[[#This Row],[PACE Job Number]],3,3)</f>
        <v>ANM</v>
      </c>
      <c r="C1071" t="s">
        <v>12</v>
      </c>
      <c r="D1071" s="1">
        <v>43405</v>
      </c>
    </row>
    <row r="1072" spans="1:4" x14ac:dyDescent="0.25">
      <c r="A1072" t="s">
        <v>4152</v>
      </c>
      <c r="B1072" t="str">
        <f>MID(tbl_lock[[#This Row],[PACE Job Number]],3,3)</f>
        <v>ANM</v>
      </c>
      <c r="C1072" t="s">
        <v>12</v>
      </c>
      <c r="D1072" s="1">
        <v>43423</v>
      </c>
    </row>
    <row r="1073" spans="1:4" x14ac:dyDescent="0.25">
      <c r="A1073" t="s">
        <v>1691</v>
      </c>
      <c r="B1073" t="str">
        <f>MID(tbl_lock[[#This Row],[PACE Job Number]],3,3)</f>
        <v>ANM</v>
      </c>
      <c r="C1073" t="s">
        <v>12</v>
      </c>
      <c r="D1073" s="1">
        <v>43423</v>
      </c>
    </row>
    <row r="1074" spans="1:4" x14ac:dyDescent="0.25">
      <c r="A1074" t="s">
        <v>4153</v>
      </c>
      <c r="B1074" t="str">
        <f>MID(tbl_lock[[#This Row],[PACE Job Number]],3,3)</f>
        <v>ANM</v>
      </c>
      <c r="C1074" t="s">
        <v>12</v>
      </c>
      <c r="D1074" s="1">
        <v>43416</v>
      </c>
    </row>
    <row r="1075" spans="1:4" x14ac:dyDescent="0.25">
      <c r="A1075" t="s">
        <v>4154</v>
      </c>
      <c r="B1075" t="str">
        <f>MID(tbl_lock[[#This Row],[PACE Job Number]],3,3)</f>
        <v>ANM</v>
      </c>
      <c r="C1075" t="s">
        <v>12</v>
      </c>
      <c r="D1075" s="1">
        <v>43423</v>
      </c>
    </row>
    <row r="1076" spans="1:4" x14ac:dyDescent="0.25">
      <c r="A1076" t="s">
        <v>1680</v>
      </c>
      <c r="B1076" t="str">
        <f>MID(tbl_lock[[#This Row],[PACE Job Number]],3,3)</f>
        <v>ANM</v>
      </c>
      <c r="C1076" t="s">
        <v>12</v>
      </c>
      <c r="D1076" s="1">
        <v>43434</v>
      </c>
    </row>
    <row r="1077" spans="1:4" x14ac:dyDescent="0.25">
      <c r="A1077" t="s">
        <v>5066</v>
      </c>
      <c r="B1077" t="str">
        <f>MID(tbl_lock[[#This Row],[PACE Job Number]],3,3)</f>
        <v>ANM</v>
      </c>
      <c r="C1077" t="s">
        <v>12</v>
      </c>
      <c r="D1077" s="1">
        <v>43427</v>
      </c>
    </row>
    <row r="1078" spans="1:4" x14ac:dyDescent="0.25">
      <c r="A1078" t="s">
        <v>1697</v>
      </c>
      <c r="B1078" t="str">
        <f>MID(tbl_lock[[#This Row],[PACE Job Number]],3,3)</f>
        <v>ANM</v>
      </c>
      <c r="C1078" t="s">
        <v>12</v>
      </c>
      <c r="D1078" s="1">
        <v>43423</v>
      </c>
    </row>
    <row r="1079" spans="1:4" x14ac:dyDescent="0.25">
      <c r="A1079" t="s">
        <v>4077</v>
      </c>
      <c r="B1079" t="str">
        <f>MID(tbl_lock[[#This Row],[PACE Job Number]],3,3)</f>
        <v>ANM</v>
      </c>
      <c r="C1079" t="s">
        <v>12</v>
      </c>
      <c r="D1079" s="1">
        <v>43423</v>
      </c>
    </row>
    <row r="1080" spans="1:4" x14ac:dyDescent="0.25">
      <c r="A1080" t="s">
        <v>4155</v>
      </c>
      <c r="B1080" t="str">
        <f>MID(tbl_lock[[#This Row],[PACE Job Number]],3,3)</f>
        <v>ANM</v>
      </c>
      <c r="C1080" t="s">
        <v>12</v>
      </c>
      <c r="D1080" s="1">
        <v>43423</v>
      </c>
    </row>
    <row r="1081" spans="1:4" x14ac:dyDescent="0.25">
      <c r="A1081" t="s">
        <v>4156</v>
      </c>
      <c r="B1081" t="str">
        <f>MID(tbl_lock[[#This Row],[PACE Job Number]],3,3)</f>
        <v>ANM</v>
      </c>
      <c r="C1081" t="s">
        <v>12</v>
      </c>
      <c r="D1081" s="1">
        <v>43416</v>
      </c>
    </row>
    <row r="1082" spans="1:4" x14ac:dyDescent="0.25">
      <c r="A1082" t="s">
        <v>4669</v>
      </c>
      <c r="B1082" t="str">
        <f>MID(tbl_lock[[#This Row],[PACE Job Number]],3,3)</f>
        <v>ANM</v>
      </c>
      <c r="C1082" t="s">
        <v>12</v>
      </c>
      <c r="D1082" s="1">
        <v>43423</v>
      </c>
    </row>
    <row r="1083" spans="1:4" x14ac:dyDescent="0.25">
      <c r="A1083" t="s">
        <v>5255</v>
      </c>
      <c r="B1083" t="str">
        <f>MID(tbl_lock[[#This Row],[PACE Job Number]],3,3)</f>
        <v>ANM</v>
      </c>
      <c r="C1083" t="s">
        <v>12</v>
      </c>
      <c r="D1083" s="1">
        <v>43430</v>
      </c>
    </row>
    <row r="1084" spans="1:4" x14ac:dyDescent="0.25">
      <c r="A1084" t="s">
        <v>4670</v>
      </c>
      <c r="B1084" t="str">
        <f>MID(tbl_lock[[#This Row],[PACE Job Number]],3,3)</f>
        <v>ANM</v>
      </c>
      <c r="C1084" t="s">
        <v>12</v>
      </c>
      <c r="D1084" s="1">
        <v>43423</v>
      </c>
    </row>
    <row r="1085" spans="1:4" x14ac:dyDescent="0.25">
      <c r="A1085" t="s">
        <v>1687</v>
      </c>
      <c r="B1085" t="str">
        <f>MID(tbl_lock[[#This Row],[PACE Job Number]],3,3)</f>
        <v>ANM</v>
      </c>
      <c r="C1085" t="s">
        <v>12</v>
      </c>
      <c r="D1085" s="1">
        <v>43423</v>
      </c>
    </row>
    <row r="1086" spans="1:4" x14ac:dyDescent="0.25">
      <c r="A1086" t="s">
        <v>1694</v>
      </c>
      <c r="B1086" t="str">
        <f>MID(tbl_lock[[#This Row],[PACE Job Number]],3,3)</f>
        <v>ANM</v>
      </c>
      <c r="C1086" t="s">
        <v>12</v>
      </c>
      <c r="D1086" s="1">
        <v>43434</v>
      </c>
    </row>
    <row r="1087" spans="1:4" x14ac:dyDescent="0.25">
      <c r="A1087" t="s">
        <v>5067</v>
      </c>
      <c r="B1087" t="str">
        <f>MID(tbl_lock[[#This Row],[PACE Job Number]],3,3)</f>
        <v>ANM</v>
      </c>
      <c r="C1087" t="s">
        <v>12</v>
      </c>
      <c r="D1087" s="1">
        <v>43416</v>
      </c>
    </row>
    <row r="1088" spans="1:4" x14ac:dyDescent="0.25">
      <c r="A1088" t="s">
        <v>4157</v>
      </c>
      <c r="B1088" t="str">
        <f>MID(tbl_lock[[#This Row],[PACE Job Number]],3,3)</f>
        <v>ANM</v>
      </c>
      <c r="C1088" t="s">
        <v>12</v>
      </c>
      <c r="D1088" s="1">
        <v>43423</v>
      </c>
    </row>
    <row r="1089" spans="1:4" x14ac:dyDescent="0.25">
      <c r="A1089" t="s">
        <v>1684</v>
      </c>
      <c r="B1089" t="str">
        <f>MID(tbl_lock[[#This Row],[PACE Job Number]],3,3)</f>
        <v>ANM</v>
      </c>
      <c r="C1089" t="s">
        <v>12</v>
      </c>
      <c r="D1089" s="1">
        <v>43423</v>
      </c>
    </row>
    <row r="1090" spans="1:4" x14ac:dyDescent="0.25">
      <c r="A1090" t="s">
        <v>5256</v>
      </c>
      <c r="B1090" t="str">
        <f>MID(tbl_lock[[#This Row],[PACE Job Number]],3,3)</f>
        <v>ANM</v>
      </c>
      <c r="C1090" t="s">
        <v>12</v>
      </c>
      <c r="D1090" s="1">
        <v>43430</v>
      </c>
    </row>
    <row r="1091" spans="1:4" x14ac:dyDescent="0.25">
      <c r="A1091" t="s">
        <v>5068</v>
      </c>
      <c r="B1091" t="str">
        <f>MID(tbl_lock[[#This Row],[PACE Job Number]],3,3)</f>
        <v>ANM</v>
      </c>
      <c r="C1091" t="s">
        <v>12</v>
      </c>
      <c r="D1091" s="1">
        <v>43416</v>
      </c>
    </row>
    <row r="1092" spans="1:4" x14ac:dyDescent="0.25">
      <c r="A1092" t="s">
        <v>4078</v>
      </c>
      <c r="B1092" t="str">
        <f>MID(tbl_lock[[#This Row],[PACE Job Number]],3,3)</f>
        <v>ANM</v>
      </c>
      <c r="C1092" t="s">
        <v>12</v>
      </c>
      <c r="D1092" s="1">
        <v>43423</v>
      </c>
    </row>
    <row r="1093" spans="1:4" x14ac:dyDescent="0.25">
      <c r="A1093" t="s">
        <v>5069</v>
      </c>
      <c r="B1093" t="str">
        <f>MID(tbl_lock[[#This Row],[PACE Job Number]],3,3)</f>
        <v>ANM</v>
      </c>
      <c r="C1093" t="s">
        <v>12</v>
      </c>
      <c r="D1093" s="1">
        <v>43427</v>
      </c>
    </row>
    <row r="1094" spans="1:4" x14ac:dyDescent="0.25">
      <c r="A1094" t="s">
        <v>1703</v>
      </c>
      <c r="B1094" t="str">
        <f>MID(tbl_lock[[#This Row],[PACE Job Number]],3,3)</f>
        <v>ANM</v>
      </c>
      <c r="C1094" t="s">
        <v>12</v>
      </c>
      <c r="D1094" s="1">
        <v>43423</v>
      </c>
    </row>
    <row r="1095" spans="1:4" x14ac:dyDescent="0.25">
      <c r="A1095" t="s">
        <v>1708</v>
      </c>
      <c r="B1095" t="str">
        <f>MID(tbl_lock[[#This Row],[PACE Job Number]],3,3)</f>
        <v>ANM</v>
      </c>
      <c r="C1095" t="s">
        <v>12</v>
      </c>
      <c r="D1095" s="1">
        <v>43423</v>
      </c>
    </row>
    <row r="1096" spans="1:4" x14ac:dyDescent="0.25">
      <c r="A1096" t="s">
        <v>1707</v>
      </c>
      <c r="B1096" t="str">
        <f>MID(tbl_lock[[#This Row],[PACE Job Number]],3,3)</f>
        <v>ANM</v>
      </c>
      <c r="C1096" t="s">
        <v>12</v>
      </c>
      <c r="D1096" s="1">
        <v>43423</v>
      </c>
    </row>
    <row r="1097" spans="1:4" x14ac:dyDescent="0.25">
      <c r="A1097" t="s">
        <v>1695</v>
      </c>
      <c r="B1097" t="str">
        <f>MID(tbl_lock[[#This Row],[PACE Job Number]],3,3)</f>
        <v>ANM</v>
      </c>
      <c r="C1097" t="s">
        <v>12</v>
      </c>
      <c r="D1097" s="1">
        <v>43423</v>
      </c>
    </row>
    <row r="1098" spans="1:4" x14ac:dyDescent="0.25">
      <c r="A1098" t="s">
        <v>1683</v>
      </c>
      <c r="B1098" t="str">
        <f>MID(tbl_lock[[#This Row],[PACE Job Number]],3,3)</f>
        <v>ANM</v>
      </c>
      <c r="C1098" t="s">
        <v>12</v>
      </c>
      <c r="D1098" s="1">
        <v>43430</v>
      </c>
    </row>
    <row r="1099" spans="1:4" x14ac:dyDescent="0.25">
      <c r="A1099" t="s">
        <v>1700</v>
      </c>
      <c r="B1099" t="str">
        <f>MID(tbl_lock[[#This Row],[PACE Job Number]],3,3)</f>
        <v>ANM</v>
      </c>
      <c r="C1099" t="s">
        <v>12</v>
      </c>
      <c r="D1099" s="1">
        <v>43423</v>
      </c>
    </row>
    <row r="1100" spans="1:4" x14ac:dyDescent="0.25">
      <c r="A1100" t="s">
        <v>1692</v>
      </c>
      <c r="B1100" t="str">
        <f>MID(tbl_lock[[#This Row],[PACE Job Number]],3,3)</f>
        <v>ANM</v>
      </c>
      <c r="C1100" t="s">
        <v>12</v>
      </c>
      <c r="D1100" s="1">
        <v>43430</v>
      </c>
    </row>
    <row r="1101" spans="1:4" x14ac:dyDescent="0.25">
      <c r="A1101" t="s">
        <v>1685</v>
      </c>
      <c r="B1101" t="str">
        <f>MID(tbl_lock[[#This Row],[PACE Job Number]],3,3)</f>
        <v>ANM</v>
      </c>
      <c r="C1101" t="s">
        <v>12</v>
      </c>
      <c r="D1101" s="1">
        <v>43430</v>
      </c>
    </row>
    <row r="1102" spans="1:4" x14ac:dyDescent="0.25">
      <c r="A1102" t="s">
        <v>4278</v>
      </c>
      <c r="B1102" t="str">
        <f>MID(tbl_lock[[#This Row],[PACE Job Number]],3,3)</f>
        <v>STX</v>
      </c>
      <c r="C1102" t="s">
        <v>12</v>
      </c>
      <c r="D1102" s="1">
        <v>43411</v>
      </c>
    </row>
    <row r="1103" spans="1:4" x14ac:dyDescent="0.25">
      <c r="A1103" t="s">
        <v>4169</v>
      </c>
      <c r="B1103" t="str">
        <f>MID(tbl_lock[[#This Row],[PACE Job Number]],3,3)</f>
        <v>STX</v>
      </c>
      <c r="C1103" t="s">
        <v>12</v>
      </c>
      <c r="D1103" s="1">
        <v>43411</v>
      </c>
    </row>
    <row r="1104" spans="1:4" x14ac:dyDescent="0.25">
      <c r="A1104" t="s">
        <v>5257</v>
      </c>
      <c r="B1104" t="str">
        <f>MID(tbl_lock[[#This Row],[PACE Job Number]],3,3)</f>
        <v>NTX</v>
      </c>
      <c r="C1104" t="s">
        <v>12</v>
      </c>
      <c r="D1104" s="1">
        <v>43432</v>
      </c>
    </row>
    <row r="1105" spans="1:4" x14ac:dyDescent="0.25">
      <c r="A1105" t="s">
        <v>5258</v>
      </c>
      <c r="B1105" t="str">
        <f>MID(tbl_lock[[#This Row],[PACE Job Number]],3,3)</f>
        <v>WSH</v>
      </c>
      <c r="C1105" t="s">
        <v>12</v>
      </c>
      <c r="D1105" s="1">
        <v>43413</v>
      </c>
    </row>
    <row r="1106" spans="1:4" x14ac:dyDescent="0.25">
      <c r="A1106" t="s">
        <v>242</v>
      </c>
      <c r="B1106" t="str">
        <f>MID(tbl_lock[[#This Row],[PACE Job Number]],3,3)</f>
        <v>WSH</v>
      </c>
      <c r="C1106" t="s">
        <v>12</v>
      </c>
      <c r="D1106" s="1">
        <v>43411</v>
      </c>
    </row>
    <row r="1107" spans="1:4" x14ac:dyDescent="0.25">
      <c r="A1107" t="s">
        <v>5259</v>
      </c>
      <c r="B1107" t="str">
        <f>MID(tbl_lock[[#This Row],[PACE Job Number]],3,3)</f>
        <v>WSH</v>
      </c>
      <c r="C1107" t="s">
        <v>12</v>
      </c>
      <c r="D1107" s="1">
        <v>43416</v>
      </c>
    </row>
    <row r="1108" spans="1:4" x14ac:dyDescent="0.25">
      <c r="A1108" t="s">
        <v>121</v>
      </c>
      <c r="B1108" t="str">
        <f>MID(tbl_lock[[#This Row],[PACE Job Number]],3,3)</f>
        <v>WSH</v>
      </c>
      <c r="C1108" t="s">
        <v>12</v>
      </c>
      <c r="D1108" s="1">
        <v>43409</v>
      </c>
    </row>
    <row r="1109" spans="1:4" x14ac:dyDescent="0.25">
      <c r="A1109" t="s">
        <v>5260</v>
      </c>
      <c r="B1109" t="str">
        <f>MID(tbl_lock[[#This Row],[PACE Job Number]],3,3)</f>
        <v>WSH</v>
      </c>
      <c r="C1109" t="s">
        <v>12</v>
      </c>
      <c r="D1109" s="1">
        <v>43430</v>
      </c>
    </row>
    <row r="1110" spans="1:4" x14ac:dyDescent="0.25">
      <c r="A1110" t="s">
        <v>5261</v>
      </c>
      <c r="B1110" t="str">
        <f>MID(tbl_lock[[#This Row],[PACE Job Number]],3,3)</f>
        <v>WSH</v>
      </c>
      <c r="C1110" t="s">
        <v>12</v>
      </c>
      <c r="D1110" s="1">
        <v>43416</v>
      </c>
    </row>
    <row r="1111" spans="1:4" x14ac:dyDescent="0.25">
      <c r="A1111" t="s">
        <v>5262</v>
      </c>
      <c r="B1111" t="str">
        <f>MID(tbl_lock[[#This Row],[PACE Job Number]],3,3)</f>
        <v>WSH</v>
      </c>
      <c r="C1111" t="s">
        <v>12</v>
      </c>
      <c r="D1111" s="1">
        <v>43413</v>
      </c>
    </row>
    <row r="1112" spans="1:4" x14ac:dyDescent="0.25">
      <c r="A1112" t="s">
        <v>153</v>
      </c>
      <c r="B1112" t="str">
        <f>MID(tbl_lock[[#This Row],[PACE Job Number]],3,3)</f>
        <v>WSH</v>
      </c>
      <c r="C1112" t="s">
        <v>12</v>
      </c>
      <c r="D1112" s="1">
        <v>43409</v>
      </c>
    </row>
    <row r="1113" spans="1:4" x14ac:dyDescent="0.25">
      <c r="A1113" t="s">
        <v>5263</v>
      </c>
      <c r="B1113" t="str">
        <f>MID(tbl_lock[[#This Row],[PACE Job Number]],3,3)</f>
        <v>WSH</v>
      </c>
      <c r="C1113" t="s">
        <v>12</v>
      </c>
      <c r="D1113" s="1">
        <v>43413</v>
      </c>
    </row>
    <row r="1114" spans="1:4" x14ac:dyDescent="0.25">
      <c r="A1114" t="s">
        <v>5264</v>
      </c>
      <c r="B1114" t="str">
        <f>MID(tbl_lock[[#This Row],[PACE Job Number]],3,3)</f>
        <v>WSH</v>
      </c>
      <c r="C1114" t="s">
        <v>12</v>
      </c>
      <c r="D1114" s="1">
        <v>43409</v>
      </c>
    </row>
    <row r="1115" spans="1:4" x14ac:dyDescent="0.25">
      <c r="A1115" t="s">
        <v>5265</v>
      </c>
      <c r="B1115" t="str">
        <f>MID(tbl_lock[[#This Row],[PACE Job Number]],3,3)</f>
        <v>WSH</v>
      </c>
      <c r="C1115" t="s">
        <v>12</v>
      </c>
      <c r="D1115" s="1">
        <v>43409</v>
      </c>
    </row>
    <row r="1116" spans="1:4" x14ac:dyDescent="0.25">
      <c r="A1116" t="s">
        <v>5266</v>
      </c>
      <c r="B1116" t="str">
        <f>MID(tbl_lock[[#This Row],[PACE Job Number]],3,3)</f>
        <v>WSH</v>
      </c>
      <c r="C1116" t="s">
        <v>12</v>
      </c>
      <c r="D1116" s="1">
        <v>43430</v>
      </c>
    </row>
    <row r="1117" spans="1:4" x14ac:dyDescent="0.25">
      <c r="A1117" t="s">
        <v>5267</v>
      </c>
      <c r="B1117" t="str">
        <f>MID(tbl_lock[[#This Row],[PACE Job Number]],3,3)</f>
        <v>WSH</v>
      </c>
      <c r="C1117" t="s">
        <v>12</v>
      </c>
      <c r="D1117" s="1">
        <v>43430</v>
      </c>
    </row>
    <row r="1118" spans="1:4" x14ac:dyDescent="0.25">
      <c r="A1118" t="s">
        <v>5268</v>
      </c>
      <c r="B1118" t="str">
        <f>MID(tbl_lock[[#This Row],[PACE Job Number]],3,3)</f>
        <v>WSH</v>
      </c>
      <c r="C1118" t="s">
        <v>12</v>
      </c>
      <c r="D1118" s="1">
        <v>43413</v>
      </c>
    </row>
    <row r="1119" spans="1:4" x14ac:dyDescent="0.25">
      <c r="A1119" t="s">
        <v>5269</v>
      </c>
      <c r="B1119" t="str">
        <f>MID(tbl_lock[[#This Row],[PACE Job Number]],3,3)</f>
        <v>WSH</v>
      </c>
      <c r="C1119" t="s">
        <v>12</v>
      </c>
      <c r="D1119" s="1">
        <v>43416</v>
      </c>
    </row>
    <row r="1120" spans="1:4" x14ac:dyDescent="0.25">
      <c r="A1120" t="s">
        <v>5270</v>
      </c>
      <c r="B1120" t="str">
        <f>MID(tbl_lock[[#This Row],[PACE Job Number]],3,3)</f>
        <v>STX</v>
      </c>
      <c r="C1120" t="s">
        <v>12</v>
      </c>
      <c r="D1120" s="1">
        <v>43413</v>
      </c>
    </row>
    <row r="1121" spans="1:4" x14ac:dyDescent="0.25">
      <c r="A1121" t="s">
        <v>3831</v>
      </c>
      <c r="B1121" t="str">
        <f>MID(tbl_lock[[#This Row],[PACE Job Number]],3,3)</f>
        <v>WSH</v>
      </c>
      <c r="C1121" t="s">
        <v>12</v>
      </c>
      <c r="D1121" s="1">
        <v>43416</v>
      </c>
    </row>
    <row r="1122" spans="1:4" x14ac:dyDescent="0.25">
      <c r="A1122" t="s">
        <v>4249</v>
      </c>
      <c r="B1122" t="str">
        <f>MID(tbl_lock[[#This Row],[PACE Job Number]],3,3)</f>
        <v>WSH</v>
      </c>
      <c r="C1122" t="s">
        <v>12</v>
      </c>
      <c r="D1122" s="1">
        <v>43411</v>
      </c>
    </row>
    <row r="1123" spans="1:4" x14ac:dyDescent="0.25">
      <c r="A1123" t="s">
        <v>232</v>
      </c>
      <c r="B1123" t="str">
        <f>MID(tbl_lock[[#This Row],[PACE Job Number]],3,3)</f>
        <v>WSH</v>
      </c>
      <c r="C1123" t="s">
        <v>12</v>
      </c>
      <c r="D1123" s="1">
        <v>43423</v>
      </c>
    </row>
    <row r="1124" spans="1:4" x14ac:dyDescent="0.25">
      <c r="A1124" t="s">
        <v>177</v>
      </c>
      <c r="B1124" t="str">
        <f>MID(tbl_lock[[#This Row],[PACE Job Number]],3,3)</f>
        <v>WSH</v>
      </c>
      <c r="C1124" t="s">
        <v>12</v>
      </c>
      <c r="D1124" s="1">
        <v>43416</v>
      </c>
    </row>
    <row r="1125" spans="1:4" x14ac:dyDescent="0.25">
      <c r="A1125" t="s">
        <v>5271</v>
      </c>
      <c r="B1125" t="str">
        <f>MID(tbl_lock[[#This Row],[PACE Job Number]],3,3)</f>
        <v>WSH</v>
      </c>
      <c r="C1125" t="s">
        <v>12</v>
      </c>
      <c r="D1125" s="1">
        <v>43423</v>
      </c>
    </row>
    <row r="1126" spans="1:4" x14ac:dyDescent="0.25">
      <c r="A1126" t="s">
        <v>5272</v>
      </c>
      <c r="B1126" t="str">
        <f>MID(tbl_lock[[#This Row],[PACE Job Number]],3,3)</f>
        <v>WSH</v>
      </c>
      <c r="C1126" t="s">
        <v>12</v>
      </c>
      <c r="D1126" s="1">
        <v>43423</v>
      </c>
    </row>
    <row r="1127" spans="1:4" x14ac:dyDescent="0.25">
      <c r="A1127" t="s">
        <v>5273</v>
      </c>
      <c r="B1127" t="str">
        <f>MID(tbl_lock[[#This Row],[PACE Job Number]],3,3)</f>
        <v>WSH</v>
      </c>
      <c r="C1127" t="s">
        <v>12</v>
      </c>
      <c r="D1127" s="1">
        <v>43423</v>
      </c>
    </row>
    <row r="1128" spans="1:4" x14ac:dyDescent="0.25">
      <c r="A1128" t="s">
        <v>306</v>
      </c>
      <c r="B1128" t="str">
        <f>MID(tbl_lock[[#This Row],[PACE Job Number]],3,3)</f>
        <v>WSH</v>
      </c>
      <c r="C1128" t="s">
        <v>12</v>
      </c>
      <c r="D1128" s="1">
        <v>43405</v>
      </c>
    </row>
    <row r="1129" spans="1:4" x14ac:dyDescent="0.25">
      <c r="A1129" t="s">
        <v>5274</v>
      </c>
      <c r="B1129" t="str">
        <f>MID(tbl_lock[[#This Row],[PACE Job Number]],3,3)</f>
        <v>WSH</v>
      </c>
      <c r="C1129" t="s">
        <v>12</v>
      </c>
      <c r="D1129" s="1">
        <v>43430</v>
      </c>
    </row>
    <row r="1130" spans="1:4" x14ac:dyDescent="0.25">
      <c r="A1130" t="s">
        <v>123</v>
      </c>
      <c r="B1130" t="str">
        <f>MID(tbl_lock[[#This Row],[PACE Job Number]],3,3)</f>
        <v>WSH</v>
      </c>
      <c r="C1130" t="s">
        <v>12</v>
      </c>
      <c r="D1130" s="1">
        <v>43405</v>
      </c>
    </row>
    <row r="1131" spans="1:4" x14ac:dyDescent="0.25">
      <c r="A1131" t="s">
        <v>4273</v>
      </c>
      <c r="B1131" t="str">
        <f>MID(tbl_lock[[#This Row],[PACE Job Number]],3,3)</f>
        <v>WSH</v>
      </c>
      <c r="C1131" t="s">
        <v>12</v>
      </c>
      <c r="D1131" s="1">
        <v>43416</v>
      </c>
    </row>
    <row r="1132" spans="1:4" x14ac:dyDescent="0.25">
      <c r="A1132" t="s">
        <v>3825</v>
      </c>
      <c r="B1132" t="str">
        <f>MID(tbl_lock[[#This Row],[PACE Job Number]],3,3)</f>
        <v>NTX</v>
      </c>
      <c r="C1132" t="s">
        <v>12</v>
      </c>
      <c r="D1132" s="1">
        <v>43430</v>
      </c>
    </row>
    <row r="1133" spans="1:4" x14ac:dyDescent="0.25">
      <c r="A1133" t="s">
        <v>5275</v>
      </c>
      <c r="B1133" t="str">
        <f>MID(tbl_lock[[#This Row],[PACE Job Number]],3,3)</f>
        <v>WSH</v>
      </c>
      <c r="C1133" t="s">
        <v>12</v>
      </c>
      <c r="D1133" s="1">
        <v>43409</v>
      </c>
    </row>
    <row r="1134" spans="1:4" x14ac:dyDescent="0.25">
      <c r="A1134" t="s">
        <v>5276</v>
      </c>
      <c r="B1134" t="str">
        <f>MID(tbl_lock[[#This Row],[PACE Job Number]],3,3)</f>
        <v>WSH</v>
      </c>
      <c r="C1134" t="s">
        <v>12</v>
      </c>
      <c r="D1134" s="1">
        <v>43412</v>
      </c>
    </row>
    <row r="1135" spans="1:4" x14ac:dyDescent="0.25">
      <c r="A1135" t="s">
        <v>5277</v>
      </c>
      <c r="B1135" t="str">
        <f>MID(tbl_lock[[#This Row],[PACE Job Number]],3,3)</f>
        <v>WSH</v>
      </c>
      <c r="C1135" t="s">
        <v>12</v>
      </c>
      <c r="D1135" s="1">
        <v>43409</v>
      </c>
    </row>
    <row r="1136" spans="1:4" x14ac:dyDescent="0.25">
      <c r="A1136" t="s">
        <v>5278</v>
      </c>
      <c r="B1136" t="str">
        <f>MID(tbl_lock[[#This Row],[PACE Job Number]],3,3)</f>
        <v>WSH</v>
      </c>
      <c r="C1136" t="s">
        <v>12</v>
      </c>
      <c r="D1136" s="1">
        <v>43430</v>
      </c>
    </row>
    <row r="1137" spans="1:4" x14ac:dyDescent="0.25">
      <c r="A1137" t="s">
        <v>5279</v>
      </c>
      <c r="B1137" t="str">
        <f>MID(tbl_lock[[#This Row],[PACE Job Number]],3,3)</f>
        <v>WSH</v>
      </c>
      <c r="C1137" t="s">
        <v>12</v>
      </c>
      <c r="D1137" s="1">
        <v>43430</v>
      </c>
    </row>
    <row r="1138" spans="1:4" x14ac:dyDescent="0.25">
      <c r="A1138" t="s">
        <v>3837</v>
      </c>
      <c r="B1138" t="str">
        <f>MID(tbl_lock[[#This Row],[PACE Job Number]],3,3)</f>
        <v>WSH</v>
      </c>
      <c r="C1138" t="s">
        <v>12</v>
      </c>
      <c r="D1138" s="1">
        <v>43412</v>
      </c>
    </row>
    <row r="1139" spans="1:4" x14ac:dyDescent="0.25">
      <c r="A1139" t="s">
        <v>5280</v>
      </c>
      <c r="B1139" t="str">
        <f>MID(tbl_lock[[#This Row],[PACE Job Number]],3,3)</f>
        <v>WSH</v>
      </c>
      <c r="C1139" t="s">
        <v>12</v>
      </c>
      <c r="D1139" s="1">
        <v>43416</v>
      </c>
    </row>
    <row r="1140" spans="1:4" x14ac:dyDescent="0.25">
      <c r="A1140" t="s">
        <v>5281</v>
      </c>
      <c r="B1140" t="str">
        <f>MID(tbl_lock[[#This Row],[PACE Job Number]],3,3)</f>
        <v>WSH</v>
      </c>
      <c r="C1140" t="s">
        <v>12</v>
      </c>
      <c r="D1140" s="1">
        <v>43423</v>
      </c>
    </row>
    <row r="1141" spans="1:4" x14ac:dyDescent="0.25">
      <c r="A1141" t="s">
        <v>5282</v>
      </c>
      <c r="B1141" t="str">
        <f>MID(tbl_lock[[#This Row],[PACE Job Number]],3,3)</f>
        <v>WSH</v>
      </c>
      <c r="C1141" t="s">
        <v>12</v>
      </c>
      <c r="D1141" s="1">
        <v>43416</v>
      </c>
    </row>
    <row r="1142" spans="1:4" x14ac:dyDescent="0.25">
      <c r="A1142" t="s">
        <v>3392</v>
      </c>
      <c r="B1142" t="str">
        <f>MID(tbl_lock[[#This Row],[PACE Job Number]],3,3)</f>
        <v>WSH</v>
      </c>
      <c r="C1142" t="s">
        <v>12</v>
      </c>
      <c r="D1142" s="1">
        <v>43423</v>
      </c>
    </row>
    <row r="1143" spans="1:4" x14ac:dyDescent="0.25">
      <c r="A1143" t="s">
        <v>5283</v>
      </c>
      <c r="B1143" t="str">
        <f>MID(tbl_lock[[#This Row],[PACE Job Number]],3,3)</f>
        <v>WSH</v>
      </c>
      <c r="C1143" t="s">
        <v>12</v>
      </c>
      <c r="D1143" s="1">
        <v>43410</v>
      </c>
    </row>
    <row r="1144" spans="1:4" x14ac:dyDescent="0.25">
      <c r="A1144" t="s">
        <v>5089</v>
      </c>
      <c r="B1144" t="str">
        <f>MID(tbl_lock[[#This Row],[PACE Job Number]],3,3)</f>
        <v>STX</v>
      </c>
      <c r="C1144" t="s">
        <v>12</v>
      </c>
      <c r="D1144" s="1">
        <v>43427</v>
      </c>
    </row>
    <row r="1145" spans="1:4" x14ac:dyDescent="0.25">
      <c r="A1145" t="s">
        <v>5090</v>
      </c>
      <c r="B1145" t="str">
        <f>MID(tbl_lock[[#This Row],[PACE Job Number]],3,3)</f>
        <v>STX</v>
      </c>
      <c r="C1145" t="s">
        <v>12</v>
      </c>
      <c r="D1145" s="1">
        <v>43427</v>
      </c>
    </row>
    <row r="1146" spans="1:4" x14ac:dyDescent="0.25">
      <c r="A1146" t="s">
        <v>3565</v>
      </c>
      <c r="B1146" t="str">
        <f>MID(tbl_lock[[#This Row],[PACE Job Number]],3,3)</f>
        <v>STX</v>
      </c>
      <c r="C1146" t="s">
        <v>12</v>
      </c>
      <c r="D1146" s="1">
        <v>43411</v>
      </c>
    </row>
    <row r="1147" spans="1:4" x14ac:dyDescent="0.25">
      <c r="A1147" t="s">
        <v>3835</v>
      </c>
      <c r="B1147" t="str">
        <f>MID(tbl_lock[[#This Row],[PACE Job Number]],3,3)</f>
        <v>NTX</v>
      </c>
      <c r="C1147" t="s">
        <v>12</v>
      </c>
      <c r="D1147" s="1">
        <v>43434</v>
      </c>
    </row>
    <row r="1148" spans="1:4" x14ac:dyDescent="0.25">
      <c r="A1148" t="s">
        <v>3807</v>
      </c>
      <c r="B1148" t="str">
        <f>MID(tbl_lock[[#This Row],[PACE Job Number]],3,3)</f>
        <v>NTX</v>
      </c>
      <c r="C1148" t="s">
        <v>12</v>
      </c>
      <c r="D1148" s="1">
        <v>43416</v>
      </c>
    </row>
    <row r="1149" spans="1:4" x14ac:dyDescent="0.25">
      <c r="A1149" t="s">
        <v>3816</v>
      </c>
      <c r="B1149" t="str">
        <f>MID(tbl_lock[[#This Row],[PACE Job Number]],3,3)</f>
        <v>NTX</v>
      </c>
      <c r="C1149" t="s">
        <v>12</v>
      </c>
      <c r="D1149" s="1">
        <v>43416</v>
      </c>
    </row>
    <row r="1150" spans="1:4" x14ac:dyDescent="0.25">
      <c r="A1150" t="s">
        <v>4173</v>
      </c>
      <c r="B1150" t="str">
        <f>MID(tbl_lock[[#This Row],[PACE Job Number]],3,3)</f>
        <v>NTX</v>
      </c>
      <c r="C1150" t="s">
        <v>12</v>
      </c>
      <c r="D1150" s="1">
        <v>43433</v>
      </c>
    </row>
    <row r="1151" spans="1:4" x14ac:dyDescent="0.25">
      <c r="A1151" t="s">
        <v>3836</v>
      </c>
      <c r="B1151" t="str">
        <f>MID(tbl_lock[[#This Row],[PACE Job Number]],3,3)</f>
        <v>NTX</v>
      </c>
      <c r="C1151" t="s">
        <v>12</v>
      </c>
      <c r="D1151" s="1">
        <v>43434</v>
      </c>
    </row>
    <row r="1152" spans="1:4" x14ac:dyDescent="0.25">
      <c r="A1152" t="s">
        <v>3772</v>
      </c>
      <c r="B1152" t="str">
        <f>MID(tbl_lock[[#This Row],[PACE Job Number]],3,3)</f>
        <v>NTX</v>
      </c>
      <c r="C1152" t="s">
        <v>12</v>
      </c>
      <c r="D1152" s="1">
        <v>43424</v>
      </c>
    </row>
    <row r="1153" spans="1:4" x14ac:dyDescent="0.25">
      <c r="A1153" t="s">
        <v>5284</v>
      </c>
      <c r="B1153" t="str">
        <f>MID(tbl_lock[[#This Row],[PACE Job Number]],3,3)</f>
        <v>WSH</v>
      </c>
      <c r="C1153" t="s">
        <v>12</v>
      </c>
      <c r="D1153" s="1">
        <v>43409</v>
      </c>
    </row>
    <row r="1154" spans="1:4" x14ac:dyDescent="0.25">
      <c r="A1154" t="s">
        <v>5285</v>
      </c>
      <c r="B1154" t="str">
        <f>MID(tbl_lock[[#This Row],[PACE Job Number]],3,3)</f>
        <v>WSH</v>
      </c>
      <c r="C1154" t="s">
        <v>12</v>
      </c>
      <c r="D1154" s="1">
        <v>43410</v>
      </c>
    </row>
    <row r="1155" spans="1:4" x14ac:dyDescent="0.25">
      <c r="A1155" t="s">
        <v>3800</v>
      </c>
      <c r="B1155" t="str">
        <f>MID(tbl_lock[[#This Row],[PACE Job Number]],3,3)</f>
        <v>WSH</v>
      </c>
      <c r="C1155" t="s">
        <v>12</v>
      </c>
      <c r="D1155" s="1">
        <v>43411</v>
      </c>
    </row>
    <row r="1156" spans="1:4" x14ac:dyDescent="0.25">
      <c r="A1156" t="s">
        <v>5286</v>
      </c>
      <c r="B1156" t="str">
        <f>MID(tbl_lock[[#This Row],[PACE Job Number]],3,3)</f>
        <v>WSH</v>
      </c>
      <c r="C1156" t="s">
        <v>12</v>
      </c>
      <c r="D1156" s="1">
        <v>43413</v>
      </c>
    </row>
    <row r="1157" spans="1:4" x14ac:dyDescent="0.25">
      <c r="A1157" t="s">
        <v>5287</v>
      </c>
      <c r="B1157" t="str">
        <f>MID(tbl_lock[[#This Row],[PACE Job Number]],3,3)</f>
        <v>WSH</v>
      </c>
      <c r="C1157" t="s">
        <v>12</v>
      </c>
      <c r="D1157" s="1">
        <v>43430</v>
      </c>
    </row>
    <row r="1158" spans="1:4" x14ac:dyDescent="0.25">
      <c r="A1158" t="s">
        <v>5288</v>
      </c>
      <c r="B1158" t="str">
        <f>MID(tbl_lock[[#This Row],[PACE Job Number]],3,3)</f>
        <v>WSH</v>
      </c>
      <c r="C1158" t="s">
        <v>12</v>
      </c>
      <c r="D1158" s="1">
        <v>43414</v>
      </c>
    </row>
    <row r="1159" spans="1:4" x14ac:dyDescent="0.25">
      <c r="A1159" t="s">
        <v>3801</v>
      </c>
      <c r="B1159" t="str">
        <f>MID(tbl_lock[[#This Row],[PACE Job Number]],3,3)</f>
        <v>WSH</v>
      </c>
      <c r="C1159" t="s">
        <v>12</v>
      </c>
      <c r="D1159" s="1">
        <v>43409</v>
      </c>
    </row>
    <row r="1160" spans="1:4" x14ac:dyDescent="0.25">
      <c r="A1160" t="s">
        <v>5289</v>
      </c>
      <c r="B1160" t="str">
        <f>MID(tbl_lock[[#This Row],[PACE Job Number]],3,3)</f>
        <v>WSH</v>
      </c>
      <c r="C1160" t="s">
        <v>12</v>
      </c>
      <c r="D1160" s="1">
        <v>43409</v>
      </c>
    </row>
    <row r="1161" spans="1:4" x14ac:dyDescent="0.25">
      <c r="A1161" t="s">
        <v>5290</v>
      </c>
      <c r="B1161" t="str">
        <f>MID(tbl_lock[[#This Row],[PACE Job Number]],3,3)</f>
        <v>WSH</v>
      </c>
      <c r="C1161" t="s">
        <v>12</v>
      </c>
      <c r="D1161" s="1">
        <v>43430</v>
      </c>
    </row>
    <row r="1162" spans="1:4" x14ac:dyDescent="0.25">
      <c r="A1162" t="s">
        <v>5291</v>
      </c>
      <c r="B1162" t="str">
        <f>MID(tbl_lock[[#This Row],[PACE Job Number]],3,3)</f>
        <v>WSH</v>
      </c>
      <c r="C1162" t="s">
        <v>12</v>
      </c>
      <c r="D1162" s="1">
        <v>43409</v>
      </c>
    </row>
    <row r="1163" spans="1:4" x14ac:dyDescent="0.25">
      <c r="A1163" t="s">
        <v>5292</v>
      </c>
      <c r="B1163" t="str">
        <f>MID(tbl_lock[[#This Row],[PACE Job Number]],3,3)</f>
        <v>WSH</v>
      </c>
      <c r="C1163" t="s">
        <v>12</v>
      </c>
      <c r="D1163" s="1">
        <v>43414</v>
      </c>
    </row>
    <row r="1164" spans="1:4" x14ac:dyDescent="0.25">
      <c r="A1164" t="s">
        <v>5293</v>
      </c>
      <c r="B1164" t="str">
        <f>MID(tbl_lock[[#This Row],[PACE Job Number]],3,3)</f>
        <v>WSH</v>
      </c>
      <c r="C1164" t="s">
        <v>12</v>
      </c>
      <c r="D1164" s="1">
        <v>43413</v>
      </c>
    </row>
    <row r="1165" spans="1:4" x14ac:dyDescent="0.25">
      <c r="A1165" t="s">
        <v>3808</v>
      </c>
      <c r="B1165" t="str">
        <f>MID(tbl_lock[[#This Row],[PACE Job Number]],3,3)</f>
        <v>WSH</v>
      </c>
      <c r="C1165" t="s">
        <v>12</v>
      </c>
      <c r="D1165" s="1">
        <v>43411</v>
      </c>
    </row>
    <row r="1166" spans="1:4" x14ac:dyDescent="0.25">
      <c r="A1166" t="s">
        <v>5294</v>
      </c>
      <c r="B1166" t="str">
        <f>MID(tbl_lock[[#This Row],[PACE Job Number]],3,3)</f>
        <v>WSH</v>
      </c>
      <c r="C1166" t="s">
        <v>12</v>
      </c>
      <c r="D1166" s="1">
        <v>43409</v>
      </c>
    </row>
    <row r="1167" spans="1:4" x14ac:dyDescent="0.25">
      <c r="A1167" t="s">
        <v>3901</v>
      </c>
      <c r="B1167" t="str">
        <f>MID(tbl_lock[[#This Row],[PACE Job Number]],3,3)</f>
        <v>WSH</v>
      </c>
      <c r="C1167" t="s">
        <v>12</v>
      </c>
      <c r="D1167" s="1">
        <v>43411</v>
      </c>
    </row>
    <row r="1168" spans="1:4" x14ac:dyDescent="0.25">
      <c r="A1168" t="s">
        <v>5295</v>
      </c>
      <c r="B1168" t="str">
        <f>MID(tbl_lock[[#This Row],[PACE Job Number]],3,3)</f>
        <v>WSH</v>
      </c>
      <c r="C1168" t="s">
        <v>12</v>
      </c>
      <c r="D1168" s="1">
        <v>43416</v>
      </c>
    </row>
    <row r="1169" spans="1:4" x14ac:dyDescent="0.25">
      <c r="A1169" t="s">
        <v>5296</v>
      </c>
      <c r="B1169" t="str">
        <f>MID(tbl_lock[[#This Row],[PACE Job Number]],3,3)</f>
        <v>WSH</v>
      </c>
      <c r="C1169" t="s">
        <v>12</v>
      </c>
      <c r="D1169" s="1">
        <v>43430</v>
      </c>
    </row>
    <row r="1170" spans="1:4" x14ac:dyDescent="0.25">
      <c r="A1170" t="s">
        <v>351</v>
      </c>
      <c r="B1170" t="str">
        <f>MID(tbl_lock[[#This Row],[PACE Job Number]],3,3)</f>
        <v>WSH</v>
      </c>
      <c r="C1170" t="s">
        <v>12</v>
      </c>
      <c r="D1170" s="1">
        <v>43416</v>
      </c>
    </row>
    <row r="1171" spans="1:4" x14ac:dyDescent="0.25">
      <c r="A1171" t="s">
        <v>5297</v>
      </c>
      <c r="B1171" t="str">
        <f>MID(tbl_lock[[#This Row],[PACE Job Number]],3,3)</f>
        <v>WSH</v>
      </c>
      <c r="C1171" t="s">
        <v>12</v>
      </c>
      <c r="D1171" s="1">
        <v>43412</v>
      </c>
    </row>
    <row r="1172" spans="1:4" x14ac:dyDescent="0.25">
      <c r="A1172" t="s">
        <v>5298</v>
      </c>
      <c r="B1172" t="str">
        <f>MID(tbl_lock[[#This Row],[PACE Job Number]],3,3)</f>
        <v>WSH</v>
      </c>
      <c r="C1172" t="s">
        <v>12</v>
      </c>
      <c r="D1172" s="1">
        <v>43416</v>
      </c>
    </row>
    <row r="1173" spans="1:4" x14ac:dyDescent="0.25">
      <c r="A1173" t="s">
        <v>4202</v>
      </c>
      <c r="B1173" t="str">
        <f>MID(tbl_lock[[#This Row],[PACE Job Number]],3,3)</f>
        <v>WSH</v>
      </c>
      <c r="C1173" t="s">
        <v>12</v>
      </c>
      <c r="D1173" s="1">
        <v>43423</v>
      </c>
    </row>
    <row r="1174" spans="1:4" x14ac:dyDescent="0.25">
      <c r="A1174" t="s">
        <v>5299</v>
      </c>
      <c r="B1174" t="str">
        <f>MID(tbl_lock[[#This Row],[PACE Job Number]],3,3)</f>
        <v>WSH</v>
      </c>
      <c r="C1174" t="s">
        <v>12</v>
      </c>
      <c r="D1174" s="1">
        <v>43430</v>
      </c>
    </row>
    <row r="1175" spans="1:4" x14ac:dyDescent="0.25">
      <c r="A1175" t="s">
        <v>5300</v>
      </c>
      <c r="B1175" t="str">
        <f>MID(tbl_lock[[#This Row],[PACE Job Number]],3,3)</f>
        <v>NTX</v>
      </c>
      <c r="C1175" t="s">
        <v>12</v>
      </c>
      <c r="D1175" s="1">
        <v>43432</v>
      </c>
    </row>
    <row r="1176" spans="1:4" x14ac:dyDescent="0.25">
      <c r="A1176" t="s">
        <v>5301</v>
      </c>
      <c r="B1176" t="str">
        <f>MID(tbl_lock[[#This Row],[PACE Job Number]],3,3)</f>
        <v>STX</v>
      </c>
      <c r="C1176" t="s">
        <v>12</v>
      </c>
      <c r="D1176" s="1">
        <v>43434</v>
      </c>
    </row>
    <row r="1177" spans="1:4" x14ac:dyDescent="0.25">
      <c r="A1177" t="s">
        <v>5106</v>
      </c>
      <c r="B1177" t="str">
        <f>MID(tbl_lock[[#This Row],[PACE Job Number]],3,3)</f>
        <v>STX</v>
      </c>
      <c r="C1177" t="s">
        <v>12</v>
      </c>
      <c r="D1177" s="1">
        <v>43427</v>
      </c>
    </row>
    <row r="1178" spans="1:4" x14ac:dyDescent="0.25">
      <c r="A1178" t="s">
        <v>5302</v>
      </c>
      <c r="B1178" t="str">
        <f>MID(tbl_lock[[#This Row],[PACE Job Number]],3,3)</f>
        <v>STX</v>
      </c>
      <c r="C1178" t="s">
        <v>12</v>
      </c>
      <c r="D1178" s="1">
        <v>43427</v>
      </c>
    </row>
    <row r="1179" spans="1:4" x14ac:dyDescent="0.25">
      <c r="A1179" t="s">
        <v>4181</v>
      </c>
      <c r="B1179" t="str">
        <f>MID(tbl_lock[[#This Row],[PACE Job Number]],3,3)</f>
        <v>STX</v>
      </c>
      <c r="C1179" t="s">
        <v>12</v>
      </c>
      <c r="D1179" s="1">
        <v>43415</v>
      </c>
    </row>
    <row r="1180" spans="1:4" x14ac:dyDescent="0.25">
      <c r="A1180" t="s">
        <v>5111</v>
      </c>
      <c r="B1180" t="str">
        <f>MID(tbl_lock[[#This Row],[PACE Job Number]],3,3)</f>
        <v>STX</v>
      </c>
      <c r="C1180" t="s">
        <v>12</v>
      </c>
      <c r="D1180" s="1">
        <v>43426</v>
      </c>
    </row>
    <row r="1181" spans="1:4" x14ac:dyDescent="0.25">
      <c r="A1181" t="s">
        <v>4182</v>
      </c>
      <c r="B1181" t="str">
        <f>MID(tbl_lock[[#This Row],[PACE Job Number]],3,3)</f>
        <v>STX</v>
      </c>
      <c r="C1181" t="s">
        <v>12</v>
      </c>
      <c r="D1181" s="1">
        <v>43411</v>
      </c>
    </row>
    <row r="1182" spans="1:4" x14ac:dyDescent="0.25">
      <c r="A1182" t="s">
        <v>5115</v>
      </c>
      <c r="B1182" t="str">
        <f>MID(tbl_lock[[#This Row],[PACE Job Number]],3,3)</f>
        <v>STX</v>
      </c>
      <c r="C1182" t="s">
        <v>12</v>
      </c>
      <c r="D1182" s="1">
        <v>43427</v>
      </c>
    </row>
    <row r="1183" spans="1:4" x14ac:dyDescent="0.25">
      <c r="A1183" t="s">
        <v>5117</v>
      </c>
      <c r="B1183" t="str">
        <f>MID(tbl_lock[[#This Row],[PACE Job Number]],3,3)</f>
        <v>STX</v>
      </c>
      <c r="C1183" t="s">
        <v>12</v>
      </c>
      <c r="D1183" s="1">
        <v>43427</v>
      </c>
    </row>
    <row r="1184" spans="1:4" x14ac:dyDescent="0.25">
      <c r="A1184" t="s">
        <v>5118</v>
      </c>
      <c r="B1184" t="str">
        <f>MID(tbl_lock[[#This Row],[PACE Job Number]],3,3)</f>
        <v>STX</v>
      </c>
      <c r="C1184" t="s">
        <v>12</v>
      </c>
      <c r="D1184" s="1">
        <v>43427</v>
      </c>
    </row>
    <row r="1185" spans="1:4" x14ac:dyDescent="0.25">
      <c r="A1185" t="s">
        <v>5120</v>
      </c>
      <c r="B1185" t="str">
        <f>MID(tbl_lock[[#This Row],[PACE Job Number]],3,3)</f>
        <v>STX</v>
      </c>
      <c r="C1185" t="s">
        <v>12</v>
      </c>
      <c r="D1185" s="1">
        <v>43426</v>
      </c>
    </row>
    <row r="1186" spans="1:4" x14ac:dyDescent="0.25">
      <c r="A1186" t="s">
        <v>4184</v>
      </c>
      <c r="B1186" t="str">
        <f>MID(tbl_lock[[#This Row],[PACE Job Number]],3,3)</f>
        <v>STX</v>
      </c>
      <c r="C1186" t="s">
        <v>12</v>
      </c>
      <c r="D1186" s="1">
        <v>43411</v>
      </c>
    </row>
    <row r="1187" spans="1:4" x14ac:dyDescent="0.25">
      <c r="A1187" t="s">
        <v>5123</v>
      </c>
      <c r="B1187" t="str">
        <f>MID(tbl_lock[[#This Row],[PACE Job Number]],3,3)</f>
        <v>STX</v>
      </c>
      <c r="C1187" t="s">
        <v>12</v>
      </c>
      <c r="D1187" s="1">
        <v>43427</v>
      </c>
    </row>
    <row r="1188" spans="1:4" x14ac:dyDescent="0.25">
      <c r="A1188" t="s">
        <v>5128</v>
      </c>
      <c r="B1188" t="str">
        <f>MID(tbl_lock[[#This Row],[PACE Job Number]],3,3)</f>
        <v>STX</v>
      </c>
      <c r="C1188" t="s">
        <v>12</v>
      </c>
      <c r="D1188" s="1">
        <v>43426</v>
      </c>
    </row>
    <row r="1189" spans="1:4" x14ac:dyDescent="0.25">
      <c r="A1189" t="s">
        <v>4186</v>
      </c>
      <c r="B1189" t="str">
        <f>MID(tbl_lock[[#This Row],[PACE Job Number]],3,3)</f>
        <v>STX</v>
      </c>
      <c r="C1189" t="s">
        <v>12</v>
      </c>
      <c r="D1189" s="1">
        <v>43415</v>
      </c>
    </row>
    <row r="1190" spans="1:4" x14ac:dyDescent="0.25">
      <c r="A1190" t="s">
        <v>4187</v>
      </c>
      <c r="B1190" t="str">
        <f>MID(tbl_lock[[#This Row],[PACE Job Number]],3,3)</f>
        <v>STX</v>
      </c>
      <c r="C1190" t="s">
        <v>12</v>
      </c>
      <c r="D1190" s="1">
        <v>43411</v>
      </c>
    </row>
    <row r="1191" spans="1:4" x14ac:dyDescent="0.25">
      <c r="A1191" t="s">
        <v>5303</v>
      </c>
      <c r="B1191" t="str">
        <f>MID(tbl_lock[[#This Row],[PACE Job Number]],3,3)</f>
        <v>STX</v>
      </c>
      <c r="C1191" t="s">
        <v>12</v>
      </c>
      <c r="D1191" s="1">
        <v>43434</v>
      </c>
    </row>
    <row r="1192" spans="1:4" x14ac:dyDescent="0.25">
      <c r="A1192" t="s">
        <v>5136</v>
      </c>
      <c r="B1192" t="str">
        <f>MID(tbl_lock[[#This Row],[PACE Job Number]],3,3)</f>
        <v>STX</v>
      </c>
      <c r="C1192" t="s">
        <v>12</v>
      </c>
      <c r="D1192" s="1">
        <v>43427</v>
      </c>
    </row>
    <row r="1193" spans="1:4" x14ac:dyDescent="0.25">
      <c r="A1193" t="s">
        <v>5137</v>
      </c>
      <c r="B1193" t="str">
        <f>MID(tbl_lock[[#This Row],[PACE Job Number]],3,3)</f>
        <v>STX</v>
      </c>
      <c r="C1193" t="s">
        <v>12</v>
      </c>
      <c r="D1193" s="1">
        <v>43427</v>
      </c>
    </row>
    <row r="1194" spans="1:4" x14ac:dyDescent="0.25">
      <c r="A1194" t="s">
        <v>5141</v>
      </c>
      <c r="B1194" t="str">
        <f>MID(tbl_lock[[#This Row],[PACE Job Number]],3,3)</f>
        <v>STX</v>
      </c>
      <c r="C1194" t="s">
        <v>12</v>
      </c>
      <c r="D1194" s="1">
        <v>43427</v>
      </c>
    </row>
    <row r="1195" spans="1:4" x14ac:dyDescent="0.25">
      <c r="A1195" t="s">
        <v>5304</v>
      </c>
      <c r="B1195" t="str">
        <f>MID(tbl_lock[[#This Row],[PACE Job Number]],3,3)</f>
        <v>STX</v>
      </c>
      <c r="C1195" t="s">
        <v>12</v>
      </c>
      <c r="D1195" s="1">
        <v>43434</v>
      </c>
    </row>
    <row r="1196" spans="1:4" x14ac:dyDescent="0.25">
      <c r="A1196" t="s">
        <v>5305</v>
      </c>
      <c r="B1196" t="str">
        <f>MID(tbl_lock[[#This Row],[PACE Job Number]],3,3)</f>
        <v>STX</v>
      </c>
      <c r="C1196" t="s">
        <v>12</v>
      </c>
      <c r="D1196" s="1">
        <v>43427</v>
      </c>
    </row>
    <row r="1197" spans="1:4" x14ac:dyDescent="0.25">
      <c r="A1197" t="s">
        <v>5306</v>
      </c>
      <c r="B1197" t="str">
        <f>MID(tbl_lock[[#This Row],[PACE Job Number]],3,3)</f>
        <v>WSH</v>
      </c>
      <c r="C1197" t="s">
        <v>12</v>
      </c>
      <c r="D1197" s="1">
        <v>43430</v>
      </c>
    </row>
    <row r="1198" spans="1:4" x14ac:dyDescent="0.25">
      <c r="A1198" t="s">
        <v>5307</v>
      </c>
      <c r="B1198" t="str">
        <f>MID(tbl_lock[[#This Row],[PACE Job Number]],3,3)</f>
        <v>WSH</v>
      </c>
      <c r="C1198" t="s">
        <v>12</v>
      </c>
      <c r="D1198" s="1">
        <v>43430</v>
      </c>
    </row>
    <row r="1199" spans="1:4" x14ac:dyDescent="0.25">
      <c r="A1199" t="s">
        <v>4280</v>
      </c>
      <c r="B1199" t="str">
        <f>MID(tbl_lock[[#This Row],[PACE Job Number]],3,3)</f>
        <v>WSH</v>
      </c>
      <c r="C1199" t="s">
        <v>12</v>
      </c>
      <c r="D1199" s="1">
        <v>43413</v>
      </c>
    </row>
    <row r="1200" spans="1:4" x14ac:dyDescent="0.25">
      <c r="A1200" t="s">
        <v>5308</v>
      </c>
      <c r="B1200" t="str">
        <f>MID(tbl_lock[[#This Row],[PACE Job Number]],3,3)</f>
        <v>WSH</v>
      </c>
      <c r="C1200" t="s">
        <v>12</v>
      </c>
      <c r="D1200" s="1">
        <v>43430</v>
      </c>
    </row>
    <row r="1201" spans="1:4" x14ac:dyDescent="0.25">
      <c r="A1201" t="s">
        <v>4281</v>
      </c>
      <c r="B1201" t="str">
        <f>MID(tbl_lock[[#This Row],[PACE Job Number]],3,3)</f>
        <v>WSH</v>
      </c>
      <c r="C1201" t="s">
        <v>12</v>
      </c>
      <c r="D1201" s="1">
        <v>43413</v>
      </c>
    </row>
    <row r="1202" spans="1:4" x14ac:dyDescent="0.25">
      <c r="A1202" t="s">
        <v>5309</v>
      </c>
      <c r="B1202" t="str">
        <f>MID(tbl_lock[[#This Row],[PACE Job Number]],3,3)</f>
        <v>WSH</v>
      </c>
      <c r="C1202" t="s">
        <v>12</v>
      </c>
      <c r="D1202" s="1">
        <v>43416</v>
      </c>
    </row>
    <row r="1203" spans="1:4" x14ac:dyDescent="0.25">
      <c r="A1203" t="s">
        <v>5310</v>
      </c>
      <c r="B1203" t="str">
        <f>MID(tbl_lock[[#This Row],[PACE Job Number]],3,3)</f>
        <v>WSH</v>
      </c>
      <c r="C1203" t="s">
        <v>12</v>
      </c>
      <c r="D1203" s="1">
        <v>43413</v>
      </c>
    </row>
    <row r="1204" spans="1:4" x14ac:dyDescent="0.25">
      <c r="A1204" t="s">
        <v>5311</v>
      </c>
      <c r="B1204" t="str">
        <f>MID(tbl_lock[[#This Row],[PACE Job Number]],3,3)</f>
        <v>WSH</v>
      </c>
      <c r="C1204" t="s">
        <v>12</v>
      </c>
      <c r="D1204" s="1">
        <v>43430</v>
      </c>
    </row>
    <row r="1205" spans="1:4" x14ac:dyDescent="0.25">
      <c r="A1205" t="s">
        <v>5312</v>
      </c>
      <c r="B1205" t="str">
        <f>MID(tbl_lock[[#This Row],[PACE Job Number]],3,3)</f>
        <v>WSH</v>
      </c>
      <c r="C1205" t="s">
        <v>12</v>
      </c>
      <c r="D1205" s="1">
        <v>43409</v>
      </c>
    </row>
    <row r="1206" spans="1:4" x14ac:dyDescent="0.25">
      <c r="A1206" t="s">
        <v>4283</v>
      </c>
      <c r="B1206" t="str">
        <f>MID(tbl_lock[[#This Row],[PACE Job Number]],3,3)</f>
        <v>WSH</v>
      </c>
      <c r="C1206" t="s">
        <v>12</v>
      </c>
      <c r="D1206" s="1">
        <v>43410</v>
      </c>
    </row>
    <row r="1207" spans="1:4" x14ac:dyDescent="0.25">
      <c r="A1207" t="s">
        <v>5313</v>
      </c>
      <c r="B1207" t="str">
        <f>MID(tbl_lock[[#This Row],[PACE Job Number]],3,3)</f>
        <v>WSH</v>
      </c>
      <c r="C1207" t="s">
        <v>12</v>
      </c>
      <c r="D1207" s="1">
        <v>43430</v>
      </c>
    </row>
    <row r="1208" spans="1:4" x14ac:dyDescent="0.25">
      <c r="A1208" t="s">
        <v>5314</v>
      </c>
      <c r="B1208" t="str">
        <f>MID(tbl_lock[[#This Row],[PACE Job Number]],3,3)</f>
        <v>WSH</v>
      </c>
      <c r="C1208" t="s">
        <v>12</v>
      </c>
      <c r="D1208" s="1">
        <v>43430</v>
      </c>
    </row>
    <row r="1209" spans="1:4" x14ac:dyDescent="0.25">
      <c r="A1209" t="s">
        <v>5315</v>
      </c>
      <c r="B1209" t="str">
        <f>MID(tbl_lock[[#This Row],[PACE Job Number]],3,3)</f>
        <v>WSH</v>
      </c>
      <c r="C1209" t="s">
        <v>12</v>
      </c>
      <c r="D1209" s="1">
        <v>43409</v>
      </c>
    </row>
    <row r="1210" spans="1:4" x14ac:dyDescent="0.25">
      <c r="A1210" t="s">
        <v>5316</v>
      </c>
      <c r="B1210" t="str">
        <f>MID(tbl_lock[[#This Row],[PACE Job Number]],3,3)</f>
        <v>WSH</v>
      </c>
      <c r="C1210" t="s">
        <v>12</v>
      </c>
      <c r="D1210" s="1">
        <v>43416</v>
      </c>
    </row>
    <row r="1211" spans="1:4" x14ac:dyDescent="0.25">
      <c r="A1211" t="s">
        <v>4289</v>
      </c>
      <c r="B1211" t="str">
        <f>MID(tbl_lock[[#This Row],[PACE Job Number]],3,3)</f>
        <v>WSH</v>
      </c>
      <c r="C1211" t="s">
        <v>12</v>
      </c>
      <c r="D1211" s="1">
        <v>43410</v>
      </c>
    </row>
    <row r="1212" spans="1:4" x14ac:dyDescent="0.25">
      <c r="A1212" t="s">
        <v>5317</v>
      </c>
      <c r="B1212" t="str">
        <f>MID(tbl_lock[[#This Row],[PACE Job Number]],3,3)</f>
        <v>WSH</v>
      </c>
      <c r="C1212" t="s">
        <v>12</v>
      </c>
      <c r="D1212" s="1">
        <v>43423</v>
      </c>
    </row>
    <row r="1213" spans="1:4" x14ac:dyDescent="0.25">
      <c r="A1213" t="s">
        <v>5174</v>
      </c>
      <c r="B1213" t="str">
        <f>MID(tbl_lock[[#This Row],[PACE Job Number]],3,3)</f>
        <v>STX</v>
      </c>
      <c r="C1213" t="s">
        <v>12</v>
      </c>
      <c r="D1213" s="1">
        <v>43427</v>
      </c>
    </row>
    <row r="1214" spans="1:4" x14ac:dyDescent="0.25">
      <c r="A1214" t="s">
        <v>5186</v>
      </c>
      <c r="B1214" t="str">
        <f>MID(tbl_lock[[#This Row],[PACE Job Number]],3,3)</f>
        <v>STX</v>
      </c>
      <c r="C1214" t="s">
        <v>12</v>
      </c>
      <c r="D1214" s="1">
        <v>43430</v>
      </c>
    </row>
    <row r="1215" spans="1:4" x14ac:dyDescent="0.25">
      <c r="A1215" t="s">
        <v>5318</v>
      </c>
      <c r="B1215" t="str">
        <f>MID(tbl_lock[[#This Row],[PACE Job Number]],3,3)</f>
        <v>WSH</v>
      </c>
      <c r="C1215" t="s">
        <v>12</v>
      </c>
      <c r="D1215" s="1">
        <v>43416</v>
      </c>
    </row>
    <row r="1216" spans="1:4" x14ac:dyDescent="0.25">
      <c r="A1216" t="s">
        <v>5319</v>
      </c>
      <c r="B1216" t="str">
        <f>MID(tbl_lock[[#This Row],[PACE Job Number]],3,3)</f>
        <v>WSH</v>
      </c>
      <c r="C1216" t="s">
        <v>12</v>
      </c>
      <c r="D1216" s="1">
        <v>43430</v>
      </c>
    </row>
    <row r="1217" spans="1:4" x14ac:dyDescent="0.25">
      <c r="A1217" t="s">
        <v>5320</v>
      </c>
      <c r="B1217" t="str">
        <f>MID(tbl_lock[[#This Row],[PACE Job Number]],3,3)</f>
        <v>WSH</v>
      </c>
      <c r="C1217" t="s">
        <v>12</v>
      </c>
      <c r="D1217" s="1">
        <v>43416</v>
      </c>
    </row>
    <row r="1218" spans="1:4" x14ac:dyDescent="0.25">
      <c r="A1218" t="s">
        <v>4176</v>
      </c>
      <c r="B1218" t="str">
        <f>MID(tbl_lock[[#This Row],[PACE Job Number]],3,3)</f>
        <v>NTX</v>
      </c>
      <c r="C1218" t="s">
        <v>12</v>
      </c>
      <c r="D1218" s="1">
        <v>43433</v>
      </c>
    </row>
    <row r="1219" spans="1:4" x14ac:dyDescent="0.25">
      <c r="A1219" t="s">
        <v>4123</v>
      </c>
      <c r="B1219" t="str">
        <f>MID(tbl_lock[[#This Row],[PACE Job Number]],3,3)</f>
        <v>NTX</v>
      </c>
      <c r="C1219" t="s">
        <v>12</v>
      </c>
      <c r="D1219" s="1">
        <v>43433</v>
      </c>
    </row>
    <row r="1220" spans="1:4" x14ac:dyDescent="0.25">
      <c r="A1220" t="s">
        <v>4377</v>
      </c>
      <c r="B1220" t="str">
        <f>MID(tbl_lock[[#This Row],[PACE Job Number]],3,3)</f>
        <v>STX</v>
      </c>
      <c r="C1220" t="s">
        <v>14</v>
      </c>
      <c r="D1220" s="1">
        <v>43419</v>
      </c>
    </row>
    <row r="1221" spans="1:4" x14ac:dyDescent="0.25">
      <c r="A1221" t="s">
        <v>3352</v>
      </c>
      <c r="B1221" t="str">
        <f>MID(tbl_lock[[#This Row],[PACE Job Number]],3,3)</f>
        <v>STX</v>
      </c>
      <c r="C1221" t="s">
        <v>14</v>
      </c>
      <c r="D1221" s="1">
        <v>43416</v>
      </c>
    </row>
    <row r="1222" spans="1:4" x14ac:dyDescent="0.25">
      <c r="A1222" t="s">
        <v>2669</v>
      </c>
      <c r="B1222" t="str">
        <f>MID(tbl_lock[[#This Row],[PACE Job Number]],3,3)</f>
        <v>STX</v>
      </c>
      <c r="C1222" t="s">
        <v>14</v>
      </c>
      <c r="D1222" s="1">
        <v>43419</v>
      </c>
    </row>
    <row r="1223" spans="1:4" x14ac:dyDescent="0.25">
      <c r="A1223" t="s">
        <v>3810</v>
      </c>
      <c r="B1223" t="str">
        <f>MID(tbl_lock[[#This Row],[PACE Job Number]],3,3)</f>
        <v>WSH</v>
      </c>
      <c r="C1223" t="s">
        <v>14</v>
      </c>
      <c r="D1223" s="1">
        <v>43412</v>
      </c>
    </row>
    <row r="1224" spans="1:4" x14ac:dyDescent="0.25">
      <c r="A1224" t="s">
        <v>3812</v>
      </c>
      <c r="B1224" t="str">
        <f>MID(tbl_lock[[#This Row],[PACE Job Number]],3,3)</f>
        <v>WSH</v>
      </c>
      <c r="C1224" t="s">
        <v>14</v>
      </c>
      <c r="D1224" s="1">
        <v>43411</v>
      </c>
    </row>
    <row r="1225" spans="1:4" x14ac:dyDescent="0.25">
      <c r="A1225" t="s">
        <v>5195</v>
      </c>
      <c r="B1225" t="str">
        <f>MID(tbl_lock[[#This Row],[PACE Job Number]],3,3)</f>
        <v>WSH</v>
      </c>
      <c r="C1225" t="s">
        <v>14</v>
      </c>
      <c r="D1225" s="1">
        <v>43416</v>
      </c>
    </row>
    <row r="1226" spans="1:4" x14ac:dyDescent="0.25">
      <c r="A1226" t="s">
        <v>5321</v>
      </c>
      <c r="B1226" t="str">
        <f>MID(tbl_lock[[#This Row],[PACE Job Number]],3,3)</f>
        <v>NTX</v>
      </c>
      <c r="C1226" t="s">
        <v>14</v>
      </c>
      <c r="D1226" s="1">
        <v>43430</v>
      </c>
    </row>
    <row r="1227" spans="1:4" x14ac:dyDescent="0.25">
      <c r="A1227" t="s">
        <v>5322</v>
      </c>
      <c r="B1227" t="str">
        <f>MID(tbl_lock[[#This Row],[PACE Job Number]],3,3)</f>
        <v>NTX</v>
      </c>
      <c r="C1227" t="s">
        <v>14</v>
      </c>
      <c r="D1227" s="1">
        <v>43406</v>
      </c>
    </row>
    <row r="1228" spans="1:4" x14ac:dyDescent="0.25">
      <c r="A1228" t="s">
        <v>380</v>
      </c>
      <c r="B1228" t="str">
        <f>MID(tbl_lock[[#This Row],[PACE Job Number]],3,3)</f>
        <v>NTX</v>
      </c>
      <c r="C1228" t="s">
        <v>14</v>
      </c>
      <c r="D1228" s="1">
        <v>43430</v>
      </c>
    </row>
    <row r="1229" spans="1:4" x14ac:dyDescent="0.25">
      <c r="A1229" t="s">
        <v>3380</v>
      </c>
      <c r="B1229" t="str">
        <f>MID(tbl_lock[[#This Row],[PACE Job Number]],3,3)</f>
        <v>NTX</v>
      </c>
      <c r="C1229" t="s">
        <v>14</v>
      </c>
      <c r="D1229" s="1">
        <v>43413</v>
      </c>
    </row>
    <row r="1230" spans="1:4" x14ac:dyDescent="0.25">
      <c r="A1230" t="s">
        <v>2478</v>
      </c>
      <c r="B1230" t="str">
        <f>MID(tbl_lock[[#This Row],[PACE Job Number]],3,3)</f>
        <v>NTX</v>
      </c>
      <c r="C1230" t="s">
        <v>14</v>
      </c>
      <c r="D1230" s="1">
        <v>43413</v>
      </c>
    </row>
    <row r="1231" spans="1:4" x14ac:dyDescent="0.25">
      <c r="A1231" t="s">
        <v>2479</v>
      </c>
      <c r="B1231" t="str">
        <f>MID(tbl_lock[[#This Row],[PACE Job Number]],3,3)</f>
        <v>NTX</v>
      </c>
      <c r="C1231" t="s">
        <v>14</v>
      </c>
      <c r="D1231" s="1">
        <v>43413</v>
      </c>
    </row>
    <row r="1232" spans="1:4" x14ac:dyDescent="0.25">
      <c r="A1232" t="s">
        <v>3382</v>
      </c>
      <c r="B1232" t="str">
        <f>MID(tbl_lock[[#This Row],[PACE Job Number]],3,3)</f>
        <v>NTX</v>
      </c>
      <c r="C1232" t="s">
        <v>14</v>
      </c>
      <c r="D1232" s="1">
        <v>43413</v>
      </c>
    </row>
    <row r="1233" spans="1:4" x14ac:dyDescent="0.25">
      <c r="A1233" t="s">
        <v>2480</v>
      </c>
      <c r="B1233" t="str">
        <f>MID(tbl_lock[[#This Row],[PACE Job Number]],3,3)</f>
        <v>NTX</v>
      </c>
      <c r="C1233" t="s">
        <v>14</v>
      </c>
      <c r="D1233" s="1">
        <v>43413</v>
      </c>
    </row>
    <row r="1234" spans="1:4" x14ac:dyDescent="0.25">
      <c r="A1234" t="s">
        <v>607</v>
      </c>
      <c r="B1234" t="str">
        <f>MID(tbl_lock[[#This Row],[PACE Job Number]],3,3)</f>
        <v>NTX</v>
      </c>
      <c r="C1234" t="s">
        <v>14</v>
      </c>
      <c r="D1234" s="1">
        <v>43416</v>
      </c>
    </row>
    <row r="1235" spans="1:4" x14ac:dyDescent="0.25">
      <c r="A1235" t="s">
        <v>4190</v>
      </c>
      <c r="B1235" t="str">
        <f>MID(tbl_lock[[#This Row],[PACE Job Number]],3,3)</f>
        <v>NTX</v>
      </c>
      <c r="C1235" t="s">
        <v>14</v>
      </c>
      <c r="D1235" s="1">
        <v>43416</v>
      </c>
    </row>
    <row r="1236" spans="1:4" x14ac:dyDescent="0.25">
      <c r="A1236" t="s">
        <v>5323</v>
      </c>
      <c r="B1236" t="str">
        <f>MID(tbl_lock[[#This Row],[PACE Job Number]],3,3)</f>
        <v>NTX</v>
      </c>
      <c r="C1236" t="s">
        <v>14</v>
      </c>
      <c r="D1236" s="1">
        <v>43416</v>
      </c>
    </row>
    <row r="1237" spans="1:4" x14ac:dyDescent="0.25">
      <c r="A1237" t="s">
        <v>4307</v>
      </c>
      <c r="B1237" t="str">
        <f>MID(tbl_lock[[#This Row],[PACE Job Number]],3,3)</f>
        <v>NTX</v>
      </c>
      <c r="C1237" t="s">
        <v>14</v>
      </c>
      <c r="D1237" s="1">
        <v>43413</v>
      </c>
    </row>
    <row r="1238" spans="1:4" x14ac:dyDescent="0.25">
      <c r="A1238" t="s">
        <v>4309</v>
      </c>
      <c r="B1238" t="str">
        <f>MID(tbl_lock[[#This Row],[PACE Job Number]],3,3)</f>
        <v>NTX</v>
      </c>
      <c r="C1238" t="s">
        <v>14</v>
      </c>
      <c r="D1238" s="1">
        <v>43406</v>
      </c>
    </row>
    <row r="1239" spans="1:4" x14ac:dyDescent="0.25">
      <c r="A1239" t="s">
        <v>5324</v>
      </c>
      <c r="B1239" t="str">
        <f>MID(tbl_lock[[#This Row],[PACE Job Number]],3,3)</f>
        <v>NTX</v>
      </c>
      <c r="C1239" t="s">
        <v>14</v>
      </c>
      <c r="D1239" s="1">
        <v>43406</v>
      </c>
    </row>
    <row r="1240" spans="1:4" x14ac:dyDescent="0.25">
      <c r="A1240" t="s">
        <v>5325</v>
      </c>
      <c r="B1240" t="str">
        <f>MID(tbl_lock[[#This Row],[PACE Job Number]],3,3)</f>
        <v>NTX</v>
      </c>
      <c r="C1240" t="s">
        <v>14</v>
      </c>
      <c r="D1240" s="1">
        <v>43416</v>
      </c>
    </row>
    <row r="1241" spans="1:4" x14ac:dyDescent="0.25">
      <c r="A1241" t="s">
        <v>2542</v>
      </c>
      <c r="B1241" t="str">
        <f>MID(tbl_lock[[#This Row],[PACE Job Number]],3,3)</f>
        <v>STX</v>
      </c>
      <c r="C1241" t="s">
        <v>14</v>
      </c>
      <c r="D1241" s="1">
        <v>43419</v>
      </c>
    </row>
    <row r="1242" spans="1:4" x14ac:dyDescent="0.25">
      <c r="A1242" t="s">
        <v>172</v>
      </c>
      <c r="B1242" t="str">
        <f>MID(tbl_lock[[#This Row],[PACE Job Number]],3,3)</f>
        <v>STX</v>
      </c>
      <c r="C1242" t="s">
        <v>14</v>
      </c>
      <c r="D1242" s="1">
        <v>43416</v>
      </c>
    </row>
    <row r="1243" spans="1:4" x14ac:dyDescent="0.25">
      <c r="A1243" t="s">
        <v>4316</v>
      </c>
      <c r="B1243" t="str">
        <f>MID(tbl_lock[[#This Row],[PACE Job Number]],3,3)</f>
        <v>STX</v>
      </c>
      <c r="C1243" t="s">
        <v>14</v>
      </c>
      <c r="D1243" s="1">
        <v>43416</v>
      </c>
    </row>
    <row r="1244" spans="1:4" x14ac:dyDescent="0.25">
      <c r="A1244" t="s">
        <v>5326</v>
      </c>
      <c r="B1244" t="str">
        <f>MID(tbl_lock[[#This Row],[PACE Job Number]],3,3)</f>
        <v>STX</v>
      </c>
      <c r="C1244" t="s">
        <v>14</v>
      </c>
      <c r="D1244" s="1">
        <v>43416</v>
      </c>
    </row>
    <row r="1245" spans="1:4" x14ac:dyDescent="0.25">
      <c r="A1245" t="s">
        <v>4319</v>
      </c>
      <c r="B1245" t="str">
        <f>MID(tbl_lock[[#This Row],[PACE Job Number]],3,3)</f>
        <v>STX</v>
      </c>
      <c r="C1245" t="s">
        <v>14</v>
      </c>
      <c r="D1245" s="1">
        <v>43419</v>
      </c>
    </row>
    <row r="1246" spans="1:4" x14ac:dyDescent="0.25">
      <c r="A1246" t="s">
        <v>3463</v>
      </c>
      <c r="B1246" t="str">
        <f>MID(tbl_lock[[#This Row],[PACE Job Number]],3,3)</f>
        <v>STX</v>
      </c>
      <c r="C1246" t="s">
        <v>14</v>
      </c>
      <c r="D1246" s="1">
        <v>43419</v>
      </c>
    </row>
    <row r="1247" spans="1:4" x14ac:dyDescent="0.25">
      <c r="A1247" t="s">
        <v>5197</v>
      </c>
      <c r="B1247" t="str">
        <f>MID(tbl_lock[[#This Row],[PACE Job Number]],3,3)</f>
        <v>WSH</v>
      </c>
      <c r="C1247" t="s">
        <v>14</v>
      </c>
      <c r="D1247" s="1">
        <v>43416</v>
      </c>
    </row>
    <row r="1248" spans="1:4" x14ac:dyDescent="0.25">
      <c r="A1248" t="s">
        <v>5198</v>
      </c>
      <c r="B1248" t="str">
        <f>MID(tbl_lock[[#This Row],[PACE Job Number]],3,3)</f>
        <v>WSH</v>
      </c>
      <c r="C1248" t="s">
        <v>14</v>
      </c>
      <c r="D1248" s="1">
        <v>43430</v>
      </c>
    </row>
    <row r="1249" spans="1:4" x14ac:dyDescent="0.25">
      <c r="A1249" t="s">
        <v>4206</v>
      </c>
      <c r="B1249" t="str">
        <f>MID(tbl_lock[[#This Row],[PACE Job Number]],3,3)</f>
        <v>WSH</v>
      </c>
      <c r="C1249" t="s">
        <v>14</v>
      </c>
      <c r="D1249" s="1">
        <v>43411</v>
      </c>
    </row>
    <row r="1250" spans="1:4" x14ac:dyDescent="0.25">
      <c r="A1250" t="s">
        <v>254</v>
      </c>
      <c r="B1250" t="str">
        <f>MID(tbl_lock[[#This Row],[PACE Job Number]],3,3)</f>
        <v>WSH</v>
      </c>
      <c r="C1250" t="s">
        <v>14</v>
      </c>
      <c r="D1250" s="1">
        <v>43416</v>
      </c>
    </row>
    <row r="1251" spans="1:4" x14ac:dyDescent="0.25">
      <c r="A1251" t="s">
        <v>5199</v>
      </c>
      <c r="B1251" t="str">
        <f>MID(tbl_lock[[#This Row],[PACE Job Number]],3,3)</f>
        <v>WSH</v>
      </c>
      <c r="C1251" t="s">
        <v>14</v>
      </c>
      <c r="D1251" s="1">
        <v>43409</v>
      </c>
    </row>
    <row r="1252" spans="1:4" x14ac:dyDescent="0.25">
      <c r="A1252" t="s">
        <v>5200</v>
      </c>
      <c r="B1252" t="str">
        <f>MID(tbl_lock[[#This Row],[PACE Job Number]],3,3)</f>
        <v>WSH</v>
      </c>
      <c r="C1252" t="s">
        <v>14</v>
      </c>
      <c r="D1252" s="1">
        <v>43411</v>
      </c>
    </row>
    <row r="1253" spans="1:4" x14ac:dyDescent="0.25">
      <c r="A1253" t="s">
        <v>5327</v>
      </c>
      <c r="B1253" t="str">
        <f>MID(tbl_lock[[#This Row],[PACE Job Number]],3,3)</f>
        <v>WSH</v>
      </c>
      <c r="C1253" t="s">
        <v>14</v>
      </c>
      <c r="D1253" s="1">
        <v>43423</v>
      </c>
    </row>
    <row r="1254" spans="1:4" x14ac:dyDescent="0.25">
      <c r="A1254" t="s">
        <v>3813</v>
      </c>
      <c r="B1254" t="str">
        <f>MID(tbl_lock[[#This Row],[PACE Job Number]],3,3)</f>
        <v>WSH</v>
      </c>
      <c r="C1254" t="s">
        <v>14</v>
      </c>
      <c r="D1254" s="1">
        <v>43409</v>
      </c>
    </row>
    <row r="1255" spans="1:4" x14ac:dyDescent="0.25">
      <c r="A1255" t="s">
        <v>3396</v>
      </c>
      <c r="B1255" t="str">
        <f>MID(tbl_lock[[#This Row],[PACE Job Number]],3,3)</f>
        <v>WSH</v>
      </c>
      <c r="C1255" t="s">
        <v>14</v>
      </c>
      <c r="D1255" s="1">
        <v>43430</v>
      </c>
    </row>
    <row r="1256" spans="1:4" x14ac:dyDescent="0.25">
      <c r="A1256" t="s">
        <v>5328</v>
      </c>
      <c r="B1256" t="str">
        <f>MID(tbl_lock[[#This Row],[PACE Job Number]],3,3)</f>
        <v>WSH</v>
      </c>
      <c r="C1256" t="s">
        <v>14</v>
      </c>
      <c r="D1256" s="1">
        <v>43423</v>
      </c>
    </row>
    <row r="1257" spans="1:4" x14ac:dyDescent="0.25">
      <c r="A1257" t="s">
        <v>214</v>
      </c>
      <c r="B1257" t="str">
        <f>MID(tbl_lock[[#This Row],[PACE Job Number]],3,3)</f>
        <v>WSH</v>
      </c>
      <c r="C1257" t="s">
        <v>14</v>
      </c>
      <c r="D1257" s="1">
        <v>43423</v>
      </c>
    </row>
    <row r="1258" spans="1:4" x14ac:dyDescent="0.25">
      <c r="A1258" t="s">
        <v>4208</v>
      </c>
      <c r="B1258" t="str">
        <f>MID(tbl_lock[[#This Row],[PACE Job Number]],3,3)</f>
        <v>WSH</v>
      </c>
      <c r="C1258" t="s">
        <v>14</v>
      </c>
      <c r="D1258" s="1">
        <v>43416</v>
      </c>
    </row>
    <row r="1259" spans="1:4" x14ac:dyDescent="0.25">
      <c r="A1259" t="s">
        <v>5201</v>
      </c>
      <c r="B1259" t="str">
        <f>MID(tbl_lock[[#This Row],[PACE Job Number]],3,3)</f>
        <v>WSH</v>
      </c>
      <c r="C1259" t="s">
        <v>14</v>
      </c>
      <c r="D1259" s="1">
        <v>43413</v>
      </c>
    </row>
    <row r="1260" spans="1:4" x14ac:dyDescent="0.25">
      <c r="A1260" t="s">
        <v>5202</v>
      </c>
      <c r="B1260" t="str">
        <f>MID(tbl_lock[[#This Row],[PACE Job Number]],3,3)</f>
        <v>WSH</v>
      </c>
      <c r="C1260" t="s">
        <v>14</v>
      </c>
      <c r="D1260" s="1">
        <v>43416</v>
      </c>
    </row>
    <row r="1261" spans="1:4" x14ac:dyDescent="0.25">
      <c r="A1261" t="s">
        <v>3820</v>
      </c>
      <c r="B1261" t="str">
        <f>MID(tbl_lock[[#This Row],[PACE Job Number]],3,3)</f>
        <v>WSH</v>
      </c>
      <c r="C1261" t="s">
        <v>14</v>
      </c>
      <c r="D1261" s="1">
        <v>43416</v>
      </c>
    </row>
    <row r="1262" spans="1:4" x14ac:dyDescent="0.25">
      <c r="A1262" t="s">
        <v>5329</v>
      </c>
      <c r="B1262" t="str">
        <f>MID(tbl_lock[[#This Row],[PACE Job Number]],3,3)</f>
        <v>WSH</v>
      </c>
      <c r="C1262" t="s">
        <v>14</v>
      </c>
      <c r="D1262" s="1">
        <v>43423</v>
      </c>
    </row>
    <row r="1263" spans="1:4" x14ac:dyDescent="0.25">
      <c r="A1263" t="s">
        <v>5330</v>
      </c>
      <c r="B1263" t="str">
        <f>MID(tbl_lock[[#This Row],[PACE Job Number]],3,3)</f>
        <v>WSH</v>
      </c>
      <c r="C1263" t="s">
        <v>14</v>
      </c>
      <c r="D1263" s="1">
        <v>43430</v>
      </c>
    </row>
    <row r="1264" spans="1:4" x14ac:dyDescent="0.25">
      <c r="A1264" t="s">
        <v>4327</v>
      </c>
      <c r="B1264" t="str">
        <f>MID(tbl_lock[[#This Row],[PACE Job Number]],3,3)</f>
        <v>STX</v>
      </c>
      <c r="C1264" t="s">
        <v>14</v>
      </c>
      <c r="D1264" s="1">
        <v>43416</v>
      </c>
    </row>
    <row r="1265" spans="1:4" x14ac:dyDescent="0.25">
      <c r="A1265" t="s">
        <v>5331</v>
      </c>
      <c r="B1265" t="str">
        <f>MID(tbl_lock[[#This Row],[PACE Job Number]],3,3)</f>
        <v>STX</v>
      </c>
      <c r="C1265" t="s">
        <v>14</v>
      </c>
      <c r="D1265" s="1">
        <v>43420</v>
      </c>
    </row>
    <row r="1266" spans="1:4" x14ac:dyDescent="0.25">
      <c r="A1266" t="s">
        <v>4329</v>
      </c>
      <c r="B1266" t="str">
        <f>MID(tbl_lock[[#This Row],[PACE Job Number]],3,3)</f>
        <v>STX</v>
      </c>
      <c r="C1266" t="s">
        <v>14</v>
      </c>
      <c r="D1266" s="1">
        <v>43416</v>
      </c>
    </row>
    <row r="1267" spans="1:4" x14ac:dyDescent="0.25">
      <c r="A1267" t="s">
        <v>187</v>
      </c>
      <c r="B1267" t="str">
        <f>MID(tbl_lock[[#This Row],[PACE Job Number]],3,3)</f>
        <v>STX</v>
      </c>
      <c r="C1267" t="s">
        <v>14</v>
      </c>
      <c r="D1267" s="1">
        <v>43416</v>
      </c>
    </row>
    <row r="1268" spans="1:4" x14ac:dyDescent="0.25">
      <c r="A1268" t="s">
        <v>5332</v>
      </c>
      <c r="B1268" t="str">
        <f>MID(tbl_lock[[#This Row],[PACE Job Number]],3,3)</f>
        <v>STX</v>
      </c>
      <c r="C1268" t="s">
        <v>14</v>
      </c>
      <c r="D1268" s="1">
        <v>43416</v>
      </c>
    </row>
    <row r="1269" spans="1:4" x14ac:dyDescent="0.25">
      <c r="A1269" t="s">
        <v>2576</v>
      </c>
      <c r="B1269" t="str">
        <f>MID(tbl_lock[[#This Row],[PACE Job Number]],3,3)</f>
        <v>STX</v>
      </c>
      <c r="C1269" t="s">
        <v>14</v>
      </c>
      <c r="D1269" s="1">
        <v>43419</v>
      </c>
    </row>
    <row r="1270" spans="1:4" x14ac:dyDescent="0.25">
      <c r="A1270" t="s">
        <v>4330</v>
      </c>
      <c r="B1270" t="str">
        <f>MID(tbl_lock[[#This Row],[PACE Job Number]],3,3)</f>
        <v>STX</v>
      </c>
      <c r="C1270" t="s">
        <v>14</v>
      </c>
      <c r="D1270" s="1">
        <v>43416</v>
      </c>
    </row>
    <row r="1271" spans="1:4" x14ac:dyDescent="0.25">
      <c r="A1271" t="s">
        <v>4331</v>
      </c>
      <c r="B1271" t="str">
        <f>MID(tbl_lock[[#This Row],[PACE Job Number]],3,3)</f>
        <v>STX</v>
      </c>
      <c r="C1271" t="s">
        <v>14</v>
      </c>
      <c r="D1271" s="1">
        <v>43416</v>
      </c>
    </row>
    <row r="1272" spans="1:4" x14ac:dyDescent="0.25">
      <c r="A1272" t="s">
        <v>3365</v>
      </c>
      <c r="B1272" t="str">
        <f>MID(tbl_lock[[#This Row],[PACE Job Number]],3,3)</f>
        <v>STX</v>
      </c>
      <c r="C1272" t="s">
        <v>14</v>
      </c>
      <c r="D1272" s="1">
        <v>43416</v>
      </c>
    </row>
    <row r="1273" spans="1:4" x14ac:dyDescent="0.25">
      <c r="A1273" t="s">
        <v>2571</v>
      </c>
      <c r="B1273" t="str">
        <f>MID(tbl_lock[[#This Row],[PACE Job Number]],3,3)</f>
        <v>STX</v>
      </c>
      <c r="C1273" t="s">
        <v>14</v>
      </c>
      <c r="D1273" s="1">
        <v>43416</v>
      </c>
    </row>
    <row r="1274" spans="1:4" x14ac:dyDescent="0.25">
      <c r="A1274" t="s">
        <v>2578</v>
      </c>
      <c r="B1274" t="str">
        <f>MID(tbl_lock[[#This Row],[PACE Job Number]],3,3)</f>
        <v>STX</v>
      </c>
      <c r="C1274" t="s">
        <v>14</v>
      </c>
      <c r="D1274" s="1">
        <v>43419</v>
      </c>
    </row>
    <row r="1275" spans="1:4" x14ac:dyDescent="0.25">
      <c r="A1275" t="s">
        <v>3362</v>
      </c>
      <c r="B1275" t="str">
        <f>MID(tbl_lock[[#This Row],[PACE Job Number]],3,3)</f>
        <v>STX</v>
      </c>
      <c r="C1275" t="s">
        <v>14</v>
      </c>
      <c r="D1275" s="1">
        <v>43420</v>
      </c>
    </row>
    <row r="1276" spans="1:4" x14ac:dyDescent="0.25">
      <c r="A1276" t="s">
        <v>5333</v>
      </c>
      <c r="B1276" t="str">
        <f>MID(tbl_lock[[#This Row],[PACE Job Number]],3,3)</f>
        <v>STX</v>
      </c>
      <c r="C1276" t="s">
        <v>14</v>
      </c>
      <c r="D1276" s="1">
        <v>43419</v>
      </c>
    </row>
    <row r="1277" spans="1:4" x14ac:dyDescent="0.25">
      <c r="A1277" t="s">
        <v>5334</v>
      </c>
      <c r="B1277" t="str">
        <f>MID(tbl_lock[[#This Row],[PACE Job Number]],3,3)</f>
        <v>STX</v>
      </c>
      <c r="C1277" t="s">
        <v>14</v>
      </c>
      <c r="D1277" s="1">
        <v>43419</v>
      </c>
    </row>
    <row r="1278" spans="1:4" x14ac:dyDescent="0.25">
      <c r="A1278" t="s">
        <v>5335</v>
      </c>
      <c r="B1278" t="str">
        <f>MID(tbl_lock[[#This Row],[PACE Job Number]],3,3)</f>
        <v>NTX</v>
      </c>
      <c r="C1278" t="s">
        <v>14</v>
      </c>
      <c r="D1278" s="1">
        <v>43419</v>
      </c>
    </row>
    <row r="1279" spans="1:4" x14ac:dyDescent="0.25">
      <c r="A1279" t="s">
        <v>2322</v>
      </c>
      <c r="B1279" t="str">
        <f>MID(tbl_lock[[#This Row],[PACE Job Number]],3,3)</f>
        <v>NTX</v>
      </c>
      <c r="C1279" t="s">
        <v>14</v>
      </c>
      <c r="D1279" s="1">
        <v>43416</v>
      </c>
    </row>
    <row r="1280" spans="1:4" x14ac:dyDescent="0.25">
      <c r="A1280" t="s">
        <v>920</v>
      </c>
      <c r="B1280" t="str">
        <f>MID(tbl_lock[[#This Row],[PACE Job Number]],3,3)</f>
        <v>NTX</v>
      </c>
      <c r="C1280" t="s">
        <v>14</v>
      </c>
      <c r="D1280" s="1">
        <v>43409</v>
      </c>
    </row>
    <row r="1281" spans="1:4" x14ac:dyDescent="0.25">
      <c r="A1281" t="s">
        <v>3796</v>
      </c>
      <c r="B1281" t="str">
        <f>MID(tbl_lock[[#This Row],[PACE Job Number]],3,3)</f>
        <v>NTX</v>
      </c>
      <c r="C1281" t="s">
        <v>14</v>
      </c>
      <c r="D1281" s="1">
        <v>43432</v>
      </c>
    </row>
    <row r="1282" spans="1:4" x14ac:dyDescent="0.25">
      <c r="A1282" t="s">
        <v>4416</v>
      </c>
      <c r="B1282" t="str">
        <f>MID(tbl_lock[[#This Row],[PACE Job Number]],3,3)</f>
        <v>NTX</v>
      </c>
      <c r="C1282" t="s">
        <v>14</v>
      </c>
      <c r="D1282" s="1">
        <v>43416</v>
      </c>
    </row>
    <row r="1283" spans="1:4" x14ac:dyDescent="0.25">
      <c r="A1283" t="s">
        <v>921</v>
      </c>
      <c r="B1283" t="str">
        <f>MID(tbl_lock[[#This Row],[PACE Job Number]],3,3)</f>
        <v>NTX</v>
      </c>
      <c r="C1283" t="s">
        <v>14</v>
      </c>
      <c r="D1283" s="1">
        <v>43409</v>
      </c>
    </row>
    <row r="1284" spans="1:4" x14ac:dyDescent="0.25">
      <c r="A1284" t="s">
        <v>1723</v>
      </c>
      <c r="B1284" t="str">
        <f>MID(tbl_lock[[#This Row],[PACE Job Number]],3,3)</f>
        <v>NTX</v>
      </c>
      <c r="C1284" t="s">
        <v>14</v>
      </c>
      <c r="D1284" s="1">
        <v>43413</v>
      </c>
    </row>
    <row r="1285" spans="1:4" x14ac:dyDescent="0.25">
      <c r="A1285" t="s">
        <v>246</v>
      </c>
      <c r="B1285" t="str">
        <f>MID(tbl_lock[[#This Row],[PACE Job Number]],3,3)</f>
        <v>NTX</v>
      </c>
      <c r="C1285" t="s">
        <v>14</v>
      </c>
      <c r="D1285" s="1">
        <v>43409</v>
      </c>
    </row>
    <row r="1286" spans="1:4" x14ac:dyDescent="0.25">
      <c r="A1286" t="s">
        <v>588</v>
      </c>
      <c r="B1286" t="str">
        <f>MID(tbl_lock[[#This Row],[PACE Job Number]],3,3)</f>
        <v>NTX</v>
      </c>
      <c r="C1286" t="s">
        <v>14</v>
      </c>
      <c r="D1286" s="1">
        <v>43416</v>
      </c>
    </row>
    <row r="1287" spans="1:4" x14ac:dyDescent="0.25">
      <c r="A1287" t="s">
        <v>5336</v>
      </c>
      <c r="B1287" t="str">
        <f>MID(tbl_lock[[#This Row],[PACE Job Number]],3,3)</f>
        <v>NTX</v>
      </c>
      <c r="C1287" t="s">
        <v>14</v>
      </c>
      <c r="D1287" s="1">
        <v>43416</v>
      </c>
    </row>
    <row r="1288" spans="1:4" x14ac:dyDescent="0.25">
      <c r="A1288" t="s">
        <v>3884</v>
      </c>
      <c r="B1288" t="str">
        <f>MID(tbl_lock[[#This Row],[PACE Job Number]],3,3)</f>
        <v>NTX</v>
      </c>
      <c r="C1288" t="s">
        <v>14</v>
      </c>
      <c r="D1288" s="1">
        <v>43432</v>
      </c>
    </row>
    <row r="1289" spans="1:4" x14ac:dyDescent="0.25">
      <c r="A1289" t="s">
        <v>5337</v>
      </c>
      <c r="B1289" t="str">
        <f>MID(tbl_lock[[#This Row],[PACE Job Number]],3,3)</f>
        <v>NTX</v>
      </c>
      <c r="C1289" t="s">
        <v>14</v>
      </c>
      <c r="D1289" s="1">
        <v>43416</v>
      </c>
    </row>
    <row r="1290" spans="1:4" x14ac:dyDescent="0.25">
      <c r="A1290" t="s">
        <v>5338</v>
      </c>
      <c r="B1290" t="str">
        <f>MID(tbl_lock[[#This Row],[PACE Job Number]],3,3)</f>
        <v>NTX</v>
      </c>
      <c r="C1290" t="s">
        <v>14</v>
      </c>
      <c r="D1290" s="1">
        <v>43432</v>
      </c>
    </row>
    <row r="1291" spans="1:4" x14ac:dyDescent="0.25">
      <c r="A1291" t="s">
        <v>497</v>
      </c>
      <c r="B1291" t="str">
        <f>MID(tbl_lock[[#This Row],[PACE Job Number]],3,3)</f>
        <v>NTX</v>
      </c>
      <c r="C1291" t="s">
        <v>14</v>
      </c>
      <c r="D1291" s="1">
        <v>43432</v>
      </c>
    </row>
    <row r="1292" spans="1:4" x14ac:dyDescent="0.25">
      <c r="A1292" t="s">
        <v>4384</v>
      </c>
      <c r="B1292" t="str">
        <f>MID(tbl_lock[[#This Row],[PACE Job Number]],3,3)</f>
        <v>NTX</v>
      </c>
      <c r="C1292" t="s">
        <v>14</v>
      </c>
      <c r="D1292" s="1">
        <v>43405</v>
      </c>
    </row>
    <row r="1293" spans="1:4" x14ac:dyDescent="0.25">
      <c r="A1293" t="s">
        <v>590</v>
      </c>
      <c r="B1293" t="str">
        <f>MID(tbl_lock[[#This Row],[PACE Job Number]],3,3)</f>
        <v>NTX</v>
      </c>
      <c r="C1293" t="s">
        <v>14</v>
      </c>
      <c r="D1293" s="1">
        <v>43409</v>
      </c>
    </row>
    <row r="1294" spans="1:4" x14ac:dyDescent="0.25">
      <c r="A1294" t="s">
        <v>363</v>
      </c>
      <c r="B1294" t="str">
        <f>MID(tbl_lock[[#This Row],[PACE Job Number]],3,3)</f>
        <v>NTX</v>
      </c>
      <c r="C1294" t="s">
        <v>14</v>
      </c>
      <c r="D1294" s="1">
        <v>43409</v>
      </c>
    </row>
    <row r="1295" spans="1:4" x14ac:dyDescent="0.25">
      <c r="A1295" t="s">
        <v>5339</v>
      </c>
      <c r="B1295" t="str">
        <f>MID(tbl_lock[[#This Row],[PACE Job Number]],3,3)</f>
        <v>NTX</v>
      </c>
      <c r="C1295" t="s">
        <v>14</v>
      </c>
      <c r="D1295" s="1">
        <v>43434</v>
      </c>
    </row>
    <row r="1296" spans="1:4" x14ac:dyDescent="0.25">
      <c r="A1296" t="s">
        <v>788</v>
      </c>
      <c r="B1296" t="str">
        <f>MID(tbl_lock[[#This Row],[PACE Job Number]],3,3)</f>
        <v>NTX</v>
      </c>
      <c r="C1296" t="s">
        <v>14</v>
      </c>
      <c r="D1296" s="1">
        <v>43409</v>
      </c>
    </row>
    <row r="1297" spans="1:4" x14ac:dyDescent="0.25">
      <c r="A1297" t="s">
        <v>4388</v>
      </c>
      <c r="B1297" t="str">
        <f>MID(tbl_lock[[#This Row],[PACE Job Number]],3,3)</f>
        <v>NTX</v>
      </c>
      <c r="C1297" t="s">
        <v>14</v>
      </c>
      <c r="D1297" s="1">
        <v>43405</v>
      </c>
    </row>
    <row r="1298" spans="1:4" x14ac:dyDescent="0.25">
      <c r="A1298" t="s">
        <v>5340</v>
      </c>
      <c r="B1298" t="str">
        <f>MID(tbl_lock[[#This Row],[PACE Job Number]],3,3)</f>
        <v>NTX</v>
      </c>
      <c r="C1298" t="s">
        <v>14</v>
      </c>
      <c r="D1298" s="1">
        <v>43432</v>
      </c>
    </row>
    <row r="1299" spans="1:4" x14ac:dyDescent="0.25">
      <c r="A1299" t="s">
        <v>5341</v>
      </c>
      <c r="B1299" t="str">
        <f>MID(tbl_lock[[#This Row],[PACE Job Number]],3,3)</f>
        <v>NTX</v>
      </c>
      <c r="C1299" t="s">
        <v>14</v>
      </c>
      <c r="D1299" s="1">
        <v>43430</v>
      </c>
    </row>
    <row r="1300" spans="1:4" x14ac:dyDescent="0.25">
      <c r="A1300" t="s">
        <v>4381</v>
      </c>
      <c r="B1300" t="str">
        <f>MID(tbl_lock[[#This Row],[PACE Job Number]],3,3)</f>
        <v>STX</v>
      </c>
      <c r="C1300" t="s">
        <v>14</v>
      </c>
      <c r="D1300" s="1">
        <v>43406</v>
      </c>
    </row>
    <row r="1301" spans="1:4" x14ac:dyDescent="0.25">
      <c r="A1301" t="s">
        <v>4390</v>
      </c>
      <c r="B1301" t="str">
        <f>MID(tbl_lock[[#This Row],[PACE Job Number]],3,3)</f>
        <v>STX</v>
      </c>
      <c r="C1301" t="s">
        <v>14</v>
      </c>
      <c r="D1301" s="1">
        <v>43419</v>
      </c>
    </row>
    <row r="1302" spans="1:4" x14ac:dyDescent="0.25">
      <c r="A1302" t="s">
        <v>578</v>
      </c>
      <c r="B1302" t="str">
        <f>MID(tbl_lock[[#This Row],[PACE Job Number]],3,3)</f>
        <v>STX</v>
      </c>
      <c r="C1302" t="s">
        <v>14</v>
      </c>
      <c r="D1302" s="1">
        <v>43419</v>
      </c>
    </row>
    <row r="1303" spans="1:4" x14ac:dyDescent="0.25">
      <c r="A1303" t="s">
        <v>3446</v>
      </c>
      <c r="B1303" t="str">
        <f>MID(tbl_lock[[#This Row],[PACE Job Number]],3,3)</f>
        <v>ANM</v>
      </c>
      <c r="C1303" t="s">
        <v>14</v>
      </c>
      <c r="D1303" s="1">
        <v>43409</v>
      </c>
    </row>
    <row r="1304" spans="1:4" x14ac:dyDescent="0.25">
      <c r="A1304" t="s">
        <v>5207</v>
      </c>
      <c r="B1304" t="str">
        <f>MID(tbl_lock[[#This Row],[PACE Job Number]],3,3)</f>
        <v>ANM</v>
      </c>
      <c r="C1304" t="s">
        <v>14</v>
      </c>
      <c r="D1304" s="1">
        <v>43412</v>
      </c>
    </row>
    <row r="1305" spans="1:4" x14ac:dyDescent="0.25">
      <c r="A1305" t="s">
        <v>5208</v>
      </c>
      <c r="B1305" t="str">
        <f>MID(tbl_lock[[#This Row],[PACE Job Number]],3,3)</f>
        <v>ANM</v>
      </c>
      <c r="C1305" t="s">
        <v>14</v>
      </c>
      <c r="D1305" s="1">
        <v>43412</v>
      </c>
    </row>
    <row r="1306" spans="1:4" x14ac:dyDescent="0.25">
      <c r="A1306" t="s">
        <v>5209</v>
      </c>
      <c r="B1306" t="str">
        <f>MID(tbl_lock[[#This Row],[PACE Job Number]],3,3)</f>
        <v>ANM</v>
      </c>
      <c r="C1306" t="s">
        <v>14</v>
      </c>
      <c r="D1306" s="1">
        <v>43412</v>
      </c>
    </row>
    <row r="1307" spans="1:4" x14ac:dyDescent="0.25">
      <c r="A1307" t="s">
        <v>3773</v>
      </c>
      <c r="B1307" t="str">
        <f>MID(tbl_lock[[#This Row],[PACE Job Number]],3,3)</f>
        <v>NTX</v>
      </c>
      <c r="C1307" t="s">
        <v>14</v>
      </c>
      <c r="D1307" s="1">
        <v>43430</v>
      </c>
    </row>
    <row r="1308" spans="1:4" x14ac:dyDescent="0.25">
      <c r="A1308" t="s">
        <v>1793</v>
      </c>
      <c r="B1308" t="str">
        <f>MID(tbl_lock[[#This Row],[PACE Job Number]],3,3)</f>
        <v>NTX</v>
      </c>
      <c r="C1308" t="s">
        <v>14</v>
      </c>
      <c r="D1308" s="1">
        <v>43434</v>
      </c>
    </row>
    <row r="1309" spans="1:4" x14ac:dyDescent="0.25">
      <c r="A1309" t="s">
        <v>3774</v>
      </c>
      <c r="B1309" t="str">
        <f>MID(tbl_lock[[#This Row],[PACE Job Number]],3,3)</f>
        <v>NTX</v>
      </c>
      <c r="C1309" t="s">
        <v>14</v>
      </c>
      <c r="D1309" s="1">
        <v>43430</v>
      </c>
    </row>
    <row r="1310" spans="1:4" x14ac:dyDescent="0.25">
      <c r="A1310" t="s">
        <v>600</v>
      </c>
      <c r="B1310" t="str">
        <f>MID(tbl_lock[[#This Row],[PACE Job Number]],3,3)</f>
        <v>NTX</v>
      </c>
      <c r="C1310" t="s">
        <v>14</v>
      </c>
      <c r="D1310" s="1">
        <v>43434</v>
      </c>
    </row>
    <row r="1311" spans="1:4" x14ac:dyDescent="0.25">
      <c r="A1311" t="s">
        <v>855</v>
      </c>
      <c r="B1311" t="str">
        <f>MID(tbl_lock[[#This Row],[PACE Job Number]],3,3)</f>
        <v>NTX</v>
      </c>
      <c r="C1311" t="s">
        <v>14</v>
      </c>
      <c r="D1311" s="1">
        <v>43434</v>
      </c>
    </row>
    <row r="1312" spans="1:4" x14ac:dyDescent="0.25">
      <c r="A1312" t="s">
        <v>1797</v>
      </c>
      <c r="B1312" t="str">
        <f>MID(tbl_lock[[#This Row],[PACE Job Number]],3,3)</f>
        <v>NTX</v>
      </c>
      <c r="C1312" t="s">
        <v>14</v>
      </c>
      <c r="D1312" s="1">
        <v>43434</v>
      </c>
    </row>
    <row r="1313" spans="1:4" x14ac:dyDescent="0.25">
      <c r="A1313" t="s">
        <v>3845</v>
      </c>
      <c r="B1313" t="str">
        <f>MID(tbl_lock[[#This Row],[PACE Job Number]],3,3)</f>
        <v>NTX</v>
      </c>
      <c r="C1313" t="s">
        <v>14</v>
      </c>
      <c r="D1313" s="1">
        <v>43406</v>
      </c>
    </row>
    <row r="1314" spans="1:4" x14ac:dyDescent="0.25">
      <c r="A1314" t="s">
        <v>2700</v>
      </c>
      <c r="B1314" t="str">
        <f>MID(tbl_lock[[#This Row],[PACE Job Number]],3,3)</f>
        <v>STX</v>
      </c>
      <c r="C1314" t="s">
        <v>14</v>
      </c>
      <c r="D1314" s="1">
        <v>43419</v>
      </c>
    </row>
    <row r="1315" spans="1:4" x14ac:dyDescent="0.25">
      <c r="A1315" t="s">
        <v>728</v>
      </c>
      <c r="B1315" t="str">
        <f>MID(tbl_lock[[#This Row],[PACE Job Number]],3,3)</f>
        <v>STX</v>
      </c>
      <c r="C1315" t="s">
        <v>14</v>
      </c>
      <c r="D1315" s="1">
        <v>43419</v>
      </c>
    </row>
    <row r="1316" spans="1:4" x14ac:dyDescent="0.25">
      <c r="A1316" t="s">
        <v>3361</v>
      </c>
      <c r="B1316" t="str">
        <f>MID(tbl_lock[[#This Row],[PACE Job Number]],3,3)</f>
        <v>STX</v>
      </c>
      <c r="C1316" t="s">
        <v>14</v>
      </c>
      <c r="D1316" s="1">
        <v>43416</v>
      </c>
    </row>
    <row r="1317" spans="1:4" x14ac:dyDescent="0.25">
      <c r="A1317" t="s">
        <v>4397</v>
      </c>
      <c r="B1317" t="str">
        <f>MID(tbl_lock[[#This Row],[PACE Job Number]],3,3)</f>
        <v>STX</v>
      </c>
      <c r="C1317" t="s">
        <v>14</v>
      </c>
      <c r="D1317" s="1">
        <v>43419</v>
      </c>
    </row>
    <row r="1318" spans="1:4" x14ac:dyDescent="0.25">
      <c r="A1318" t="s">
        <v>3911</v>
      </c>
      <c r="B1318" t="str">
        <f>MID(tbl_lock[[#This Row],[PACE Job Number]],3,3)</f>
        <v>WSH</v>
      </c>
      <c r="C1318" t="s">
        <v>14</v>
      </c>
      <c r="D1318" s="1">
        <v>43416</v>
      </c>
    </row>
    <row r="1319" spans="1:4" x14ac:dyDescent="0.25">
      <c r="A1319" t="s">
        <v>4210</v>
      </c>
      <c r="B1319" t="str">
        <f>MID(tbl_lock[[#This Row],[PACE Job Number]],3,3)</f>
        <v>WSH</v>
      </c>
      <c r="C1319" t="s">
        <v>14</v>
      </c>
      <c r="D1319" s="1">
        <v>43423</v>
      </c>
    </row>
    <row r="1320" spans="1:4" x14ac:dyDescent="0.25">
      <c r="A1320" t="s">
        <v>5210</v>
      </c>
      <c r="B1320" t="str">
        <f>MID(tbl_lock[[#This Row],[PACE Job Number]],3,3)</f>
        <v>WSH</v>
      </c>
      <c r="C1320" t="s">
        <v>14</v>
      </c>
      <c r="D1320" s="1">
        <v>43411</v>
      </c>
    </row>
    <row r="1321" spans="1:4" x14ac:dyDescent="0.25">
      <c r="A1321" t="s">
        <v>5211</v>
      </c>
      <c r="B1321" t="str">
        <f>MID(tbl_lock[[#This Row],[PACE Job Number]],3,3)</f>
        <v>WSH</v>
      </c>
      <c r="C1321" t="s">
        <v>14</v>
      </c>
      <c r="D1321" s="1">
        <v>43423</v>
      </c>
    </row>
    <row r="1322" spans="1:4" x14ac:dyDescent="0.25">
      <c r="A1322" t="s">
        <v>3393</v>
      </c>
      <c r="B1322" t="str">
        <f>MID(tbl_lock[[#This Row],[PACE Job Number]],3,3)</f>
        <v>WSH</v>
      </c>
      <c r="C1322" t="s">
        <v>14</v>
      </c>
      <c r="D1322" s="1">
        <v>43430</v>
      </c>
    </row>
    <row r="1323" spans="1:4" x14ac:dyDescent="0.25">
      <c r="A1323" t="s">
        <v>5212</v>
      </c>
      <c r="B1323" t="str">
        <f>MID(tbl_lock[[#This Row],[PACE Job Number]],3,3)</f>
        <v>WSH</v>
      </c>
      <c r="C1323" t="s">
        <v>14</v>
      </c>
      <c r="D1323" s="1">
        <v>43416</v>
      </c>
    </row>
    <row r="1324" spans="1:4" x14ac:dyDescent="0.25">
      <c r="A1324" t="s">
        <v>3821</v>
      </c>
      <c r="B1324" t="str">
        <f>MID(tbl_lock[[#This Row],[PACE Job Number]],3,3)</f>
        <v>WSH</v>
      </c>
      <c r="C1324" t="s">
        <v>14</v>
      </c>
      <c r="D1324" s="1">
        <v>43416</v>
      </c>
    </row>
    <row r="1325" spans="1:4" x14ac:dyDescent="0.25">
      <c r="A1325" t="s">
        <v>649</v>
      </c>
      <c r="B1325" t="str">
        <f>MID(tbl_lock[[#This Row],[PACE Job Number]],3,3)</f>
        <v>NTX</v>
      </c>
      <c r="C1325" t="s">
        <v>14</v>
      </c>
      <c r="D1325" s="1">
        <v>43413</v>
      </c>
    </row>
    <row r="1326" spans="1:4" x14ac:dyDescent="0.25">
      <c r="A1326" t="s">
        <v>5342</v>
      </c>
      <c r="B1326" t="str">
        <f>MID(tbl_lock[[#This Row],[PACE Job Number]],3,3)</f>
        <v>NTX</v>
      </c>
      <c r="C1326" t="s">
        <v>14</v>
      </c>
      <c r="D1326" s="1">
        <v>43409</v>
      </c>
    </row>
    <row r="1327" spans="1:4" x14ac:dyDescent="0.25">
      <c r="A1327" t="s">
        <v>4337</v>
      </c>
      <c r="B1327" t="str">
        <f>MID(tbl_lock[[#This Row],[PACE Job Number]],3,3)</f>
        <v>NTX</v>
      </c>
      <c r="C1327" t="s">
        <v>14</v>
      </c>
      <c r="D1327" s="1">
        <v>43413</v>
      </c>
    </row>
    <row r="1328" spans="1:4" x14ac:dyDescent="0.25">
      <c r="A1328" t="s">
        <v>5343</v>
      </c>
      <c r="B1328" t="str">
        <f>MID(tbl_lock[[#This Row],[PACE Job Number]],3,3)</f>
        <v>NTX</v>
      </c>
      <c r="C1328" t="s">
        <v>14</v>
      </c>
      <c r="D1328" s="1">
        <v>43416</v>
      </c>
    </row>
    <row r="1329" spans="1:4" x14ac:dyDescent="0.25">
      <c r="A1329" t="s">
        <v>5344</v>
      </c>
      <c r="B1329" t="str">
        <f>MID(tbl_lock[[#This Row],[PACE Job Number]],3,3)</f>
        <v>NTX</v>
      </c>
      <c r="C1329" t="s">
        <v>14</v>
      </c>
      <c r="D1329" s="1">
        <v>43405</v>
      </c>
    </row>
    <row r="1330" spans="1:4" x14ac:dyDescent="0.25">
      <c r="A1330" t="s">
        <v>5345</v>
      </c>
      <c r="B1330" t="str">
        <f>MID(tbl_lock[[#This Row],[PACE Job Number]],3,3)</f>
        <v>STX</v>
      </c>
      <c r="C1330" t="s">
        <v>14</v>
      </c>
      <c r="D1330" s="1">
        <v>43419</v>
      </c>
    </row>
    <row r="1331" spans="1:4" x14ac:dyDescent="0.25">
      <c r="A1331" t="s">
        <v>3822</v>
      </c>
      <c r="B1331" t="str">
        <f>MID(tbl_lock[[#This Row],[PACE Job Number]],3,3)</f>
        <v>WSH</v>
      </c>
      <c r="C1331" t="s">
        <v>14</v>
      </c>
      <c r="D1331" s="1">
        <v>43409</v>
      </c>
    </row>
    <row r="1332" spans="1:4" x14ac:dyDescent="0.25">
      <c r="A1332" t="s">
        <v>5213</v>
      </c>
      <c r="B1332" t="str">
        <f>MID(tbl_lock[[#This Row],[PACE Job Number]],3,3)</f>
        <v>WSH</v>
      </c>
      <c r="C1332" t="s">
        <v>14</v>
      </c>
      <c r="D1332" s="1">
        <v>43409</v>
      </c>
    </row>
    <row r="1333" spans="1:4" x14ac:dyDescent="0.25">
      <c r="A1333" t="s">
        <v>5214</v>
      </c>
      <c r="B1333" t="str">
        <f>MID(tbl_lock[[#This Row],[PACE Job Number]],3,3)</f>
        <v>WSH</v>
      </c>
      <c r="C1333" t="s">
        <v>14</v>
      </c>
      <c r="D1333" s="1">
        <v>43416</v>
      </c>
    </row>
    <row r="1334" spans="1:4" x14ac:dyDescent="0.25">
      <c r="A1334" t="s">
        <v>5215</v>
      </c>
      <c r="B1334" t="str">
        <f>MID(tbl_lock[[#This Row],[PACE Job Number]],3,3)</f>
        <v>WSH</v>
      </c>
      <c r="C1334" t="s">
        <v>14</v>
      </c>
      <c r="D1334" s="1">
        <v>43410</v>
      </c>
    </row>
    <row r="1335" spans="1:4" x14ac:dyDescent="0.25">
      <c r="A1335" t="s">
        <v>5216</v>
      </c>
      <c r="B1335" t="str">
        <f>MID(tbl_lock[[#This Row],[PACE Job Number]],3,3)</f>
        <v>WSH</v>
      </c>
      <c r="C1335" t="s">
        <v>14</v>
      </c>
      <c r="D1335" s="1">
        <v>43411</v>
      </c>
    </row>
    <row r="1336" spans="1:4" x14ac:dyDescent="0.25">
      <c r="A1336" t="s">
        <v>4242</v>
      </c>
      <c r="B1336" t="str">
        <f>MID(tbl_lock[[#This Row],[PACE Job Number]],3,3)</f>
        <v>WSH</v>
      </c>
      <c r="C1336" t="s">
        <v>14</v>
      </c>
      <c r="D1336" s="1">
        <v>43411</v>
      </c>
    </row>
    <row r="1337" spans="1:4" x14ac:dyDescent="0.25">
      <c r="A1337" t="s">
        <v>5346</v>
      </c>
      <c r="B1337" t="str">
        <f>MID(tbl_lock[[#This Row],[PACE Job Number]],3,3)</f>
        <v>WSH</v>
      </c>
      <c r="C1337" t="s">
        <v>14</v>
      </c>
      <c r="D1337" s="1">
        <v>43423</v>
      </c>
    </row>
    <row r="1338" spans="1:4" x14ac:dyDescent="0.25">
      <c r="A1338" t="s">
        <v>5217</v>
      </c>
      <c r="B1338" t="str">
        <f>MID(tbl_lock[[#This Row],[PACE Job Number]],3,3)</f>
        <v>WSH</v>
      </c>
      <c r="C1338" t="s">
        <v>14</v>
      </c>
      <c r="D1338" s="1">
        <v>43410</v>
      </c>
    </row>
    <row r="1339" spans="1:4" x14ac:dyDescent="0.25">
      <c r="A1339" t="s">
        <v>5218</v>
      </c>
      <c r="B1339" t="str">
        <f>MID(tbl_lock[[#This Row],[PACE Job Number]],3,3)</f>
        <v>WSH</v>
      </c>
      <c r="C1339" t="s">
        <v>14</v>
      </c>
      <c r="D1339" s="1">
        <v>43430</v>
      </c>
    </row>
    <row r="1340" spans="1:4" x14ac:dyDescent="0.25">
      <c r="A1340" t="s">
        <v>4245</v>
      </c>
      <c r="B1340" t="str">
        <f>MID(tbl_lock[[#This Row],[PACE Job Number]],3,3)</f>
        <v>WSH</v>
      </c>
      <c r="C1340" t="s">
        <v>14</v>
      </c>
      <c r="D1340" s="1">
        <v>43411</v>
      </c>
    </row>
    <row r="1341" spans="1:4" x14ac:dyDescent="0.25">
      <c r="A1341" t="s">
        <v>5347</v>
      </c>
      <c r="B1341" t="str">
        <f>MID(tbl_lock[[#This Row],[PACE Job Number]],3,3)</f>
        <v>WSH</v>
      </c>
      <c r="C1341" t="s">
        <v>14</v>
      </c>
      <c r="D1341" s="1">
        <v>43423</v>
      </c>
    </row>
    <row r="1342" spans="1:4" x14ac:dyDescent="0.25">
      <c r="A1342" t="s">
        <v>3830</v>
      </c>
      <c r="B1342" t="str">
        <f>MID(tbl_lock[[#This Row],[PACE Job Number]],3,3)</f>
        <v>WSH</v>
      </c>
      <c r="C1342" t="s">
        <v>14</v>
      </c>
      <c r="D1342" s="1">
        <v>43416</v>
      </c>
    </row>
    <row r="1343" spans="1:4" x14ac:dyDescent="0.25">
      <c r="A1343" t="s">
        <v>5219</v>
      </c>
      <c r="B1343" t="str">
        <f>MID(tbl_lock[[#This Row],[PACE Job Number]],3,3)</f>
        <v>WSH</v>
      </c>
      <c r="C1343" t="s">
        <v>14</v>
      </c>
      <c r="D1343" s="1">
        <v>43411</v>
      </c>
    </row>
    <row r="1344" spans="1:4" x14ac:dyDescent="0.25">
      <c r="A1344" t="s">
        <v>5220</v>
      </c>
      <c r="B1344" t="str">
        <f>MID(tbl_lock[[#This Row],[PACE Job Number]],3,3)</f>
        <v>WSH</v>
      </c>
      <c r="C1344" t="s">
        <v>14</v>
      </c>
      <c r="D1344" s="1">
        <v>43413</v>
      </c>
    </row>
    <row r="1345" spans="1:4" x14ac:dyDescent="0.25">
      <c r="A1345" t="s">
        <v>5348</v>
      </c>
      <c r="B1345" t="str">
        <f>MID(tbl_lock[[#This Row],[PACE Job Number]],3,3)</f>
        <v>NTX</v>
      </c>
      <c r="C1345" t="s">
        <v>14</v>
      </c>
      <c r="D1345" s="1">
        <v>43406</v>
      </c>
    </row>
    <row r="1346" spans="1:4" x14ac:dyDescent="0.25">
      <c r="A1346" t="s">
        <v>5349</v>
      </c>
      <c r="B1346" t="str">
        <f>MID(tbl_lock[[#This Row],[PACE Job Number]],3,3)</f>
        <v>NTX</v>
      </c>
      <c r="C1346" t="s">
        <v>14</v>
      </c>
      <c r="D1346" s="1">
        <v>43406</v>
      </c>
    </row>
    <row r="1347" spans="1:4" x14ac:dyDescent="0.25">
      <c r="A1347" t="s">
        <v>5350</v>
      </c>
      <c r="B1347" t="str">
        <f>MID(tbl_lock[[#This Row],[PACE Job Number]],3,3)</f>
        <v>STX</v>
      </c>
      <c r="C1347" t="s">
        <v>14</v>
      </c>
      <c r="D1347" s="1">
        <v>43416</v>
      </c>
    </row>
    <row r="1348" spans="1:4" x14ac:dyDescent="0.25">
      <c r="A1348" t="s">
        <v>3293</v>
      </c>
      <c r="B1348" t="str">
        <f>MID(tbl_lock[[#This Row],[PACE Job Number]],3,3)</f>
        <v>STX</v>
      </c>
      <c r="C1348" t="s">
        <v>14</v>
      </c>
      <c r="D1348" s="1">
        <v>43416</v>
      </c>
    </row>
    <row r="1349" spans="1:4" x14ac:dyDescent="0.25">
      <c r="A1349" t="s">
        <v>1702</v>
      </c>
      <c r="B1349" t="str">
        <f>MID(tbl_lock[[#This Row],[PACE Job Number]],3,3)</f>
        <v>STX</v>
      </c>
      <c r="C1349" t="s">
        <v>14</v>
      </c>
      <c r="D1349" s="1">
        <v>43416</v>
      </c>
    </row>
    <row r="1350" spans="1:4" x14ac:dyDescent="0.25">
      <c r="A1350" t="s">
        <v>4341</v>
      </c>
      <c r="B1350" t="str">
        <f>MID(tbl_lock[[#This Row],[PACE Job Number]],3,3)</f>
        <v>STX</v>
      </c>
      <c r="C1350" t="s">
        <v>14</v>
      </c>
      <c r="D1350" s="1">
        <v>43416</v>
      </c>
    </row>
    <row r="1351" spans="1:4" x14ac:dyDescent="0.25">
      <c r="A1351" t="s">
        <v>4342</v>
      </c>
      <c r="B1351" t="str">
        <f>MID(tbl_lock[[#This Row],[PACE Job Number]],3,3)</f>
        <v>STX</v>
      </c>
      <c r="C1351" t="s">
        <v>14</v>
      </c>
      <c r="D1351" s="1">
        <v>43416</v>
      </c>
    </row>
    <row r="1352" spans="1:4" x14ac:dyDescent="0.25">
      <c r="A1352" t="s">
        <v>611</v>
      </c>
      <c r="B1352" t="str">
        <f>MID(tbl_lock[[#This Row],[PACE Job Number]],3,3)</f>
        <v>STX</v>
      </c>
      <c r="C1352" t="s">
        <v>14</v>
      </c>
      <c r="D1352" s="1">
        <v>43419</v>
      </c>
    </row>
    <row r="1353" spans="1:4" x14ac:dyDescent="0.25">
      <c r="A1353" t="s">
        <v>4343</v>
      </c>
      <c r="B1353" t="str">
        <f>MID(tbl_lock[[#This Row],[PACE Job Number]],3,3)</f>
        <v>STX</v>
      </c>
      <c r="C1353" t="s">
        <v>14</v>
      </c>
      <c r="D1353" s="1">
        <v>43416</v>
      </c>
    </row>
    <row r="1354" spans="1:4" x14ac:dyDescent="0.25">
      <c r="A1354" t="s">
        <v>3236</v>
      </c>
      <c r="B1354" t="str">
        <f>MID(tbl_lock[[#This Row],[PACE Job Number]],3,3)</f>
        <v>STX</v>
      </c>
      <c r="C1354" t="s">
        <v>14</v>
      </c>
      <c r="D1354" s="1">
        <v>43419</v>
      </c>
    </row>
    <row r="1355" spans="1:4" x14ac:dyDescent="0.25">
      <c r="A1355" t="s">
        <v>3235</v>
      </c>
      <c r="B1355" t="str">
        <f>MID(tbl_lock[[#This Row],[PACE Job Number]],3,3)</f>
        <v>STX</v>
      </c>
      <c r="C1355" t="s">
        <v>14</v>
      </c>
      <c r="D1355" s="1">
        <v>43419</v>
      </c>
    </row>
    <row r="1356" spans="1:4" x14ac:dyDescent="0.25">
      <c r="A1356" t="s">
        <v>4345</v>
      </c>
      <c r="B1356" t="str">
        <f>MID(tbl_lock[[#This Row],[PACE Job Number]],3,3)</f>
        <v>STX</v>
      </c>
      <c r="C1356" t="s">
        <v>14</v>
      </c>
      <c r="D1356" s="1">
        <v>43419</v>
      </c>
    </row>
    <row r="1357" spans="1:4" x14ac:dyDescent="0.25">
      <c r="A1357" t="s">
        <v>3339</v>
      </c>
      <c r="B1357" t="str">
        <f>MID(tbl_lock[[#This Row],[PACE Job Number]],3,3)</f>
        <v>STX</v>
      </c>
      <c r="C1357" t="s">
        <v>14</v>
      </c>
      <c r="D1357" s="1">
        <v>43416</v>
      </c>
    </row>
    <row r="1358" spans="1:4" x14ac:dyDescent="0.25">
      <c r="A1358" t="s">
        <v>468</v>
      </c>
      <c r="B1358" t="str">
        <f>MID(tbl_lock[[#This Row],[PACE Job Number]],3,3)</f>
        <v>STX</v>
      </c>
      <c r="C1358" t="s">
        <v>14</v>
      </c>
      <c r="D1358" s="1">
        <v>43419</v>
      </c>
    </row>
    <row r="1359" spans="1:4" x14ac:dyDescent="0.25">
      <c r="A1359" t="s">
        <v>4346</v>
      </c>
      <c r="B1359" t="str">
        <f>MID(tbl_lock[[#This Row],[PACE Job Number]],3,3)</f>
        <v>STX</v>
      </c>
      <c r="C1359" t="s">
        <v>14</v>
      </c>
      <c r="D1359" s="1">
        <v>43416</v>
      </c>
    </row>
    <row r="1360" spans="1:4" x14ac:dyDescent="0.25">
      <c r="A1360" t="s">
        <v>286</v>
      </c>
      <c r="B1360" t="str">
        <f>MID(tbl_lock[[#This Row],[PACE Job Number]],3,3)</f>
        <v>STX</v>
      </c>
      <c r="C1360" t="s">
        <v>14</v>
      </c>
      <c r="D1360" s="1">
        <v>43416</v>
      </c>
    </row>
    <row r="1361" spans="1:4" x14ac:dyDescent="0.25">
      <c r="A1361" t="s">
        <v>2623</v>
      </c>
      <c r="B1361" t="str">
        <f>MID(tbl_lock[[#This Row],[PACE Job Number]],3,3)</f>
        <v>STX</v>
      </c>
      <c r="C1361" t="s">
        <v>14</v>
      </c>
      <c r="D1361" s="1">
        <v>43419</v>
      </c>
    </row>
    <row r="1362" spans="1:4" x14ac:dyDescent="0.25">
      <c r="A1362" t="s">
        <v>466</v>
      </c>
      <c r="B1362" t="str">
        <f>MID(tbl_lock[[#This Row],[PACE Job Number]],3,3)</f>
        <v>STX</v>
      </c>
      <c r="C1362" t="s">
        <v>14</v>
      </c>
      <c r="D1362" s="1">
        <v>43419</v>
      </c>
    </row>
    <row r="1363" spans="1:4" x14ac:dyDescent="0.25">
      <c r="A1363" t="s">
        <v>5351</v>
      </c>
      <c r="B1363" t="str">
        <f>MID(tbl_lock[[#This Row],[PACE Job Number]],3,3)</f>
        <v>NTX</v>
      </c>
      <c r="C1363" t="s">
        <v>14</v>
      </c>
      <c r="D1363" s="1">
        <v>43405</v>
      </c>
    </row>
    <row r="1364" spans="1:4" x14ac:dyDescent="0.25">
      <c r="A1364" t="s">
        <v>3804</v>
      </c>
      <c r="B1364" t="str">
        <f>MID(tbl_lock[[#This Row],[PACE Job Number]],3,3)</f>
        <v>NTX</v>
      </c>
      <c r="C1364" t="s">
        <v>14</v>
      </c>
      <c r="D1364" s="1">
        <v>43423</v>
      </c>
    </row>
    <row r="1365" spans="1:4" x14ac:dyDescent="0.25">
      <c r="A1365" t="s">
        <v>1732</v>
      </c>
      <c r="B1365" t="str">
        <f>MID(tbl_lock[[#This Row],[PACE Job Number]],3,3)</f>
        <v>NTX</v>
      </c>
      <c r="C1365" t="s">
        <v>14</v>
      </c>
      <c r="D1365" s="1">
        <v>43416</v>
      </c>
    </row>
    <row r="1366" spans="1:4" x14ac:dyDescent="0.25">
      <c r="A1366" t="s">
        <v>41</v>
      </c>
      <c r="B1366" t="str">
        <f>MID(tbl_lock[[#This Row],[PACE Job Number]],3,3)</f>
        <v>NTX</v>
      </c>
      <c r="C1366" t="s">
        <v>14</v>
      </c>
      <c r="D1366" s="1">
        <v>43416</v>
      </c>
    </row>
    <row r="1367" spans="1:4" x14ac:dyDescent="0.25">
      <c r="A1367" t="s">
        <v>3428</v>
      </c>
      <c r="B1367" t="str">
        <f>MID(tbl_lock[[#This Row],[PACE Job Number]],3,3)</f>
        <v>NTX</v>
      </c>
      <c r="C1367" t="s">
        <v>14</v>
      </c>
      <c r="D1367" s="1">
        <v>43406</v>
      </c>
    </row>
    <row r="1368" spans="1:4" x14ac:dyDescent="0.25">
      <c r="A1368" t="s">
        <v>5352</v>
      </c>
      <c r="B1368" t="str">
        <f>MID(tbl_lock[[#This Row],[PACE Job Number]],3,3)</f>
        <v>NTX</v>
      </c>
      <c r="C1368" t="s">
        <v>14</v>
      </c>
      <c r="D1368" s="1">
        <v>43409</v>
      </c>
    </row>
    <row r="1369" spans="1:4" x14ac:dyDescent="0.25">
      <c r="A1369" t="s">
        <v>5353</v>
      </c>
      <c r="B1369" t="str">
        <f>MID(tbl_lock[[#This Row],[PACE Job Number]],3,3)</f>
        <v>NTX</v>
      </c>
      <c r="C1369" t="s">
        <v>14</v>
      </c>
      <c r="D1369" s="1">
        <v>43416</v>
      </c>
    </row>
    <row r="1370" spans="1:4" x14ac:dyDescent="0.25">
      <c r="A1370" t="s">
        <v>557</v>
      </c>
      <c r="B1370" t="str">
        <f>MID(tbl_lock[[#This Row],[PACE Job Number]],3,3)</f>
        <v>NTX</v>
      </c>
      <c r="C1370" t="s">
        <v>14</v>
      </c>
      <c r="D1370" s="1">
        <v>43413</v>
      </c>
    </row>
    <row r="1371" spans="1:4" x14ac:dyDescent="0.25">
      <c r="A1371" t="s">
        <v>5354</v>
      </c>
      <c r="B1371" t="str">
        <f>MID(tbl_lock[[#This Row],[PACE Job Number]],3,3)</f>
        <v>NTX</v>
      </c>
      <c r="C1371" t="s">
        <v>14</v>
      </c>
      <c r="D1371" s="1">
        <v>43409</v>
      </c>
    </row>
    <row r="1372" spans="1:4" x14ac:dyDescent="0.25">
      <c r="A1372" t="s">
        <v>4475</v>
      </c>
      <c r="B1372" t="str">
        <f>MID(tbl_lock[[#This Row],[PACE Job Number]],3,3)</f>
        <v>NTX</v>
      </c>
      <c r="C1372" t="s">
        <v>14</v>
      </c>
      <c r="D1372" s="1">
        <v>43413</v>
      </c>
    </row>
    <row r="1373" spans="1:4" x14ac:dyDescent="0.25">
      <c r="A1373" t="s">
        <v>3814</v>
      </c>
      <c r="B1373" t="str">
        <f>MID(tbl_lock[[#This Row],[PACE Job Number]],3,3)</f>
        <v>NTX</v>
      </c>
      <c r="C1373" t="s">
        <v>14</v>
      </c>
      <c r="D1373" s="1">
        <v>43430</v>
      </c>
    </row>
    <row r="1374" spans="1:4" x14ac:dyDescent="0.25">
      <c r="A1374" t="s">
        <v>1089</v>
      </c>
      <c r="B1374" t="str">
        <f>MID(tbl_lock[[#This Row],[PACE Job Number]],3,3)</f>
        <v>NTX</v>
      </c>
      <c r="C1374" t="s">
        <v>14</v>
      </c>
      <c r="D1374" s="1">
        <v>43406</v>
      </c>
    </row>
    <row r="1375" spans="1:4" x14ac:dyDescent="0.25">
      <c r="A1375" t="s">
        <v>404</v>
      </c>
      <c r="B1375" t="str">
        <f>MID(tbl_lock[[#This Row],[PACE Job Number]],3,3)</f>
        <v>NTX</v>
      </c>
      <c r="C1375" t="s">
        <v>14</v>
      </c>
      <c r="D1375" s="1">
        <v>43432</v>
      </c>
    </row>
    <row r="1376" spans="1:4" x14ac:dyDescent="0.25">
      <c r="A1376" t="s">
        <v>4421</v>
      </c>
      <c r="B1376" t="str">
        <f>MID(tbl_lock[[#This Row],[PACE Job Number]],3,3)</f>
        <v>NTX</v>
      </c>
      <c r="C1376" t="s">
        <v>14</v>
      </c>
      <c r="D1376" s="1">
        <v>43405</v>
      </c>
    </row>
    <row r="1377" spans="1:4" x14ac:dyDescent="0.25">
      <c r="A1377" t="s">
        <v>2428</v>
      </c>
      <c r="B1377" t="str">
        <f>MID(tbl_lock[[#This Row],[PACE Job Number]],3,3)</f>
        <v>NTX</v>
      </c>
      <c r="C1377" t="s">
        <v>14</v>
      </c>
      <c r="D1377" s="1">
        <v>43409</v>
      </c>
    </row>
    <row r="1378" spans="1:4" x14ac:dyDescent="0.25">
      <c r="A1378" t="s">
        <v>647</v>
      </c>
      <c r="B1378" t="str">
        <f>MID(tbl_lock[[#This Row],[PACE Job Number]],3,3)</f>
        <v>NTX</v>
      </c>
      <c r="C1378" t="s">
        <v>14</v>
      </c>
      <c r="D1378" s="1">
        <v>43409</v>
      </c>
    </row>
    <row r="1379" spans="1:4" x14ac:dyDescent="0.25">
      <c r="A1379" t="s">
        <v>352</v>
      </c>
      <c r="B1379" t="str">
        <f>MID(tbl_lock[[#This Row],[PACE Job Number]],3,3)</f>
        <v>NTX</v>
      </c>
      <c r="C1379" t="s">
        <v>14</v>
      </c>
      <c r="D1379" s="1">
        <v>43409</v>
      </c>
    </row>
    <row r="1380" spans="1:4" x14ac:dyDescent="0.25">
      <c r="A1380" t="s">
        <v>239</v>
      </c>
      <c r="B1380" t="str">
        <f>MID(tbl_lock[[#This Row],[PACE Job Number]],3,3)</f>
        <v>NTX</v>
      </c>
      <c r="C1380" t="s">
        <v>14</v>
      </c>
      <c r="D1380" s="1">
        <v>43432</v>
      </c>
    </row>
    <row r="1381" spans="1:4" x14ac:dyDescent="0.25">
      <c r="A1381" t="s">
        <v>5355</v>
      </c>
      <c r="B1381" t="str">
        <f>MID(tbl_lock[[#This Row],[PACE Job Number]],3,3)</f>
        <v>NTX</v>
      </c>
      <c r="C1381" t="s">
        <v>14</v>
      </c>
      <c r="D1381" s="1">
        <v>43409</v>
      </c>
    </row>
    <row r="1382" spans="1:4" x14ac:dyDescent="0.25">
      <c r="A1382" t="s">
        <v>52</v>
      </c>
      <c r="B1382" t="str">
        <f>MID(tbl_lock[[#This Row],[PACE Job Number]],3,3)</f>
        <v>NTX</v>
      </c>
      <c r="C1382" t="s">
        <v>14</v>
      </c>
      <c r="D1382" s="1">
        <v>43432</v>
      </c>
    </row>
    <row r="1383" spans="1:4" x14ac:dyDescent="0.25">
      <c r="A1383" t="s">
        <v>238</v>
      </c>
      <c r="B1383" t="str">
        <f>MID(tbl_lock[[#This Row],[PACE Job Number]],3,3)</f>
        <v>NTX</v>
      </c>
      <c r="C1383" t="s">
        <v>14</v>
      </c>
      <c r="D1383" s="1">
        <v>43432</v>
      </c>
    </row>
    <row r="1384" spans="1:4" x14ac:dyDescent="0.25">
      <c r="A1384" t="s">
        <v>5356</v>
      </c>
      <c r="B1384" t="str">
        <f>MID(tbl_lock[[#This Row],[PACE Job Number]],3,3)</f>
        <v>NTX</v>
      </c>
      <c r="C1384" t="s">
        <v>14</v>
      </c>
      <c r="D1384" s="1">
        <v>43416</v>
      </c>
    </row>
    <row r="1385" spans="1:4" x14ac:dyDescent="0.25">
      <c r="A1385" t="s">
        <v>1874</v>
      </c>
      <c r="B1385" t="str">
        <f>MID(tbl_lock[[#This Row],[PACE Job Number]],3,3)</f>
        <v>NTX</v>
      </c>
      <c r="C1385" t="s">
        <v>14</v>
      </c>
      <c r="D1385" s="1">
        <v>43430</v>
      </c>
    </row>
    <row r="1386" spans="1:4" x14ac:dyDescent="0.25">
      <c r="A1386" t="s">
        <v>5223</v>
      </c>
      <c r="B1386" t="str">
        <f>MID(tbl_lock[[#This Row],[PACE Job Number]],3,3)</f>
        <v>ANM</v>
      </c>
      <c r="C1386" t="s">
        <v>14</v>
      </c>
      <c r="D1386" s="1">
        <v>43412</v>
      </c>
    </row>
    <row r="1387" spans="1:4" x14ac:dyDescent="0.25">
      <c r="A1387" t="s">
        <v>5224</v>
      </c>
      <c r="B1387" t="str">
        <f>MID(tbl_lock[[#This Row],[PACE Job Number]],3,3)</f>
        <v>ANM</v>
      </c>
      <c r="C1387" t="s">
        <v>14</v>
      </c>
      <c r="D1387" s="1">
        <v>43412</v>
      </c>
    </row>
    <row r="1388" spans="1:4" x14ac:dyDescent="0.25">
      <c r="A1388" t="s">
        <v>5225</v>
      </c>
      <c r="B1388" t="str">
        <f>MID(tbl_lock[[#This Row],[PACE Job Number]],3,3)</f>
        <v>ANM</v>
      </c>
      <c r="C1388" t="s">
        <v>14</v>
      </c>
      <c r="D1388" s="1">
        <v>43412</v>
      </c>
    </row>
    <row r="1389" spans="1:4" x14ac:dyDescent="0.25">
      <c r="A1389" t="s">
        <v>3430</v>
      </c>
      <c r="B1389" t="str">
        <f>MID(tbl_lock[[#This Row],[PACE Job Number]],3,3)</f>
        <v>ANM</v>
      </c>
      <c r="C1389" t="s">
        <v>14</v>
      </c>
      <c r="D1389" s="1">
        <v>43412</v>
      </c>
    </row>
    <row r="1390" spans="1:4" x14ac:dyDescent="0.25">
      <c r="A1390" t="s">
        <v>3431</v>
      </c>
      <c r="B1390" t="str">
        <f>MID(tbl_lock[[#This Row],[PACE Job Number]],3,3)</f>
        <v>ANM</v>
      </c>
      <c r="C1390" t="s">
        <v>14</v>
      </c>
      <c r="D1390" s="1">
        <v>43412</v>
      </c>
    </row>
    <row r="1391" spans="1:4" x14ac:dyDescent="0.25">
      <c r="A1391" t="s">
        <v>3440</v>
      </c>
      <c r="B1391" t="str">
        <f>MID(tbl_lock[[#This Row],[PACE Job Number]],3,3)</f>
        <v>ANM</v>
      </c>
      <c r="C1391" t="s">
        <v>14</v>
      </c>
      <c r="D1391" s="1">
        <v>43412</v>
      </c>
    </row>
    <row r="1392" spans="1:4" x14ac:dyDescent="0.25">
      <c r="A1392" t="s">
        <v>4145</v>
      </c>
      <c r="B1392" t="str">
        <f>MID(tbl_lock[[#This Row],[PACE Job Number]],3,3)</f>
        <v>ANM</v>
      </c>
      <c r="C1392" t="s">
        <v>14</v>
      </c>
      <c r="D1392" s="1">
        <v>43412</v>
      </c>
    </row>
    <row r="1393" spans="1:4" x14ac:dyDescent="0.25">
      <c r="A1393" t="s">
        <v>5226</v>
      </c>
      <c r="B1393" t="str">
        <f>MID(tbl_lock[[#This Row],[PACE Job Number]],3,3)</f>
        <v>ANM</v>
      </c>
      <c r="C1393" t="s">
        <v>14</v>
      </c>
      <c r="D1393" s="1">
        <v>43406</v>
      </c>
    </row>
    <row r="1394" spans="1:4" x14ac:dyDescent="0.25">
      <c r="A1394" t="s">
        <v>376</v>
      </c>
      <c r="B1394" t="str">
        <f>MID(tbl_lock[[#This Row],[PACE Job Number]],3,3)</f>
        <v>ANM</v>
      </c>
      <c r="C1394" t="s">
        <v>14</v>
      </c>
      <c r="D1394" s="1">
        <v>43434</v>
      </c>
    </row>
    <row r="1395" spans="1:4" x14ac:dyDescent="0.25">
      <c r="A1395" t="s">
        <v>5227</v>
      </c>
      <c r="B1395" t="str">
        <f>MID(tbl_lock[[#This Row],[PACE Job Number]],3,3)</f>
        <v>ANM</v>
      </c>
      <c r="C1395" t="s">
        <v>14</v>
      </c>
      <c r="D1395" s="1">
        <v>43412</v>
      </c>
    </row>
    <row r="1396" spans="1:4" x14ac:dyDescent="0.25">
      <c r="A1396" t="s">
        <v>167</v>
      </c>
      <c r="B1396" t="str">
        <f>MID(tbl_lock[[#This Row],[PACE Job Number]],3,3)</f>
        <v>NTX</v>
      </c>
      <c r="C1396" t="s">
        <v>14</v>
      </c>
      <c r="D1396" s="1">
        <v>43409</v>
      </c>
    </row>
    <row r="1397" spans="1:4" x14ac:dyDescent="0.25">
      <c r="A1397" t="s">
        <v>3974</v>
      </c>
      <c r="B1397" t="str">
        <f>MID(tbl_lock[[#This Row],[PACE Job Number]],3,3)</f>
        <v>NTX</v>
      </c>
      <c r="C1397" t="s">
        <v>14</v>
      </c>
      <c r="D1397" s="1">
        <v>43406</v>
      </c>
    </row>
    <row r="1398" spans="1:4" x14ac:dyDescent="0.25">
      <c r="A1398" t="s">
        <v>237</v>
      </c>
      <c r="B1398" t="str">
        <f>MID(tbl_lock[[#This Row],[PACE Job Number]],3,3)</f>
        <v>NTX</v>
      </c>
      <c r="C1398" t="s">
        <v>14</v>
      </c>
      <c r="D1398" s="1">
        <v>43432</v>
      </c>
    </row>
    <row r="1399" spans="1:4" x14ac:dyDescent="0.25">
      <c r="A1399" t="s">
        <v>4415</v>
      </c>
      <c r="B1399" t="str">
        <f>MID(tbl_lock[[#This Row],[PACE Job Number]],3,3)</f>
        <v>STX</v>
      </c>
      <c r="C1399" t="s">
        <v>14</v>
      </c>
      <c r="D1399" s="1">
        <v>43416</v>
      </c>
    </row>
    <row r="1400" spans="1:4" x14ac:dyDescent="0.25">
      <c r="A1400" t="s">
        <v>5357</v>
      </c>
      <c r="B1400" t="str">
        <f>MID(tbl_lock[[#This Row],[PACE Job Number]],3,3)</f>
        <v>STX</v>
      </c>
      <c r="C1400" t="s">
        <v>14</v>
      </c>
      <c r="D1400" s="1">
        <v>43416</v>
      </c>
    </row>
    <row r="1401" spans="1:4" x14ac:dyDescent="0.25">
      <c r="A1401" t="s">
        <v>5358</v>
      </c>
      <c r="B1401" t="str">
        <f>MID(tbl_lock[[#This Row],[PACE Job Number]],3,3)</f>
        <v>STX</v>
      </c>
      <c r="C1401" t="s">
        <v>14</v>
      </c>
      <c r="D1401" s="1">
        <v>43416</v>
      </c>
    </row>
    <row r="1402" spans="1:4" x14ac:dyDescent="0.25">
      <c r="A1402" t="s">
        <v>5359</v>
      </c>
      <c r="B1402" t="str">
        <f>MID(tbl_lock[[#This Row],[PACE Job Number]],3,3)</f>
        <v>STX</v>
      </c>
      <c r="C1402" t="s">
        <v>14</v>
      </c>
      <c r="D1402" s="1">
        <v>43419</v>
      </c>
    </row>
    <row r="1403" spans="1:4" x14ac:dyDescent="0.25">
      <c r="A1403" t="s">
        <v>40</v>
      </c>
      <c r="B1403" t="str">
        <f>MID(tbl_lock[[#This Row],[PACE Job Number]],3,3)</f>
        <v>STX</v>
      </c>
      <c r="C1403" t="s">
        <v>14</v>
      </c>
      <c r="D1403" s="1">
        <v>43419</v>
      </c>
    </row>
    <row r="1404" spans="1:4" x14ac:dyDescent="0.25">
      <c r="A1404" t="s">
        <v>4426</v>
      </c>
      <c r="B1404" t="str">
        <f>MID(tbl_lock[[#This Row],[PACE Job Number]],3,3)</f>
        <v>STX</v>
      </c>
      <c r="C1404" t="s">
        <v>14</v>
      </c>
      <c r="D1404" s="1">
        <v>43419</v>
      </c>
    </row>
    <row r="1405" spans="1:4" x14ac:dyDescent="0.25">
      <c r="A1405" t="s">
        <v>4217</v>
      </c>
      <c r="B1405" t="str">
        <f>MID(tbl_lock[[#This Row],[PACE Job Number]],3,3)</f>
        <v>ANM</v>
      </c>
      <c r="C1405" t="s">
        <v>14</v>
      </c>
      <c r="D1405" s="1">
        <v>43430</v>
      </c>
    </row>
    <row r="1406" spans="1:4" x14ac:dyDescent="0.25">
      <c r="A1406" t="s">
        <v>4219</v>
      </c>
      <c r="B1406" t="str">
        <f>MID(tbl_lock[[#This Row],[PACE Job Number]],3,3)</f>
        <v>ANM</v>
      </c>
      <c r="C1406" t="s">
        <v>14</v>
      </c>
      <c r="D1406" s="1">
        <v>43430</v>
      </c>
    </row>
    <row r="1407" spans="1:4" x14ac:dyDescent="0.25">
      <c r="A1407" t="s">
        <v>4146</v>
      </c>
      <c r="B1407" t="str">
        <f>MID(tbl_lock[[#This Row],[PACE Job Number]],3,3)</f>
        <v>ANM</v>
      </c>
      <c r="C1407" t="s">
        <v>14</v>
      </c>
      <c r="D1407" s="1">
        <v>43412</v>
      </c>
    </row>
    <row r="1408" spans="1:4" x14ac:dyDescent="0.25">
      <c r="A1408" t="s">
        <v>4220</v>
      </c>
      <c r="B1408" t="str">
        <f>MID(tbl_lock[[#This Row],[PACE Job Number]],3,3)</f>
        <v>ANM</v>
      </c>
      <c r="C1408" t="s">
        <v>14</v>
      </c>
      <c r="D1408" s="1">
        <v>43430</v>
      </c>
    </row>
    <row r="1409" spans="1:4" x14ac:dyDescent="0.25">
      <c r="A1409" t="s">
        <v>412</v>
      </c>
      <c r="B1409" t="str">
        <f>MID(tbl_lock[[#This Row],[PACE Job Number]],3,3)</f>
        <v>ANM</v>
      </c>
      <c r="C1409" t="s">
        <v>14</v>
      </c>
      <c r="D1409" s="1">
        <v>43434</v>
      </c>
    </row>
    <row r="1410" spans="1:4" x14ac:dyDescent="0.25">
      <c r="A1410" t="s">
        <v>4224</v>
      </c>
      <c r="B1410" t="str">
        <f>MID(tbl_lock[[#This Row],[PACE Job Number]],3,3)</f>
        <v>ANM</v>
      </c>
      <c r="C1410" t="s">
        <v>14</v>
      </c>
      <c r="D1410" s="1">
        <v>43416</v>
      </c>
    </row>
    <row r="1411" spans="1:4" x14ac:dyDescent="0.25">
      <c r="A1411" t="s">
        <v>4225</v>
      </c>
      <c r="B1411" t="str">
        <f>MID(tbl_lock[[#This Row],[PACE Job Number]],3,3)</f>
        <v>ANM</v>
      </c>
      <c r="C1411" t="s">
        <v>14</v>
      </c>
      <c r="D1411" s="1">
        <v>43407</v>
      </c>
    </row>
    <row r="1412" spans="1:4" x14ac:dyDescent="0.25">
      <c r="A1412" t="s">
        <v>4226</v>
      </c>
      <c r="B1412" t="str">
        <f>MID(tbl_lock[[#This Row],[PACE Job Number]],3,3)</f>
        <v>ANM</v>
      </c>
      <c r="C1412" t="s">
        <v>14</v>
      </c>
      <c r="D1412" s="1">
        <v>43407</v>
      </c>
    </row>
    <row r="1413" spans="1:4" x14ac:dyDescent="0.25">
      <c r="A1413" t="s">
        <v>4227</v>
      </c>
      <c r="B1413" t="str">
        <f>MID(tbl_lock[[#This Row],[PACE Job Number]],3,3)</f>
        <v>ANM</v>
      </c>
      <c r="C1413" t="s">
        <v>14</v>
      </c>
      <c r="D1413" s="1">
        <v>43407</v>
      </c>
    </row>
    <row r="1414" spans="1:4" x14ac:dyDescent="0.25">
      <c r="A1414" t="s">
        <v>1809</v>
      </c>
      <c r="B1414" t="str">
        <f>MID(tbl_lock[[#This Row],[PACE Job Number]],3,3)</f>
        <v>NTX</v>
      </c>
      <c r="C1414" t="s">
        <v>14</v>
      </c>
      <c r="D1414" s="1">
        <v>43416</v>
      </c>
    </row>
    <row r="1415" spans="1:4" x14ac:dyDescent="0.25">
      <c r="A1415" t="s">
        <v>5360</v>
      </c>
      <c r="B1415" t="str">
        <f>MID(tbl_lock[[#This Row],[PACE Job Number]],3,3)</f>
        <v>NTX</v>
      </c>
      <c r="C1415" t="s">
        <v>14</v>
      </c>
      <c r="D1415" s="1">
        <v>43432</v>
      </c>
    </row>
    <row r="1416" spans="1:4" x14ac:dyDescent="0.25">
      <c r="A1416" t="s">
        <v>119</v>
      </c>
      <c r="B1416" t="str">
        <f>MID(tbl_lock[[#This Row],[PACE Job Number]],3,3)</f>
        <v>NTX</v>
      </c>
      <c r="C1416" t="s">
        <v>14</v>
      </c>
      <c r="D1416" s="1">
        <v>43409</v>
      </c>
    </row>
    <row r="1417" spans="1:4" x14ac:dyDescent="0.25">
      <c r="A1417" t="s">
        <v>3782</v>
      </c>
      <c r="B1417" t="str">
        <f>MID(tbl_lock[[#This Row],[PACE Job Number]],3,3)</f>
        <v>NTX</v>
      </c>
      <c r="C1417" t="s">
        <v>14</v>
      </c>
      <c r="D1417" s="1">
        <v>43423</v>
      </c>
    </row>
    <row r="1418" spans="1:4" x14ac:dyDescent="0.25">
      <c r="A1418" t="s">
        <v>5361</v>
      </c>
      <c r="B1418" t="str">
        <f>MID(tbl_lock[[#This Row],[PACE Job Number]],3,3)</f>
        <v>NTX</v>
      </c>
      <c r="C1418" t="s">
        <v>14</v>
      </c>
      <c r="D1418" s="1">
        <v>43416</v>
      </c>
    </row>
    <row r="1419" spans="1:4" x14ac:dyDescent="0.25">
      <c r="A1419" t="s">
        <v>5362</v>
      </c>
      <c r="B1419" t="str">
        <f>MID(tbl_lock[[#This Row],[PACE Job Number]],3,3)</f>
        <v>NTX</v>
      </c>
      <c r="C1419" t="s">
        <v>14</v>
      </c>
      <c r="D1419" s="1">
        <v>43416</v>
      </c>
    </row>
    <row r="1420" spans="1:4" x14ac:dyDescent="0.25">
      <c r="A1420" t="s">
        <v>2717</v>
      </c>
      <c r="B1420" t="str">
        <f>MID(tbl_lock[[#This Row],[PACE Job Number]],3,3)</f>
        <v>STX</v>
      </c>
      <c r="C1420" t="s">
        <v>14</v>
      </c>
      <c r="D1420" s="1">
        <v>43420</v>
      </c>
    </row>
    <row r="1421" spans="1:4" x14ac:dyDescent="0.25">
      <c r="A1421" t="s">
        <v>5363</v>
      </c>
      <c r="B1421" t="str">
        <f>MID(tbl_lock[[#This Row],[PACE Job Number]],3,3)</f>
        <v>STX</v>
      </c>
      <c r="C1421" t="s">
        <v>14</v>
      </c>
      <c r="D1421" s="1">
        <v>43416</v>
      </c>
    </row>
    <row r="1422" spans="1:4" x14ac:dyDescent="0.25">
      <c r="A1422" t="s">
        <v>5364</v>
      </c>
      <c r="B1422" t="str">
        <f>MID(tbl_lock[[#This Row],[PACE Job Number]],3,3)</f>
        <v>STX</v>
      </c>
      <c r="C1422" t="s">
        <v>14</v>
      </c>
      <c r="D1422" s="1">
        <v>43416</v>
      </c>
    </row>
    <row r="1423" spans="1:4" x14ac:dyDescent="0.25">
      <c r="A1423" t="s">
        <v>3269</v>
      </c>
      <c r="B1423" t="str">
        <f>MID(tbl_lock[[#This Row],[PACE Job Number]],3,3)</f>
        <v>STX</v>
      </c>
      <c r="C1423" t="s">
        <v>14</v>
      </c>
      <c r="D1423" s="1">
        <v>43419</v>
      </c>
    </row>
    <row r="1424" spans="1:4" x14ac:dyDescent="0.25">
      <c r="A1424" t="s">
        <v>5228</v>
      </c>
      <c r="B1424" t="str">
        <f>MID(tbl_lock[[#This Row],[PACE Job Number]],3,3)</f>
        <v>WSH</v>
      </c>
      <c r="C1424" t="s">
        <v>14</v>
      </c>
      <c r="D1424" s="1">
        <v>43416</v>
      </c>
    </row>
    <row r="1425" spans="1:4" x14ac:dyDescent="0.25">
      <c r="A1425" t="s">
        <v>5229</v>
      </c>
      <c r="B1425" t="str">
        <f>MID(tbl_lock[[#This Row],[PACE Job Number]],3,3)</f>
        <v>WSH</v>
      </c>
      <c r="C1425" t="s">
        <v>14</v>
      </c>
      <c r="D1425" s="1">
        <v>43423</v>
      </c>
    </row>
    <row r="1426" spans="1:4" x14ac:dyDescent="0.25">
      <c r="A1426" t="s">
        <v>5230</v>
      </c>
      <c r="B1426" t="str">
        <f>MID(tbl_lock[[#This Row],[PACE Job Number]],3,3)</f>
        <v>WSH</v>
      </c>
      <c r="C1426" t="s">
        <v>14</v>
      </c>
      <c r="D1426" s="1">
        <v>43430</v>
      </c>
    </row>
    <row r="1427" spans="1:4" x14ac:dyDescent="0.25">
      <c r="A1427" t="s">
        <v>3402</v>
      </c>
      <c r="B1427" t="str">
        <f>MID(tbl_lock[[#This Row],[PACE Job Number]],3,3)</f>
        <v>WSH</v>
      </c>
      <c r="C1427" t="s">
        <v>14</v>
      </c>
      <c r="D1427" s="1">
        <v>43423</v>
      </c>
    </row>
    <row r="1428" spans="1:4" x14ac:dyDescent="0.25">
      <c r="A1428" t="s">
        <v>5231</v>
      </c>
      <c r="B1428" t="str">
        <f>MID(tbl_lock[[#This Row],[PACE Job Number]],3,3)</f>
        <v>WSH</v>
      </c>
      <c r="C1428" t="s">
        <v>14</v>
      </c>
      <c r="D1428" s="1">
        <v>43410</v>
      </c>
    </row>
    <row r="1429" spans="1:4" x14ac:dyDescent="0.25">
      <c r="A1429" t="s">
        <v>4260</v>
      </c>
      <c r="B1429" t="str">
        <f>MID(tbl_lock[[#This Row],[PACE Job Number]],3,3)</f>
        <v>WSH</v>
      </c>
      <c r="C1429" t="s">
        <v>14</v>
      </c>
      <c r="D1429" s="1">
        <v>43410</v>
      </c>
    </row>
    <row r="1430" spans="1:4" x14ac:dyDescent="0.25">
      <c r="A1430" t="s">
        <v>4261</v>
      </c>
      <c r="B1430" t="str">
        <f>MID(tbl_lock[[#This Row],[PACE Job Number]],3,3)</f>
        <v>WSH</v>
      </c>
      <c r="C1430" t="s">
        <v>14</v>
      </c>
      <c r="D1430" s="1">
        <v>43416</v>
      </c>
    </row>
    <row r="1431" spans="1:4" x14ac:dyDescent="0.25">
      <c r="A1431" t="s">
        <v>5232</v>
      </c>
      <c r="B1431" t="str">
        <f>MID(tbl_lock[[#This Row],[PACE Job Number]],3,3)</f>
        <v>WSH</v>
      </c>
      <c r="C1431" t="s">
        <v>14</v>
      </c>
      <c r="D1431" s="1">
        <v>43405</v>
      </c>
    </row>
    <row r="1432" spans="1:4" x14ac:dyDescent="0.25">
      <c r="A1432" t="s">
        <v>5233</v>
      </c>
      <c r="B1432" t="str">
        <f>MID(tbl_lock[[#This Row],[PACE Job Number]],3,3)</f>
        <v>WSH</v>
      </c>
      <c r="C1432" t="s">
        <v>14</v>
      </c>
      <c r="D1432" s="1">
        <v>43409</v>
      </c>
    </row>
    <row r="1433" spans="1:4" x14ac:dyDescent="0.25">
      <c r="A1433" t="s">
        <v>1815</v>
      </c>
      <c r="B1433" t="str">
        <f>MID(tbl_lock[[#This Row],[PACE Job Number]],3,3)</f>
        <v>NTX</v>
      </c>
      <c r="C1433" t="s">
        <v>14</v>
      </c>
      <c r="D1433" s="1">
        <v>43416</v>
      </c>
    </row>
    <row r="1434" spans="1:4" x14ac:dyDescent="0.25">
      <c r="A1434" t="s">
        <v>1816</v>
      </c>
      <c r="B1434" t="str">
        <f>MID(tbl_lock[[#This Row],[PACE Job Number]],3,3)</f>
        <v>NTX</v>
      </c>
      <c r="C1434" t="s">
        <v>14</v>
      </c>
      <c r="D1434" s="1">
        <v>43416</v>
      </c>
    </row>
    <row r="1435" spans="1:4" x14ac:dyDescent="0.25">
      <c r="A1435" t="s">
        <v>2374</v>
      </c>
      <c r="B1435" t="str">
        <f>MID(tbl_lock[[#This Row],[PACE Job Number]],3,3)</f>
        <v>NTX</v>
      </c>
      <c r="C1435" t="s">
        <v>14</v>
      </c>
      <c r="D1435" s="1">
        <v>43409</v>
      </c>
    </row>
    <row r="1436" spans="1:4" x14ac:dyDescent="0.25">
      <c r="A1436" t="s">
        <v>4349</v>
      </c>
      <c r="B1436" t="str">
        <f>MID(tbl_lock[[#This Row],[PACE Job Number]],3,3)</f>
        <v>NTX</v>
      </c>
      <c r="C1436" t="s">
        <v>14</v>
      </c>
      <c r="D1436" s="1">
        <v>43413</v>
      </c>
    </row>
    <row r="1437" spans="1:4" x14ac:dyDescent="0.25">
      <c r="A1437" t="s">
        <v>2375</v>
      </c>
      <c r="B1437" t="str">
        <f>MID(tbl_lock[[#This Row],[PACE Job Number]],3,3)</f>
        <v>NTX</v>
      </c>
      <c r="C1437" t="s">
        <v>14</v>
      </c>
      <c r="D1437" s="1">
        <v>43409</v>
      </c>
    </row>
    <row r="1438" spans="1:4" x14ac:dyDescent="0.25">
      <c r="A1438" t="s">
        <v>3839</v>
      </c>
      <c r="B1438" t="str">
        <f>MID(tbl_lock[[#This Row],[PACE Job Number]],3,3)</f>
        <v>NTX</v>
      </c>
      <c r="C1438" t="s">
        <v>14</v>
      </c>
      <c r="D1438" s="1">
        <v>43432</v>
      </c>
    </row>
    <row r="1439" spans="1:4" x14ac:dyDescent="0.25">
      <c r="A1439" t="s">
        <v>2376</v>
      </c>
      <c r="B1439" t="str">
        <f>MID(tbl_lock[[#This Row],[PACE Job Number]],3,3)</f>
        <v>NTX</v>
      </c>
      <c r="C1439" t="s">
        <v>14</v>
      </c>
      <c r="D1439" s="1">
        <v>43416</v>
      </c>
    </row>
    <row r="1440" spans="1:4" x14ac:dyDescent="0.25">
      <c r="A1440" t="s">
        <v>4350</v>
      </c>
      <c r="B1440" t="str">
        <f>MID(tbl_lock[[#This Row],[PACE Job Number]],3,3)</f>
        <v>NTX</v>
      </c>
      <c r="C1440" t="s">
        <v>14</v>
      </c>
      <c r="D1440" s="1">
        <v>43413</v>
      </c>
    </row>
    <row r="1441" spans="1:4" x14ac:dyDescent="0.25">
      <c r="A1441" t="s">
        <v>5365</v>
      </c>
      <c r="B1441" t="str">
        <f>MID(tbl_lock[[#This Row],[PACE Job Number]],3,3)</f>
        <v>NTX</v>
      </c>
      <c r="C1441" t="s">
        <v>14</v>
      </c>
      <c r="D1441" s="1">
        <v>43419</v>
      </c>
    </row>
    <row r="1442" spans="1:4" x14ac:dyDescent="0.25">
      <c r="A1442" t="s">
        <v>144</v>
      </c>
      <c r="B1442" t="str">
        <f>MID(tbl_lock[[#This Row],[PACE Job Number]],3,3)</f>
        <v>NTX</v>
      </c>
      <c r="C1442" t="s">
        <v>14</v>
      </c>
      <c r="D1442" s="1">
        <v>43416</v>
      </c>
    </row>
    <row r="1443" spans="1:4" x14ac:dyDescent="0.25">
      <c r="A1443" t="s">
        <v>278</v>
      </c>
      <c r="B1443" t="str">
        <f>MID(tbl_lock[[#This Row],[PACE Job Number]],3,3)</f>
        <v>NTX</v>
      </c>
      <c r="C1443" t="s">
        <v>14</v>
      </c>
      <c r="D1443" s="1">
        <v>43409</v>
      </c>
    </row>
    <row r="1444" spans="1:4" x14ac:dyDescent="0.25">
      <c r="A1444" t="s">
        <v>4351</v>
      </c>
      <c r="B1444" t="str">
        <f>MID(tbl_lock[[#This Row],[PACE Job Number]],3,3)</f>
        <v>NTX</v>
      </c>
      <c r="C1444" t="s">
        <v>14</v>
      </c>
      <c r="D1444" s="1">
        <v>43413</v>
      </c>
    </row>
    <row r="1445" spans="1:4" x14ac:dyDescent="0.25">
      <c r="A1445" t="s">
        <v>3931</v>
      </c>
      <c r="B1445" t="str">
        <f>MID(tbl_lock[[#This Row],[PACE Job Number]],3,3)</f>
        <v>NTX</v>
      </c>
      <c r="C1445" t="s">
        <v>14</v>
      </c>
      <c r="D1445" s="1">
        <v>43406</v>
      </c>
    </row>
    <row r="1446" spans="1:4" x14ac:dyDescent="0.25">
      <c r="A1446" t="s">
        <v>2379</v>
      </c>
      <c r="B1446" t="str">
        <f>MID(tbl_lock[[#This Row],[PACE Job Number]],3,3)</f>
        <v>NTX</v>
      </c>
      <c r="C1446" t="s">
        <v>14</v>
      </c>
      <c r="D1446" s="1">
        <v>43416</v>
      </c>
    </row>
    <row r="1447" spans="1:4" x14ac:dyDescent="0.25">
      <c r="A1447" t="s">
        <v>4352</v>
      </c>
      <c r="B1447" t="str">
        <f>MID(tbl_lock[[#This Row],[PACE Job Number]],3,3)</f>
        <v>NTX</v>
      </c>
      <c r="C1447" t="s">
        <v>14</v>
      </c>
      <c r="D1447" s="1">
        <v>43413</v>
      </c>
    </row>
    <row r="1448" spans="1:4" x14ac:dyDescent="0.25">
      <c r="A1448" t="s">
        <v>98</v>
      </c>
      <c r="B1448" t="str">
        <f>MID(tbl_lock[[#This Row],[PACE Job Number]],3,3)</f>
        <v>NTX</v>
      </c>
      <c r="C1448" t="s">
        <v>14</v>
      </c>
      <c r="D1448" s="1">
        <v>43406</v>
      </c>
    </row>
    <row r="1449" spans="1:4" x14ac:dyDescent="0.25">
      <c r="A1449" t="s">
        <v>69</v>
      </c>
      <c r="B1449" t="str">
        <f>MID(tbl_lock[[#This Row],[PACE Job Number]],3,3)</f>
        <v>NTX</v>
      </c>
      <c r="C1449" t="s">
        <v>14</v>
      </c>
      <c r="D1449" s="1">
        <v>43416</v>
      </c>
    </row>
    <row r="1450" spans="1:4" x14ac:dyDescent="0.25">
      <c r="A1450" t="s">
        <v>4347</v>
      </c>
      <c r="B1450" t="str">
        <f>MID(tbl_lock[[#This Row],[PACE Job Number]],3,3)</f>
        <v>STX</v>
      </c>
      <c r="C1450" t="s">
        <v>14</v>
      </c>
      <c r="D1450" s="1">
        <v>43416</v>
      </c>
    </row>
    <row r="1451" spans="1:4" x14ac:dyDescent="0.25">
      <c r="A1451" t="s">
        <v>566</v>
      </c>
      <c r="B1451" t="str">
        <f>MID(tbl_lock[[#This Row],[PACE Job Number]],3,3)</f>
        <v>STX</v>
      </c>
      <c r="C1451" t="s">
        <v>14</v>
      </c>
      <c r="D1451" s="1">
        <v>43419</v>
      </c>
    </row>
    <row r="1452" spans="1:4" x14ac:dyDescent="0.25">
      <c r="A1452" t="s">
        <v>5234</v>
      </c>
      <c r="B1452" t="str">
        <f>MID(tbl_lock[[#This Row],[PACE Job Number]],3,3)</f>
        <v>WSH</v>
      </c>
      <c r="C1452" t="s">
        <v>14</v>
      </c>
      <c r="D1452" s="1">
        <v>43405</v>
      </c>
    </row>
    <row r="1453" spans="1:4" x14ac:dyDescent="0.25">
      <c r="A1453" t="s">
        <v>5235</v>
      </c>
      <c r="B1453" t="str">
        <f>MID(tbl_lock[[#This Row],[PACE Job Number]],3,3)</f>
        <v>WSH</v>
      </c>
      <c r="C1453" t="s">
        <v>14</v>
      </c>
      <c r="D1453" s="1">
        <v>43405</v>
      </c>
    </row>
    <row r="1454" spans="1:4" x14ac:dyDescent="0.25">
      <c r="A1454" t="s">
        <v>5236</v>
      </c>
      <c r="B1454" t="str">
        <f>MID(tbl_lock[[#This Row],[PACE Job Number]],3,3)</f>
        <v>WSH</v>
      </c>
      <c r="C1454" t="s">
        <v>14</v>
      </c>
      <c r="D1454" s="1">
        <v>43430</v>
      </c>
    </row>
    <row r="1455" spans="1:4" x14ac:dyDescent="0.25">
      <c r="A1455" t="s">
        <v>5238</v>
      </c>
      <c r="B1455" t="str">
        <f>MID(tbl_lock[[#This Row],[PACE Job Number]],3,3)</f>
        <v>WSH</v>
      </c>
      <c r="C1455" t="s">
        <v>14</v>
      </c>
      <c r="D1455" s="1">
        <v>43430</v>
      </c>
    </row>
    <row r="1456" spans="1:4" x14ac:dyDescent="0.25">
      <c r="A1456" t="s">
        <v>5239</v>
      </c>
      <c r="B1456" t="str">
        <f>MID(tbl_lock[[#This Row],[PACE Job Number]],3,3)</f>
        <v>WSH</v>
      </c>
      <c r="C1456" t="s">
        <v>14</v>
      </c>
      <c r="D1456" s="1">
        <v>43430</v>
      </c>
    </row>
    <row r="1457" spans="1:4" x14ac:dyDescent="0.25">
      <c r="A1457" t="s">
        <v>5240</v>
      </c>
      <c r="B1457" t="str">
        <f>MID(tbl_lock[[#This Row],[PACE Job Number]],3,3)</f>
        <v>WSH</v>
      </c>
      <c r="C1457" t="s">
        <v>14</v>
      </c>
      <c r="D1457" s="1">
        <v>43430</v>
      </c>
    </row>
    <row r="1458" spans="1:4" x14ac:dyDescent="0.25">
      <c r="A1458" t="s">
        <v>5241</v>
      </c>
      <c r="B1458" t="str">
        <f>MID(tbl_lock[[#This Row],[PACE Job Number]],3,3)</f>
        <v>WSH</v>
      </c>
      <c r="C1458" t="s">
        <v>14</v>
      </c>
      <c r="D1458" s="1">
        <v>43431</v>
      </c>
    </row>
    <row r="1459" spans="1:4" x14ac:dyDescent="0.25">
      <c r="A1459" t="s">
        <v>5242</v>
      </c>
      <c r="B1459" t="str">
        <f>MID(tbl_lock[[#This Row],[PACE Job Number]],3,3)</f>
        <v>WSH</v>
      </c>
      <c r="C1459" t="s">
        <v>14</v>
      </c>
      <c r="D1459" s="1">
        <v>43431</v>
      </c>
    </row>
    <row r="1460" spans="1:4" x14ac:dyDescent="0.25">
      <c r="A1460" t="s">
        <v>4159</v>
      </c>
      <c r="B1460" t="str">
        <f>MID(tbl_lock[[#This Row],[PACE Job Number]],3,3)</f>
        <v>WSH</v>
      </c>
      <c r="C1460" t="s">
        <v>14</v>
      </c>
      <c r="D1460" s="1">
        <v>43425</v>
      </c>
    </row>
    <row r="1461" spans="1:4" x14ac:dyDescent="0.25">
      <c r="A1461" t="s">
        <v>255</v>
      </c>
      <c r="B1461" t="str">
        <f>MID(tbl_lock[[#This Row],[PACE Job Number]],3,3)</f>
        <v>WSH</v>
      </c>
      <c r="C1461" t="s">
        <v>14</v>
      </c>
      <c r="D1461" s="1">
        <v>43411</v>
      </c>
    </row>
    <row r="1462" spans="1:4" x14ac:dyDescent="0.25">
      <c r="A1462" t="s">
        <v>5243</v>
      </c>
      <c r="B1462" t="str">
        <f>MID(tbl_lock[[#This Row],[PACE Job Number]],3,3)</f>
        <v>WSH</v>
      </c>
      <c r="C1462" t="s">
        <v>14</v>
      </c>
      <c r="D1462" s="1">
        <v>43416</v>
      </c>
    </row>
    <row r="1463" spans="1:4" x14ac:dyDescent="0.25">
      <c r="A1463" t="s">
        <v>5244</v>
      </c>
      <c r="B1463" t="str">
        <f>MID(tbl_lock[[#This Row],[PACE Job Number]],3,3)</f>
        <v>WSH</v>
      </c>
      <c r="C1463" t="s">
        <v>14</v>
      </c>
      <c r="D1463" s="1">
        <v>43423</v>
      </c>
    </row>
    <row r="1464" spans="1:4" x14ac:dyDescent="0.25">
      <c r="A1464" t="s">
        <v>5245</v>
      </c>
      <c r="B1464" t="str">
        <f>MID(tbl_lock[[#This Row],[PACE Job Number]],3,3)</f>
        <v>WSH</v>
      </c>
      <c r="C1464" t="s">
        <v>14</v>
      </c>
      <c r="D1464" s="1">
        <v>43416</v>
      </c>
    </row>
    <row r="1465" spans="1:4" x14ac:dyDescent="0.25">
      <c r="A1465" t="s">
        <v>3854</v>
      </c>
      <c r="B1465" t="str">
        <f>MID(tbl_lock[[#This Row],[PACE Job Number]],3,3)</f>
        <v>WSH</v>
      </c>
      <c r="C1465" t="s">
        <v>14</v>
      </c>
      <c r="D1465" s="1">
        <v>43411</v>
      </c>
    </row>
    <row r="1466" spans="1:4" x14ac:dyDescent="0.25">
      <c r="A1466" t="s">
        <v>3776</v>
      </c>
      <c r="B1466" t="str">
        <f>MID(tbl_lock[[#This Row],[PACE Job Number]],3,3)</f>
        <v>WSH</v>
      </c>
      <c r="C1466" t="s">
        <v>14</v>
      </c>
      <c r="D1466" s="1">
        <v>43411</v>
      </c>
    </row>
    <row r="1467" spans="1:4" x14ac:dyDescent="0.25">
      <c r="A1467" t="s">
        <v>5246</v>
      </c>
      <c r="B1467" t="str">
        <f>MID(tbl_lock[[#This Row],[PACE Job Number]],3,3)</f>
        <v>WSH</v>
      </c>
      <c r="C1467" t="s">
        <v>14</v>
      </c>
      <c r="D1467" s="1">
        <v>43416</v>
      </c>
    </row>
    <row r="1468" spans="1:4" x14ac:dyDescent="0.25">
      <c r="A1468" t="s">
        <v>3857</v>
      </c>
      <c r="B1468" t="str">
        <f>MID(tbl_lock[[#This Row],[PACE Job Number]],3,3)</f>
        <v>WSH</v>
      </c>
      <c r="C1468" t="s">
        <v>14</v>
      </c>
      <c r="D1468" s="1">
        <v>43416</v>
      </c>
    </row>
    <row r="1469" spans="1:4" x14ac:dyDescent="0.25">
      <c r="A1469" t="s">
        <v>3861</v>
      </c>
      <c r="B1469" t="str">
        <f>MID(tbl_lock[[#This Row],[PACE Job Number]],3,3)</f>
        <v>WSH</v>
      </c>
      <c r="C1469" t="s">
        <v>14</v>
      </c>
      <c r="D1469" s="1">
        <v>43416</v>
      </c>
    </row>
    <row r="1470" spans="1:4" x14ac:dyDescent="0.25">
      <c r="A1470" t="s">
        <v>4130</v>
      </c>
      <c r="B1470" t="str">
        <f>MID(tbl_lock[[#This Row],[PACE Job Number]],3,3)</f>
        <v>ANM</v>
      </c>
      <c r="C1470" t="s">
        <v>14</v>
      </c>
      <c r="D1470" s="1">
        <v>43434</v>
      </c>
    </row>
    <row r="1471" spans="1:4" x14ac:dyDescent="0.25">
      <c r="A1471" t="s">
        <v>33</v>
      </c>
      <c r="B1471" t="str">
        <f>MID(tbl_lock[[#This Row],[PACE Job Number]],3,3)</f>
        <v>STX</v>
      </c>
      <c r="C1471" t="s">
        <v>14</v>
      </c>
      <c r="D1471" s="1">
        <v>43416</v>
      </c>
    </row>
    <row r="1472" spans="1:4" x14ac:dyDescent="0.25">
      <c r="A1472" t="s">
        <v>30</v>
      </c>
      <c r="B1472" t="str">
        <f>MID(tbl_lock[[#This Row],[PACE Job Number]],3,3)</f>
        <v>STX</v>
      </c>
      <c r="C1472" t="s">
        <v>14</v>
      </c>
      <c r="D1472" s="1">
        <v>43416</v>
      </c>
    </row>
    <row r="1473" spans="1:4" x14ac:dyDescent="0.25">
      <c r="A1473" t="s">
        <v>253</v>
      </c>
      <c r="B1473" t="str">
        <f>MID(tbl_lock[[#This Row],[PACE Job Number]],3,3)</f>
        <v>STX</v>
      </c>
      <c r="C1473" t="s">
        <v>14</v>
      </c>
      <c r="D1473" s="1">
        <v>43416</v>
      </c>
    </row>
    <row r="1474" spans="1:4" x14ac:dyDescent="0.25">
      <c r="A1474" t="s">
        <v>4354</v>
      </c>
      <c r="B1474" t="str">
        <f>MID(tbl_lock[[#This Row],[PACE Job Number]],3,3)</f>
        <v>STX</v>
      </c>
      <c r="C1474" t="s">
        <v>14</v>
      </c>
      <c r="D1474" s="1">
        <v>43419</v>
      </c>
    </row>
    <row r="1475" spans="1:4" x14ac:dyDescent="0.25">
      <c r="A1475" t="s">
        <v>573</v>
      </c>
      <c r="B1475" t="str">
        <f>MID(tbl_lock[[#This Row],[PACE Job Number]],3,3)</f>
        <v>STX</v>
      </c>
      <c r="C1475" t="s">
        <v>14</v>
      </c>
      <c r="D1475" s="1">
        <v>43419</v>
      </c>
    </row>
    <row r="1476" spans="1:4" x14ac:dyDescent="0.25">
      <c r="A1476" t="s">
        <v>3114</v>
      </c>
      <c r="B1476" t="str">
        <f>MID(tbl_lock[[#This Row],[PACE Job Number]],3,3)</f>
        <v>STX</v>
      </c>
      <c r="C1476" t="s">
        <v>14</v>
      </c>
      <c r="D1476" s="1">
        <v>43419</v>
      </c>
    </row>
    <row r="1477" spans="1:4" x14ac:dyDescent="0.25">
      <c r="A1477" t="s">
        <v>723</v>
      </c>
      <c r="B1477" t="str">
        <f>MID(tbl_lock[[#This Row],[PACE Job Number]],3,3)</f>
        <v>STX</v>
      </c>
      <c r="C1477" t="s">
        <v>14</v>
      </c>
      <c r="D1477" s="1">
        <v>43419</v>
      </c>
    </row>
    <row r="1478" spans="1:4" x14ac:dyDescent="0.25">
      <c r="A1478" t="s">
        <v>3104</v>
      </c>
      <c r="B1478" t="str">
        <f>MID(tbl_lock[[#This Row],[PACE Job Number]],3,3)</f>
        <v>STX</v>
      </c>
      <c r="C1478" t="s">
        <v>14</v>
      </c>
      <c r="D1478" s="1">
        <v>43419</v>
      </c>
    </row>
    <row r="1479" spans="1:4" x14ac:dyDescent="0.25">
      <c r="A1479" t="s">
        <v>1705</v>
      </c>
      <c r="B1479" t="str">
        <f>MID(tbl_lock[[#This Row],[PACE Job Number]],3,3)</f>
        <v>STX</v>
      </c>
      <c r="C1479" t="s">
        <v>14</v>
      </c>
      <c r="D1479" s="1">
        <v>43416</v>
      </c>
    </row>
    <row r="1480" spans="1:4" x14ac:dyDescent="0.25">
      <c r="A1480" t="s">
        <v>5366</v>
      </c>
      <c r="B1480" t="str">
        <f>MID(tbl_lock[[#This Row],[PACE Job Number]],3,3)</f>
        <v>STX</v>
      </c>
      <c r="C1480" t="s">
        <v>14</v>
      </c>
      <c r="D1480" s="1">
        <v>43416</v>
      </c>
    </row>
    <row r="1481" spans="1:4" x14ac:dyDescent="0.25">
      <c r="A1481" t="s">
        <v>4356</v>
      </c>
      <c r="B1481" t="str">
        <f>MID(tbl_lock[[#This Row],[PACE Job Number]],3,3)</f>
        <v>STX</v>
      </c>
      <c r="C1481" t="s">
        <v>14</v>
      </c>
      <c r="D1481" s="1">
        <v>43416</v>
      </c>
    </row>
    <row r="1482" spans="1:4" x14ac:dyDescent="0.25">
      <c r="A1482" t="s">
        <v>4357</v>
      </c>
      <c r="B1482" t="str">
        <f>MID(tbl_lock[[#This Row],[PACE Job Number]],3,3)</f>
        <v>STX</v>
      </c>
      <c r="C1482" t="s">
        <v>14</v>
      </c>
      <c r="D1482" s="1">
        <v>43416</v>
      </c>
    </row>
    <row r="1483" spans="1:4" x14ac:dyDescent="0.25">
      <c r="A1483" t="s">
        <v>1749</v>
      </c>
      <c r="B1483" t="str">
        <f>MID(tbl_lock[[#This Row],[PACE Job Number]],3,3)</f>
        <v>NTX</v>
      </c>
      <c r="C1483" t="s">
        <v>14</v>
      </c>
      <c r="D1483" s="1">
        <v>43416</v>
      </c>
    </row>
    <row r="1484" spans="1:4" x14ac:dyDescent="0.25">
      <c r="A1484" t="s">
        <v>2272</v>
      </c>
      <c r="B1484" t="str">
        <f>MID(tbl_lock[[#This Row],[PACE Job Number]],3,3)</f>
        <v>NTX</v>
      </c>
      <c r="C1484" t="s">
        <v>14</v>
      </c>
      <c r="D1484" s="1">
        <v>43430</v>
      </c>
    </row>
    <row r="1485" spans="1:4" x14ac:dyDescent="0.25">
      <c r="A1485" t="s">
        <v>5367</v>
      </c>
      <c r="B1485" t="str">
        <f>MID(tbl_lock[[#This Row],[PACE Job Number]],3,3)</f>
        <v>NTX</v>
      </c>
      <c r="C1485" t="s">
        <v>14</v>
      </c>
      <c r="D1485" s="1">
        <v>43432</v>
      </c>
    </row>
    <row r="1486" spans="1:4" x14ac:dyDescent="0.25">
      <c r="A1486" t="s">
        <v>5368</v>
      </c>
      <c r="B1486" t="str">
        <f>MID(tbl_lock[[#This Row],[PACE Job Number]],3,3)</f>
        <v>NTX</v>
      </c>
      <c r="C1486" t="s">
        <v>14</v>
      </c>
      <c r="D1486" s="1">
        <v>43405</v>
      </c>
    </row>
    <row r="1487" spans="1:4" x14ac:dyDescent="0.25">
      <c r="A1487" t="s">
        <v>5369</v>
      </c>
      <c r="B1487" t="str">
        <f>MID(tbl_lock[[#This Row],[PACE Job Number]],3,3)</f>
        <v>NTX</v>
      </c>
      <c r="C1487" t="s">
        <v>14</v>
      </c>
      <c r="D1487" s="1">
        <v>43434</v>
      </c>
    </row>
    <row r="1488" spans="1:4" x14ac:dyDescent="0.25">
      <c r="A1488" t="s">
        <v>2347</v>
      </c>
      <c r="B1488" t="str">
        <f>MID(tbl_lock[[#This Row],[PACE Job Number]],3,3)</f>
        <v>NTX</v>
      </c>
      <c r="C1488" t="s">
        <v>14</v>
      </c>
      <c r="D1488" s="1">
        <v>43406</v>
      </c>
    </row>
    <row r="1489" spans="1:4" x14ac:dyDescent="0.25">
      <c r="A1489" t="s">
        <v>781</v>
      </c>
      <c r="B1489" t="str">
        <f>MID(tbl_lock[[#This Row],[PACE Job Number]],3,3)</f>
        <v>NTX</v>
      </c>
      <c r="C1489" t="s">
        <v>14</v>
      </c>
      <c r="D1489" s="1">
        <v>43434</v>
      </c>
    </row>
    <row r="1490" spans="1:4" x14ac:dyDescent="0.25">
      <c r="A1490" t="s">
        <v>1755</v>
      </c>
      <c r="B1490" t="str">
        <f>MID(tbl_lock[[#This Row],[PACE Job Number]],3,3)</f>
        <v>NTX</v>
      </c>
      <c r="C1490" t="s">
        <v>14</v>
      </c>
      <c r="D1490" s="1">
        <v>43416</v>
      </c>
    </row>
    <row r="1491" spans="1:4" x14ac:dyDescent="0.25">
      <c r="A1491" t="s">
        <v>530</v>
      </c>
      <c r="B1491" t="str">
        <f>MID(tbl_lock[[#This Row],[PACE Job Number]],3,3)</f>
        <v>NTX</v>
      </c>
      <c r="C1491" t="s">
        <v>14</v>
      </c>
      <c r="D1491" s="1">
        <v>43434</v>
      </c>
    </row>
    <row r="1492" spans="1:4" x14ac:dyDescent="0.25">
      <c r="A1492" t="s">
        <v>572</v>
      </c>
      <c r="B1492" t="str">
        <f>MID(tbl_lock[[#This Row],[PACE Job Number]],3,3)</f>
        <v>NTX</v>
      </c>
      <c r="C1492" t="s">
        <v>14</v>
      </c>
      <c r="D1492" s="1">
        <v>43434</v>
      </c>
    </row>
    <row r="1493" spans="1:4" x14ac:dyDescent="0.25">
      <c r="A1493" t="s">
        <v>343</v>
      </c>
      <c r="B1493" t="str">
        <f>MID(tbl_lock[[#This Row],[PACE Job Number]],3,3)</f>
        <v>NTX</v>
      </c>
      <c r="C1493" t="s">
        <v>14</v>
      </c>
      <c r="D1493" s="1">
        <v>43416</v>
      </c>
    </row>
    <row r="1494" spans="1:4" x14ac:dyDescent="0.25">
      <c r="A1494" t="s">
        <v>1659</v>
      </c>
      <c r="B1494" t="str">
        <f>MID(tbl_lock[[#This Row],[PACE Job Number]],3,3)</f>
        <v>NTX</v>
      </c>
      <c r="C1494" t="s">
        <v>14</v>
      </c>
      <c r="D1494" s="1">
        <v>43434</v>
      </c>
    </row>
    <row r="1495" spans="1:4" x14ac:dyDescent="0.25">
      <c r="A1495" t="s">
        <v>1758</v>
      </c>
      <c r="B1495" t="str">
        <f>MID(tbl_lock[[#This Row],[PACE Job Number]],3,3)</f>
        <v>NTX</v>
      </c>
      <c r="C1495" t="s">
        <v>14</v>
      </c>
      <c r="D1495" s="1">
        <v>43416</v>
      </c>
    </row>
    <row r="1496" spans="1:4" x14ac:dyDescent="0.25">
      <c r="A1496" t="s">
        <v>291</v>
      </c>
      <c r="B1496" t="str">
        <f>MID(tbl_lock[[#This Row],[PACE Job Number]],3,3)</f>
        <v>NTX</v>
      </c>
      <c r="C1496" t="s">
        <v>14</v>
      </c>
      <c r="D1496" s="1">
        <v>43416</v>
      </c>
    </row>
    <row r="1497" spans="1:4" x14ac:dyDescent="0.25">
      <c r="A1497" t="s">
        <v>1879</v>
      </c>
      <c r="B1497" t="str">
        <f>MID(tbl_lock[[#This Row],[PACE Job Number]],3,3)</f>
        <v>NTX</v>
      </c>
      <c r="C1497" t="s">
        <v>14</v>
      </c>
      <c r="D1497" s="1">
        <v>43430</v>
      </c>
    </row>
    <row r="1498" spans="1:4" x14ac:dyDescent="0.25">
      <c r="A1498" t="s">
        <v>5370</v>
      </c>
      <c r="B1498" t="str">
        <f>MID(tbl_lock[[#This Row],[PACE Job Number]],3,3)</f>
        <v>NTX</v>
      </c>
      <c r="C1498" t="s">
        <v>14</v>
      </c>
      <c r="D1498" s="1">
        <v>43409</v>
      </c>
    </row>
    <row r="1499" spans="1:4" x14ac:dyDescent="0.25">
      <c r="A1499" t="s">
        <v>4423</v>
      </c>
      <c r="B1499" t="str">
        <f>MID(tbl_lock[[#This Row],[PACE Job Number]],3,3)</f>
        <v>NTX</v>
      </c>
      <c r="C1499" t="s">
        <v>14</v>
      </c>
      <c r="D1499" s="1">
        <v>43405</v>
      </c>
    </row>
    <row r="1500" spans="1:4" x14ac:dyDescent="0.25">
      <c r="A1500" t="s">
        <v>5371</v>
      </c>
      <c r="B1500" t="str">
        <f>MID(tbl_lock[[#This Row],[PACE Job Number]],3,3)</f>
        <v>NTX</v>
      </c>
      <c r="C1500" t="s">
        <v>14</v>
      </c>
      <c r="D1500" s="1">
        <v>43409</v>
      </c>
    </row>
    <row r="1501" spans="1:4" x14ac:dyDescent="0.25">
      <c r="A1501" t="s">
        <v>446</v>
      </c>
      <c r="B1501" t="str">
        <f>MID(tbl_lock[[#This Row],[PACE Job Number]],3,3)</f>
        <v>NTX</v>
      </c>
      <c r="C1501" t="s">
        <v>14</v>
      </c>
      <c r="D1501" s="1">
        <v>43406</v>
      </c>
    </row>
    <row r="1502" spans="1:4" x14ac:dyDescent="0.25">
      <c r="A1502" t="s">
        <v>4441</v>
      </c>
      <c r="B1502" t="str">
        <f>MID(tbl_lock[[#This Row],[PACE Job Number]],3,3)</f>
        <v>NTX</v>
      </c>
      <c r="C1502" t="s">
        <v>14</v>
      </c>
      <c r="D1502" s="1">
        <v>43409</v>
      </c>
    </row>
    <row r="1503" spans="1:4" x14ac:dyDescent="0.25">
      <c r="A1503" t="s">
        <v>5372</v>
      </c>
      <c r="B1503" t="str">
        <f>MID(tbl_lock[[#This Row],[PACE Job Number]],3,3)</f>
        <v>NTX</v>
      </c>
      <c r="C1503" t="s">
        <v>14</v>
      </c>
      <c r="D1503" s="1">
        <v>43416</v>
      </c>
    </row>
    <row r="1504" spans="1:4" x14ac:dyDescent="0.25">
      <c r="A1504" t="s">
        <v>4445</v>
      </c>
      <c r="B1504" t="str">
        <f>MID(tbl_lock[[#This Row],[PACE Job Number]],3,3)</f>
        <v>NTX</v>
      </c>
      <c r="C1504" t="s">
        <v>14</v>
      </c>
      <c r="D1504" s="1">
        <v>43413</v>
      </c>
    </row>
    <row r="1505" spans="1:4" x14ac:dyDescent="0.25">
      <c r="A1505" t="s">
        <v>4446</v>
      </c>
      <c r="B1505" t="str">
        <f>MID(tbl_lock[[#This Row],[PACE Job Number]],3,3)</f>
        <v>NTX</v>
      </c>
      <c r="C1505" t="s">
        <v>14</v>
      </c>
      <c r="D1505" s="1">
        <v>43413</v>
      </c>
    </row>
    <row r="1506" spans="1:4" x14ac:dyDescent="0.25">
      <c r="A1506" t="s">
        <v>4447</v>
      </c>
      <c r="B1506" t="str">
        <f>MID(tbl_lock[[#This Row],[PACE Job Number]],3,3)</f>
        <v>NTX</v>
      </c>
      <c r="C1506" t="s">
        <v>14</v>
      </c>
      <c r="D1506" s="1">
        <v>43416</v>
      </c>
    </row>
    <row r="1507" spans="1:4" x14ac:dyDescent="0.25">
      <c r="A1507" t="s">
        <v>5373</v>
      </c>
      <c r="B1507" t="str">
        <f>MID(tbl_lock[[#This Row],[PACE Job Number]],3,3)</f>
        <v>NTX</v>
      </c>
      <c r="C1507" t="s">
        <v>14</v>
      </c>
      <c r="D1507" s="1">
        <v>43423</v>
      </c>
    </row>
    <row r="1508" spans="1:4" x14ac:dyDescent="0.25">
      <c r="A1508" t="s">
        <v>4449</v>
      </c>
      <c r="B1508" t="str">
        <f>MID(tbl_lock[[#This Row],[PACE Job Number]],3,3)</f>
        <v>NTX</v>
      </c>
      <c r="C1508" t="s">
        <v>14</v>
      </c>
      <c r="D1508" s="1">
        <v>43406</v>
      </c>
    </row>
    <row r="1509" spans="1:4" x14ac:dyDescent="0.25">
      <c r="A1509" t="s">
        <v>4450</v>
      </c>
      <c r="B1509" t="str">
        <f>MID(tbl_lock[[#This Row],[PACE Job Number]],3,3)</f>
        <v>NTX</v>
      </c>
      <c r="C1509" t="s">
        <v>14</v>
      </c>
      <c r="D1509" s="1">
        <v>43416</v>
      </c>
    </row>
    <row r="1510" spans="1:4" x14ac:dyDescent="0.25">
      <c r="A1510" t="s">
        <v>4451</v>
      </c>
      <c r="B1510" t="str">
        <f>MID(tbl_lock[[#This Row],[PACE Job Number]],3,3)</f>
        <v>NTX</v>
      </c>
      <c r="C1510" t="s">
        <v>14</v>
      </c>
      <c r="D1510" s="1">
        <v>43409</v>
      </c>
    </row>
    <row r="1511" spans="1:4" x14ac:dyDescent="0.25">
      <c r="A1511" t="s">
        <v>5374</v>
      </c>
      <c r="B1511" t="str">
        <f>MID(tbl_lock[[#This Row],[PACE Job Number]],3,3)</f>
        <v>NTX</v>
      </c>
      <c r="C1511" t="s">
        <v>14</v>
      </c>
      <c r="D1511" s="1">
        <v>43406</v>
      </c>
    </row>
    <row r="1512" spans="1:4" x14ac:dyDescent="0.25">
      <c r="A1512" t="s">
        <v>2439</v>
      </c>
      <c r="B1512" t="str">
        <f>MID(tbl_lock[[#This Row],[PACE Job Number]],3,3)</f>
        <v>NTX</v>
      </c>
      <c r="C1512" t="s">
        <v>14</v>
      </c>
      <c r="D1512" s="1">
        <v>43423</v>
      </c>
    </row>
    <row r="1513" spans="1:4" x14ac:dyDescent="0.25">
      <c r="A1513" t="s">
        <v>4276</v>
      </c>
      <c r="B1513" t="str">
        <f>MID(tbl_lock[[#This Row],[PACE Job Number]],3,3)</f>
        <v>NTX</v>
      </c>
      <c r="C1513" t="s">
        <v>14</v>
      </c>
      <c r="D1513" s="1">
        <v>43406</v>
      </c>
    </row>
    <row r="1514" spans="1:4" x14ac:dyDescent="0.25">
      <c r="A1514" t="s">
        <v>5375</v>
      </c>
      <c r="B1514" t="str">
        <f>MID(tbl_lock[[#This Row],[PACE Job Number]],3,3)</f>
        <v>NTX</v>
      </c>
      <c r="C1514" t="s">
        <v>14</v>
      </c>
      <c r="D1514" s="1">
        <v>43416</v>
      </c>
    </row>
    <row r="1515" spans="1:4" x14ac:dyDescent="0.25">
      <c r="A1515" t="s">
        <v>5376</v>
      </c>
      <c r="B1515" t="str">
        <f>MID(tbl_lock[[#This Row],[PACE Job Number]],3,3)</f>
        <v>NTX</v>
      </c>
      <c r="C1515" t="s">
        <v>14</v>
      </c>
      <c r="D1515" s="1">
        <v>43416</v>
      </c>
    </row>
    <row r="1516" spans="1:4" x14ac:dyDescent="0.25">
      <c r="A1516" t="s">
        <v>2291</v>
      </c>
      <c r="B1516" t="str">
        <f>MID(tbl_lock[[#This Row],[PACE Job Number]],3,3)</f>
        <v>NTX</v>
      </c>
      <c r="C1516" t="s">
        <v>14</v>
      </c>
      <c r="D1516" s="1">
        <v>43416</v>
      </c>
    </row>
    <row r="1517" spans="1:4" x14ac:dyDescent="0.25">
      <c r="A1517" t="s">
        <v>5377</v>
      </c>
      <c r="B1517" t="str">
        <f>MID(tbl_lock[[#This Row],[PACE Job Number]],3,3)</f>
        <v>NTX</v>
      </c>
      <c r="C1517" t="s">
        <v>14</v>
      </c>
      <c r="D1517" s="1">
        <v>43432</v>
      </c>
    </row>
    <row r="1518" spans="1:4" x14ac:dyDescent="0.25">
      <c r="A1518" t="s">
        <v>2292</v>
      </c>
      <c r="B1518" t="str">
        <f>MID(tbl_lock[[#This Row],[PACE Job Number]],3,3)</f>
        <v>NTX</v>
      </c>
      <c r="C1518" t="s">
        <v>14</v>
      </c>
      <c r="D1518" s="1">
        <v>43416</v>
      </c>
    </row>
    <row r="1519" spans="1:4" x14ac:dyDescent="0.25">
      <c r="A1519" t="s">
        <v>4277</v>
      </c>
      <c r="B1519" t="str">
        <f>MID(tbl_lock[[#This Row],[PACE Job Number]],3,3)</f>
        <v>NTX</v>
      </c>
      <c r="C1519" t="s">
        <v>14</v>
      </c>
      <c r="D1519" s="1">
        <v>43406</v>
      </c>
    </row>
    <row r="1520" spans="1:4" x14ac:dyDescent="0.25">
      <c r="A1520" t="s">
        <v>2440</v>
      </c>
      <c r="B1520" t="str">
        <f>MID(tbl_lock[[#This Row],[PACE Job Number]],3,3)</f>
        <v>NTX</v>
      </c>
      <c r="C1520" t="s">
        <v>14</v>
      </c>
      <c r="D1520" s="1">
        <v>43416</v>
      </c>
    </row>
    <row r="1521" spans="1:4" x14ac:dyDescent="0.25">
      <c r="A1521" t="s">
        <v>4452</v>
      </c>
      <c r="B1521" t="str">
        <f>MID(tbl_lock[[#This Row],[PACE Job Number]],3,3)</f>
        <v>NTX</v>
      </c>
      <c r="C1521" t="s">
        <v>14</v>
      </c>
      <c r="D1521" s="1">
        <v>43416</v>
      </c>
    </row>
    <row r="1522" spans="1:4" x14ac:dyDescent="0.25">
      <c r="A1522" t="s">
        <v>5378</v>
      </c>
      <c r="B1522" t="str">
        <f>MID(tbl_lock[[#This Row],[PACE Job Number]],3,3)</f>
        <v>NTX</v>
      </c>
      <c r="C1522" t="s">
        <v>14</v>
      </c>
      <c r="D1522" s="1">
        <v>43416</v>
      </c>
    </row>
    <row r="1523" spans="1:4" x14ac:dyDescent="0.25">
      <c r="A1523" t="s">
        <v>5379</v>
      </c>
      <c r="B1523" t="str">
        <f>MID(tbl_lock[[#This Row],[PACE Job Number]],3,3)</f>
        <v>NTX</v>
      </c>
      <c r="C1523" t="s">
        <v>14</v>
      </c>
      <c r="D1523" s="1">
        <v>43411</v>
      </c>
    </row>
    <row r="1524" spans="1:4" x14ac:dyDescent="0.25">
      <c r="A1524" t="s">
        <v>5380</v>
      </c>
      <c r="B1524" t="str">
        <f>MID(tbl_lock[[#This Row],[PACE Job Number]],3,3)</f>
        <v>NTX</v>
      </c>
      <c r="C1524" t="s">
        <v>14</v>
      </c>
      <c r="D1524" s="1">
        <v>43416</v>
      </c>
    </row>
    <row r="1525" spans="1:4" x14ac:dyDescent="0.25">
      <c r="A1525" t="s">
        <v>4455</v>
      </c>
      <c r="B1525" t="str">
        <f>MID(tbl_lock[[#This Row],[PACE Job Number]],3,3)</f>
        <v>NTX</v>
      </c>
      <c r="C1525" t="s">
        <v>14</v>
      </c>
      <c r="D1525" s="1">
        <v>43416</v>
      </c>
    </row>
    <row r="1526" spans="1:4" x14ac:dyDescent="0.25">
      <c r="A1526" t="s">
        <v>5381</v>
      </c>
      <c r="B1526" t="str">
        <f>MID(tbl_lock[[#This Row],[PACE Job Number]],3,3)</f>
        <v>NTX</v>
      </c>
      <c r="C1526" t="s">
        <v>14</v>
      </c>
      <c r="D1526" s="1">
        <v>43416</v>
      </c>
    </row>
    <row r="1527" spans="1:4" x14ac:dyDescent="0.25">
      <c r="A1527" t="s">
        <v>5382</v>
      </c>
      <c r="B1527" t="str">
        <f>MID(tbl_lock[[#This Row],[PACE Job Number]],3,3)</f>
        <v>NTX</v>
      </c>
      <c r="C1527" t="s">
        <v>14</v>
      </c>
      <c r="D1527" s="1">
        <v>43411</v>
      </c>
    </row>
    <row r="1528" spans="1:4" x14ac:dyDescent="0.25">
      <c r="A1528" t="s">
        <v>2293</v>
      </c>
      <c r="B1528" t="str">
        <f>MID(tbl_lock[[#This Row],[PACE Job Number]],3,3)</f>
        <v>NTX</v>
      </c>
      <c r="C1528" t="s">
        <v>14</v>
      </c>
      <c r="D1528" s="1">
        <v>43416</v>
      </c>
    </row>
    <row r="1529" spans="1:4" x14ac:dyDescent="0.25">
      <c r="A1529" t="s">
        <v>5383</v>
      </c>
      <c r="B1529" t="str">
        <f>MID(tbl_lock[[#This Row],[PACE Job Number]],3,3)</f>
        <v>NTX</v>
      </c>
      <c r="C1529" t="s">
        <v>14</v>
      </c>
      <c r="D1529" s="1">
        <v>43416</v>
      </c>
    </row>
    <row r="1530" spans="1:4" x14ac:dyDescent="0.25">
      <c r="A1530" t="s">
        <v>2441</v>
      </c>
      <c r="B1530" t="str">
        <f>MID(tbl_lock[[#This Row],[PACE Job Number]],3,3)</f>
        <v>NTX</v>
      </c>
      <c r="C1530" t="s">
        <v>14</v>
      </c>
      <c r="D1530" s="1">
        <v>43416</v>
      </c>
    </row>
    <row r="1531" spans="1:4" x14ac:dyDescent="0.25">
      <c r="A1531" t="s">
        <v>5384</v>
      </c>
      <c r="B1531" t="str">
        <f>MID(tbl_lock[[#This Row],[PACE Job Number]],3,3)</f>
        <v>NTX</v>
      </c>
      <c r="C1531" t="s">
        <v>14</v>
      </c>
      <c r="D1531" s="1">
        <v>43416</v>
      </c>
    </row>
    <row r="1532" spans="1:4" x14ac:dyDescent="0.25">
      <c r="A1532" t="s">
        <v>5385</v>
      </c>
      <c r="B1532" t="str">
        <f>MID(tbl_lock[[#This Row],[PACE Job Number]],3,3)</f>
        <v>NTX</v>
      </c>
      <c r="C1532" t="s">
        <v>14</v>
      </c>
      <c r="D1532" s="1">
        <v>43416</v>
      </c>
    </row>
    <row r="1533" spans="1:4" x14ac:dyDescent="0.25">
      <c r="A1533" t="s">
        <v>2294</v>
      </c>
      <c r="B1533" t="str">
        <f>MID(tbl_lock[[#This Row],[PACE Job Number]],3,3)</f>
        <v>NTX</v>
      </c>
      <c r="C1533" t="s">
        <v>14</v>
      </c>
      <c r="D1533" s="1">
        <v>43430</v>
      </c>
    </row>
    <row r="1534" spans="1:4" x14ac:dyDescent="0.25">
      <c r="A1534" t="s">
        <v>3805</v>
      </c>
      <c r="B1534" t="str">
        <f>MID(tbl_lock[[#This Row],[PACE Job Number]],3,3)</f>
        <v>NTX</v>
      </c>
      <c r="C1534" t="s">
        <v>14</v>
      </c>
      <c r="D1534" s="1">
        <v>43432</v>
      </c>
    </row>
    <row r="1535" spans="1:4" x14ac:dyDescent="0.25">
      <c r="A1535" t="s">
        <v>3473</v>
      </c>
      <c r="B1535" t="str">
        <f>MID(tbl_lock[[#This Row],[PACE Job Number]],3,3)</f>
        <v>NTX</v>
      </c>
      <c r="C1535" t="s">
        <v>14</v>
      </c>
      <c r="D1535" s="1">
        <v>43406</v>
      </c>
    </row>
    <row r="1536" spans="1:4" x14ac:dyDescent="0.25">
      <c r="A1536" t="s">
        <v>2442</v>
      </c>
      <c r="B1536" t="str">
        <f>MID(tbl_lock[[#This Row],[PACE Job Number]],3,3)</f>
        <v>NTX</v>
      </c>
      <c r="C1536" t="s">
        <v>14</v>
      </c>
      <c r="D1536" s="1">
        <v>43419</v>
      </c>
    </row>
    <row r="1537" spans="1:4" x14ac:dyDescent="0.25">
      <c r="A1537" t="s">
        <v>5386</v>
      </c>
      <c r="B1537" t="str">
        <f>MID(tbl_lock[[#This Row],[PACE Job Number]],3,3)</f>
        <v>NTX</v>
      </c>
      <c r="C1537" t="s">
        <v>14</v>
      </c>
      <c r="D1537" s="1">
        <v>43416</v>
      </c>
    </row>
    <row r="1538" spans="1:4" x14ac:dyDescent="0.25">
      <c r="A1538" t="s">
        <v>2444</v>
      </c>
      <c r="B1538" t="str">
        <f>MID(tbl_lock[[#This Row],[PACE Job Number]],3,3)</f>
        <v>NTX</v>
      </c>
      <c r="C1538" t="s">
        <v>14</v>
      </c>
      <c r="D1538" s="1">
        <v>43419</v>
      </c>
    </row>
    <row r="1539" spans="1:4" x14ac:dyDescent="0.25">
      <c r="A1539" t="s">
        <v>4457</v>
      </c>
      <c r="B1539" t="str">
        <f>MID(tbl_lock[[#This Row],[PACE Job Number]],3,3)</f>
        <v>NTX</v>
      </c>
      <c r="C1539" t="s">
        <v>14</v>
      </c>
      <c r="D1539" s="1">
        <v>43413</v>
      </c>
    </row>
    <row r="1540" spans="1:4" x14ac:dyDescent="0.25">
      <c r="A1540" t="s">
        <v>2445</v>
      </c>
      <c r="B1540" t="str">
        <f>MID(tbl_lock[[#This Row],[PACE Job Number]],3,3)</f>
        <v>NTX</v>
      </c>
      <c r="C1540" t="s">
        <v>14</v>
      </c>
      <c r="D1540" s="1">
        <v>43419</v>
      </c>
    </row>
    <row r="1541" spans="1:4" x14ac:dyDescent="0.25">
      <c r="A1541" t="s">
        <v>3897</v>
      </c>
      <c r="B1541" t="str">
        <f>MID(tbl_lock[[#This Row],[PACE Job Number]],3,3)</f>
        <v>NTX</v>
      </c>
      <c r="C1541" t="s">
        <v>14</v>
      </c>
      <c r="D1541" s="1">
        <v>43432</v>
      </c>
    </row>
    <row r="1542" spans="1:4" x14ac:dyDescent="0.25">
      <c r="A1542" t="s">
        <v>118</v>
      </c>
      <c r="B1542" t="str">
        <f>MID(tbl_lock[[#This Row],[PACE Job Number]],3,3)</f>
        <v>NTX</v>
      </c>
      <c r="C1542" t="s">
        <v>14</v>
      </c>
      <c r="D1542" s="1">
        <v>43409</v>
      </c>
    </row>
    <row r="1543" spans="1:4" x14ac:dyDescent="0.25">
      <c r="A1543" t="s">
        <v>4458</v>
      </c>
      <c r="B1543" t="str">
        <f>MID(tbl_lock[[#This Row],[PACE Job Number]],3,3)</f>
        <v>NTX</v>
      </c>
      <c r="C1543" t="s">
        <v>14</v>
      </c>
      <c r="D1543" s="1">
        <v>43413</v>
      </c>
    </row>
    <row r="1544" spans="1:4" x14ac:dyDescent="0.25">
      <c r="A1544" t="s">
        <v>4459</v>
      </c>
      <c r="B1544" t="str">
        <f>MID(tbl_lock[[#This Row],[PACE Job Number]],3,3)</f>
        <v>NTX</v>
      </c>
      <c r="C1544" t="s">
        <v>14</v>
      </c>
      <c r="D1544" s="1">
        <v>43406</v>
      </c>
    </row>
    <row r="1545" spans="1:4" x14ac:dyDescent="0.25">
      <c r="A1545" t="s">
        <v>4460</v>
      </c>
      <c r="B1545" t="str">
        <f>MID(tbl_lock[[#This Row],[PACE Job Number]],3,3)</f>
        <v>NTX</v>
      </c>
      <c r="C1545" t="s">
        <v>14</v>
      </c>
      <c r="D1545" s="1">
        <v>43423</v>
      </c>
    </row>
    <row r="1546" spans="1:4" x14ac:dyDescent="0.25">
      <c r="A1546" t="s">
        <v>5387</v>
      </c>
      <c r="B1546" t="str">
        <f>MID(tbl_lock[[#This Row],[PACE Job Number]],3,3)</f>
        <v>NTX</v>
      </c>
      <c r="C1546" t="s">
        <v>14</v>
      </c>
      <c r="D1546" s="1">
        <v>43432</v>
      </c>
    </row>
    <row r="1547" spans="1:4" x14ac:dyDescent="0.25">
      <c r="A1547" t="s">
        <v>338</v>
      </c>
      <c r="B1547" t="str">
        <f>MID(tbl_lock[[#This Row],[PACE Job Number]],3,3)</f>
        <v>NTX</v>
      </c>
      <c r="C1547" t="s">
        <v>14</v>
      </c>
      <c r="D1547" s="1">
        <v>43432</v>
      </c>
    </row>
    <row r="1548" spans="1:4" x14ac:dyDescent="0.25">
      <c r="A1548" t="s">
        <v>342</v>
      </c>
      <c r="B1548" t="str">
        <f>MID(tbl_lock[[#This Row],[PACE Job Number]],3,3)</f>
        <v>NTX</v>
      </c>
      <c r="C1548" t="s">
        <v>14</v>
      </c>
      <c r="D1548" s="1">
        <v>43409</v>
      </c>
    </row>
    <row r="1549" spans="1:4" x14ac:dyDescent="0.25">
      <c r="A1549" t="s">
        <v>2447</v>
      </c>
      <c r="B1549" t="str">
        <f>MID(tbl_lock[[#This Row],[PACE Job Number]],3,3)</f>
        <v>NTX</v>
      </c>
      <c r="C1549" t="s">
        <v>14</v>
      </c>
      <c r="D1549" s="1">
        <v>43416</v>
      </c>
    </row>
    <row r="1550" spans="1:4" x14ac:dyDescent="0.25">
      <c r="A1550" t="s">
        <v>2448</v>
      </c>
      <c r="B1550" t="str">
        <f>MID(tbl_lock[[#This Row],[PACE Job Number]],3,3)</f>
        <v>NTX</v>
      </c>
      <c r="C1550" t="s">
        <v>14</v>
      </c>
      <c r="D1550" s="1">
        <v>43432</v>
      </c>
    </row>
    <row r="1551" spans="1:4" x14ac:dyDescent="0.25">
      <c r="A1551" t="s">
        <v>471</v>
      </c>
      <c r="B1551" t="str">
        <f>MID(tbl_lock[[#This Row],[PACE Job Number]],3,3)</f>
        <v>NTX</v>
      </c>
      <c r="C1551" t="s">
        <v>14</v>
      </c>
      <c r="D1551" s="1">
        <v>43413</v>
      </c>
    </row>
    <row r="1552" spans="1:4" x14ac:dyDescent="0.25">
      <c r="A1552" t="s">
        <v>5388</v>
      </c>
      <c r="B1552" t="str">
        <f>MID(tbl_lock[[#This Row],[PACE Job Number]],3,3)</f>
        <v>NTX</v>
      </c>
      <c r="C1552" t="s">
        <v>14</v>
      </c>
      <c r="D1552" s="1">
        <v>43419</v>
      </c>
    </row>
    <row r="1553" spans="1:4" x14ac:dyDescent="0.25">
      <c r="A1553" t="s">
        <v>4418</v>
      </c>
      <c r="B1553" t="str">
        <f>MID(tbl_lock[[#This Row],[PACE Job Number]],3,3)</f>
        <v>NTX</v>
      </c>
      <c r="C1553" t="s">
        <v>14</v>
      </c>
      <c r="D1553" s="1">
        <v>43416</v>
      </c>
    </row>
    <row r="1554" spans="1:4" x14ac:dyDescent="0.25">
      <c r="A1554" t="s">
        <v>768</v>
      </c>
      <c r="B1554" t="str">
        <f>MID(tbl_lock[[#This Row],[PACE Job Number]],3,3)</f>
        <v>NTX</v>
      </c>
      <c r="C1554" t="s">
        <v>14</v>
      </c>
      <c r="D1554" s="1">
        <v>43416</v>
      </c>
    </row>
    <row r="1555" spans="1:4" x14ac:dyDescent="0.25">
      <c r="A1555" t="s">
        <v>5389</v>
      </c>
      <c r="B1555" t="str">
        <f>MID(tbl_lock[[#This Row],[PACE Job Number]],3,3)</f>
        <v>NTX</v>
      </c>
      <c r="C1555" t="s">
        <v>14</v>
      </c>
      <c r="D1555" s="1">
        <v>43416</v>
      </c>
    </row>
    <row r="1556" spans="1:4" x14ac:dyDescent="0.25">
      <c r="A1556" t="s">
        <v>4419</v>
      </c>
      <c r="B1556" t="str">
        <f>MID(tbl_lock[[#This Row],[PACE Job Number]],3,3)</f>
        <v>NTX</v>
      </c>
      <c r="C1556" t="s">
        <v>14</v>
      </c>
      <c r="D1556" s="1">
        <v>43413</v>
      </c>
    </row>
    <row r="1557" spans="1:4" x14ac:dyDescent="0.25">
      <c r="A1557" t="s">
        <v>3506</v>
      </c>
      <c r="B1557" t="str">
        <f>MID(tbl_lock[[#This Row],[PACE Job Number]],3,3)</f>
        <v>NTX</v>
      </c>
      <c r="C1557" t="s">
        <v>14</v>
      </c>
      <c r="D1557" s="1">
        <v>43406</v>
      </c>
    </row>
    <row r="1558" spans="1:4" x14ac:dyDescent="0.25">
      <c r="A1558" t="s">
        <v>5390</v>
      </c>
      <c r="B1558" t="str">
        <f>MID(tbl_lock[[#This Row],[PACE Job Number]],3,3)</f>
        <v>NTX</v>
      </c>
      <c r="C1558" t="s">
        <v>14</v>
      </c>
      <c r="D1558" s="1">
        <v>43416</v>
      </c>
    </row>
    <row r="1559" spans="1:4" x14ac:dyDescent="0.25">
      <c r="A1559" t="s">
        <v>2146</v>
      </c>
      <c r="B1559" t="str">
        <f>MID(tbl_lock[[#This Row],[PACE Job Number]],3,3)</f>
        <v>NTX</v>
      </c>
      <c r="C1559" t="s">
        <v>14</v>
      </c>
      <c r="D1559" s="1">
        <v>43432</v>
      </c>
    </row>
    <row r="1560" spans="1:4" x14ac:dyDescent="0.25">
      <c r="A1560" t="s">
        <v>3376</v>
      </c>
      <c r="B1560" t="str">
        <f>MID(tbl_lock[[#This Row],[PACE Job Number]],3,3)</f>
        <v>NTX</v>
      </c>
      <c r="C1560" t="s">
        <v>14</v>
      </c>
      <c r="D1560" s="1">
        <v>43406</v>
      </c>
    </row>
    <row r="1561" spans="1:4" x14ac:dyDescent="0.25">
      <c r="A1561" t="s">
        <v>5391</v>
      </c>
      <c r="B1561" t="str">
        <f>MID(tbl_lock[[#This Row],[PACE Job Number]],3,3)</f>
        <v>NTX</v>
      </c>
      <c r="C1561" t="s">
        <v>14</v>
      </c>
      <c r="D1561" s="1">
        <v>43416</v>
      </c>
    </row>
    <row r="1562" spans="1:4" x14ac:dyDescent="0.25">
      <c r="A1562" t="s">
        <v>2330</v>
      </c>
      <c r="B1562" t="str">
        <f>MID(tbl_lock[[#This Row],[PACE Job Number]],3,3)</f>
        <v>NTX</v>
      </c>
      <c r="C1562" t="s">
        <v>14</v>
      </c>
      <c r="D1562" s="1">
        <v>43419</v>
      </c>
    </row>
    <row r="1563" spans="1:4" x14ac:dyDescent="0.25">
      <c r="A1563" t="s">
        <v>3378</v>
      </c>
      <c r="B1563" t="str">
        <f>MID(tbl_lock[[#This Row],[PACE Job Number]],3,3)</f>
        <v>NTX</v>
      </c>
      <c r="C1563" t="s">
        <v>14</v>
      </c>
      <c r="D1563" s="1">
        <v>43406</v>
      </c>
    </row>
    <row r="1564" spans="1:4" x14ac:dyDescent="0.25">
      <c r="A1564" t="s">
        <v>4163</v>
      </c>
      <c r="B1564" t="str">
        <f>MID(tbl_lock[[#This Row],[PACE Job Number]],3,3)</f>
        <v>NTX</v>
      </c>
      <c r="C1564" t="s">
        <v>14</v>
      </c>
      <c r="D1564" s="1">
        <v>43414</v>
      </c>
    </row>
    <row r="1565" spans="1:4" x14ac:dyDescent="0.25">
      <c r="A1565" t="s">
        <v>4436</v>
      </c>
      <c r="B1565" t="str">
        <f>MID(tbl_lock[[#This Row],[PACE Job Number]],3,3)</f>
        <v>NTX</v>
      </c>
      <c r="C1565" t="s">
        <v>14</v>
      </c>
      <c r="D1565" s="1">
        <v>43416</v>
      </c>
    </row>
    <row r="1566" spans="1:4" x14ac:dyDescent="0.25">
      <c r="A1566" t="s">
        <v>5392</v>
      </c>
      <c r="B1566" t="str">
        <f>MID(tbl_lock[[#This Row],[PACE Job Number]],3,3)</f>
        <v>NTX</v>
      </c>
      <c r="C1566" t="s">
        <v>14</v>
      </c>
      <c r="D1566" s="1">
        <v>43414</v>
      </c>
    </row>
    <row r="1567" spans="1:4" x14ac:dyDescent="0.25">
      <c r="A1567" t="s">
        <v>2332</v>
      </c>
      <c r="B1567" t="str">
        <f>MID(tbl_lock[[#This Row],[PACE Job Number]],3,3)</f>
        <v>NTX</v>
      </c>
      <c r="C1567" t="s">
        <v>14</v>
      </c>
      <c r="D1567" s="1">
        <v>43432</v>
      </c>
    </row>
    <row r="1568" spans="1:4" x14ac:dyDescent="0.25">
      <c r="A1568" t="s">
        <v>370</v>
      </c>
      <c r="B1568" t="str">
        <f>MID(tbl_lock[[#This Row],[PACE Job Number]],3,3)</f>
        <v>NTX</v>
      </c>
      <c r="C1568" t="s">
        <v>14</v>
      </c>
      <c r="D1568" s="1">
        <v>43414</v>
      </c>
    </row>
    <row r="1569" spans="1:4" x14ac:dyDescent="0.25">
      <c r="A1569" t="s">
        <v>2148</v>
      </c>
      <c r="B1569" t="str">
        <f>MID(tbl_lock[[#This Row],[PACE Job Number]],3,3)</f>
        <v>NTX</v>
      </c>
      <c r="C1569" t="s">
        <v>14</v>
      </c>
      <c r="D1569" s="1">
        <v>43432</v>
      </c>
    </row>
    <row r="1570" spans="1:4" x14ac:dyDescent="0.25">
      <c r="A1570" t="s">
        <v>5393</v>
      </c>
      <c r="B1570" t="str">
        <f>MID(tbl_lock[[#This Row],[PACE Job Number]],3,3)</f>
        <v>NTX</v>
      </c>
      <c r="C1570" t="s">
        <v>14</v>
      </c>
      <c r="D1570" s="1">
        <v>43416</v>
      </c>
    </row>
    <row r="1571" spans="1:4" x14ac:dyDescent="0.25">
      <c r="A1571" t="s">
        <v>3501</v>
      </c>
      <c r="B1571" t="str">
        <f>MID(tbl_lock[[#This Row],[PACE Job Number]],3,3)</f>
        <v>NTX</v>
      </c>
      <c r="C1571" t="s">
        <v>14</v>
      </c>
      <c r="D1571" s="1">
        <v>43413</v>
      </c>
    </row>
    <row r="1572" spans="1:4" x14ac:dyDescent="0.25">
      <c r="A1572" t="s">
        <v>2334</v>
      </c>
      <c r="B1572" t="str">
        <f>MID(tbl_lock[[#This Row],[PACE Job Number]],3,3)</f>
        <v>NTX</v>
      </c>
      <c r="C1572" t="s">
        <v>14</v>
      </c>
      <c r="D1572" s="1">
        <v>43423</v>
      </c>
    </row>
    <row r="1573" spans="1:4" x14ac:dyDescent="0.25">
      <c r="A1573" t="s">
        <v>5394</v>
      </c>
      <c r="B1573" t="str">
        <f>MID(tbl_lock[[#This Row],[PACE Job Number]],3,3)</f>
        <v>NTX</v>
      </c>
      <c r="C1573" t="s">
        <v>14</v>
      </c>
      <c r="D1573" s="1">
        <v>43414</v>
      </c>
    </row>
    <row r="1574" spans="1:4" x14ac:dyDescent="0.25">
      <c r="A1574" t="s">
        <v>5395</v>
      </c>
      <c r="B1574" t="str">
        <f>MID(tbl_lock[[#This Row],[PACE Job Number]],3,3)</f>
        <v>NTX</v>
      </c>
      <c r="C1574" t="s">
        <v>14</v>
      </c>
      <c r="D1574" s="1">
        <v>43406</v>
      </c>
    </row>
    <row r="1575" spans="1:4" x14ac:dyDescent="0.25">
      <c r="A1575" t="s">
        <v>5396</v>
      </c>
      <c r="B1575" t="str">
        <f>MID(tbl_lock[[#This Row],[PACE Job Number]],3,3)</f>
        <v>NTX</v>
      </c>
      <c r="C1575" t="s">
        <v>14</v>
      </c>
      <c r="D1575" s="1">
        <v>43416</v>
      </c>
    </row>
    <row r="1576" spans="1:4" x14ac:dyDescent="0.25">
      <c r="A1576" t="s">
        <v>5397</v>
      </c>
      <c r="B1576" t="str">
        <f>MID(tbl_lock[[#This Row],[PACE Job Number]],3,3)</f>
        <v>NTX</v>
      </c>
      <c r="C1576" t="s">
        <v>14</v>
      </c>
      <c r="D1576" s="1">
        <v>43416</v>
      </c>
    </row>
    <row r="1577" spans="1:4" x14ac:dyDescent="0.25">
      <c r="A1577" t="s">
        <v>5398</v>
      </c>
      <c r="B1577" t="str">
        <f>MID(tbl_lock[[#This Row],[PACE Job Number]],3,3)</f>
        <v>NTX</v>
      </c>
      <c r="C1577" t="s">
        <v>14</v>
      </c>
      <c r="D1577" s="1">
        <v>43416</v>
      </c>
    </row>
    <row r="1578" spans="1:4" x14ac:dyDescent="0.25">
      <c r="A1578" t="s">
        <v>1731</v>
      </c>
      <c r="B1578" t="str">
        <f>MID(tbl_lock[[#This Row],[PACE Job Number]],3,3)</f>
        <v>NTX</v>
      </c>
      <c r="C1578" t="s">
        <v>14</v>
      </c>
      <c r="D1578" s="1">
        <v>43413</v>
      </c>
    </row>
    <row r="1579" spans="1:4" x14ac:dyDescent="0.25">
      <c r="A1579" t="s">
        <v>2335</v>
      </c>
      <c r="B1579" t="str">
        <f>MID(tbl_lock[[#This Row],[PACE Job Number]],3,3)</f>
        <v>NTX</v>
      </c>
      <c r="C1579" t="s">
        <v>14</v>
      </c>
      <c r="D1579" s="1">
        <v>43419</v>
      </c>
    </row>
    <row r="1580" spans="1:4" x14ac:dyDescent="0.25">
      <c r="A1580" t="s">
        <v>3389</v>
      </c>
      <c r="B1580" t="str">
        <f>MID(tbl_lock[[#This Row],[PACE Job Number]],3,3)</f>
        <v>NTX</v>
      </c>
      <c r="C1580" t="s">
        <v>14</v>
      </c>
      <c r="D1580" s="1">
        <v>43406</v>
      </c>
    </row>
    <row r="1581" spans="1:4" x14ac:dyDescent="0.25">
      <c r="A1581" t="s">
        <v>5399</v>
      </c>
      <c r="B1581" t="str">
        <f>MID(tbl_lock[[#This Row],[PACE Job Number]],3,3)</f>
        <v>NTX</v>
      </c>
      <c r="C1581" t="s">
        <v>14</v>
      </c>
      <c r="D1581" s="1">
        <v>43416</v>
      </c>
    </row>
    <row r="1582" spans="1:4" x14ac:dyDescent="0.25">
      <c r="A1582" t="s">
        <v>5400</v>
      </c>
      <c r="B1582" t="str">
        <f>MID(tbl_lock[[#This Row],[PACE Job Number]],3,3)</f>
        <v>NTX</v>
      </c>
      <c r="C1582" t="s">
        <v>14</v>
      </c>
      <c r="D1582" s="1">
        <v>43416</v>
      </c>
    </row>
    <row r="1583" spans="1:4" x14ac:dyDescent="0.25">
      <c r="A1583" t="s">
        <v>3507</v>
      </c>
      <c r="B1583" t="str">
        <f>MID(tbl_lock[[#This Row],[PACE Job Number]],3,3)</f>
        <v>NTX</v>
      </c>
      <c r="C1583" t="s">
        <v>14</v>
      </c>
      <c r="D1583" s="1">
        <v>43413</v>
      </c>
    </row>
    <row r="1584" spans="1:4" x14ac:dyDescent="0.25">
      <c r="A1584" t="s">
        <v>5401</v>
      </c>
      <c r="B1584" t="str">
        <f>MID(tbl_lock[[#This Row],[PACE Job Number]],3,3)</f>
        <v>NTX</v>
      </c>
      <c r="C1584" t="s">
        <v>14</v>
      </c>
      <c r="D1584" s="1">
        <v>43406</v>
      </c>
    </row>
    <row r="1585" spans="1:4" x14ac:dyDescent="0.25">
      <c r="A1585" t="s">
        <v>5402</v>
      </c>
      <c r="B1585" t="str">
        <f>MID(tbl_lock[[#This Row],[PACE Job Number]],3,3)</f>
        <v>NTX</v>
      </c>
      <c r="C1585" t="s">
        <v>14</v>
      </c>
      <c r="D1585" s="1">
        <v>43430</v>
      </c>
    </row>
    <row r="1586" spans="1:4" x14ac:dyDescent="0.25">
      <c r="A1586" t="s">
        <v>4403</v>
      </c>
      <c r="B1586" t="str">
        <f>MID(tbl_lock[[#This Row],[PACE Job Number]],3,3)</f>
        <v>NTX</v>
      </c>
      <c r="C1586" t="s">
        <v>14</v>
      </c>
      <c r="D1586" s="1">
        <v>43405</v>
      </c>
    </row>
    <row r="1587" spans="1:4" x14ac:dyDescent="0.25">
      <c r="A1587" t="s">
        <v>400</v>
      </c>
      <c r="B1587" t="str">
        <f>MID(tbl_lock[[#This Row],[PACE Job Number]],3,3)</f>
        <v>NTX</v>
      </c>
      <c r="C1587" t="s">
        <v>14</v>
      </c>
      <c r="D1587" s="1">
        <v>43432</v>
      </c>
    </row>
    <row r="1588" spans="1:4" x14ac:dyDescent="0.25">
      <c r="A1588" t="s">
        <v>4264</v>
      </c>
      <c r="B1588" t="str">
        <f>MID(tbl_lock[[#This Row],[PACE Job Number]],3,3)</f>
        <v>NTX</v>
      </c>
      <c r="C1588" t="s">
        <v>14</v>
      </c>
      <c r="D1588" s="1">
        <v>43416</v>
      </c>
    </row>
    <row r="1589" spans="1:4" x14ac:dyDescent="0.25">
      <c r="A1589" t="s">
        <v>106</v>
      </c>
      <c r="B1589" t="str">
        <f>MID(tbl_lock[[#This Row],[PACE Job Number]],3,3)</f>
        <v>NTX</v>
      </c>
      <c r="C1589" t="s">
        <v>14</v>
      </c>
      <c r="D1589" s="1">
        <v>43409</v>
      </c>
    </row>
    <row r="1590" spans="1:4" x14ac:dyDescent="0.25">
      <c r="A1590" t="s">
        <v>4265</v>
      </c>
      <c r="B1590" t="str">
        <f>MID(tbl_lock[[#This Row],[PACE Job Number]],3,3)</f>
        <v>NTX</v>
      </c>
      <c r="C1590" t="s">
        <v>14</v>
      </c>
      <c r="D1590" s="1">
        <v>43416</v>
      </c>
    </row>
    <row r="1591" spans="1:4" x14ac:dyDescent="0.25">
      <c r="A1591" t="s">
        <v>2419</v>
      </c>
      <c r="B1591" t="str">
        <f>MID(tbl_lock[[#This Row],[PACE Job Number]],3,3)</f>
        <v>NTX</v>
      </c>
      <c r="C1591" t="s">
        <v>14</v>
      </c>
      <c r="D1591" s="1">
        <v>43409</v>
      </c>
    </row>
    <row r="1592" spans="1:4" x14ac:dyDescent="0.25">
      <c r="A1592" t="s">
        <v>5403</v>
      </c>
      <c r="B1592" t="str">
        <f>MID(tbl_lock[[#This Row],[PACE Job Number]],3,3)</f>
        <v>NTX</v>
      </c>
      <c r="C1592" t="s">
        <v>14</v>
      </c>
      <c r="D1592" s="1">
        <v>43430</v>
      </c>
    </row>
    <row r="1593" spans="1:4" x14ac:dyDescent="0.25">
      <c r="A1593" t="s">
        <v>3798</v>
      </c>
      <c r="B1593" t="str">
        <f>MID(tbl_lock[[#This Row],[PACE Job Number]],3,3)</f>
        <v>WSH</v>
      </c>
      <c r="C1593" t="s">
        <v>14</v>
      </c>
      <c r="D1593" s="1">
        <v>43430</v>
      </c>
    </row>
    <row r="1594" spans="1:4" x14ac:dyDescent="0.25">
      <c r="A1594" t="s">
        <v>4196</v>
      </c>
      <c r="B1594" t="str">
        <f>MID(tbl_lock[[#This Row],[PACE Job Number]],3,3)</f>
        <v>WSH</v>
      </c>
      <c r="C1594" t="s">
        <v>14</v>
      </c>
      <c r="D1594" s="1">
        <v>43407</v>
      </c>
    </row>
    <row r="1595" spans="1:4" x14ac:dyDescent="0.25">
      <c r="A1595" t="s">
        <v>5249</v>
      </c>
      <c r="B1595" t="str">
        <f>MID(tbl_lock[[#This Row],[PACE Job Number]],3,3)</f>
        <v>WSH</v>
      </c>
      <c r="C1595" t="s">
        <v>14</v>
      </c>
      <c r="D1595" s="1">
        <v>43416</v>
      </c>
    </row>
    <row r="1596" spans="1:4" x14ac:dyDescent="0.25">
      <c r="A1596" t="s">
        <v>31</v>
      </c>
      <c r="B1596" t="str">
        <f>MID(tbl_lock[[#This Row],[PACE Job Number]],3,3)</f>
        <v>WSH</v>
      </c>
      <c r="C1596" t="s">
        <v>14</v>
      </c>
      <c r="D1596" s="1">
        <v>43430</v>
      </c>
    </row>
    <row r="1597" spans="1:4" x14ac:dyDescent="0.25">
      <c r="A1597" t="s">
        <v>5250</v>
      </c>
      <c r="B1597" t="str">
        <f>MID(tbl_lock[[#This Row],[PACE Job Number]],3,3)</f>
        <v>WSH</v>
      </c>
      <c r="C1597" t="s">
        <v>14</v>
      </c>
      <c r="D1597" s="1">
        <v>43423</v>
      </c>
    </row>
    <row r="1598" spans="1:4" x14ac:dyDescent="0.25">
      <c r="A1598" t="s">
        <v>5251</v>
      </c>
      <c r="B1598" t="str">
        <f>MID(tbl_lock[[#This Row],[PACE Job Number]],3,3)</f>
        <v>WSH</v>
      </c>
      <c r="C1598" t="s">
        <v>14</v>
      </c>
      <c r="D1598" s="1">
        <v>43430</v>
      </c>
    </row>
    <row r="1599" spans="1:4" x14ac:dyDescent="0.25">
      <c r="A1599" t="s">
        <v>5404</v>
      </c>
      <c r="B1599" t="str">
        <f>MID(tbl_lock[[#This Row],[PACE Job Number]],3,3)</f>
        <v>WSH</v>
      </c>
      <c r="C1599" t="s">
        <v>14</v>
      </c>
      <c r="D1599" s="1">
        <v>43423</v>
      </c>
    </row>
    <row r="1600" spans="1:4" x14ac:dyDescent="0.25">
      <c r="A1600" t="s">
        <v>5252</v>
      </c>
      <c r="B1600" t="str">
        <f>MID(tbl_lock[[#This Row],[PACE Job Number]],3,3)</f>
        <v>WSH</v>
      </c>
      <c r="C1600" t="s">
        <v>14</v>
      </c>
      <c r="D1600" s="1">
        <v>43416</v>
      </c>
    </row>
    <row r="1601" spans="1:4" x14ac:dyDescent="0.25">
      <c r="A1601" t="s">
        <v>3799</v>
      </c>
      <c r="B1601" t="str">
        <f>MID(tbl_lock[[#This Row],[PACE Job Number]],3,3)</f>
        <v>WSH</v>
      </c>
      <c r="C1601" t="s">
        <v>14</v>
      </c>
      <c r="D1601" s="1">
        <v>43409</v>
      </c>
    </row>
    <row r="1602" spans="1:4" x14ac:dyDescent="0.25">
      <c r="A1602" t="s">
        <v>4228</v>
      </c>
      <c r="B1602" t="str">
        <f>MID(tbl_lock[[#This Row],[PACE Job Number]],3,3)</f>
        <v>ANM</v>
      </c>
      <c r="C1602" t="s">
        <v>14</v>
      </c>
      <c r="D1602" s="1">
        <v>43407</v>
      </c>
    </row>
    <row r="1603" spans="1:4" x14ac:dyDescent="0.25">
      <c r="A1603" t="s">
        <v>4229</v>
      </c>
      <c r="B1603" t="str">
        <f>MID(tbl_lock[[#This Row],[PACE Job Number]],3,3)</f>
        <v>ANM</v>
      </c>
      <c r="C1603" t="s">
        <v>14</v>
      </c>
      <c r="D1603" s="1">
        <v>43407</v>
      </c>
    </row>
    <row r="1604" spans="1:4" x14ac:dyDescent="0.25">
      <c r="A1604" t="s">
        <v>4231</v>
      </c>
      <c r="B1604" t="str">
        <f>MID(tbl_lock[[#This Row],[PACE Job Number]],3,3)</f>
        <v>ANM</v>
      </c>
      <c r="C1604" t="s">
        <v>14</v>
      </c>
      <c r="D1604" s="1">
        <v>43407</v>
      </c>
    </row>
    <row r="1605" spans="1:4" x14ac:dyDescent="0.25">
      <c r="A1605" t="s">
        <v>4232</v>
      </c>
      <c r="B1605" t="str">
        <f>MID(tbl_lock[[#This Row],[PACE Job Number]],3,3)</f>
        <v>ANM</v>
      </c>
      <c r="C1605" t="s">
        <v>14</v>
      </c>
      <c r="D1605" s="1">
        <v>43407</v>
      </c>
    </row>
    <row r="1606" spans="1:4" x14ac:dyDescent="0.25">
      <c r="A1606" t="s">
        <v>4233</v>
      </c>
      <c r="B1606" t="str">
        <f>MID(tbl_lock[[#This Row],[PACE Job Number]],3,3)</f>
        <v>ANM</v>
      </c>
      <c r="C1606" t="s">
        <v>14</v>
      </c>
      <c r="D1606" s="1">
        <v>43407</v>
      </c>
    </row>
    <row r="1607" spans="1:4" x14ac:dyDescent="0.25">
      <c r="A1607" t="s">
        <v>4234</v>
      </c>
      <c r="B1607" t="str">
        <f>MID(tbl_lock[[#This Row],[PACE Job Number]],3,3)</f>
        <v>ANM</v>
      </c>
      <c r="C1607" t="s">
        <v>14</v>
      </c>
      <c r="D1607" s="1">
        <v>43407</v>
      </c>
    </row>
    <row r="1608" spans="1:4" x14ac:dyDescent="0.25">
      <c r="A1608" t="s">
        <v>4235</v>
      </c>
      <c r="B1608" t="str">
        <f>MID(tbl_lock[[#This Row],[PACE Job Number]],3,3)</f>
        <v>ANM</v>
      </c>
      <c r="C1608" t="s">
        <v>14</v>
      </c>
      <c r="D1608" s="1">
        <v>43407</v>
      </c>
    </row>
    <row r="1609" spans="1:4" x14ac:dyDescent="0.25">
      <c r="A1609" t="s">
        <v>4236</v>
      </c>
      <c r="B1609" t="str">
        <f>MID(tbl_lock[[#This Row],[PACE Job Number]],3,3)</f>
        <v>ANM</v>
      </c>
      <c r="C1609" t="s">
        <v>14</v>
      </c>
      <c r="D1609" s="1">
        <v>43407</v>
      </c>
    </row>
    <row r="1610" spans="1:4" x14ac:dyDescent="0.25">
      <c r="A1610" t="s">
        <v>4237</v>
      </c>
      <c r="B1610" t="str">
        <f>MID(tbl_lock[[#This Row],[PACE Job Number]],3,3)</f>
        <v>ANM</v>
      </c>
      <c r="C1610" t="s">
        <v>14</v>
      </c>
      <c r="D1610" s="1">
        <v>43407</v>
      </c>
    </row>
    <row r="1611" spans="1:4" x14ac:dyDescent="0.25">
      <c r="A1611" t="s">
        <v>5253</v>
      </c>
      <c r="B1611" t="str">
        <f>MID(tbl_lock[[#This Row],[PACE Job Number]],3,3)</f>
        <v>ANM</v>
      </c>
      <c r="C1611" t="s">
        <v>14</v>
      </c>
      <c r="D1611" s="1">
        <v>43416</v>
      </c>
    </row>
    <row r="1612" spans="1:4" x14ac:dyDescent="0.25">
      <c r="A1612" t="s">
        <v>4238</v>
      </c>
      <c r="B1612" t="str">
        <f>MID(tbl_lock[[#This Row],[PACE Job Number]],3,3)</f>
        <v>ANM</v>
      </c>
      <c r="C1612" t="s">
        <v>14</v>
      </c>
      <c r="D1612" s="1">
        <v>43423</v>
      </c>
    </row>
    <row r="1613" spans="1:4" x14ac:dyDescent="0.25">
      <c r="A1613" t="s">
        <v>5254</v>
      </c>
      <c r="B1613" t="str">
        <f>MID(tbl_lock[[#This Row],[PACE Job Number]],3,3)</f>
        <v>ANM</v>
      </c>
      <c r="C1613" t="s">
        <v>14</v>
      </c>
      <c r="D1613" s="1">
        <v>43430</v>
      </c>
    </row>
    <row r="1614" spans="1:4" x14ac:dyDescent="0.25">
      <c r="A1614" t="s">
        <v>1683</v>
      </c>
      <c r="B1614" t="str">
        <f>MID(tbl_lock[[#This Row],[PACE Job Number]],3,3)</f>
        <v>ANM</v>
      </c>
      <c r="C1614" t="s">
        <v>14</v>
      </c>
      <c r="D1614" s="1">
        <v>43430</v>
      </c>
    </row>
    <row r="1615" spans="1:4" x14ac:dyDescent="0.25">
      <c r="A1615" t="s">
        <v>1692</v>
      </c>
      <c r="B1615" t="str">
        <f>MID(tbl_lock[[#This Row],[PACE Job Number]],3,3)</f>
        <v>ANM</v>
      </c>
      <c r="C1615" t="s">
        <v>14</v>
      </c>
      <c r="D1615" s="1">
        <v>43430</v>
      </c>
    </row>
    <row r="1616" spans="1:4" x14ac:dyDescent="0.25">
      <c r="A1616" t="s">
        <v>1685</v>
      </c>
      <c r="B1616" t="str">
        <f>MID(tbl_lock[[#This Row],[PACE Job Number]],3,3)</f>
        <v>ANM</v>
      </c>
      <c r="C1616" t="s">
        <v>14</v>
      </c>
      <c r="D1616" s="1">
        <v>43430</v>
      </c>
    </row>
    <row r="1617" spans="1:4" x14ac:dyDescent="0.25">
      <c r="A1617" t="s">
        <v>4464</v>
      </c>
      <c r="B1617" t="str">
        <f>MID(tbl_lock[[#This Row],[PACE Job Number]],3,3)</f>
        <v>STX</v>
      </c>
      <c r="C1617" t="s">
        <v>14</v>
      </c>
      <c r="D1617" s="1">
        <v>43419</v>
      </c>
    </row>
    <row r="1618" spans="1:4" x14ac:dyDescent="0.25">
      <c r="A1618" t="s">
        <v>4465</v>
      </c>
      <c r="B1618" t="str">
        <f>MID(tbl_lock[[#This Row],[PACE Job Number]],3,3)</f>
        <v>STX</v>
      </c>
      <c r="C1618" t="s">
        <v>14</v>
      </c>
      <c r="D1618" s="1">
        <v>43419</v>
      </c>
    </row>
    <row r="1619" spans="1:4" x14ac:dyDescent="0.25">
      <c r="A1619" t="s">
        <v>3259</v>
      </c>
      <c r="B1619" t="str">
        <f>MID(tbl_lock[[#This Row],[PACE Job Number]],3,3)</f>
        <v>STX</v>
      </c>
      <c r="C1619" t="s">
        <v>14</v>
      </c>
      <c r="D1619" s="1">
        <v>43419</v>
      </c>
    </row>
    <row r="1620" spans="1:4" x14ac:dyDescent="0.25">
      <c r="A1620" t="s">
        <v>1205</v>
      </c>
      <c r="B1620" t="str">
        <f>MID(tbl_lock[[#This Row],[PACE Job Number]],3,3)</f>
        <v>STX</v>
      </c>
      <c r="C1620" t="s">
        <v>14</v>
      </c>
      <c r="D1620" s="1">
        <v>43419</v>
      </c>
    </row>
    <row r="1621" spans="1:4" x14ac:dyDescent="0.25">
      <c r="A1621" t="s">
        <v>4467</v>
      </c>
      <c r="B1621" t="str">
        <f>MID(tbl_lock[[#This Row],[PACE Job Number]],3,3)</f>
        <v>STX</v>
      </c>
      <c r="C1621" t="s">
        <v>14</v>
      </c>
      <c r="D1621" s="1">
        <v>43419</v>
      </c>
    </row>
    <row r="1622" spans="1:4" x14ac:dyDescent="0.25">
      <c r="A1622" t="s">
        <v>4468</v>
      </c>
      <c r="B1622" t="str">
        <f>MID(tbl_lock[[#This Row],[PACE Job Number]],3,3)</f>
        <v>STX</v>
      </c>
      <c r="C1622" t="s">
        <v>14</v>
      </c>
      <c r="D1622" s="1">
        <v>43419</v>
      </c>
    </row>
    <row r="1623" spans="1:4" x14ac:dyDescent="0.25">
      <c r="A1623" t="s">
        <v>3294</v>
      </c>
      <c r="B1623" t="str">
        <f>MID(tbl_lock[[#This Row],[PACE Job Number]],3,3)</f>
        <v>STX</v>
      </c>
      <c r="C1623" t="s">
        <v>14</v>
      </c>
      <c r="D1623" s="1">
        <v>43416</v>
      </c>
    </row>
    <row r="1624" spans="1:4" x14ac:dyDescent="0.25">
      <c r="A1624" t="s">
        <v>2726</v>
      </c>
      <c r="B1624" t="str">
        <f>MID(tbl_lock[[#This Row],[PACE Job Number]],3,3)</f>
        <v>STX</v>
      </c>
      <c r="C1624" t="s">
        <v>14</v>
      </c>
      <c r="D1624" s="1">
        <v>43419</v>
      </c>
    </row>
    <row r="1625" spans="1:4" x14ac:dyDescent="0.25">
      <c r="A1625" t="s">
        <v>2731</v>
      </c>
      <c r="B1625" t="str">
        <f>MID(tbl_lock[[#This Row],[PACE Job Number]],3,3)</f>
        <v>STX</v>
      </c>
      <c r="C1625" t="s">
        <v>14</v>
      </c>
      <c r="D1625" s="1">
        <v>43419</v>
      </c>
    </row>
    <row r="1626" spans="1:4" x14ac:dyDescent="0.25">
      <c r="A1626" t="s">
        <v>2729</v>
      </c>
      <c r="B1626" t="str">
        <f>MID(tbl_lock[[#This Row],[PACE Job Number]],3,3)</f>
        <v>STX</v>
      </c>
      <c r="C1626" t="s">
        <v>14</v>
      </c>
      <c r="D1626" s="1">
        <v>43419</v>
      </c>
    </row>
    <row r="1627" spans="1:4" x14ac:dyDescent="0.25">
      <c r="A1627" t="s">
        <v>3128</v>
      </c>
      <c r="B1627" t="str">
        <f>MID(tbl_lock[[#This Row],[PACE Job Number]],3,3)</f>
        <v>STX</v>
      </c>
      <c r="C1627" t="s">
        <v>14</v>
      </c>
      <c r="D1627" s="1">
        <v>43419</v>
      </c>
    </row>
    <row r="1628" spans="1:4" x14ac:dyDescent="0.25">
      <c r="A1628" t="s">
        <v>4278</v>
      </c>
      <c r="B1628" t="str">
        <f>MID(tbl_lock[[#This Row],[PACE Job Number]],3,3)</f>
        <v>STX</v>
      </c>
      <c r="C1628" t="s">
        <v>14</v>
      </c>
      <c r="D1628" s="1">
        <v>43412</v>
      </c>
    </row>
    <row r="1629" spans="1:4" x14ac:dyDescent="0.25">
      <c r="A1629" t="s">
        <v>5405</v>
      </c>
      <c r="B1629" t="str">
        <f>MID(tbl_lock[[#This Row],[PACE Job Number]],3,3)</f>
        <v>STX</v>
      </c>
      <c r="C1629" t="s">
        <v>14</v>
      </c>
      <c r="D1629" s="1">
        <v>43416</v>
      </c>
    </row>
    <row r="1630" spans="1:4" x14ac:dyDescent="0.25">
      <c r="A1630" t="s">
        <v>4279</v>
      </c>
      <c r="B1630" t="str">
        <f>MID(tbl_lock[[#This Row],[PACE Job Number]],3,3)</f>
        <v>STX</v>
      </c>
      <c r="C1630" t="s">
        <v>14</v>
      </c>
      <c r="D1630" s="1">
        <v>43420</v>
      </c>
    </row>
    <row r="1631" spans="1:4" x14ac:dyDescent="0.25">
      <c r="A1631" t="s">
        <v>1270</v>
      </c>
      <c r="B1631" t="str">
        <f>MID(tbl_lock[[#This Row],[PACE Job Number]],3,3)</f>
        <v>STX</v>
      </c>
      <c r="C1631" t="s">
        <v>14</v>
      </c>
      <c r="D1631" s="1">
        <v>43419</v>
      </c>
    </row>
    <row r="1632" spans="1:4" x14ac:dyDescent="0.25">
      <c r="A1632" t="s">
        <v>4406</v>
      </c>
      <c r="B1632" t="str">
        <f>MID(tbl_lock[[#This Row],[PACE Job Number]],3,3)</f>
        <v>STX</v>
      </c>
      <c r="C1632" t="s">
        <v>14</v>
      </c>
      <c r="D1632" s="1">
        <v>43406</v>
      </c>
    </row>
    <row r="1633" spans="1:4" x14ac:dyDescent="0.25">
      <c r="A1633" t="s">
        <v>4407</v>
      </c>
      <c r="B1633" t="str">
        <f>MID(tbl_lock[[#This Row],[PACE Job Number]],3,3)</f>
        <v>STX</v>
      </c>
      <c r="C1633" t="s">
        <v>14</v>
      </c>
      <c r="D1633" s="1">
        <v>43406</v>
      </c>
    </row>
    <row r="1634" spans="1:4" x14ac:dyDescent="0.25">
      <c r="A1634" t="s">
        <v>4408</v>
      </c>
      <c r="B1634" t="str">
        <f>MID(tbl_lock[[#This Row],[PACE Job Number]],3,3)</f>
        <v>STX</v>
      </c>
      <c r="C1634" t="s">
        <v>14</v>
      </c>
      <c r="D1634" s="1">
        <v>43406</v>
      </c>
    </row>
    <row r="1635" spans="1:4" x14ac:dyDescent="0.25">
      <c r="A1635" t="s">
        <v>677</v>
      </c>
      <c r="B1635" t="str">
        <f>MID(tbl_lock[[#This Row],[PACE Job Number]],3,3)</f>
        <v>STX</v>
      </c>
      <c r="C1635" t="s">
        <v>14</v>
      </c>
      <c r="D1635" s="1">
        <v>43419</v>
      </c>
    </row>
    <row r="1636" spans="1:4" x14ac:dyDescent="0.25">
      <c r="A1636" t="s">
        <v>3472</v>
      </c>
      <c r="B1636" t="str">
        <f>MID(tbl_lock[[#This Row],[PACE Job Number]],3,3)</f>
        <v>STX</v>
      </c>
      <c r="C1636" t="s">
        <v>14</v>
      </c>
      <c r="D1636" s="1">
        <v>43409</v>
      </c>
    </row>
    <row r="1637" spans="1:4" x14ac:dyDescent="0.25">
      <c r="A1637" t="s">
        <v>261</v>
      </c>
      <c r="B1637" t="str">
        <f>MID(tbl_lock[[#This Row],[PACE Job Number]],3,3)</f>
        <v>STX</v>
      </c>
      <c r="C1637" t="s">
        <v>14</v>
      </c>
      <c r="D1637" s="1">
        <v>43416</v>
      </c>
    </row>
    <row r="1638" spans="1:4" x14ac:dyDescent="0.25">
      <c r="A1638" t="s">
        <v>5406</v>
      </c>
      <c r="B1638" t="str">
        <f>MID(tbl_lock[[#This Row],[PACE Job Number]],3,3)</f>
        <v>STX</v>
      </c>
      <c r="C1638" t="s">
        <v>14</v>
      </c>
      <c r="D1638" s="1">
        <v>43405</v>
      </c>
    </row>
    <row r="1639" spans="1:4" x14ac:dyDescent="0.25">
      <c r="A1639" t="s">
        <v>53</v>
      </c>
      <c r="B1639" t="str">
        <f>MID(tbl_lock[[#This Row],[PACE Job Number]],3,3)</f>
        <v>STX</v>
      </c>
      <c r="C1639" t="s">
        <v>14</v>
      </c>
      <c r="D1639" s="1">
        <v>43416</v>
      </c>
    </row>
    <row r="1640" spans="1:4" x14ac:dyDescent="0.25">
      <c r="A1640" t="s">
        <v>5407</v>
      </c>
      <c r="B1640" t="str">
        <f>MID(tbl_lock[[#This Row],[PACE Job Number]],3,3)</f>
        <v>STX</v>
      </c>
      <c r="C1640" t="s">
        <v>14</v>
      </c>
      <c r="D1640" s="1">
        <v>43416</v>
      </c>
    </row>
    <row r="1641" spans="1:4" x14ac:dyDescent="0.25">
      <c r="A1641" t="s">
        <v>3958</v>
      </c>
      <c r="B1641" t="str">
        <f>MID(tbl_lock[[#This Row],[PACE Job Number]],3,3)</f>
        <v>NTX</v>
      </c>
      <c r="C1641" t="s">
        <v>14</v>
      </c>
      <c r="D1641" s="1">
        <v>43413</v>
      </c>
    </row>
    <row r="1642" spans="1:4" x14ac:dyDescent="0.25">
      <c r="A1642" t="s">
        <v>4382</v>
      </c>
      <c r="B1642" t="str">
        <f>MID(tbl_lock[[#This Row],[PACE Job Number]],3,3)</f>
        <v>NTX</v>
      </c>
      <c r="C1642" t="s">
        <v>14</v>
      </c>
      <c r="D1642" s="1">
        <v>43432</v>
      </c>
    </row>
    <row r="1643" spans="1:4" x14ac:dyDescent="0.25">
      <c r="A1643" t="s">
        <v>318</v>
      </c>
      <c r="B1643" t="str">
        <f>MID(tbl_lock[[#This Row],[PACE Job Number]],3,3)</f>
        <v>NTX</v>
      </c>
      <c r="C1643" t="s">
        <v>14</v>
      </c>
      <c r="D1643" s="1">
        <v>43416</v>
      </c>
    </row>
    <row r="1644" spans="1:4" x14ac:dyDescent="0.25">
      <c r="A1644" t="s">
        <v>1820</v>
      </c>
      <c r="B1644" t="str">
        <f>MID(tbl_lock[[#This Row],[PACE Job Number]],3,3)</f>
        <v>NTX</v>
      </c>
      <c r="C1644" t="s">
        <v>14</v>
      </c>
      <c r="D1644" s="1">
        <v>43434</v>
      </c>
    </row>
    <row r="1645" spans="1:4" x14ac:dyDescent="0.25">
      <c r="A1645" t="s">
        <v>1825</v>
      </c>
      <c r="B1645" t="str">
        <f>MID(tbl_lock[[#This Row],[PACE Job Number]],3,3)</f>
        <v>NTX</v>
      </c>
      <c r="C1645" t="s">
        <v>14</v>
      </c>
      <c r="D1645" s="1">
        <v>43416</v>
      </c>
    </row>
    <row r="1646" spans="1:4" x14ac:dyDescent="0.25">
      <c r="A1646" t="s">
        <v>1013</v>
      </c>
      <c r="B1646" t="str">
        <f>MID(tbl_lock[[#This Row],[PACE Job Number]],3,3)</f>
        <v>NTX</v>
      </c>
      <c r="C1646" t="s">
        <v>14</v>
      </c>
      <c r="D1646" s="1">
        <v>43434</v>
      </c>
    </row>
    <row r="1647" spans="1:4" x14ac:dyDescent="0.25">
      <c r="A1647" t="s">
        <v>521</v>
      </c>
      <c r="B1647" t="str">
        <f>MID(tbl_lock[[#This Row],[PACE Job Number]],3,3)</f>
        <v>NTX</v>
      </c>
      <c r="C1647" t="s">
        <v>14</v>
      </c>
      <c r="D1647" s="1">
        <v>43434</v>
      </c>
    </row>
    <row r="1648" spans="1:4" x14ac:dyDescent="0.25">
      <c r="A1648" t="s">
        <v>5408</v>
      </c>
      <c r="B1648" t="str">
        <f>MID(tbl_lock[[#This Row],[PACE Job Number]],3,3)</f>
        <v>NTX</v>
      </c>
      <c r="C1648" t="s">
        <v>14</v>
      </c>
      <c r="D1648" s="1">
        <v>43405</v>
      </c>
    </row>
    <row r="1649" spans="1:4" x14ac:dyDescent="0.25">
      <c r="A1649" t="s">
        <v>645</v>
      </c>
      <c r="B1649" t="str">
        <f>MID(tbl_lock[[#This Row],[PACE Job Number]],3,3)</f>
        <v>NTX</v>
      </c>
      <c r="C1649" t="s">
        <v>14</v>
      </c>
      <c r="D1649" s="1">
        <v>43413</v>
      </c>
    </row>
    <row r="1650" spans="1:4" x14ac:dyDescent="0.25">
      <c r="A1650" t="s">
        <v>5409</v>
      </c>
      <c r="B1650" t="str">
        <f>MID(tbl_lock[[#This Row],[PACE Job Number]],3,3)</f>
        <v>NTX</v>
      </c>
      <c r="C1650" t="s">
        <v>14</v>
      </c>
      <c r="D1650" s="1">
        <v>43409</v>
      </c>
    </row>
    <row r="1651" spans="1:4" x14ac:dyDescent="0.25">
      <c r="A1651" t="s">
        <v>5258</v>
      </c>
      <c r="B1651" t="str">
        <f>MID(tbl_lock[[#This Row],[PACE Job Number]],3,3)</f>
        <v>WSH</v>
      </c>
      <c r="C1651" t="s">
        <v>14</v>
      </c>
      <c r="D1651" s="1">
        <v>43413</v>
      </c>
    </row>
    <row r="1652" spans="1:4" x14ac:dyDescent="0.25">
      <c r="A1652" t="s">
        <v>242</v>
      </c>
      <c r="B1652" t="str">
        <f>MID(tbl_lock[[#This Row],[PACE Job Number]],3,3)</f>
        <v>WSH</v>
      </c>
      <c r="C1652" t="s">
        <v>14</v>
      </c>
      <c r="D1652" s="1">
        <v>43411</v>
      </c>
    </row>
    <row r="1653" spans="1:4" x14ac:dyDescent="0.25">
      <c r="A1653" t="s">
        <v>5259</v>
      </c>
      <c r="B1653" t="str">
        <f>MID(tbl_lock[[#This Row],[PACE Job Number]],3,3)</f>
        <v>WSH</v>
      </c>
      <c r="C1653" t="s">
        <v>14</v>
      </c>
      <c r="D1653" s="1">
        <v>43410</v>
      </c>
    </row>
    <row r="1654" spans="1:4" x14ac:dyDescent="0.25">
      <c r="A1654" t="s">
        <v>121</v>
      </c>
      <c r="B1654" t="str">
        <f>MID(tbl_lock[[#This Row],[PACE Job Number]],3,3)</f>
        <v>WSH</v>
      </c>
      <c r="C1654" t="s">
        <v>14</v>
      </c>
      <c r="D1654" s="1">
        <v>43409</v>
      </c>
    </row>
    <row r="1655" spans="1:4" x14ac:dyDescent="0.25">
      <c r="A1655" t="s">
        <v>5260</v>
      </c>
      <c r="B1655" t="str">
        <f>MID(tbl_lock[[#This Row],[PACE Job Number]],3,3)</f>
        <v>WSH</v>
      </c>
      <c r="C1655" t="s">
        <v>14</v>
      </c>
      <c r="D1655" s="1">
        <v>43430</v>
      </c>
    </row>
    <row r="1656" spans="1:4" x14ac:dyDescent="0.25">
      <c r="A1656" t="s">
        <v>5262</v>
      </c>
      <c r="B1656" t="str">
        <f>MID(tbl_lock[[#This Row],[PACE Job Number]],3,3)</f>
        <v>WSH</v>
      </c>
      <c r="C1656" t="s">
        <v>14</v>
      </c>
      <c r="D1656" s="1">
        <v>43413</v>
      </c>
    </row>
    <row r="1657" spans="1:4" x14ac:dyDescent="0.25">
      <c r="A1657" t="s">
        <v>153</v>
      </c>
      <c r="B1657" t="str">
        <f>MID(tbl_lock[[#This Row],[PACE Job Number]],3,3)</f>
        <v>WSH</v>
      </c>
      <c r="C1657" t="s">
        <v>14</v>
      </c>
      <c r="D1657" s="1">
        <v>43409</v>
      </c>
    </row>
    <row r="1658" spans="1:4" x14ac:dyDescent="0.25">
      <c r="A1658" t="s">
        <v>5263</v>
      </c>
      <c r="B1658" t="str">
        <f>MID(tbl_lock[[#This Row],[PACE Job Number]],3,3)</f>
        <v>WSH</v>
      </c>
      <c r="C1658" t="s">
        <v>14</v>
      </c>
      <c r="D1658" s="1">
        <v>43413</v>
      </c>
    </row>
    <row r="1659" spans="1:4" x14ac:dyDescent="0.25">
      <c r="A1659" t="s">
        <v>5264</v>
      </c>
      <c r="B1659" t="str">
        <f>MID(tbl_lock[[#This Row],[PACE Job Number]],3,3)</f>
        <v>WSH</v>
      </c>
      <c r="C1659" t="s">
        <v>14</v>
      </c>
      <c r="D1659" s="1">
        <v>43409</v>
      </c>
    </row>
    <row r="1660" spans="1:4" x14ac:dyDescent="0.25">
      <c r="A1660" t="s">
        <v>5265</v>
      </c>
      <c r="B1660" t="str">
        <f>MID(tbl_lock[[#This Row],[PACE Job Number]],3,3)</f>
        <v>WSH</v>
      </c>
      <c r="C1660" t="s">
        <v>14</v>
      </c>
      <c r="D1660" s="1">
        <v>43409</v>
      </c>
    </row>
    <row r="1661" spans="1:4" x14ac:dyDescent="0.25">
      <c r="A1661" t="s">
        <v>5266</v>
      </c>
      <c r="B1661" t="str">
        <f>MID(tbl_lock[[#This Row],[PACE Job Number]],3,3)</f>
        <v>WSH</v>
      </c>
      <c r="C1661" t="s">
        <v>14</v>
      </c>
      <c r="D1661" s="1">
        <v>43430</v>
      </c>
    </row>
    <row r="1662" spans="1:4" x14ac:dyDescent="0.25">
      <c r="A1662" t="s">
        <v>5267</v>
      </c>
      <c r="B1662" t="str">
        <f>MID(tbl_lock[[#This Row],[PACE Job Number]],3,3)</f>
        <v>WSH</v>
      </c>
      <c r="C1662" t="s">
        <v>14</v>
      </c>
      <c r="D1662" s="1">
        <v>43430</v>
      </c>
    </row>
    <row r="1663" spans="1:4" x14ac:dyDescent="0.25">
      <c r="A1663" t="s">
        <v>5268</v>
      </c>
      <c r="B1663" t="str">
        <f>MID(tbl_lock[[#This Row],[PACE Job Number]],3,3)</f>
        <v>WSH</v>
      </c>
      <c r="C1663" t="s">
        <v>14</v>
      </c>
      <c r="D1663" s="1">
        <v>43413</v>
      </c>
    </row>
    <row r="1664" spans="1:4" x14ac:dyDescent="0.25">
      <c r="A1664" t="s">
        <v>5269</v>
      </c>
      <c r="B1664" t="str">
        <f>MID(tbl_lock[[#This Row],[PACE Job Number]],3,3)</f>
        <v>WSH</v>
      </c>
      <c r="C1664" t="s">
        <v>14</v>
      </c>
      <c r="D1664" s="1">
        <v>43410</v>
      </c>
    </row>
    <row r="1665" spans="1:4" x14ac:dyDescent="0.25">
      <c r="A1665" t="s">
        <v>2694</v>
      </c>
      <c r="B1665" t="str">
        <f>MID(tbl_lock[[#This Row],[PACE Job Number]],3,3)</f>
        <v>STX</v>
      </c>
      <c r="C1665" t="s">
        <v>14</v>
      </c>
      <c r="D1665" s="1">
        <v>43419</v>
      </c>
    </row>
    <row r="1666" spans="1:4" x14ac:dyDescent="0.25">
      <c r="A1666" t="s">
        <v>3510</v>
      </c>
      <c r="B1666" t="str">
        <f>MID(tbl_lock[[#This Row],[PACE Job Number]],3,3)</f>
        <v>STX</v>
      </c>
      <c r="C1666" t="s">
        <v>14</v>
      </c>
      <c r="D1666" s="1">
        <v>43419</v>
      </c>
    </row>
    <row r="1667" spans="1:4" x14ac:dyDescent="0.25">
      <c r="A1667" t="s">
        <v>5410</v>
      </c>
      <c r="B1667" t="str">
        <f>MID(tbl_lock[[#This Row],[PACE Job Number]],3,3)</f>
        <v>STX</v>
      </c>
      <c r="C1667" t="s">
        <v>14</v>
      </c>
      <c r="D1667" s="1">
        <v>43419</v>
      </c>
    </row>
    <row r="1668" spans="1:4" x14ac:dyDescent="0.25">
      <c r="A1668" t="s">
        <v>3831</v>
      </c>
      <c r="B1668" t="str">
        <f>MID(tbl_lock[[#This Row],[PACE Job Number]],3,3)</f>
        <v>WSH</v>
      </c>
      <c r="C1668" t="s">
        <v>14</v>
      </c>
      <c r="D1668" s="1">
        <v>43416</v>
      </c>
    </row>
    <row r="1669" spans="1:4" x14ac:dyDescent="0.25">
      <c r="A1669" t="s">
        <v>5411</v>
      </c>
      <c r="B1669" t="str">
        <f>MID(tbl_lock[[#This Row],[PACE Job Number]],3,3)</f>
        <v>WSH</v>
      </c>
      <c r="C1669" t="s">
        <v>14</v>
      </c>
      <c r="D1669" s="1">
        <v>43430</v>
      </c>
    </row>
    <row r="1670" spans="1:4" x14ac:dyDescent="0.25">
      <c r="A1670" t="s">
        <v>4249</v>
      </c>
      <c r="B1670" t="str">
        <f>MID(tbl_lock[[#This Row],[PACE Job Number]],3,3)</f>
        <v>WSH</v>
      </c>
      <c r="C1670" t="s">
        <v>14</v>
      </c>
      <c r="D1670" s="1">
        <v>43411</v>
      </c>
    </row>
    <row r="1671" spans="1:4" x14ac:dyDescent="0.25">
      <c r="A1671" t="s">
        <v>232</v>
      </c>
      <c r="B1671" t="str">
        <f>MID(tbl_lock[[#This Row],[PACE Job Number]],3,3)</f>
        <v>WSH</v>
      </c>
      <c r="C1671" t="s">
        <v>14</v>
      </c>
      <c r="D1671" s="1">
        <v>43423</v>
      </c>
    </row>
    <row r="1672" spans="1:4" x14ac:dyDescent="0.25">
      <c r="A1672" t="s">
        <v>177</v>
      </c>
      <c r="B1672" t="str">
        <f>MID(tbl_lock[[#This Row],[PACE Job Number]],3,3)</f>
        <v>WSH</v>
      </c>
      <c r="C1672" t="s">
        <v>14</v>
      </c>
      <c r="D1672" s="1">
        <v>43416</v>
      </c>
    </row>
    <row r="1673" spans="1:4" x14ac:dyDescent="0.25">
      <c r="A1673" t="s">
        <v>5271</v>
      </c>
      <c r="B1673" t="str">
        <f>MID(tbl_lock[[#This Row],[PACE Job Number]],3,3)</f>
        <v>WSH</v>
      </c>
      <c r="C1673" t="s">
        <v>14</v>
      </c>
      <c r="D1673" s="1">
        <v>43423</v>
      </c>
    </row>
    <row r="1674" spans="1:4" x14ac:dyDescent="0.25">
      <c r="A1674" t="s">
        <v>5412</v>
      </c>
      <c r="B1674" t="str">
        <f>MID(tbl_lock[[#This Row],[PACE Job Number]],3,3)</f>
        <v>NTX</v>
      </c>
      <c r="C1674" t="s">
        <v>14</v>
      </c>
      <c r="D1674" s="1">
        <v>43432</v>
      </c>
    </row>
    <row r="1675" spans="1:4" x14ac:dyDescent="0.25">
      <c r="A1675" t="s">
        <v>3787</v>
      </c>
      <c r="B1675" t="str">
        <f>MID(tbl_lock[[#This Row],[PACE Job Number]],3,3)</f>
        <v>NTX</v>
      </c>
      <c r="C1675" t="s">
        <v>14</v>
      </c>
      <c r="D1675" s="1">
        <v>43423</v>
      </c>
    </row>
    <row r="1676" spans="1:4" x14ac:dyDescent="0.25">
      <c r="A1676" t="s">
        <v>89</v>
      </c>
      <c r="B1676" t="str">
        <f>MID(tbl_lock[[#This Row],[PACE Job Number]],3,3)</f>
        <v>NTX</v>
      </c>
      <c r="C1676" t="s">
        <v>14</v>
      </c>
      <c r="D1676" s="1">
        <v>43409</v>
      </c>
    </row>
    <row r="1677" spans="1:4" x14ac:dyDescent="0.25">
      <c r="A1677" t="s">
        <v>1096</v>
      </c>
      <c r="B1677" t="str">
        <f>MID(tbl_lock[[#This Row],[PACE Job Number]],3,3)</f>
        <v>NTX</v>
      </c>
      <c r="C1677" t="s">
        <v>14</v>
      </c>
      <c r="D1677" s="1">
        <v>43434</v>
      </c>
    </row>
    <row r="1678" spans="1:4" x14ac:dyDescent="0.25">
      <c r="A1678" t="s">
        <v>5413</v>
      </c>
      <c r="B1678" t="str">
        <f>MID(tbl_lock[[#This Row],[PACE Job Number]],3,3)</f>
        <v>NTX</v>
      </c>
      <c r="C1678" t="s">
        <v>14</v>
      </c>
      <c r="D1678" s="1">
        <v>43414</v>
      </c>
    </row>
    <row r="1679" spans="1:4" x14ac:dyDescent="0.25">
      <c r="A1679" t="s">
        <v>3304</v>
      </c>
      <c r="B1679" t="str">
        <f>MID(tbl_lock[[#This Row],[PACE Job Number]],3,3)</f>
        <v>STX</v>
      </c>
      <c r="C1679" t="s">
        <v>14</v>
      </c>
      <c r="D1679" s="1">
        <v>43416</v>
      </c>
    </row>
    <row r="1680" spans="1:4" x14ac:dyDescent="0.25">
      <c r="A1680" t="s">
        <v>5414</v>
      </c>
      <c r="B1680" t="str">
        <f>MID(tbl_lock[[#This Row],[PACE Job Number]],3,3)</f>
        <v>STX</v>
      </c>
      <c r="C1680" t="s">
        <v>14</v>
      </c>
      <c r="D1680" s="1">
        <v>43419</v>
      </c>
    </row>
    <row r="1681" spans="1:4" x14ac:dyDescent="0.25">
      <c r="A1681" t="s">
        <v>4364</v>
      </c>
      <c r="B1681" t="str">
        <f>MID(tbl_lock[[#This Row],[PACE Job Number]],3,3)</f>
        <v>STX</v>
      </c>
      <c r="C1681" t="s">
        <v>14</v>
      </c>
      <c r="D1681" s="1">
        <v>43416</v>
      </c>
    </row>
    <row r="1682" spans="1:4" x14ac:dyDescent="0.25">
      <c r="A1682" t="s">
        <v>4365</v>
      </c>
      <c r="B1682" t="str">
        <f>MID(tbl_lock[[#This Row],[PACE Job Number]],3,3)</f>
        <v>STX</v>
      </c>
      <c r="C1682" t="s">
        <v>14</v>
      </c>
      <c r="D1682" s="1">
        <v>43416</v>
      </c>
    </row>
    <row r="1683" spans="1:4" x14ac:dyDescent="0.25">
      <c r="A1683" t="s">
        <v>5272</v>
      </c>
      <c r="B1683" t="str">
        <f>MID(tbl_lock[[#This Row],[PACE Job Number]],3,3)</f>
        <v>WSH</v>
      </c>
      <c r="C1683" t="s">
        <v>14</v>
      </c>
      <c r="D1683" s="1">
        <v>43423</v>
      </c>
    </row>
    <row r="1684" spans="1:4" x14ac:dyDescent="0.25">
      <c r="A1684" t="s">
        <v>5273</v>
      </c>
      <c r="B1684" t="str">
        <f>MID(tbl_lock[[#This Row],[PACE Job Number]],3,3)</f>
        <v>WSH</v>
      </c>
      <c r="C1684" t="s">
        <v>14</v>
      </c>
      <c r="D1684" s="1">
        <v>43423</v>
      </c>
    </row>
    <row r="1685" spans="1:4" x14ac:dyDescent="0.25">
      <c r="A1685" t="s">
        <v>306</v>
      </c>
      <c r="B1685" t="str">
        <f>MID(tbl_lock[[#This Row],[PACE Job Number]],3,3)</f>
        <v>WSH</v>
      </c>
      <c r="C1685" t="s">
        <v>14</v>
      </c>
      <c r="D1685" s="1">
        <v>43405</v>
      </c>
    </row>
    <row r="1686" spans="1:4" x14ac:dyDescent="0.25">
      <c r="A1686" t="s">
        <v>5274</v>
      </c>
      <c r="B1686" t="str">
        <f>MID(tbl_lock[[#This Row],[PACE Job Number]],3,3)</f>
        <v>WSH</v>
      </c>
      <c r="C1686" t="s">
        <v>14</v>
      </c>
      <c r="D1686" s="1">
        <v>43430</v>
      </c>
    </row>
    <row r="1687" spans="1:4" x14ac:dyDescent="0.25">
      <c r="A1687" t="s">
        <v>123</v>
      </c>
      <c r="B1687" t="str">
        <f>MID(tbl_lock[[#This Row],[PACE Job Number]],3,3)</f>
        <v>WSH</v>
      </c>
      <c r="C1687" t="s">
        <v>14</v>
      </c>
      <c r="D1687" s="1">
        <v>43405</v>
      </c>
    </row>
    <row r="1688" spans="1:4" x14ac:dyDescent="0.25">
      <c r="A1688" t="s">
        <v>4273</v>
      </c>
      <c r="B1688" t="str">
        <f>MID(tbl_lock[[#This Row],[PACE Job Number]],3,3)</f>
        <v>WSH</v>
      </c>
      <c r="C1688" t="s">
        <v>14</v>
      </c>
      <c r="D1688" s="1">
        <v>43416</v>
      </c>
    </row>
    <row r="1689" spans="1:4" x14ac:dyDescent="0.25">
      <c r="A1689" t="s">
        <v>2316</v>
      </c>
      <c r="B1689" t="str">
        <f>MID(tbl_lock[[#This Row],[PACE Job Number]],3,3)</f>
        <v>NTX</v>
      </c>
      <c r="C1689" t="s">
        <v>14</v>
      </c>
      <c r="D1689" s="1">
        <v>43432</v>
      </c>
    </row>
    <row r="1690" spans="1:4" x14ac:dyDescent="0.25">
      <c r="A1690" t="s">
        <v>3914</v>
      </c>
      <c r="B1690" t="str">
        <f>MID(tbl_lock[[#This Row],[PACE Job Number]],3,3)</f>
        <v>NTX</v>
      </c>
      <c r="C1690" t="s">
        <v>14</v>
      </c>
      <c r="D1690" s="1">
        <v>43406</v>
      </c>
    </row>
    <row r="1691" spans="1:4" x14ac:dyDescent="0.25">
      <c r="A1691" t="s">
        <v>3825</v>
      </c>
      <c r="B1691" t="str">
        <f>MID(tbl_lock[[#This Row],[PACE Job Number]],3,3)</f>
        <v>NTX</v>
      </c>
      <c r="C1691" t="s">
        <v>14</v>
      </c>
      <c r="D1691" s="1">
        <v>43430</v>
      </c>
    </row>
    <row r="1692" spans="1:4" x14ac:dyDescent="0.25">
      <c r="A1692" t="s">
        <v>5415</v>
      </c>
      <c r="B1692" t="str">
        <f>MID(tbl_lock[[#This Row],[PACE Job Number]],3,3)</f>
        <v>NTX</v>
      </c>
      <c r="C1692" t="s">
        <v>14</v>
      </c>
      <c r="D1692" s="1">
        <v>43409</v>
      </c>
    </row>
    <row r="1693" spans="1:4" x14ac:dyDescent="0.25">
      <c r="A1693" t="s">
        <v>4502</v>
      </c>
      <c r="B1693" t="str">
        <f>MID(tbl_lock[[#This Row],[PACE Job Number]],3,3)</f>
        <v>NTX</v>
      </c>
      <c r="C1693" t="s">
        <v>14</v>
      </c>
      <c r="D1693" s="1">
        <v>43413</v>
      </c>
    </row>
    <row r="1694" spans="1:4" x14ac:dyDescent="0.25">
      <c r="A1694" t="s">
        <v>5275</v>
      </c>
      <c r="B1694" t="str">
        <f>MID(tbl_lock[[#This Row],[PACE Job Number]],3,3)</f>
        <v>WSH</v>
      </c>
      <c r="C1694" t="s">
        <v>14</v>
      </c>
      <c r="D1694" s="1">
        <v>43409</v>
      </c>
    </row>
    <row r="1695" spans="1:4" x14ac:dyDescent="0.25">
      <c r="A1695" t="s">
        <v>5276</v>
      </c>
      <c r="B1695" t="str">
        <f>MID(tbl_lock[[#This Row],[PACE Job Number]],3,3)</f>
        <v>WSH</v>
      </c>
      <c r="C1695" t="s">
        <v>14</v>
      </c>
      <c r="D1695" s="1">
        <v>43416</v>
      </c>
    </row>
    <row r="1696" spans="1:4" x14ac:dyDescent="0.25">
      <c r="A1696" t="s">
        <v>5277</v>
      </c>
      <c r="B1696" t="str">
        <f>MID(tbl_lock[[#This Row],[PACE Job Number]],3,3)</f>
        <v>WSH</v>
      </c>
      <c r="C1696" t="s">
        <v>14</v>
      </c>
      <c r="D1696" s="1">
        <v>43409</v>
      </c>
    </row>
    <row r="1697" spans="1:4" x14ac:dyDescent="0.25">
      <c r="A1697" t="s">
        <v>5278</v>
      </c>
      <c r="B1697" t="str">
        <f>MID(tbl_lock[[#This Row],[PACE Job Number]],3,3)</f>
        <v>WSH</v>
      </c>
      <c r="C1697" t="s">
        <v>14</v>
      </c>
      <c r="D1697" s="1">
        <v>43430</v>
      </c>
    </row>
    <row r="1698" spans="1:4" x14ac:dyDescent="0.25">
      <c r="A1698" t="s">
        <v>5416</v>
      </c>
      <c r="B1698" t="str">
        <f>MID(tbl_lock[[#This Row],[PACE Job Number]],3,3)</f>
        <v>WSH</v>
      </c>
      <c r="C1698" t="s">
        <v>14</v>
      </c>
      <c r="D1698" s="1">
        <v>43416</v>
      </c>
    </row>
    <row r="1699" spans="1:4" x14ac:dyDescent="0.25">
      <c r="A1699" t="s">
        <v>275</v>
      </c>
      <c r="B1699" t="str">
        <f>MID(tbl_lock[[#This Row],[PACE Job Number]],3,3)</f>
        <v>WSH</v>
      </c>
      <c r="C1699" t="s">
        <v>14</v>
      </c>
      <c r="D1699" s="1">
        <v>43423</v>
      </c>
    </row>
    <row r="1700" spans="1:4" x14ac:dyDescent="0.25">
      <c r="A1700" t="s">
        <v>326</v>
      </c>
      <c r="B1700" t="str">
        <f>MID(tbl_lock[[#This Row],[PACE Job Number]],3,3)</f>
        <v>WSH</v>
      </c>
      <c r="C1700" t="s">
        <v>14</v>
      </c>
      <c r="D1700" s="1">
        <v>43423</v>
      </c>
    </row>
    <row r="1701" spans="1:4" x14ac:dyDescent="0.25">
      <c r="A1701" t="s">
        <v>5417</v>
      </c>
      <c r="B1701" t="str">
        <f>MID(tbl_lock[[#This Row],[PACE Job Number]],3,3)</f>
        <v>WSH</v>
      </c>
      <c r="C1701" t="s">
        <v>14</v>
      </c>
      <c r="D1701" s="1">
        <v>43423</v>
      </c>
    </row>
    <row r="1702" spans="1:4" x14ac:dyDescent="0.25">
      <c r="A1702" t="s">
        <v>3837</v>
      </c>
      <c r="B1702" t="str">
        <f>MID(tbl_lock[[#This Row],[PACE Job Number]],3,3)</f>
        <v>WSH</v>
      </c>
      <c r="C1702" t="s">
        <v>14</v>
      </c>
      <c r="D1702" s="1">
        <v>43412</v>
      </c>
    </row>
    <row r="1703" spans="1:4" x14ac:dyDescent="0.25">
      <c r="A1703" t="s">
        <v>5418</v>
      </c>
      <c r="B1703" t="str">
        <f>MID(tbl_lock[[#This Row],[PACE Job Number]],3,3)</f>
        <v>WSH</v>
      </c>
      <c r="C1703" t="s">
        <v>14</v>
      </c>
      <c r="D1703" s="1">
        <v>43423</v>
      </c>
    </row>
    <row r="1704" spans="1:4" x14ac:dyDescent="0.25">
      <c r="A1704" t="s">
        <v>4253</v>
      </c>
      <c r="B1704" t="str">
        <f>MID(tbl_lock[[#This Row],[PACE Job Number]],3,3)</f>
        <v>WSH</v>
      </c>
      <c r="C1704" t="s">
        <v>14</v>
      </c>
      <c r="D1704" s="1">
        <v>43416</v>
      </c>
    </row>
    <row r="1705" spans="1:4" x14ac:dyDescent="0.25">
      <c r="A1705" t="s">
        <v>4254</v>
      </c>
      <c r="B1705" t="str">
        <f>MID(tbl_lock[[#This Row],[PACE Job Number]],3,3)</f>
        <v>WSH</v>
      </c>
      <c r="C1705" t="s">
        <v>14</v>
      </c>
      <c r="D1705" s="1">
        <v>43416</v>
      </c>
    </row>
    <row r="1706" spans="1:4" x14ac:dyDescent="0.25">
      <c r="A1706" t="s">
        <v>5282</v>
      </c>
      <c r="B1706" t="str">
        <f>MID(tbl_lock[[#This Row],[PACE Job Number]],3,3)</f>
        <v>WSH</v>
      </c>
      <c r="C1706" t="s">
        <v>14</v>
      </c>
      <c r="D1706" s="1">
        <v>43416</v>
      </c>
    </row>
    <row r="1707" spans="1:4" x14ac:dyDescent="0.25">
      <c r="A1707" t="s">
        <v>3392</v>
      </c>
      <c r="B1707" t="str">
        <f>MID(tbl_lock[[#This Row],[PACE Job Number]],3,3)</f>
        <v>WSH</v>
      </c>
      <c r="C1707" t="s">
        <v>14</v>
      </c>
      <c r="D1707" s="1">
        <v>43423</v>
      </c>
    </row>
    <row r="1708" spans="1:4" x14ac:dyDescent="0.25">
      <c r="A1708" t="s">
        <v>5283</v>
      </c>
      <c r="B1708" t="str">
        <f>MID(tbl_lock[[#This Row],[PACE Job Number]],3,3)</f>
        <v>WSH</v>
      </c>
      <c r="C1708" t="s">
        <v>14</v>
      </c>
      <c r="D1708" s="1">
        <v>43410</v>
      </c>
    </row>
    <row r="1709" spans="1:4" x14ac:dyDescent="0.25">
      <c r="A1709" t="s">
        <v>4257</v>
      </c>
      <c r="B1709" t="str">
        <f>MID(tbl_lock[[#This Row],[PACE Job Number]],3,3)</f>
        <v>WSH</v>
      </c>
      <c r="C1709" t="s">
        <v>14</v>
      </c>
      <c r="D1709" s="1">
        <v>43410</v>
      </c>
    </row>
    <row r="1710" spans="1:4" x14ac:dyDescent="0.25">
      <c r="A1710" t="s">
        <v>689</v>
      </c>
      <c r="B1710" t="str">
        <f>MID(tbl_lock[[#This Row],[PACE Job Number]],3,3)</f>
        <v>STX</v>
      </c>
      <c r="C1710" t="s">
        <v>14</v>
      </c>
      <c r="D1710" s="1">
        <v>43420</v>
      </c>
    </row>
    <row r="1711" spans="1:4" x14ac:dyDescent="0.25">
      <c r="A1711" t="s">
        <v>3344</v>
      </c>
      <c r="B1711" t="str">
        <f>MID(tbl_lock[[#This Row],[PACE Job Number]],3,3)</f>
        <v>STX</v>
      </c>
      <c r="C1711" t="s">
        <v>14</v>
      </c>
      <c r="D1711" s="1">
        <v>43416</v>
      </c>
    </row>
    <row r="1712" spans="1:4" x14ac:dyDescent="0.25">
      <c r="A1712" t="s">
        <v>181</v>
      </c>
      <c r="B1712" t="str">
        <f>MID(tbl_lock[[#This Row],[PACE Job Number]],3,3)</f>
        <v>STX</v>
      </c>
      <c r="C1712" t="s">
        <v>14</v>
      </c>
      <c r="D1712" s="1">
        <v>43416</v>
      </c>
    </row>
    <row r="1713" spans="1:4" x14ac:dyDescent="0.25">
      <c r="A1713" t="s">
        <v>1706</v>
      </c>
      <c r="B1713" t="str">
        <f>MID(tbl_lock[[#This Row],[PACE Job Number]],3,3)</f>
        <v>STX</v>
      </c>
      <c r="C1713" t="s">
        <v>14</v>
      </c>
      <c r="D1713" s="1">
        <v>43416</v>
      </c>
    </row>
    <row r="1714" spans="1:4" x14ac:dyDescent="0.25">
      <c r="A1714" t="s">
        <v>5419</v>
      </c>
      <c r="B1714" t="str">
        <f>MID(tbl_lock[[#This Row],[PACE Job Number]],3,3)</f>
        <v>STX</v>
      </c>
      <c r="C1714" t="s">
        <v>14</v>
      </c>
      <c r="D1714" s="1">
        <v>43416</v>
      </c>
    </row>
    <row r="1715" spans="1:4" x14ac:dyDescent="0.25">
      <c r="A1715" t="s">
        <v>5420</v>
      </c>
      <c r="B1715" t="str">
        <f>MID(tbl_lock[[#This Row],[PACE Job Number]],3,3)</f>
        <v>STX</v>
      </c>
      <c r="C1715" t="s">
        <v>14</v>
      </c>
      <c r="D1715" s="1">
        <v>43416</v>
      </c>
    </row>
    <row r="1716" spans="1:4" x14ac:dyDescent="0.25">
      <c r="A1716" t="s">
        <v>659</v>
      </c>
      <c r="B1716" t="str">
        <f>MID(tbl_lock[[#This Row],[PACE Job Number]],3,3)</f>
        <v>STX</v>
      </c>
      <c r="C1716" t="s">
        <v>14</v>
      </c>
      <c r="D1716" s="1">
        <v>43419</v>
      </c>
    </row>
    <row r="1717" spans="1:4" x14ac:dyDescent="0.25">
      <c r="A1717" t="s">
        <v>319</v>
      </c>
      <c r="B1717" t="str">
        <f>MID(tbl_lock[[#This Row],[PACE Job Number]],3,3)</f>
        <v>STX</v>
      </c>
      <c r="C1717" t="s">
        <v>14</v>
      </c>
      <c r="D1717" s="1">
        <v>43416</v>
      </c>
    </row>
    <row r="1718" spans="1:4" x14ac:dyDescent="0.25">
      <c r="A1718" t="s">
        <v>3401</v>
      </c>
      <c r="B1718" t="str">
        <f>MID(tbl_lock[[#This Row],[PACE Job Number]],3,3)</f>
        <v>WSH</v>
      </c>
      <c r="C1718" t="s">
        <v>14</v>
      </c>
      <c r="D1718" s="1">
        <v>43430</v>
      </c>
    </row>
    <row r="1719" spans="1:4" x14ac:dyDescent="0.25">
      <c r="A1719" t="s">
        <v>537</v>
      </c>
      <c r="B1719" t="str">
        <f>MID(tbl_lock[[#This Row],[PACE Job Number]],3,3)</f>
        <v>NTX</v>
      </c>
      <c r="C1719" t="s">
        <v>14</v>
      </c>
      <c r="D1719" s="1">
        <v>43413</v>
      </c>
    </row>
    <row r="1720" spans="1:4" x14ac:dyDescent="0.25">
      <c r="A1720" t="s">
        <v>5421</v>
      </c>
      <c r="B1720" t="str">
        <f>MID(tbl_lock[[#This Row],[PACE Job Number]],3,3)</f>
        <v>NTX</v>
      </c>
      <c r="C1720" t="s">
        <v>14</v>
      </c>
      <c r="D1720" s="1">
        <v>43409</v>
      </c>
    </row>
    <row r="1721" spans="1:4" x14ac:dyDescent="0.25">
      <c r="A1721" t="s">
        <v>1772</v>
      </c>
      <c r="B1721" t="str">
        <f>MID(tbl_lock[[#This Row],[PACE Job Number]],3,3)</f>
        <v>NTX</v>
      </c>
      <c r="C1721" t="s">
        <v>14</v>
      </c>
      <c r="D1721" s="1">
        <v>43416</v>
      </c>
    </row>
    <row r="1722" spans="1:4" x14ac:dyDescent="0.25">
      <c r="A1722" t="s">
        <v>2353</v>
      </c>
      <c r="B1722" t="str">
        <f>MID(tbl_lock[[#This Row],[PACE Job Number]],3,3)</f>
        <v>NTX</v>
      </c>
      <c r="C1722" t="s">
        <v>14</v>
      </c>
      <c r="D1722" s="1">
        <v>43416</v>
      </c>
    </row>
    <row r="1723" spans="1:4" x14ac:dyDescent="0.25">
      <c r="A1723" t="s">
        <v>472</v>
      </c>
      <c r="B1723" t="str">
        <f>MID(tbl_lock[[#This Row],[PACE Job Number]],3,3)</f>
        <v>NTX</v>
      </c>
      <c r="C1723" t="s">
        <v>14</v>
      </c>
      <c r="D1723" s="1">
        <v>43413</v>
      </c>
    </row>
    <row r="1724" spans="1:4" x14ac:dyDescent="0.25">
      <c r="A1724" t="s">
        <v>1776</v>
      </c>
      <c r="B1724" t="str">
        <f>MID(tbl_lock[[#This Row],[PACE Job Number]],3,3)</f>
        <v>NTX</v>
      </c>
      <c r="C1724" t="s">
        <v>14</v>
      </c>
      <c r="D1724" s="1">
        <v>43413</v>
      </c>
    </row>
    <row r="1725" spans="1:4" x14ac:dyDescent="0.25">
      <c r="A1725" t="s">
        <v>5422</v>
      </c>
      <c r="B1725" t="str">
        <f>MID(tbl_lock[[#This Row],[PACE Job Number]],3,3)</f>
        <v>NTX</v>
      </c>
      <c r="C1725" t="s">
        <v>14</v>
      </c>
      <c r="D1725" s="1">
        <v>43416</v>
      </c>
    </row>
    <row r="1726" spans="1:4" x14ac:dyDescent="0.25">
      <c r="A1726" t="s">
        <v>188</v>
      </c>
      <c r="B1726" t="str">
        <f>MID(tbl_lock[[#This Row],[PACE Job Number]],3,3)</f>
        <v>NTX</v>
      </c>
      <c r="C1726" t="s">
        <v>14</v>
      </c>
      <c r="D1726" s="1">
        <v>43432</v>
      </c>
    </row>
    <row r="1727" spans="1:4" x14ac:dyDescent="0.25">
      <c r="A1727" t="s">
        <v>4463</v>
      </c>
      <c r="B1727" t="str">
        <f>MID(tbl_lock[[#This Row],[PACE Job Number]],3,3)</f>
        <v>NTX</v>
      </c>
      <c r="C1727" t="s">
        <v>14</v>
      </c>
      <c r="D1727" s="1">
        <v>43416</v>
      </c>
    </row>
    <row r="1728" spans="1:4" x14ac:dyDescent="0.25">
      <c r="A1728" t="s">
        <v>5423</v>
      </c>
      <c r="B1728" t="str">
        <f>MID(tbl_lock[[#This Row],[PACE Job Number]],3,3)</f>
        <v>NTX</v>
      </c>
      <c r="C1728" t="s">
        <v>14</v>
      </c>
      <c r="D1728" s="1">
        <v>43432</v>
      </c>
    </row>
    <row r="1729" spans="1:4" x14ac:dyDescent="0.25">
      <c r="A1729" t="s">
        <v>4291</v>
      </c>
      <c r="B1729" t="str">
        <f>MID(tbl_lock[[#This Row],[PACE Job Number]],3,3)</f>
        <v>NTX</v>
      </c>
      <c r="C1729" t="s">
        <v>14</v>
      </c>
      <c r="D1729" s="1">
        <v>43423</v>
      </c>
    </row>
    <row r="1730" spans="1:4" x14ac:dyDescent="0.25">
      <c r="A1730" t="s">
        <v>5424</v>
      </c>
      <c r="B1730" t="str">
        <f>MID(tbl_lock[[#This Row],[PACE Job Number]],3,3)</f>
        <v>NTX</v>
      </c>
      <c r="C1730" t="s">
        <v>14</v>
      </c>
      <c r="D1730" s="1">
        <v>43432</v>
      </c>
    </row>
    <row r="1731" spans="1:4" x14ac:dyDescent="0.25">
      <c r="A1731" t="s">
        <v>5425</v>
      </c>
      <c r="B1731" t="str">
        <f>MID(tbl_lock[[#This Row],[PACE Job Number]],3,3)</f>
        <v>NTX</v>
      </c>
      <c r="C1731" t="s">
        <v>14</v>
      </c>
      <c r="D1731" s="1">
        <v>43423</v>
      </c>
    </row>
    <row r="1732" spans="1:4" x14ac:dyDescent="0.25">
      <c r="A1732" t="s">
        <v>5426</v>
      </c>
      <c r="B1732" t="str">
        <f>MID(tbl_lock[[#This Row],[PACE Job Number]],3,3)</f>
        <v>NTX</v>
      </c>
      <c r="C1732" t="s">
        <v>14</v>
      </c>
      <c r="D1732" s="1">
        <v>43423</v>
      </c>
    </row>
    <row r="1733" spans="1:4" x14ac:dyDescent="0.25">
      <c r="A1733" t="s">
        <v>5427</v>
      </c>
      <c r="B1733" t="str">
        <f>MID(tbl_lock[[#This Row],[PACE Job Number]],3,3)</f>
        <v>NTX</v>
      </c>
      <c r="C1733" t="s">
        <v>14</v>
      </c>
      <c r="D1733" s="1">
        <v>43423</v>
      </c>
    </row>
    <row r="1734" spans="1:4" x14ac:dyDescent="0.25">
      <c r="A1734" t="s">
        <v>5428</v>
      </c>
      <c r="B1734" t="str">
        <f>MID(tbl_lock[[#This Row],[PACE Job Number]],3,3)</f>
        <v>NTX</v>
      </c>
      <c r="C1734" t="s">
        <v>14</v>
      </c>
      <c r="D1734" s="1">
        <v>43416</v>
      </c>
    </row>
    <row r="1735" spans="1:4" x14ac:dyDescent="0.25">
      <c r="A1735" t="s">
        <v>5429</v>
      </c>
      <c r="B1735" t="str">
        <f>MID(tbl_lock[[#This Row],[PACE Job Number]],3,3)</f>
        <v>NTX</v>
      </c>
      <c r="C1735" t="s">
        <v>14</v>
      </c>
      <c r="D1735" s="1">
        <v>43416</v>
      </c>
    </row>
    <row r="1736" spans="1:4" x14ac:dyDescent="0.25">
      <c r="A1736" t="s">
        <v>5430</v>
      </c>
      <c r="B1736" t="str">
        <f>MID(tbl_lock[[#This Row],[PACE Job Number]],3,3)</f>
        <v>NTX</v>
      </c>
      <c r="C1736" t="s">
        <v>14</v>
      </c>
      <c r="D1736" s="1">
        <v>43416</v>
      </c>
    </row>
    <row r="1737" spans="1:4" x14ac:dyDescent="0.25">
      <c r="A1737" t="s">
        <v>2455</v>
      </c>
      <c r="B1737" t="str">
        <f>MID(tbl_lock[[#This Row],[PACE Job Number]],3,3)</f>
        <v>NTX</v>
      </c>
      <c r="C1737" t="s">
        <v>14</v>
      </c>
      <c r="D1737" s="1">
        <v>43419</v>
      </c>
    </row>
    <row r="1738" spans="1:4" x14ac:dyDescent="0.25">
      <c r="A1738" t="s">
        <v>2456</v>
      </c>
      <c r="B1738" t="str">
        <f>MID(tbl_lock[[#This Row],[PACE Job Number]],3,3)</f>
        <v>NTX</v>
      </c>
      <c r="C1738" t="s">
        <v>14</v>
      </c>
      <c r="D1738" s="1">
        <v>43419</v>
      </c>
    </row>
    <row r="1739" spans="1:4" x14ac:dyDescent="0.25">
      <c r="A1739" t="s">
        <v>878</v>
      </c>
      <c r="B1739" t="str">
        <f>MID(tbl_lock[[#This Row],[PACE Job Number]],3,3)</f>
        <v>NTX</v>
      </c>
      <c r="C1739" t="s">
        <v>14</v>
      </c>
      <c r="D1739" s="1">
        <v>43409</v>
      </c>
    </row>
    <row r="1740" spans="1:4" x14ac:dyDescent="0.25">
      <c r="A1740" t="s">
        <v>824</v>
      </c>
      <c r="B1740" t="str">
        <f>MID(tbl_lock[[#This Row],[PACE Job Number]],3,3)</f>
        <v>NTX</v>
      </c>
      <c r="C1740" t="s">
        <v>14</v>
      </c>
      <c r="D1740" s="1">
        <v>43409</v>
      </c>
    </row>
    <row r="1741" spans="1:4" x14ac:dyDescent="0.25">
      <c r="A1741" t="s">
        <v>2460</v>
      </c>
      <c r="B1741" t="str">
        <f>MID(tbl_lock[[#This Row],[PACE Job Number]],3,3)</f>
        <v>NTX</v>
      </c>
      <c r="C1741" t="s">
        <v>14</v>
      </c>
      <c r="D1741" s="1">
        <v>43419</v>
      </c>
    </row>
    <row r="1742" spans="1:4" x14ac:dyDescent="0.25">
      <c r="A1742" t="s">
        <v>3381</v>
      </c>
      <c r="B1742" t="str">
        <f>MID(tbl_lock[[#This Row],[PACE Job Number]],3,3)</f>
        <v>NTX</v>
      </c>
      <c r="C1742" t="s">
        <v>14</v>
      </c>
      <c r="D1742" s="1">
        <v>43406</v>
      </c>
    </row>
    <row r="1743" spans="1:4" x14ac:dyDescent="0.25">
      <c r="A1743" t="s">
        <v>4294</v>
      </c>
      <c r="B1743" t="str">
        <f>MID(tbl_lock[[#This Row],[PACE Job Number]],3,3)</f>
        <v>NTX</v>
      </c>
      <c r="C1743" t="s">
        <v>14</v>
      </c>
      <c r="D1743" s="1">
        <v>43416</v>
      </c>
    </row>
    <row r="1744" spans="1:4" x14ac:dyDescent="0.25">
      <c r="A1744" t="s">
        <v>5431</v>
      </c>
      <c r="B1744" t="str">
        <f>MID(tbl_lock[[#This Row],[PACE Job Number]],3,3)</f>
        <v>NTX</v>
      </c>
      <c r="C1744" t="s">
        <v>14</v>
      </c>
      <c r="D1744" s="1">
        <v>43406</v>
      </c>
    </row>
    <row r="1745" spans="1:4" x14ac:dyDescent="0.25">
      <c r="A1745" t="s">
        <v>494</v>
      </c>
      <c r="B1745" t="str">
        <f>MID(tbl_lock[[#This Row],[PACE Job Number]],3,3)</f>
        <v>NTX</v>
      </c>
      <c r="C1745" t="s">
        <v>14</v>
      </c>
      <c r="D1745" s="1">
        <v>43432</v>
      </c>
    </row>
    <row r="1746" spans="1:4" x14ac:dyDescent="0.25">
      <c r="A1746" t="s">
        <v>5432</v>
      </c>
      <c r="B1746" t="str">
        <f>MID(tbl_lock[[#This Row],[PACE Job Number]],3,3)</f>
        <v>NTX</v>
      </c>
      <c r="C1746" t="s">
        <v>14</v>
      </c>
      <c r="D1746" s="1">
        <v>43416</v>
      </c>
    </row>
    <row r="1747" spans="1:4" x14ac:dyDescent="0.25">
      <c r="A1747" t="s">
        <v>5433</v>
      </c>
      <c r="B1747" t="str">
        <f>MID(tbl_lock[[#This Row],[PACE Job Number]],3,3)</f>
        <v>NTX</v>
      </c>
      <c r="C1747" t="s">
        <v>14</v>
      </c>
      <c r="D1747" s="1">
        <v>43416</v>
      </c>
    </row>
    <row r="1748" spans="1:4" x14ac:dyDescent="0.25">
      <c r="A1748" t="s">
        <v>5434</v>
      </c>
      <c r="B1748" t="str">
        <f>MID(tbl_lock[[#This Row],[PACE Job Number]],3,3)</f>
        <v>NTX</v>
      </c>
      <c r="C1748" t="s">
        <v>14</v>
      </c>
      <c r="D1748" s="1">
        <v>43416</v>
      </c>
    </row>
    <row r="1749" spans="1:4" x14ac:dyDescent="0.25">
      <c r="A1749" t="s">
        <v>166</v>
      </c>
      <c r="B1749" t="str">
        <f>MID(tbl_lock[[#This Row],[PACE Job Number]],3,3)</f>
        <v>NTX</v>
      </c>
      <c r="C1749" t="s">
        <v>14</v>
      </c>
      <c r="D1749" s="1">
        <v>43409</v>
      </c>
    </row>
    <row r="1750" spans="1:4" x14ac:dyDescent="0.25">
      <c r="A1750" t="s">
        <v>4174</v>
      </c>
      <c r="B1750" t="str">
        <f>MID(tbl_lock[[#This Row],[PACE Job Number]],3,3)</f>
        <v>NTX</v>
      </c>
      <c r="C1750" t="s">
        <v>14</v>
      </c>
      <c r="D1750" s="1">
        <v>43430</v>
      </c>
    </row>
    <row r="1751" spans="1:4" x14ac:dyDescent="0.25">
      <c r="A1751" t="s">
        <v>4466</v>
      </c>
      <c r="B1751" t="str">
        <f>MID(tbl_lock[[#This Row],[PACE Job Number]],3,3)</f>
        <v>STX</v>
      </c>
      <c r="C1751" t="s">
        <v>14</v>
      </c>
      <c r="D1751" s="1">
        <v>43419</v>
      </c>
    </row>
    <row r="1752" spans="1:4" x14ac:dyDescent="0.25">
      <c r="A1752" t="s">
        <v>141</v>
      </c>
      <c r="B1752" t="str">
        <f>MID(tbl_lock[[#This Row],[PACE Job Number]],3,3)</f>
        <v>STX</v>
      </c>
      <c r="C1752" t="s">
        <v>14</v>
      </c>
      <c r="D1752" s="1">
        <v>43416</v>
      </c>
    </row>
    <row r="1753" spans="1:4" x14ac:dyDescent="0.25">
      <c r="A1753" t="s">
        <v>3967</v>
      </c>
      <c r="B1753" t="str">
        <f>MID(tbl_lock[[#This Row],[PACE Job Number]],3,3)</f>
        <v>STX</v>
      </c>
      <c r="C1753" t="s">
        <v>14</v>
      </c>
      <c r="D1753" s="1">
        <v>43419</v>
      </c>
    </row>
    <row r="1754" spans="1:4" x14ac:dyDescent="0.25">
      <c r="A1754" t="s">
        <v>59</v>
      </c>
      <c r="B1754" t="str">
        <f>MID(tbl_lock[[#This Row],[PACE Job Number]],3,3)</f>
        <v>NTX</v>
      </c>
      <c r="C1754" t="s">
        <v>14</v>
      </c>
      <c r="D1754" s="1">
        <v>43416</v>
      </c>
    </row>
    <row r="1755" spans="1:4" x14ac:dyDescent="0.25">
      <c r="A1755" t="s">
        <v>1782</v>
      </c>
      <c r="B1755" t="str">
        <f>MID(tbl_lock[[#This Row],[PACE Job Number]],3,3)</f>
        <v>NTX</v>
      </c>
      <c r="C1755" t="s">
        <v>14</v>
      </c>
      <c r="D1755" s="1">
        <v>43416</v>
      </c>
    </row>
    <row r="1756" spans="1:4" x14ac:dyDescent="0.25">
      <c r="A1756" t="s">
        <v>4323</v>
      </c>
      <c r="B1756" t="str">
        <f>MID(tbl_lock[[#This Row],[PACE Job Number]],3,3)</f>
        <v>NTX</v>
      </c>
      <c r="C1756" t="s">
        <v>14</v>
      </c>
      <c r="D1756" s="1">
        <v>43409</v>
      </c>
    </row>
    <row r="1757" spans="1:4" x14ac:dyDescent="0.25">
      <c r="A1757" t="s">
        <v>4192</v>
      </c>
      <c r="B1757" t="str">
        <f>MID(tbl_lock[[#This Row],[PACE Job Number]],3,3)</f>
        <v>NTX</v>
      </c>
      <c r="C1757" t="s">
        <v>14</v>
      </c>
      <c r="D1757" s="1">
        <v>43416</v>
      </c>
    </row>
    <row r="1758" spans="1:4" x14ac:dyDescent="0.25">
      <c r="A1758" t="s">
        <v>346</v>
      </c>
      <c r="B1758" t="str">
        <f>MID(tbl_lock[[#This Row],[PACE Job Number]],3,3)</f>
        <v>NTX</v>
      </c>
      <c r="C1758" t="s">
        <v>14</v>
      </c>
      <c r="D1758" s="1">
        <v>43416</v>
      </c>
    </row>
    <row r="1759" spans="1:4" x14ac:dyDescent="0.25">
      <c r="A1759" t="s">
        <v>72</v>
      </c>
      <c r="B1759" t="str">
        <f>MID(tbl_lock[[#This Row],[PACE Job Number]],3,3)</f>
        <v>NTX</v>
      </c>
      <c r="C1759" t="s">
        <v>14</v>
      </c>
      <c r="D1759" s="1">
        <v>43416</v>
      </c>
    </row>
    <row r="1760" spans="1:4" x14ac:dyDescent="0.25">
      <c r="A1760" t="s">
        <v>4324</v>
      </c>
      <c r="B1760" t="str">
        <f>MID(tbl_lock[[#This Row],[PACE Job Number]],3,3)</f>
        <v>NTX</v>
      </c>
      <c r="C1760" t="s">
        <v>14</v>
      </c>
      <c r="D1760" s="1">
        <v>43405</v>
      </c>
    </row>
    <row r="1761" spans="1:4" x14ac:dyDescent="0.25">
      <c r="A1761" t="s">
        <v>2277</v>
      </c>
      <c r="B1761" t="str">
        <f>MID(tbl_lock[[#This Row],[PACE Job Number]],3,3)</f>
        <v>NTX</v>
      </c>
      <c r="C1761" t="s">
        <v>14</v>
      </c>
      <c r="D1761" s="1">
        <v>43430</v>
      </c>
    </row>
    <row r="1762" spans="1:4" x14ac:dyDescent="0.25">
      <c r="A1762" t="s">
        <v>2362</v>
      </c>
      <c r="B1762" t="str">
        <f>MID(tbl_lock[[#This Row],[PACE Job Number]],3,3)</f>
        <v>NTX</v>
      </c>
      <c r="C1762" t="s">
        <v>14</v>
      </c>
      <c r="D1762" s="1">
        <v>43406</v>
      </c>
    </row>
    <row r="1763" spans="1:4" x14ac:dyDescent="0.25">
      <c r="A1763" t="s">
        <v>3844</v>
      </c>
      <c r="B1763" t="str">
        <f>MID(tbl_lock[[#This Row],[PACE Job Number]],3,3)</f>
        <v>NTX</v>
      </c>
      <c r="C1763" t="s">
        <v>14</v>
      </c>
      <c r="D1763" s="1">
        <v>43406</v>
      </c>
    </row>
    <row r="1764" spans="1:4" x14ac:dyDescent="0.25">
      <c r="A1764" t="s">
        <v>4325</v>
      </c>
      <c r="B1764" t="str">
        <f>MID(tbl_lock[[#This Row],[PACE Job Number]],3,3)</f>
        <v>NTX</v>
      </c>
      <c r="C1764" t="s">
        <v>14</v>
      </c>
      <c r="D1764" s="1">
        <v>43413</v>
      </c>
    </row>
    <row r="1765" spans="1:4" x14ac:dyDescent="0.25">
      <c r="A1765" t="s">
        <v>2363</v>
      </c>
      <c r="B1765" t="str">
        <f>MID(tbl_lock[[#This Row],[PACE Job Number]],3,3)</f>
        <v>NTX</v>
      </c>
      <c r="C1765" t="s">
        <v>14</v>
      </c>
      <c r="D1765" s="1">
        <v>43406</v>
      </c>
    </row>
    <row r="1766" spans="1:4" x14ac:dyDescent="0.25">
      <c r="A1766" t="s">
        <v>2483</v>
      </c>
      <c r="B1766" t="str">
        <f>MID(tbl_lock[[#This Row],[PACE Job Number]],3,3)</f>
        <v>NTX</v>
      </c>
      <c r="C1766" t="s">
        <v>14</v>
      </c>
      <c r="D1766" s="1">
        <v>43416</v>
      </c>
    </row>
    <row r="1767" spans="1:4" x14ac:dyDescent="0.25">
      <c r="A1767" t="s">
        <v>5435</v>
      </c>
      <c r="B1767" t="str">
        <f>MID(tbl_lock[[#This Row],[PACE Job Number]],3,3)</f>
        <v>NTX</v>
      </c>
      <c r="C1767" t="s">
        <v>14</v>
      </c>
      <c r="D1767" s="1">
        <v>43409</v>
      </c>
    </row>
    <row r="1768" spans="1:4" x14ac:dyDescent="0.25">
      <c r="A1768" t="s">
        <v>5436</v>
      </c>
      <c r="B1768" t="str">
        <f>MID(tbl_lock[[#This Row],[PACE Job Number]],3,3)</f>
        <v>NTX</v>
      </c>
      <c r="C1768" t="s">
        <v>14</v>
      </c>
      <c r="D1768" s="1">
        <v>43409</v>
      </c>
    </row>
    <row r="1769" spans="1:4" x14ac:dyDescent="0.25">
      <c r="A1769" t="s">
        <v>4311</v>
      </c>
      <c r="B1769" t="str">
        <f>MID(tbl_lock[[#This Row],[PACE Job Number]],3,3)</f>
        <v>NTX</v>
      </c>
      <c r="C1769" t="s">
        <v>14</v>
      </c>
      <c r="D1769" s="1">
        <v>43406</v>
      </c>
    </row>
    <row r="1770" spans="1:4" x14ac:dyDescent="0.25">
      <c r="A1770" t="s">
        <v>5437</v>
      </c>
      <c r="B1770" t="str">
        <f>MID(tbl_lock[[#This Row],[PACE Job Number]],3,3)</f>
        <v>WSH</v>
      </c>
      <c r="C1770" t="s">
        <v>14</v>
      </c>
      <c r="D1770" s="1">
        <v>43423</v>
      </c>
    </row>
    <row r="1771" spans="1:4" x14ac:dyDescent="0.25">
      <c r="A1771" t="s">
        <v>5284</v>
      </c>
      <c r="B1771" t="str">
        <f>MID(tbl_lock[[#This Row],[PACE Job Number]],3,3)</f>
        <v>WSH</v>
      </c>
      <c r="C1771" t="s">
        <v>14</v>
      </c>
      <c r="D1771" s="1">
        <v>43409</v>
      </c>
    </row>
    <row r="1772" spans="1:4" x14ac:dyDescent="0.25">
      <c r="A1772" t="s">
        <v>5438</v>
      </c>
      <c r="B1772" t="str">
        <f>MID(tbl_lock[[#This Row],[PACE Job Number]],3,3)</f>
        <v>WSH</v>
      </c>
      <c r="C1772" t="s">
        <v>14</v>
      </c>
      <c r="D1772" s="1">
        <v>43430</v>
      </c>
    </row>
    <row r="1773" spans="1:4" x14ac:dyDescent="0.25">
      <c r="A1773" t="s">
        <v>5285</v>
      </c>
      <c r="B1773" t="str">
        <f>MID(tbl_lock[[#This Row],[PACE Job Number]],3,3)</f>
        <v>WSH</v>
      </c>
      <c r="C1773" t="s">
        <v>14</v>
      </c>
      <c r="D1773" s="1">
        <v>43416</v>
      </c>
    </row>
    <row r="1774" spans="1:4" x14ac:dyDescent="0.25">
      <c r="A1774" t="s">
        <v>4199</v>
      </c>
      <c r="B1774" t="str">
        <f>MID(tbl_lock[[#This Row],[PACE Job Number]],3,3)</f>
        <v>WSH</v>
      </c>
      <c r="C1774" t="s">
        <v>14</v>
      </c>
      <c r="D1774" s="1">
        <v>43410</v>
      </c>
    </row>
    <row r="1775" spans="1:4" x14ac:dyDescent="0.25">
      <c r="A1775" t="s">
        <v>3800</v>
      </c>
      <c r="B1775" t="str">
        <f>MID(tbl_lock[[#This Row],[PACE Job Number]],3,3)</f>
        <v>WSH</v>
      </c>
      <c r="C1775" t="s">
        <v>14</v>
      </c>
      <c r="D1775" s="1">
        <v>43411</v>
      </c>
    </row>
    <row r="1776" spans="1:4" x14ac:dyDescent="0.25">
      <c r="A1776" t="s">
        <v>5286</v>
      </c>
      <c r="B1776" t="str">
        <f>MID(tbl_lock[[#This Row],[PACE Job Number]],3,3)</f>
        <v>WSH</v>
      </c>
      <c r="C1776" t="s">
        <v>14</v>
      </c>
      <c r="D1776" s="1">
        <v>43413</v>
      </c>
    </row>
    <row r="1777" spans="1:4" x14ac:dyDescent="0.25">
      <c r="A1777" t="s">
        <v>5287</v>
      </c>
      <c r="B1777" t="str">
        <f>MID(tbl_lock[[#This Row],[PACE Job Number]],3,3)</f>
        <v>WSH</v>
      </c>
      <c r="C1777" t="s">
        <v>14</v>
      </c>
      <c r="D1777" s="1">
        <v>43430</v>
      </c>
    </row>
    <row r="1778" spans="1:4" x14ac:dyDescent="0.25">
      <c r="A1778" t="s">
        <v>5288</v>
      </c>
      <c r="B1778" t="str">
        <f>MID(tbl_lock[[#This Row],[PACE Job Number]],3,3)</f>
        <v>WSH</v>
      </c>
      <c r="C1778" t="s">
        <v>14</v>
      </c>
      <c r="D1778" s="1">
        <v>43416</v>
      </c>
    </row>
    <row r="1779" spans="1:4" x14ac:dyDescent="0.25">
      <c r="A1779" t="s">
        <v>3801</v>
      </c>
      <c r="B1779" t="str">
        <f>MID(tbl_lock[[#This Row],[PACE Job Number]],3,3)</f>
        <v>WSH</v>
      </c>
      <c r="C1779" t="s">
        <v>14</v>
      </c>
      <c r="D1779" s="1">
        <v>43409</v>
      </c>
    </row>
    <row r="1780" spans="1:4" x14ac:dyDescent="0.25">
      <c r="A1780" t="s">
        <v>5289</v>
      </c>
      <c r="B1780" t="str">
        <f>MID(tbl_lock[[#This Row],[PACE Job Number]],3,3)</f>
        <v>WSH</v>
      </c>
      <c r="C1780" t="s">
        <v>14</v>
      </c>
      <c r="D1780" s="1">
        <v>43416</v>
      </c>
    </row>
    <row r="1781" spans="1:4" x14ac:dyDescent="0.25">
      <c r="A1781" t="s">
        <v>5290</v>
      </c>
      <c r="B1781" t="str">
        <f>MID(tbl_lock[[#This Row],[PACE Job Number]],3,3)</f>
        <v>WSH</v>
      </c>
      <c r="C1781" t="s">
        <v>14</v>
      </c>
      <c r="D1781" s="1">
        <v>43430</v>
      </c>
    </row>
    <row r="1782" spans="1:4" x14ac:dyDescent="0.25">
      <c r="A1782" t="s">
        <v>5291</v>
      </c>
      <c r="B1782" t="str">
        <f>MID(tbl_lock[[#This Row],[PACE Job Number]],3,3)</f>
        <v>WSH</v>
      </c>
      <c r="C1782" t="s">
        <v>14</v>
      </c>
      <c r="D1782" s="1">
        <v>43409</v>
      </c>
    </row>
    <row r="1783" spans="1:4" x14ac:dyDescent="0.25">
      <c r="A1783" t="s">
        <v>5292</v>
      </c>
      <c r="B1783" t="str">
        <f>MID(tbl_lock[[#This Row],[PACE Job Number]],3,3)</f>
        <v>WSH</v>
      </c>
      <c r="C1783" t="s">
        <v>14</v>
      </c>
      <c r="D1783" s="1">
        <v>43416</v>
      </c>
    </row>
    <row r="1784" spans="1:4" x14ac:dyDescent="0.25">
      <c r="A1784" t="s">
        <v>5293</v>
      </c>
      <c r="B1784" t="str">
        <f>MID(tbl_lock[[#This Row],[PACE Job Number]],3,3)</f>
        <v>WSH</v>
      </c>
      <c r="C1784" t="s">
        <v>14</v>
      </c>
      <c r="D1784" s="1">
        <v>43413</v>
      </c>
    </row>
    <row r="1785" spans="1:4" x14ac:dyDescent="0.25">
      <c r="A1785" t="s">
        <v>3808</v>
      </c>
      <c r="B1785" t="str">
        <f>MID(tbl_lock[[#This Row],[PACE Job Number]],3,3)</f>
        <v>WSH</v>
      </c>
      <c r="C1785" t="s">
        <v>14</v>
      </c>
      <c r="D1785" s="1">
        <v>43411</v>
      </c>
    </row>
    <row r="1786" spans="1:4" x14ac:dyDescent="0.25">
      <c r="A1786" t="s">
        <v>5294</v>
      </c>
      <c r="B1786" t="str">
        <f>MID(tbl_lock[[#This Row],[PACE Job Number]],3,3)</f>
        <v>WSH</v>
      </c>
      <c r="C1786" t="s">
        <v>14</v>
      </c>
      <c r="D1786" s="1">
        <v>43416</v>
      </c>
    </row>
    <row r="1787" spans="1:4" x14ac:dyDescent="0.25">
      <c r="A1787" t="s">
        <v>3901</v>
      </c>
      <c r="B1787" t="str">
        <f>MID(tbl_lock[[#This Row],[PACE Job Number]],3,3)</f>
        <v>WSH</v>
      </c>
      <c r="C1787" t="s">
        <v>14</v>
      </c>
      <c r="D1787" s="1">
        <v>43411</v>
      </c>
    </row>
    <row r="1788" spans="1:4" x14ac:dyDescent="0.25">
      <c r="A1788" t="s">
        <v>5295</v>
      </c>
      <c r="B1788" t="str">
        <f>MID(tbl_lock[[#This Row],[PACE Job Number]],3,3)</f>
        <v>WSH</v>
      </c>
      <c r="C1788" t="s">
        <v>14</v>
      </c>
      <c r="D1788" s="1">
        <v>43416</v>
      </c>
    </row>
    <row r="1789" spans="1:4" x14ac:dyDescent="0.25">
      <c r="A1789" t="s">
        <v>5296</v>
      </c>
      <c r="B1789" t="str">
        <f>MID(tbl_lock[[#This Row],[PACE Job Number]],3,3)</f>
        <v>WSH</v>
      </c>
      <c r="C1789" t="s">
        <v>14</v>
      </c>
      <c r="D1789" s="1">
        <v>43430</v>
      </c>
    </row>
    <row r="1790" spans="1:4" x14ac:dyDescent="0.25">
      <c r="A1790" t="s">
        <v>351</v>
      </c>
      <c r="B1790" t="str">
        <f>MID(tbl_lock[[#This Row],[PACE Job Number]],3,3)</f>
        <v>WSH</v>
      </c>
      <c r="C1790" t="s">
        <v>14</v>
      </c>
      <c r="D1790" s="1">
        <v>43416</v>
      </c>
    </row>
    <row r="1791" spans="1:4" x14ac:dyDescent="0.25">
      <c r="A1791" t="s">
        <v>5439</v>
      </c>
      <c r="B1791" t="str">
        <f>MID(tbl_lock[[#This Row],[PACE Job Number]],3,3)</f>
        <v>WSH</v>
      </c>
      <c r="C1791" t="s">
        <v>14</v>
      </c>
      <c r="D1791" s="1">
        <v>43430</v>
      </c>
    </row>
    <row r="1792" spans="1:4" x14ac:dyDescent="0.25">
      <c r="A1792" t="s">
        <v>5297</v>
      </c>
      <c r="B1792" t="str">
        <f>MID(tbl_lock[[#This Row],[PACE Job Number]],3,3)</f>
        <v>WSH</v>
      </c>
      <c r="C1792" t="s">
        <v>14</v>
      </c>
      <c r="D1792" s="1">
        <v>43416</v>
      </c>
    </row>
    <row r="1793" spans="1:4" x14ac:dyDescent="0.25">
      <c r="A1793" t="s">
        <v>5298</v>
      </c>
      <c r="B1793" t="str">
        <f>MID(tbl_lock[[#This Row],[PACE Job Number]],3,3)</f>
        <v>WSH</v>
      </c>
      <c r="C1793" t="s">
        <v>14</v>
      </c>
      <c r="D1793" s="1">
        <v>43416</v>
      </c>
    </row>
    <row r="1794" spans="1:4" x14ac:dyDescent="0.25">
      <c r="A1794" t="s">
        <v>4202</v>
      </c>
      <c r="B1794" t="str">
        <f>MID(tbl_lock[[#This Row],[PACE Job Number]],3,3)</f>
        <v>WSH</v>
      </c>
      <c r="C1794" t="s">
        <v>14</v>
      </c>
      <c r="D1794" s="1">
        <v>43423</v>
      </c>
    </row>
    <row r="1795" spans="1:4" x14ac:dyDescent="0.25">
      <c r="A1795" t="s">
        <v>5299</v>
      </c>
      <c r="B1795" t="str">
        <f>MID(tbl_lock[[#This Row],[PACE Job Number]],3,3)</f>
        <v>WSH</v>
      </c>
      <c r="C1795" t="s">
        <v>14</v>
      </c>
      <c r="D1795" s="1">
        <v>43430</v>
      </c>
    </row>
    <row r="1796" spans="1:4" x14ac:dyDescent="0.25">
      <c r="A1796" t="s">
        <v>176</v>
      </c>
      <c r="B1796" t="str">
        <f>MID(tbl_lock[[#This Row],[PACE Job Number]],3,3)</f>
        <v>STX</v>
      </c>
      <c r="C1796" t="s">
        <v>14</v>
      </c>
      <c r="D1796" s="1">
        <v>43416</v>
      </c>
    </row>
    <row r="1797" spans="1:4" x14ac:dyDescent="0.25">
      <c r="A1797" t="s">
        <v>142</v>
      </c>
      <c r="B1797" t="str">
        <f>MID(tbl_lock[[#This Row],[PACE Job Number]],3,3)</f>
        <v>STX</v>
      </c>
      <c r="C1797" t="s">
        <v>14</v>
      </c>
      <c r="D1797" s="1">
        <v>43416</v>
      </c>
    </row>
    <row r="1798" spans="1:4" x14ac:dyDescent="0.25">
      <c r="A1798" t="s">
        <v>5440</v>
      </c>
      <c r="B1798" t="str">
        <f>MID(tbl_lock[[#This Row],[PACE Job Number]],3,3)</f>
        <v>STX</v>
      </c>
      <c r="C1798" t="s">
        <v>14</v>
      </c>
      <c r="D1798" s="1">
        <v>43416</v>
      </c>
    </row>
    <row r="1799" spans="1:4" x14ac:dyDescent="0.25">
      <c r="A1799" t="s">
        <v>4493</v>
      </c>
      <c r="B1799" t="str">
        <f>MID(tbl_lock[[#This Row],[PACE Job Number]],3,3)</f>
        <v>STX</v>
      </c>
      <c r="C1799" t="s">
        <v>14</v>
      </c>
      <c r="D1799" s="1">
        <v>43416</v>
      </c>
    </row>
    <row r="1800" spans="1:4" x14ac:dyDescent="0.25">
      <c r="A1800" t="s">
        <v>3490</v>
      </c>
      <c r="B1800" t="str">
        <f>MID(tbl_lock[[#This Row],[PACE Job Number]],3,3)</f>
        <v>STX</v>
      </c>
      <c r="C1800" t="s">
        <v>14</v>
      </c>
      <c r="D1800" s="1">
        <v>43419</v>
      </c>
    </row>
    <row r="1801" spans="1:4" x14ac:dyDescent="0.25">
      <c r="A1801" t="s">
        <v>5441</v>
      </c>
      <c r="B1801" t="str">
        <f>MID(tbl_lock[[#This Row],[PACE Job Number]],3,3)</f>
        <v>STX</v>
      </c>
      <c r="C1801" t="s">
        <v>14</v>
      </c>
      <c r="D1801" s="1">
        <v>43416</v>
      </c>
    </row>
    <row r="1802" spans="1:4" x14ac:dyDescent="0.25">
      <c r="A1802" t="s">
        <v>5442</v>
      </c>
      <c r="B1802" t="str">
        <f>MID(tbl_lock[[#This Row],[PACE Job Number]],3,3)</f>
        <v>STX</v>
      </c>
      <c r="C1802" t="s">
        <v>14</v>
      </c>
      <c r="D1802" s="1">
        <v>43419</v>
      </c>
    </row>
    <row r="1803" spans="1:4" x14ac:dyDescent="0.25">
      <c r="A1803" t="s">
        <v>722</v>
      </c>
      <c r="B1803" t="str">
        <f>MID(tbl_lock[[#This Row],[PACE Job Number]],3,3)</f>
        <v>STX</v>
      </c>
      <c r="C1803" t="s">
        <v>14</v>
      </c>
      <c r="D1803" s="1">
        <v>43419</v>
      </c>
    </row>
    <row r="1804" spans="1:4" x14ac:dyDescent="0.25">
      <c r="A1804" t="s">
        <v>5443</v>
      </c>
      <c r="B1804" t="str">
        <f>MID(tbl_lock[[#This Row],[PACE Job Number]],3,3)</f>
        <v>STX</v>
      </c>
      <c r="C1804" t="s">
        <v>14</v>
      </c>
      <c r="D1804" s="1">
        <v>43416</v>
      </c>
    </row>
    <row r="1805" spans="1:4" x14ac:dyDescent="0.25">
      <c r="A1805" t="s">
        <v>4495</v>
      </c>
      <c r="B1805" t="str">
        <f>MID(tbl_lock[[#This Row],[PACE Job Number]],3,3)</f>
        <v>STX</v>
      </c>
      <c r="C1805" t="s">
        <v>14</v>
      </c>
      <c r="D1805" s="1">
        <v>43416</v>
      </c>
    </row>
    <row r="1806" spans="1:4" x14ac:dyDescent="0.25">
      <c r="A1806" t="s">
        <v>4496</v>
      </c>
      <c r="B1806" t="str">
        <f>MID(tbl_lock[[#This Row],[PACE Job Number]],3,3)</f>
        <v>STX</v>
      </c>
      <c r="C1806" t="s">
        <v>14</v>
      </c>
      <c r="D1806" s="1">
        <v>43416</v>
      </c>
    </row>
    <row r="1807" spans="1:4" x14ac:dyDescent="0.25">
      <c r="A1807" t="s">
        <v>5444</v>
      </c>
      <c r="B1807" t="str">
        <f>MID(tbl_lock[[#This Row],[PACE Job Number]],3,3)</f>
        <v>STX</v>
      </c>
      <c r="C1807" t="s">
        <v>14</v>
      </c>
      <c r="D1807" s="1">
        <v>43405</v>
      </c>
    </row>
    <row r="1808" spans="1:4" x14ac:dyDescent="0.25">
      <c r="A1808" t="s">
        <v>4497</v>
      </c>
      <c r="B1808" t="str">
        <f>MID(tbl_lock[[#This Row],[PACE Job Number]],3,3)</f>
        <v>STX</v>
      </c>
      <c r="C1808" t="s">
        <v>14</v>
      </c>
      <c r="D1808" s="1">
        <v>43419</v>
      </c>
    </row>
    <row r="1809" spans="1:4" x14ac:dyDescent="0.25">
      <c r="A1809" t="s">
        <v>288</v>
      </c>
      <c r="B1809" t="str">
        <f>MID(tbl_lock[[#This Row],[PACE Job Number]],3,3)</f>
        <v>STX</v>
      </c>
      <c r="C1809" t="s">
        <v>14</v>
      </c>
      <c r="D1809" s="1">
        <v>43416</v>
      </c>
    </row>
    <row r="1810" spans="1:4" x14ac:dyDescent="0.25">
      <c r="A1810" t="s">
        <v>5445</v>
      </c>
      <c r="B1810" t="str">
        <f>MID(tbl_lock[[#This Row],[PACE Job Number]],3,3)</f>
        <v>STX</v>
      </c>
      <c r="C1810" t="s">
        <v>14</v>
      </c>
      <c r="D1810" s="1">
        <v>43419</v>
      </c>
    </row>
    <row r="1811" spans="1:4" x14ac:dyDescent="0.25">
      <c r="A1811" t="s">
        <v>5446</v>
      </c>
      <c r="B1811" t="str">
        <f>MID(tbl_lock[[#This Row],[PACE Job Number]],3,3)</f>
        <v>STX</v>
      </c>
      <c r="C1811" t="s">
        <v>14</v>
      </c>
      <c r="D1811" s="1">
        <v>43419</v>
      </c>
    </row>
    <row r="1812" spans="1:4" x14ac:dyDescent="0.25">
      <c r="A1812" t="s">
        <v>5447</v>
      </c>
      <c r="B1812" t="str">
        <f>MID(tbl_lock[[#This Row],[PACE Job Number]],3,3)</f>
        <v>STX</v>
      </c>
      <c r="C1812" t="s">
        <v>14</v>
      </c>
      <c r="D1812" s="1">
        <v>43419</v>
      </c>
    </row>
    <row r="1813" spans="1:4" x14ac:dyDescent="0.25">
      <c r="A1813" t="s">
        <v>5448</v>
      </c>
      <c r="B1813" t="str">
        <f>MID(tbl_lock[[#This Row],[PACE Job Number]],3,3)</f>
        <v>STX</v>
      </c>
      <c r="C1813" t="s">
        <v>14</v>
      </c>
      <c r="D1813" s="1">
        <v>43419</v>
      </c>
    </row>
    <row r="1814" spans="1:4" x14ac:dyDescent="0.25">
      <c r="A1814" t="s">
        <v>5449</v>
      </c>
      <c r="B1814" t="str">
        <f>MID(tbl_lock[[#This Row],[PACE Job Number]],3,3)</f>
        <v>NTX</v>
      </c>
      <c r="C1814" t="s">
        <v>14</v>
      </c>
      <c r="D1814" s="1">
        <v>43409</v>
      </c>
    </row>
    <row r="1815" spans="1:4" x14ac:dyDescent="0.25">
      <c r="A1815" t="s">
        <v>5450</v>
      </c>
      <c r="B1815" t="str">
        <f>MID(tbl_lock[[#This Row],[PACE Job Number]],3,3)</f>
        <v>NTX</v>
      </c>
      <c r="C1815" t="s">
        <v>14</v>
      </c>
      <c r="D1815" s="1">
        <v>43406</v>
      </c>
    </row>
    <row r="1816" spans="1:4" x14ac:dyDescent="0.25">
      <c r="A1816" t="s">
        <v>5451</v>
      </c>
      <c r="B1816" t="str">
        <f>MID(tbl_lock[[#This Row],[PACE Job Number]],3,3)</f>
        <v>NTX</v>
      </c>
      <c r="C1816" t="s">
        <v>14</v>
      </c>
      <c r="D1816" s="1">
        <v>43406</v>
      </c>
    </row>
    <row r="1817" spans="1:4" x14ac:dyDescent="0.25">
      <c r="A1817" t="s">
        <v>5452</v>
      </c>
      <c r="B1817" t="str">
        <f>MID(tbl_lock[[#This Row],[PACE Job Number]],3,3)</f>
        <v>NTX</v>
      </c>
      <c r="C1817" t="s">
        <v>14</v>
      </c>
      <c r="D1817" s="1">
        <v>43416</v>
      </c>
    </row>
    <row r="1818" spans="1:4" x14ac:dyDescent="0.25">
      <c r="A1818" t="s">
        <v>2489</v>
      </c>
      <c r="B1818" t="str">
        <f>MID(tbl_lock[[#This Row],[PACE Job Number]],3,3)</f>
        <v>NTX</v>
      </c>
      <c r="C1818" t="s">
        <v>14</v>
      </c>
      <c r="D1818" s="1">
        <v>43416</v>
      </c>
    </row>
    <row r="1819" spans="1:4" x14ac:dyDescent="0.25">
      <c r="A1819" t="s">
        <v>3985</v>
      </c>
      <c r="B1819" t="str">
        <f>MID(tbl_lock[[#This Row],[PACE Job Number]],3,3)</f>
        <v>NTX</v>
      </c>
      <c r="C1819" t="s">
        <v>14</v>
      </c>
      <c r="D1819" s="1">
        <v>43405</v>
      </c>
    </row>
    <row r="1820" spans="1:4" x14ac:dyDescent="0.25">
      <c r="A1820" t="s">
        <v>2572</v>
      </c>
      <c r="B1820" t="str">
        <f>MID(tbl_lock[[#This Row],[PACE Job Number]],3,3)</f>
        <v>STX</v>
      </c>
      <c r="C1820" t="s">
        <v>14</v>
      </c>
      <c r="D1820" s="1">
        <v>43420</v>
      </c>
    </row>
    <row r="1821" spans="1:4" x14ac:dyDescent="0.25">
      <c r="A1821" t="s">
        <v>5453</v>
      </c>
      <c r="B1821" t="str">
        <f>MID(tbl_lock[[#This Row],[PACE Job Number]],3,3)</f>
        <v>STX</v>
      </c>
      <c r="C1821" t="s">
        <v>14</v>
      </c>
      <c r="D1821" s="1">
        <v>43406</v>
      </c>
    </row>
    <row r="1822" spans="1:4" x14ac:dyDescent="0.25">
      <c r="A1822" t="s">
        <v>5454</v>
      </c>
      <c r="B1822" t="str">
        <f>MID(tbl_lock[[#This Row],[PACE Job Number]],3,3)</f>
        <v>STX</v>
      </c>
      <c r="C1822" t="s">
        <v>14</v>
      </c>
      <c r="D1822" s="1">
        <v>43406</v>
      </c>
    </row>
    <row r="1823" spans="1:4" x14ac:dyDescent="0.25">
      <c r="A1823" t="s">
        <v>5455</v>
      </c>
      <c r="B1823" t="str">
        <f>MID(tbl_lock[[#This Row],[PACE Job Number]],3,3)</f>
        <v>STX</v>
      </c>
      <c r="C1823" t="s">
        <v>14</v>
      </c>
      <c r="D1823" s="1">
        <v>43419</v>
      </c>
    </row>
    <row r="1824" spans="1:4" x14ac:dyDescent="0.25">
      <c r="A1824" t="s">
        <v>3206</v>
      </c>
      <c r="B1824" t="str">
        <f>MID(tbl_lock[[#This Row],[PACE Job Number]],3,3)</f>
        <v>STX</v>
      </c>
      <c r="C1824" t="s">
        <v>14</v>
      </c>
      <c r="D1824" s="1">
        <v>43419</v>
      </c>
    </row>
    <row r="1825" spans="1:4" x14ac:dyDescent="0.25">
      <c r="A1825" t="s">
        <v>5456</v>
      </c>
      <c r="B1825" t="str">
        <f>MID(tbl_lock[[#This Row],[PACE Job Number]],3,3)</f>
        <v>STX</v>
      </c>
      <c r="C1825" t="s">
        <v>14</v>
      </c>
      <c r="D1825" s="1">
        <v>43419</v>
      </c>
    </row>
    <row r="1826" spans="1:4" x14ac:dyDescent="0.25">
      <c r="A1826" t="s">
        <v>297</v>
      </c>
      <c r="B1826" t="str">
        <f>MID(tbl_lock[[#This Row],[PACE Job Number]],3,3)</f>
        <v>STX</v>
      </c>
      <c r="C1826" t="s">
        <v>14</v>
      </c>
      <c r="D1826" s="1">
        <v>43416</v>
      </c>
    </row>
    <row r="1827" spans="1:4" x14ac:dyDescent="0.25">
      <c r="A1827" t="s">
        <v>3358</v>
      </c>
      <c r="B1827" t="str">
        <f>MID(tbl_lock[[#This Row],[PACE Job Number]],3,3)</f>
        <v>STX</v>
      </c>
      <c r="C1827" t="s">
        <v>14</v>
      </c>
      <c r="D1827" s="1">
        <v>43419</v>
      </c>
    </row>
    <row r="1828" spans="1:4" x14ac:dyDescent="0.25">
      <c r="A1828" t="s">
        <v>2560</v>
      </c>
      <c r="B1828" t="str">
        <f>MID(tbl_lock[[#This Row],[PACE Job Number]],3,3)</f>
        <v>STX</v>
      </c>
      <c r="C1828" t="s">
        <v>14</v>
      </c>
      <c r="D1828" s="1">
        <v>43420</v>
      </c>
    </row>
    <row r="1829" spans="1:4" x14ac:dyDescent="0.25">
      <c r="A1829" t="s">
        <v>5457</v>
      </c>
      <c r="B1829" t="str">
        <f>MID(tbl_lock[[#This Row],[PACE Job Number]],3,3)</f>
        <v>STX</v>
      </c>
      <c r="C1829" t="s">
        <v>14</v>
      </c>
      <c r="D1829" s="1">
        <v>43420</v>
      </c>
    </row>
    <row r="1830" spans="1:4" x14ac:dyDescent="0.25">
      <c r="A1830" t="s">
        <v>4400</v>
      </c>
      <c r="B1830" t="str">
        <f>MID(tbl_lock[[#This Row],[PACE Job Number]],3,3)</f>
        <v>NTX</v>
      </c>
      <c r="C1830" t="s">
        <v>14</v>
      </c>
      <c r="D1830" s="1">
        <v>43432</v>
      </c>
    </row>
    <row r="1831" spans="1:4" x14ac:dyDescent="0.25">
      <c r="A1831" t="s">
        <v>2024</v>
      </c>
      <c r="B1831" t="str">
        <f>MID(tbl_lock[[#This Row],[PACE Job Number]],3,3)</f>
        <v>NTX</v>
      </c>
      <c r="C1831" t="s">
        <v>14</v>
      </c>
      <c r="D1831" s="1">
        <v>43434</v>
      </c>
    </row>
    <row r="1832" spans="1:4" x14ac:dyDescent="0.25">
      <c r="A1832" t="s">
        <v>3788</v>
      </c>
      <c r="B1832" t="str">
        <f>MID(tbl_lock[[#This Row],[PACE Job Number]],3,3)</f>
        <v>NTX</v>
      </c>
      <c r="C1832" t="s">
        <v>14</v>
      </c>
      <c r="D1832" s="1">
        <v>43416</v>
      </c>
    </row>
    <row r="1833" spans="1:4" x14ac:dyDescent="0.25">
      <c r="A1833" t="s">
        <v>3789</v>
      </c>
      <c r="B1833" t="str">
        <f>MID(tbl_lock[[#This Row],[PACE Job Number]],3,3)</f>
        <v>NTX</v>
      </c>
      <c r="C1833" t="s">
        <v>14</v>
      </c>
      <c r="D1833" s="1">
        <v>43416</v>
      </c>
    </row>
    <row r="1834" spans="1:4" x14ac:dyDescent="0.25">
      <c r="A1834" t="s">
        <v>5458</v>
      </c>
      <c r="B1834" t="str">
        <f>MID(tbl_lock[[#This Row],[PACE Job Number]],3,3)</f>
        <v>NTX</v>
      </c>
      <c r="C1834" t="s">
        <v>14</v>
      </c>
      <c r="D1834" s="1">
        <v>43430</v>
      </c>
    </row>
    <row r="1835" spans="1:4" x14ac:dyDescent="0.25">
      <c r="A1835" t="s">
        <v>2391</v>
      </c>
      <c r="B1835" t="str">
        <f>MID(tbl_lock[[#This Row],[PACE Job Number]],3,3)</f>
        <v>NTX</v>
      </c>
      <c r="C1835" t="s">
        <v>14</v>
      </c>
      <c r="D1835" s="1">
        <v>43409</v>
      </c>
    </row>
    <row r="1836" spans="1:4" x14ac:dyDescent="0.25">
      <c r="A1836" t="s">
        <v>3790</v>
      </c>
      <c r="B1836" t="str">
        <f>MID(tbl_lock[[#This Row],[PACE Job Number]],3,3)</f>
        <v>NTX</v>
      </c>
      <c r="C1836" t="s">
        <v>14</v>
      </c>
      <c r="D1836" s="1">
        <v>43416</v>
      </c>
    </row>
    <row r="1837" spans="1:4" x14ac:dyDescent="0.25">
      <c r="A1837" t="s">
        <v>5306</v>
      </c>
      <c r="B1837" t="str">
        <f>MID(tbl_lock[[#This Row],[PACE Job Number]],3,3)</f>
        <v>WSH</v>
      </c>
      <c r="C1837" t="s">
        <v>14</v>
      </c>
      <c r="D1837" s="1">
        <v>43430</v>
      </c>
    </row>
    <row r="1838" spans="1:4" x14ac:dyDescent="0.25">
      <c r="A1838" t="s">
        <v>5307</v>
      </c>
      <c r="B1838" t="str">
        <f>MID(tbl_lock[[#This Row],[PACE Job Number]],3,3)</f>
        <v>WSH</v>
      </c>
      <c r="C1838" t="s">
        <v>14</v>
      </c>
      <c r="D1838" s="1">
        <v>43430</v>
      </c>
    </row>
    <row r="1839" spans="1:4" x14ac:dyDescent="0.25">
      <c r="A1839" t="s">
        <v>4280</v>
      </c>
      <c r="B1839" t="str">
        <f>MID(tbl_lock[[#This Row],[PACE Job Number]],3,3)</f>
        <v>WSH</v>
      </c>
      <c r="C1839" t="s">
        <v>14</v>
      </c>
      <c r="D1839" s="1">
        <v>43409</v>
      </c>
    </row>
    <row r="1840" spans="1:4" x14ac:dyDescent="0.25">
      <c r="A1840" t="s">
        <v>5308</v>
      </c>
      <c r="B1840" t="str">
        <f>MID(tbl_lock[[#This Row],[PACE Job Number]],3,3)</f>
        <v>WSH</v>
      </c>
      <c r="C1840" t="s">
        <v>14</v>
      </c>
      <c r="D1840" s="1">
        <v>43430</v>
      </c>
    </row>
    <row r="1841" spans="1:4" x14ac:dyDescent="0.25">
      <c r="A1841" t="s">
        <v>4281</v>
      </c>
      <c r="B1841" t="str">
        <f>MID(tbl_lock[[#This Row],[PACE Job Number]],3,3)</f>
        <v>WSH</v>
      </c>
      <c r="C1841" t="s">
        <v>14</v>
      </c>
      <c r="D1841" s="1">
        <v>43409</v>
      </c>
    </row>
    <row r="1842" spans="1:4" x14ac:dyDescent="0.25">
      <c r="A1842" t="s">
        <v>5310</v>
      </c>
      <c r="B1842" t="str">
        <f>MID(tbl_lock[[#This Row],[PACE Job Number]],3,3)</f>
        <v>WSH</v>
      </c>
      <c r="C1842" t="s">
        <v>14</v>
      </c>
      <c r="D1842" s="1">
        <v>43413</v>
      </c>
    </row>
    <row r="1843" spans="1:4" x14ac:dyDescent="0.25">
      <c r="A1843" t="s">
        <v>5311</v>
      </c>
      <c r="B1843" t="str">
        <f>MID(tbl_lock[[#This Row],[PACE Job Number]],3,3)</f>
        <v>WSH</v>
      </c>
      <c r="C1843" t="s">
        <v>14</v>
      </c>
      <c r="D1843" s="1">
        <v>43430</v>
      </c>
    </row>
    <row r="1844" spans="1:4" x14ac:dyDescent="0.25">
      <c r="A1844" t="s">
        <v>5312</v>
      </c>
      <c r="B1844" t="str">
        <f>MID(tbl_lock[[#This Row],[PACE Job Number]],3,3)</f>
        <v>WSH</v>
      </c>
      <c r="C1844" t="s">
        <v>14</v>
      </c>
      <c r="D1844" s="1">
        <v>43409</v>
      </c>
    </row>
    <row r="1845" spans="1:4" x14ac:dyDescent="0.25">
      <c r="A1845" t="s">
        <v>4283</v>
      </c>
      <c r="B1845" t="str">
        <f>MID(tbl_lock[[#This Row],[PACE Job Number]],3,3)</f>
        <v>WSH</v>
      </c>
      <c r="C1845" t="s">
        <v>14</v>
      </c>
      <c r="D1845" s="1">
        <v>43410</v>
      </c>
    </row>
    <row r="1846" spans="1:4" x14ac:dyDescent="0.25">
      <c r="A1846" t="s">
        <v>5459</v>
      </c>
      <c r="B1846" t="str">
        <f>MID(tbl_lock[[#This Row],[PACE Job Number]],3,3)</f>
        <v>WSH</v>
      </c>
      <c r="C1846" t="s">
        <v>14</v>
      </c>
      <c r="D1846" s="1">
        <v>43416</v>
      </c>
    </row>
    <row r="1847" spans="1:4" x14ac:dyDescent="0.25">
      <c r="A1847" t="s">
        <v>5314</v>
      </c>
      <c r="B1847" t="str">
        <f>MID(tbl_lock[[#This Row],[PACE Job Number]],3,3)</f>
        <v>WSH</v>
      </c>
      <c r="C1847" t="s">
        <v>14</v>
      </c>
      <c r="D1847" s="1">
        <v>43430</v>
      </c>
    </row>
    <row r="1848" spans="1:4" x14ac:dyDescent="0.25">
      <c r="A1848" t="s">
        <v>5315</v>
      </c>
      <c r="B1848" t="str">
        <f>MID(tbl_lock[[#This Row],[PACE Job Number]],3,3)</f>
        <v>WSH</v>
      </c>
      <c r="C1848" t="s">
        <v>14</v>
      </c>
      <c r="D1848" s="1">
        <v>43409</v>
      </c>
    </row>
    <row r="1849" spans="1:4" x14ac:dyDescent="0.25">
      <c r="A1849" t="s">
        <v>5316</v>
      </c>
      <c r="B1849" t="str">
        <f>MID(tbl_lock[[#This Row],[PACE Job Number]],3,3)</f>
        <v>WSH</v>
      </c>
      <c r="C1849" t="s">
        <v>14</v>
      </c>
      <c r="D1849" s="1">
        <v>43416</v>
      </c>
    </row>
    <row r="1850" spans="1:4" x14ac:dyDescent="0.25">
      <c r="A1850" t="s">
        <v>4289</v>
      </c>
      <c r="B1850" t="str">
        <f>MID(tbl_lock[[#This Row],[PACE Job Number]],3,3)</f>
        <v>WSH</v>
      </c>
      <c r="C1850" t="s">
        <v>14</v>
      </c>
      <c r="D1850" s="1">
        <v>43410</v>
      </c>
    </row>
    <row r="1851" spans="1:4" x14ac:dyDescent="0.25">
      <c r="A1851" t="s">
        <v>5460</v>
      </c>
      <c r="B1851" t="str">
        <f>MID(tbl_lock[[#This Row],[PACE Job Number]],3,3)</f>
        <v>STX</v>
      </c>
      <c r="C1851" t="s">
        <v>14</v>
      </c>
      <c r="D1851" s="1">
        <v>43406</v>
      </c>
    </row>
    <row r="1852" spans="1:4" x14ac:dyDescent="0.25">
      <c r="A1852" t="s">
        <v>5461</v>
      </c>
      <c r="B1852" t="str">
        <f>MID(tbl_lock[[#This Row],[PACE Job Number]],3,3)</f>
        <v>STX</v>
      </c>
      <c r="C1852" t="s">
        <v>14</v>
      </c>
      <c r="D1852" s="1">
        <v>43406</v>
      </c>
    </row>
    <row r="1853" spans="1:4" x14ac:dyDescent="0.25">
      <c r="A1853" t="s">
        <v>2400</v>
      </c>
      <c r="B1853" t="str">
        <f>MID(tbl_lock[[#This Row],[PACE Job Number]],3,3)</f>
        <v>NTX</v>
      </c>
      <c r="C1853" t="s">
        <v>14</v>
      </c>
      <c r="D1853" s="1">
        <v>43409</v>
      </c>
    </row>
    <row r="1854" spans="1:4" x14ac:dyDescent="0.25">
      <c r="A1854" t="s">
        <v>83</v>
      </c>
      <c r="B1854" t="str">
        <f>MID(tbl_lock[[#This Row],[PACE Job Number]],3,3)</f>
        <v>NTX</v>
      </c>
      <c r="C1854" t="s">
        <v>14</v>
      </c>
      <c r="D1854" s="1">
        <v>43409</v>
      </c>
    </row>
    <row r="1855" spans="1:4" x14ac:dyDescent="0.25">
      <c r="A1855" t="s">
        <v>2647</v>
      </c>
      <c r="B1855" t="str">
        <f>MID(tbl_lock[[#This Row],[PACE Job Number]],3,3)</f>
        <v>STX</v>
      </c>
      <c r="C1855" t="s">
        <v>14</v>
      </c>
      <c r="D1855" s="1">
        <v>43420</v>
      </c>
    </row>
    <row r="1856" spans="1:4" x14ac:dyDescent="0.25">
      <c r="A1856" t="s">
        <v>2644</v>
      </c>
      <c r="B1856" t="str">
        <f>MID(tbl_lock[[#This Row],[PACE Job Number]],3,3)</f>
        <v>STX</v>
      </c>
      <c r="C1856" t="s">
        <v>14</v>
      </c>
      <c r="D1856" s="1">
        <v>43419</v>
      </c>
    </row>
    <row r="1857" spans="1:4" x14ac:dyDescent="0.25">
      <c r="A1857" t="s">
        <v>3946</v>
      </c>
      <c r="B1857" t="str">
        <f>MID(tbl_lock[[#This Row],[PACE Job Number]],3,3)</f>
        <v>STX</v>
      </c>
      <c r="C1857" t="s">
        <v>14</v>
      </c>
      <c r="D1857" s="1">
        <v>43419</v>
      </c>
    </row>
    <row r="1858" spans="1:4" x14ac:dyDescent="0.25">
      <c r="A1858" t="s">
        <v>2649</v>
      </c>
      <c r="B1858" t="str">
        <f>MID(tbl_lock[[#This Row],[PACE Job Number]],3,3)</f>
        <v>STX</v>
      </c>
      <c r="C1858" t="s">
        <v>14</v>
      </c>
      <c r="D1858" s="1">
        <v>43419</v>
      </c>
    </row>
    <row r="1859" spans="1:4" x14ac:dyDescent="0.25">
      <c r="A1859" t="s">
        <v>2630</v>
      </c>
      <c r="B1859" t="str">
        <f>MID(tbl_lock[[#This Row],[PACE Job Number]],3,3)</f>
        <v>STX</v>
      </c>
      <c r="C1859" t="s">
        <v>14</v>
      </c>
      <c r="D1859" s="1">
        <v>43419</v>
      </c>
    </row>
    <row r="1860" spans="1:4" x14ac:dyDescent="0.25">
      <c r="A1860" t="s">
        <v>2641</v>
      </c>
      <c r="B1860" t="str">
        <f>MID(tbl_lock[[#This Row],[PACE Job Number]],3,3)</f>
        <v>STX</v>
      </c>
      <c r="C1860" t="s">
        <v>14</v>
      </c>
      <c r="D1860" s="1">
        <v>43419</v>
      </c>
    </row>
    <row r="1861" spans="1:4" x14ac:dyDescent="0.25">
      <c r="A1861" t="s">
        <v>5318</v>
      </c>
      <c r="B1861" t="str">
        <f>MID(tbl_lock[[#This Row],[PACE Job Number]],3,3)</f>
        <v>WSH</v>
      </c>
      <c r="C1861" t="s">
        <v>14</v>
      </c>
      <c r="D1861" s="1">
        <v>43416</v>
      </c>
    </row>
    <row r="1862" spans="1:4" x14ac:dyDescent="0.25">
      <c r="A1862" t="s">
        <v>5319</v>
      </c>
      <c r="B1862" t="str">
        <f>MID(tbl_lock[[#This Row],[PACE Job Number]],3,3)</f>
        <v>WSH</v>
      </c>
      <c r="C1862" t="s">
        <v>14</v>
      </c>
      <c r="D1862" s="1">
        <v>43430</v>
      </c>
    </row>
    <row r="1863" spans="1:4" x14ac:dyDescent="0.25">
      <c r="A1863" t="s">
        <v>4175</v>
      </c>
      <c r="B1863" t="str">
        <f>MID(tbl_lock[[#This Row],[PACE Job Number]],3,3)</f>
        <v>NTX</v>
      </c>
      <c r="C1863" t="s">
        <v>14</v>
      </c>
      <c r="D1863" s="1">
        <v>43430</v>
      </c>
    </row>
    <row r="1864" spans="1:4" x14ac:dyDescent="0.25">
      <c r="A1864" t="s">
        <v>125</v>
      </c>
      <c r="B1864" t="str">
        <f>MID(tbl_lock[[#This Row],[PACE Job Number]],3,3)</f>
        <v>NTX</v>
      </c>
      <c r="C1864" t="s">
        <v>14</v>
      </c>
      <c r="D1864" s="1">
        <v>43423</v>
      </c>
    </row>
    <row r="1865" spans="1:4" x14ac:dyDescent="0.25">
      <c r="A1865" t="s">
        <v>324</v>
      </c>
      <c r="B1865" t="str">
        <f>MID(tbl_lock[[#This Row],[PACE Job Number]],3,3)</f>
        <v>NTX</v>
      </c>
      <c r="C1865" t="s">
        <v>14</v>
      </c>
      <c r="D1865" s="1">
        <v>43423</v>
      </c>
    </row>
    <row r="1866" spans="1:4" x14ac:dyDescent="0.25">
      <c r="A1866" t="s">
        <v>5462</v>
      </c>
      <c r="B1866" t="str">
        <f>MID(tbl_lock[[#This Row],[PACE Job Number]],3,3)</f>
        <v>NTX</v>
      </c>
      <c r="C1866" t="s">
        <v>14</v>
      </c>
      <c r="D1866" s="1">
        <v>43406</v>
      </c>
    </row>
    <row r="1867" spans="1:4" x14ac:dyDescent="0.25">
      <c r="A1867" t="s">
        <v>450</v>
      </c>
      <c r="B1867" t="str">
        <f>MID(tbl_lock[[#This Row],[PACE Job Number]],3,3)</f>
        <v>NTX</v>
      </c>
      <c r="C1867" t="s">
        <v>14</v>
      </c>
      <c r="D1867" s="1">
        <v>43430</v>
      </c>
    </row>
    <row r="1868" spans="1:4" x14ac:dyDescent="0.25">
      <c r="A1868" t="s">
        <v>4121</v>
      </c>
      <c r="B1868" t="str">
        <f>MID(tbl_lock[[#This Row],[PACE Job Number]],3,3)</f>
        <v>NTX</v>
      </c>
      <c r="C1868" t="s">
        <v>14</v>
      </c>
      <c r="D1868" s="1">
        <v>43430</v>
      </c>
    </row>
    <row r="1869" spans="1:4" x14ac:dyDescent="0.25">
      <c r="A1869" t="s">
        <v>2308</v>
      </c>
      <c r="B1869" t="str">
        <f>MID(tbl_lock[[#This Row],[PACE Job Number]],3,3)</f>
        <v>NTX</v>
      </c>
      <c r="C1869" t="s">
        <v>14</v>
      </c>
      <c r="D1869" s="1">
        <v>43416</v>
      </c>
    </row>
    <row r="1870" spans="1:4" x14ac:dyDescent="0.25">
      <c r="A1870" t="s">
        <v>327</v>
      </c>
      <c r="B1870" t="str">
        <f>MID(tbl_lock[[#This Row],[PACE Job Number]],3,3)</f>
        <v>NTX</v>
      </c>
      <c r="C1870" t="s">
        <v>14</v>
      </c>
      <c r="D1870" s="1">
        <v>43423</v>
      </c>
    </row>
    <row r="1871" spans="1:4" x14ac:dyDescent="0.25">
      <c r="A1871" t="s">
        <v>4122</v>
      </c>
      <c r="B1871" t="str">
        <f>MID(tbl_lock[[#This Row],[PACE Job Number]],3,3)</f>
        <v>NTX</v>
      </c>
      <c r="C1871" t="s">
        <v>14</v>
      </c>
      <c r="D1871" s="1">
        <v>43430</v>
      </c>
    </row>
    <row r="1872" spans="1:4" x14ac:dyDescent="0.25">
      <c r="A1872" t="s">
        <v>395</v>
      </c>
      <c r="B1872" t="str">
        <f>MID(tbl_lock[[#This Row],[PACE Job Number]],3,3)</f>
        <v>NTX</v>
      </c>
      <c r="C1872" t="s">
        <v>14</v>
      </c>
      <c r="D1872" s="1">
        <v>43430</v>
      </c>
    </row>
    <row r="1873" spans="1:4" x14ac:dyDescent="0.25">
      <c r="A1873" t="s">
        <v>2311</v>
      </c>
      <c r="B1873" t="str">
        <f>MID(tbl_lock[[#This Row],[PACE Job Number]],3,3)</f>
        <v>NTX</v>
      </c>
      <c r="C1873" t="s">
        <v>14</v>
      </c>
      <c r="D1873" s="1">
        <v>43419</v>
      </c>
    </row>
    <row r="1874" spans="1:4" x14ac:dyDescent="0.25">
      <c r="A1874" t="s">
        <v>4191</v>
      </c>
      <c r="B1874" t="str">
        <f>MID(tbl_lock[[#This Row],[PACE Job Number]],3,3)</f>
        <v>WSH</v>
      </c>
      <c r="C1874" t="s">
        <v>11</v>
      </c>
      <c r="D1874" s="1">
        <v>43420</v>
      </c>
    </row>
    <row r="1875" spans="1:4" x14ac:dyDescent="0.25">
      <c r="A1875" t="s">
        <v>3424</v>
      </c>
      <c r="B1875" t="str">
        <f>MID(tbl_lock[[#This Row],[PACE Job Number]],3,3)</f>
        <v>ANM</v>
      </c>
      <c r="C1875" t="s">
        <v>11</v>
      </c>
      <c r="D1875" s="1">
        <v>43420</v>
      </c>
    </row>
    <row r="1876" spans="1:4" x14ac:dyDescent="0.25">
      <c r="A1876" t="s">
        <v>4377</v>
      </c>
      <c r="B1876" t="str">
        <f>MID(tbl_lock[[#This Row],[PACE Job Number]],3,3)</f>
        <v>STX</v>
      </c>
      <c r="C1876" t="s">
        <v>11</v>
      </c>
      <c r="D1876" s="1">
        <v>43428</v>
      </c>
    </row>
    <row r="1877" spans="1:4" x14ac:dyDescent="0.25">
      <c r="A1877" t="s">
        <v>3352</v>
      </c>
      <c r="B1877" t="str">
        <f>MID(tbl_lock[[#This Row],[PACE Job Number]],3,3)</f>
        <v>STX</v>
      </c>
      <c r="C1877" t="s">
        <v>11</v>
      </c>
      <c r="D1877" s="1">
        <v>43425</v>
      </c>
    </row>
    <row r="1878" spans="1:4" x14ac:dyDescent="0.25">
      <c r="A1878" t="s">
        <v>2669</v>
      </c>
      <c r="B1878" t="str">
        <f>MID(tbl_lock[[#This Row],[PACE Job Number]],3,3)</f>
        <v>STX</v>
      </c>
      <c r="C1878" t="s">
        <v>11</v>
      </c>
      <c r="D1878" s="1">
        <v>43428</v>
      </c>
    </row>
    <row r="1879" spans="1:4" x14ac:dyDescent="0.25">
      <c r="A1879" t="s">
        <v>3810</v>
      </c>
      <c r="B1879" t="str">
        <f>MID(tbl_lock[[#This Row],[PACE Job Number]],3,3)</f>
        <v>WSH</v>
      </c>
      <c r="C1879" t="s">
        <v>11</v>
      </c>
      <c r="D1879" s="1">
        <v>43424</v>
      </c>
    </row>
    <row r="1880" spans="1:4" x14ac:dyDescent="0.25">
      <c r="A1880" t="s">
        <v>3811</v>
      </c>
      <c r="B1880" t="str">
        <f>MID(tbl_lock[[#This Row],[PACE Job Number]],3,3)</f>
        <v>WSH</v>
      </c>
      <c r="C1880" t="s">
        <v>11</v>
      </c>
      <c r="D1880" s="1">
        <v>43410</v>
      </c>
    </row>
    <row r="1881" spans="1:4" x14ac:dyDescent="0.25">
      <c r="A1881" t="s">
        <v>3812</v>
      </c>
      <c r="B1881" t="str">
        <f>MID(tbl_lock[[#This Row],[PACE Job Number]],3,3)</f>
        <v>WSH</v>
      </c>
      <c r="C1881" t="s">
        <v>11</v>
      </c>
      <c r="D1881" s="1">
        <v>43420</v>
      </c>
    </row>
    <row r="1882" spans="1:4" x14ac:dyDescent="0.25">
      <c r="A1882" t="s">
        <v>5195</v>
      </c>
      <c r="B1882" t="str">
        <f>MID(tbl_lock[[#This Row],[PACE Job Number]],3,3)</f>
        <v>WSH</v>
      </c>
      <c r="C1882" t="s">
        <v>11</v>
      </c>
      <c r="D1882" s="1">
        <v>43424</v>
      </c>
    </row>
    <row r="1883" spans="1:4" x14ac:dyDescent="0.25">
      <c r="A1883" t="s">
        <v>5463</v>
      </c>
      <c r="B1883" t="str">
        <f>MID(tbl_lock[[#This Row],[PACE Job Number]],3,3)</f>
        <v>NTX</v>
      </c>
      <c r="C1883" t="s">
        <v>11</v>
      </c>
      <c r="D1883" s="1">
        <v>43433</v>
      </c>
    </row>
    <row r="1884" spans="1:4" x14ac:dyDescent="0.25">
      <c r="A1884" t="s">
        <v>5322</v>
      </c>
      <c r="B1884" t="str">
        <f>MID(tbl_lock[[#This Row],[PACE Job Number]],3,3)</f>
        <v>NTX</v>
      </c>
      <c r="C1884" t="s">
        <v>11</v>
      </c>
      <c r="D1884" s="1">
        <v>43420</v>
      </c>
    </row>
    <row r="1885" spans="1:4" x14ac:dyDescent="0.25">
      <c r="A1885" t="s">
        <v>341</v>
      </c>
      <c r="B1885" t="str">
        <f>MID(tbl_lock[[#This Row],[PACE Job Number]],3,3)</f>
        <v>NTX</v>
      </c>
      <c r="C1885" t="s">
        <v>11</v>
      </c>
      <c r="D1885" s="1">
        <v>43433</v>
      </c>
    </row>
    <row r="1886" spans="1:4" x14ac:dyDescent="0.25">
      <c r="A1886" t="s">
        <v>61</v>
      </c>
      <c r="B1886" t="str">
        <f>MID(tbl_lock[[#This Row],[PACE Job Number]],3,3)</f>
        <v>NTX</v>
      </c>
      <c r="C1886" t="s">
        <v>11</v>
      </c>
      <c r="D1886" s="1">
        <v>43409</v>
      </c>
    </row>
    <row r="1887" spans="1:4" x14ac:dyDescent="0.25">
      <c r="A1887" t="s">
        <v>3380</v>
      </c>
      <c r="B1887" t="str">
        <f>MID(tbl_lock[[#This Row],[PACE Job Number]],3,3)</f>
        <v>NTX</v>
      </c>
      <c r="C1887" t="s">
        <v>11</v>
      </c>
      <c r="D1887" s="1">
        <v>43427</v>
      </c>
    </row>
    <row r="1888" spans="1:4" x14ac:dyDescent="0.25">
      <c r="A1888" t="s">
        <v>2478</v>
      </c>
      <c r="B1888" t="str">
        <f>MID(tbl_lock[[#This Row],[PACE Job Number]],3,3)</f>
        <v>NTX</v>
      </c>
      <c r="C1888" t="s">
        <v>11</v>
      </c>
      <c r="D1888" s="1">
        <v>43427</v>
      </c>
    </row>
    <row r="1889" spans="1:4" x14ac:dyDescent="0.25">
      <c r="A1889" t="s">
        <v>139</v>
      </c>
      <c r="B1889" t="str">
        <f>MID(tbl_lock[[#This Row],[PACE Job Number]],3,3)</f>
        <v>NTX</v>
      </c>
      <c r="C1889" t="s">
        <v>11</v>
      </c>
      <c r="D1889" s="1">
        <v>43409</v>
      </c>
    </row>
    <row r="1890" spans="1:4" x14ac:dyDescent="0.25">
      <c r="A1890" t="s">
        <v>2479</v>
      </c>
      <c r="B1890" t="str">
        <f>MID(tbl_lock[[#This Row],[PACE Job Number]],3,3)</f>
        <v>NTX</v>
      </c>
      <c r="C1890" t="s">
        <v>11</v>
      </c>
      <c r="D1890" s="1">
        <v>43427</v>
      </c>
    </row>
    <row r="1891" spans="1:4" x14ac:dyDescent="0.25">
      <c r="A1891" t="s">
        <v>3382</v>
      </c>
      <c r="B1891" t="str">
        <f>MID(tbl_lock[[#This Row],[PACE Job Number]],3,3)</f>
        <v>NTX</v>
      </c>
      <c r="C1891" t="s">
        <v>11</v>
      </c>
      <c r="D1891" s="1">
        <v>43427</v>
      </c>
    </row>
    <row r="1892" spans="1:4" x14ac:dyDescent="0.25">
      <c r="A1892" t="s">
        <v>2480</v>
      </c>
      <c r="B1892" t="str">
        <f>MID(tbl_lock[[#This Row],[PACE Job Number]],3,3)</f>
        <v>NTX</v>
      </c>
      <c r="C1892" t="s">
        <v>11</v>
      </c>
      <c r="D1892" s="1">
        <v>43427</v>
      </c>
    </row>
    <row r="1893" spans="1:4" x14ac:dyDescent="0.25">
      <c r="A1893" t="s">
        <v>607</v>
      </c>
      <c r="B1893" t="str">
        <f>MID(tbl_lock[[#This Row],[PACE Job Number]],3,3)</f>
        <v>NTX</v>
      </c>
      <c r="C1893" t="s">
        <v>11</v>
      </c>
      <c r="D1893" s="1">
        <v>43430</v>
      </c>
    </row>
    <row r="1894" spans="1:4" x14ac:dyDescent="0.25">
      <c r="A1894" t="s">
        <v>4190</v>
      </c>
      <c r="B1894" t="str">
        <f>MID(tbl_lock[[#This Row],[PACE Job Number]],3,3)</f>
        <v>NTX</v>
      </c>
      <c r="C1894" t="s">
        <v>11</v>
      </c>
      <c r="D1894" s="1">
        <v>43430</v>
      </c>
    </row>
    <row r="1895" spans="1:4" x14ac:dyDescent="0.25">
      <c r="A1895" t="s">
        <v>2163</v>
      </c>
      <c r="B1895" t="str">
        <f>MID(tbl_lock[[#This Row],[PACE Job Number]],3,3)</f>
        <v>NTX</v>
      </c>
      <c r="C1895" t="s">
        <v>11</v>
      </c>
      <c r="D1895" s="1">
        <v>43408</v>
      </c>
    </row>
    <row r="1896" spans="1:4" x14ac:dyDescent="0.25">
      <c r="A1896" t="s">
        <v>5323</v>
      </c>
      <c r="B1896" t="str">
        <f>MID(tbl_lock[[#This Row],[PACE Job Number]],3,3)</f>
        <v>NTX</v>
      </c>
      <c r="C1896" t="s">
        <v>11</v>
      </c>
      <c r="D1896" s="1">
        <v>43430</v>
      </c>
    </row>
    <row r="1897" spans="1:4" x14ac:dyDescent="0.25">
      <c r="A1897" t="s">
        <v>4307</v>
      </c>
      <c r="B1897" t="str">
        <f>MID(tbl_lock[[#This Row],[PACE Job Number]],3,3)</f>
        <v>NTX</v>
      </c>
      <c r="C1897" t="s">
        <v>11</v>
      </c>
      <c r="D1897" s="1">
        <v>43427</v>
      </c>
    </row>
    <row r="1898" spans="1:4" x14ac:dyDescent="0.25">
      <c r="A1898" t="s">
        <v>4308</v>
      </c>
      <c r="B1898" t="str">
        <f>MID(tbl_lock[[#This Row],[PACE Job Number]],3,3)</f>
        <v>NTX</v>
      </c>
      <c r="C1898" t="s">
        <v>11</v>
      </c>
      <c r="D1898" s="1">
        <v>43427</v>
      </c>
    </row>
    <row r="1899" spans="1:4" x14ac:dyDescent="0.25">
      <c r="A1899" t="s">
        <v>4309</v>
      </c>
      <c r="B1899" t="str">
        <f>MID(tbl_lock[[#This Row],[PACE Job Number]],3,3)</f>
        <v>NTX</v>
      </c>
      <c r="C1899" t="s">
        <v>11</v>
      </c>
      <c r="D1899" s="1">
        <v>43420</v>
      </c>
    </row>
    <row r="1900" spans="1:4" x14ac:dyDescent="0.25">
      <c r="A1900" t="s">
        <v>5325</v>
      </c>
      <c r="B1900" t="str">
        <f>MID(tbl_lock[[#This Row],[PACE Job Number]],3,3)</f>
        <v>NTX</v>
      </c>
      <c r="C1900" t="s">
        <v>11</v>
      </c>
      <c r="D1900" s="1">
        <v>43430</v>
      </c>
    </row>
    <row r="1901" spans="1:4" x14ac:dyDescent="0.25">
      <c r="A1901" t="s">
        <v>2542</v>
      </c>
      <c r="B1901" t="str">
        <f>MID(tbl_lock[[#This Row],[PACE Job Number]],3,3)</f>
        <v>STX</v>
      </c>
      <c r="C1901" t="s">
        <v>11</v>
      </c>
      <c r="D1901" s="1">
        <v>43428</v>
      </c>
    </row>
    <row r="1902" spans="1:4" x14ac:dyDescent="0.25">
      <c r="A1902" t="s">
        <v>1605</v>
      </c>
      <c r="B1902" t="str">
        <f>MID(tbl_lock[[#This Row],[PACE Job Number]],3,3)</f>
        <v>STX</v>
      </c>
      <c r="C1902" t="s">
        <v>11</v>
      </c>
      <c r="D1902" s="1">
        <v>43426</v>
      </c>
    </row>
    <row r="1903" spans="1:4" x14ac:dyDescent="0.25">
      <c r="A1903" t="s">
        <v>172</v>
      </c>
      <c r="B1903" t="str">
        <f>MID(tbl_lock[[#This Row],[PACE Job Number]],3,3)</f>
        <v>STX</v>
      </c>
      <c r="C1903" t="s">
        <v>11</v>
      </c>
      <c r="D1903" s="1">
        <v>43425</v>
      </c>
    </row>
    <row r="1904" spans="1:4" x14ac:dyDescent="0.25">
      <c r="A1904" t="s">
        <v>1646</v>
      </c>
      <c r="B1904" t="str">
        <f>MID(tbl_lock[[#This Row],[PACE Job Number]],3,3)</f>
        <v>STX</v>
      </c>
      <c r="C1904" t="s">
        <v>11</v>
      </c>
      <c r="D1904" s="1">
        <v>43426</v>
      </c>
    </row>
    <row r="1905" spans="1:4" x14ac:dyDescent="0.25">
      <c r="A1905" t="s">
        <v>3426</v>
      </c>
      <c r="B1905" t="str">
        <f>MID(tbl_lock[[#This Row],[PACE Job Number]],3,3)</f>
        <v>STX</v>
      </c>
      <c r="C1905" t="s">
        <v>11</v>
      </c>
      <c r="D1905" s="1">
        <v>43426</v>
      </c>
    </row>
    <row r="1906" spans="1:4" x14ac:dyDescent="0.25">
      <c r="A1906" t="s">
        <v>4316</v>
      </c>
      <c r="B1906" t="str">
        <f>MID(tbl_lock[[#This Row],[PACE Job Number]],3,3)</f>
        <v>STX</v>
      </c>
      <c r="C1906" t="s">
        <v>11</v>
      </c>
      <c r="D1906" s="1">
        <v>43425</v>
      </c>
    </row>
    <row r="1907" spans="1:4" x14ac:dyDescent="0.25">
      <c r="A1907" t="s">
        <v>5326</v>
      </c>
      <c r="B1907" t="str">
        <f>MID(tbl_lock[[#This Row],[PACE Job Number]],3,3)</f>
        <v>STX</v>
      </c>
      <c r="C1907" t="s">
        <v>11</v>
      </c>
      <c r="D1907" s="1">
        <v>43425</v>
      </c>
    </row>
    <row r="1908" spans="1:4" x14ac:dyDescent="0.25">
      <c r="A1908" t="s">
        <v>1650</v>
      </c>
      <c r="B1908" t="str">
        <f>MID(tbl_lock[[#This Row],[PACE Job Number]],3,3)</f>
        <v>STX</v>
      </c>
      <c r="C1908" t="s">
        <v>11</v>
      </c>
      <c r="D1908" s="1">
        <v>43426</v>
      </c>
    </row>
    <row r="1909" spans="1:4" x14ac:dyDescent="0.25">
      <c r="A1909" t="s">
        <v>1579</v>
      </c>
      <c r="B1909" t="str">
        <f>MID(tbl_lock[[#This Row],[PACE Job Number]],3,3)</f>
        <v>STX</v>
      </c>
      <c r="C1909" t="s">
        <v>11</v>
      </c>
      <c r="D1909" s="1">
        <v>43426</v>
      </c>
    </row>
    <row r="1910" spans="1:4" x14ac:dyDescent="0.25">
      <c r="A1910" t="s">
        <v>4319</v>
      </c>
      <c r="B1910" t="str">
        <f>MID(tbl_lock[[#This Row],[PACE Job Number]],3,3)</f>
        <v>STX</v>
      </c>
      <c r="C1910" t="s">
        <v>11</v>
      </c>
      <c r="D1910" s="1">
        <v>43428</v>
      </c>
    </row>
    <row r="1911" spans="1:4" x14ac:dyDescent="0.25">
      <c r="A1911" t="s">
        <v>3463</v>
      </c>
      <c r="B1911" t="str">
        <f>MID(tbl_lock[[#This Row],[PACE Job Number]],3,3)</f>
        <v>STX</v>
      </c>
      <c r="C1911" t="s">
        <v>11</v>
      </c>
      <c r="D1911" s="1">
        <v>43428</v>
      </c>
    </row>
    <row r="1912" spans="1:4" x14ac:dyDescent="0.25">
      <c r="A1912" t="s">
        <v>3237</v>
      </c>
      <c r="B1912" t="str">
        <f>MID(tbl_lock[[#This Row],[PACE Job Number]],3,3)</f>
        <v>STX</v>
      </c>
      <c r="C1912" t="s">
        <v>11</v>
      </c>
      <c r="D1912" s="1">
        <v>43405</v>
      </c>
    </row>
    <row r="1913" spans="1:4" x14ac:dyDescent="0.25">
      <c r="A1913" t="s">
        <v>5464</v>
      </c>
      <c r="B1913" t="str">
        <f>MID(tbl_lock[[#This Row],[PACE Job Number]],3,3)</f>
        <v>STX</v>
      </c>
      <c r="C1913" t="s">
        <v>11</v>
      </c>
      <c r="D1913" s="1">
        <v>43409</v>
      </c>
    </row>
    <row r="1914" spans="1:4" x14ac:dyDescent="0.25">
      <c r="A1914" t="s">
        <v>5197</v>
      </c>
      <c r="B1914" t="str">
        <f>MID(tbl_lock[[#This Row],[PACE Job Number]],3,3)</f>
        <v>WSH</v>
      </c>
      <c r="C1914" t="s">
        <v>11</v>
      </c>
      <c r="D1914" s="1">
        <v>43420</v>
      </c>
    </row>
    <row r="1915" spans="1:4" x14ac:dyDescent="0.25">
      <c r="A1915" t="s">
        <v>3902</v>
      </c>
      <c r="B1915" t="str">
        <f>MID(tbl_lock[[#This Row],[PACE Job Number]],3,3)</f>
        <v>WSH</v>
      </c>
      <c r="C1915" t="s">
        <v>11</v>
      </c>
      <c r="D1915" s="1">
        <v>43413</v>
      </c>
    </row>
    <row r="1916" spans="1:4" x14ac:dyDescent="0.25">
      <c r="A1916" t="s">
        <v>3903</v>
      </c>
      <c r="B1916" t="str">
        <f>MID(tbl_lock[[#This Row],[PACE Job Number]],3,3)</f>
        <v>WSH</v>
      </c>
      <c r="C1916" t="s">
        <v>11</v>
      </c>
      <c r="D1916" s="1">
        <v>43406</v>
      </c>
    </row>
    <row r="1917" spans="1:4" x14ac:dyDescent="0.25">
      <c r="A1917" t="s">
        <v>148</v>
      </c>
      <c r="B1917" t="str">
        <f>MID(tbl_lock[[#This Row],[PACE Job Number]],3,3)</f>
        <v>WSH</v>
      </c>
      <c r="C1917" t="s">
        <v>11</v>
      </c>
      <c r="D1917" s="1">
        <v>43420</v>
      </c>
    </row>
    <row r="1918" spans="1:4" x14ac:dyDescent="0.25">
      <c r="A1918" t="s">
        <v>4206</v>
      </c>
      <c r="B1918" t="str">
        <f>MID(tbl_lock[[#This Row],[PACE Job Number]],3,3)</f>
        <v>WSH</v>
      </c>
      <c r="C1918" t="s">
        <v>11</v>
      </c>
      <c r="D1918" s="1">
        <v>43424</v>
      </c>
    </row>
    <row r="1919" spans="1:4" x14ac:dyDescent="0.25">
      <c r="A1919" t="s">
        <v>254</v>
      </c>
      <c r="B1919" t="str">
        <f>MID(tbl_lock[[#This Row],[PACE Job Number]],3,3)</f>
        <v>WSH</v>
      </c>
      <c r="C1919" t="s">
        <v>11</v>
      </c>
      <c r="D1919" s="1">
        <v>43424</v>
      </c>
    </row>
    <row r="1920" spans="1:4" x14ac:dyDescent="0.25">
      <c r="A1920" t="s">
        <v>5199</v>
      </c>
      <c r="B1920" t="str">
        <f>MID(tbl_lock[[#This Row],[PACE Job Number]],3,3)</f>
        <v>WSH</v>
      </c>
      <c r="C1920" t="s">
        <v>11</v>
      </c>
      <c r="D1920" s="1">
        <v>43424</v>
      </c>
    </row>
    <row r="1921" spans="1:4" x14ac:dyDescent="0.25">
      <c r="A1921" t="s">
        <v>5200</v>
      </c>
      <c r="B1921" t="str">
        <f>MID(tbl_lock[[#This Row],[PACE Job Number]],3,3)</f>
        <v>WSH</v>
      </c>
      <c r="C1921" t="s">
        <v>11</v>
      </c>
      <c r="D1921" s="1">
        <v>43424</v>
      </c>
    </row>
    <row r="1922" spans="1:4" x14ac:dyDescent="0.25">
      <c r="A1922" t="s">
        <v>3813</v>
      </c>
      <c r="B1922" t="str">
        <f>MID(tbl_lock[[#This Row],[PACE Job Number]],3,3)</f>
        <v>WSH</v>
      </c>
      <c r="C1922" t="s">
        <v>11</v>
      </c>
      <c r="D1922" s="1">
        <v>43424</v>
      </c>
    </row>
    <row r="1923" spans="1:4" x14ac:dyDescent="0.25">
      <c r="A1923" t="s">
        <v>3396</v>
      </c>
      <c r="B1923" t="str">
        <f>MID(tbl_lock[[#This Row],[PACE Job Number]],3,3)</f>
        <v>WSH</v>
      </c>
      <c r="C1923" t="s">
        <v>11</v>
      </c>
      <c r="D1923" s="1">
        <v>43433</v>
      </c>
    </row>
    <row r="1924" spans="1:4" x14ac:dyDescent="0.25">
      <c r="A1924" t="s">
        <v>55</v>
      </c>
      <c r="B1924" t="str">
        <f>MID(tbl_lock[[#This Row],[PACE Job Number]],3,3)</f>
        <v>WSH</v>
      </c>
      <c r="C1924" t="s">
        <v>11</v>
      </c>
      <c r="D1924" s="1">
        <v>43408</v>
      </c>
    </row>
    <row r="1925" spans="1:4" x14ac:dyDescent="0.25">
      <c r="A1925" t="s">
        <v>3907</v>
      </c>
      <c r="B1925" t="str">
        <f>MID(tbl_lock[[#This Row],[PACE Job Number]],3,3)</f>
        <v>WSH</v>
      </c>
      <c r="C1925" t="s">
        <v>11</v>
      </c>
      <c r="D1925" s="1">
        <v>43406</v>
      </c>
    </row>
    <row r="1926" spans="1:4" x14ac:dyDescent="0.25">
      <c r="A1926" t="s">
        <v>4208</v>
      </c>
      <c r="B1926" t="str">
        <f>MID(tbl_lock[[#This Row],[PACE Job Number]],3,3)</f>
        <v>WSH</v>
      </c>
      <c r="C1926" t="s">
        <v>11</v>
      </c>
      <c r="D1926" s="1">
        <v>43419</v>
      </c>
    </row>
    <row r="1927" spans="1:4" x14ac:dyDescent="0.25">
      <c r="A1927" t="s">
        <v>5201</v>
      </c>
      <c r="B1927" t="str">
        <f>MID(tbl_lock[[#This Row],[PACE Job Number]],3,3)</f>
        <v>WSH</v>
      </c>
      <c r="C1927" t="s">
        <v>11</v>
      </c>
      <c r="D1927" s="1">
        <v>43420</v>
      </c>
    </row>
    <row r="1928" spans="1:4" x14ac:dyDescent="0.25">
      <c r="A1928" t="s">
        <v>5202</v>
      </c>
      <c r="B1928" t="str">
        <f>MID(tbl_lock[[#This Row],[PACE Job Number]],3,3)</f>
        <v>WSH</v>
      </c>
      <c r="C1928" t="s">
        <v>11</v>
      </c>
      <c r="D1928" s="1">
        <v>43424</v>
      </c>
    </row>
    <row r="1929" spans="1:4" x14ac:dyDescent="0.25">
      <c r="A1929" t="s">
        <v>3411</v>
      </c>
      <c r="B1929" t="str">
        <f>MID(tbl_lock[[#This Row],[PACE Job Number]],3,3)</f>
        <v>WSH</v>
      </c>
      <c r="C1929" t="s">
        <v>11</v>
      </c>
      <c r="D1929" s="1">
        <v>43405</v>
      </c>
    </row>
    <row r="1930" spans="1:4" x14ac:dyDescent="0.25">
      <c r="A1930" t="s">
        <v>63</v>
      </c>
      <c r="B1930" t="str">
        <f>MID(tbl_lock[[#This Row],[PACE Job Number]],3,3)</f>
        <v>WSH</v>
      </c>
      <c r="C1930" t="s">
        <v>11</v>
      </c>
      <c r="D1930" s="1">
        <v>43424</v>
      </c>
    </row>
    <row r="1931" spans="1:4" x14ac:dyDescent="0.25">
      <c r="A1931" t="s">
        <v>4209</v>
      </c>
      <c r="B1931" t="str">
        <f>MID(tbl_lock[[#This Row],[PACE Job Number]],3,3)</f>
        <v>WSH</v>
      </c>
      <c r="C1931" t="s">
        <v>11</v>
      </c>
      <c r="D1931" s="1">
        <v>43409</v>
      </c>
    </row>
    <row r="1932" spans="1:4" x14ac:dyDescent="0.25">
      <c r="A1932" t="s">
        <v>3819</v>
      </c>
      <c r="B1932" t="str">
        <f>MID(tbl_lock[[#This Row],[PACE Job Number]],3,3)</f>
        <v>WSH</v>
      </c>
      <c r="C1932" t="s">
        <v>11</v>
      </c>
      <c r="D1932" s="1">
        <v>43413</v>
      </c>
    </row>
    <row r="1933" spans="1:4" x14ac:dyDescent="0.25">
      <c r="A1933" t="s">
        <v>3820</v>
      </c>
      <c r="B1933" t="str">
        <f>MID(tbl_lock[[#This Row],[PACE Job Number]],3,3)</f>
        <v>WSH</v>
      </c>
      <c r="C1933" t="s">
        <v>11</v>
      </c>
      <c r="D1933" s="1">
        <v>43424</v>
      </c>
    </row>
    <row r="1934" spans="1:4" x14ac:dyDescent="0.25">
      <c r="A1934" t="s">
        <v>296</v>
      </c>
      <c r="B1934" t="str">
        <f>MID(tbl_lock[[#This Row],[PACE Job Number]],3,3)</f>
        <v>WSH</v>
      </c>
      <c r="C1934" t="s">
        <v>11</v>
      </c>
      <c r="D1934" s="1">
        <v>43409</v>
      </c>
    </row>
    <row r="1935" spans="1:4" x14ac:dyDescent="0.25">
      <c r="A1935" t="s">
        <v>3262</v>
      </c>
      <c r="B1935" t="str">
        <f>MID(tbl_lock[[#This Row],[PACE Job Number]],3,3)</f>
        <v>STX</v>
      </c>
      <c r="C1935" t="s">
        <v>11</v>
      </c>
      <c r="D1935" s="1">
        <v>43405</v>
      </c>
    </row>
    <row r="1936" spans="1:4" x14ac:dyDescent="0.25">
      <c r="A1936" t="s">
        <v>5465</v>
      </c>
      <c r="B1936" t="str">
        <f>MID(tbl_lock[[#This Row],[PACE Job Number]],3,3)</f>
        <v>STX</v>
      </c>
      <c r="C1936" t="s">
        <v>11</v>
      </c>
      <c r="D1936" s="1">
        <v>43409</v>
      </c>
    </row>
    <row r="1937" spans="1:4" x14ac:dyDescent="0.25">
      <c r="A1937" t="s">
        <v>4327</v>
      </c>
      <c r="B1937" t="str">
        <f>MID(tbl_lock[[#This Row],[PACE Job Number]],3,3)</f>
        <v>STX</v>
      </c>
      <c r="C1937" t="s">
        <v>11</v>
      </c>
      <c r="D1937" s="1">
        <v>43425</v>
      </c>
    </row>
    <row r="1938" spans="1:4" x14ac:dyDescent="0.25">
      <c r="A1938" t="s">
        <v>5331</v>
      </c>
      <c r="B1938" t="str">
        <f>MID(tbl_lock[[#This Row],[PACE Job Number]],3,3)</f>
        <v>STX</v>
      </c>
      <c r="C1938" t="s">
        <v>11</v>
      </c>
      <c r="D1938" s="1">
        <v>43429</v>
      </c>
    </row>
    <row r="1939" spans="1:4" x14ac:dyDescent="0.25">
      <c r="A1939" t="s">
        <v>2568</v>
      </c>
      <c r="B1939" t="str">
        <f>MID(tbl_lock[[#This Row],[PACE Job Number]],3,3)</f>
        <v>STX</v>
      </c>
      <c r="C1939" t="s">
        <v>11</v>
      </c>
      <c r="D1939" s="1">
        <v>43410</v>
      </c>
    </row>
    <row r="1940" spans="1:4" x14ac:dyDescent="0.25">
      <c r="A1940" t="s">
        <v>4329</v>
      </c>
      <c r="B1940" t="str">
        <f>MID(tbl_lock[[#This Row],[PACE Job Number]],3,3)</f>
        <v>STX</v>
      </c>
      <c r="C1940" t="s">
        <v>11</v>
      </c>
      <c r="D1940" s="1">
        <v>43425</v>
      </c>
    </row>
    <row r="1941" spans="1:4" x14ac:dyDescent="0.25">
      <c r="A1941" t="s">
        <v>187</v>
      </c>
      <c r="B1941" t="str">
        <f>MID(tbl_lock[[#This Row],[PACE Job Number]],3,3)</f>
        <v>STX</v>
      </c>
      <c r="C1941" t="s">
        <v>11</v>
      </c>
      <c r="D1941" s="1">
        <v>43425</v>
      </c>
    </row>
    <row r="1942" spans="1:4" x14ac:dyDescent="0.25">
      <c r="A1942" t="s">
        <v>5332</v>
      </c>
      <c r="B1942" t="str">
        <f>MID(tbl_lock[[#This Row],[PACE Job Number]],3,3)</f>
        <v>STX</v>
      </c>
      <c r="C1942" t="s">
        <v>11</v>
      </c>
      <c r="D1942" s="1">
        <v>43425</v>
      </c>
    </row>
    <row r="1943" spans="1:4" x14ac:dyDescent="0.25">
      <c r="A1943" t="s">
        <v>2576</v>
      </c>
      <c r="B1943" t="str">
        <f>MID(tbl_lock[[#This Row],[PACE Job Number]],3,3)</f>
        <v>STX</v>
      </c>
      <c r="C1943" t="s">
        <v>11</v>
      </c>
      <c r="D1943" s="1">
        <v>43428</v>
      </c>
    </row>
    <row r="1944" spans="1:4" x14ac:dyDescent="0.25">
      <c r="A1944" t="s">
        <v>4330</v>
      </c>
      <c r="B1944" t="str">
        <f>MID(tbl_lock[[#This Row],[PACE Job Number]],3,3)</f>
        <v>STX</v>
      </c>
      <c r="C1944" t="s">
        <v>11</v>
      </c>
      <c r="D1944" s="1">
        <v>43425</v>
      </c>
    </row>
    <row r="1945" spans="1:4" x14ac:dyDescent="0.25">
      <c r="A1945" t="s">
        <v>4331</v>
      </c>
      <c r="B1945" t="str">
        <f>MID(tbl_lock[[#This Row],[PACE Job Number]],3,3)</f>
        <v>STX</v>
      </c>
      <c r="C1945" t="s">
        <v>11</v>
      </c>
      <c r="D1945" s="1">
        <v>43425</v>
      </c>
    </row>
    <row r="1946" spans="1:4" x14ac:dyDescent="0.25">
      <c r="A1946" t="s">
        <v>3365</v>
      </c>
      <c r="B1946" t="str">
        <f>MID(tbl_lock[[#This Row],[PACE Job Number]],3,3)</f>
        <v>STX</v>
      </c>
      <c r="C1946" t="s">
        <v>11</v>
      </c>
      <c r="D1946" s="1">
        <v>43425</v>
      </c>
    </row>
    <row r="1947" spans="1:4" x14ac:dyDescent="0.25">
      <c r="A1947" t="s">
        <v>2571</v>
      </c>
      <c r="B1947" t="str">
        <f>MID(tbl_lock[[#This Row],[PACE Job Number]],3,3)</f>
        <v>STX</v>
      </c>
      <c r="C1947" t="s">
        <v>11</v>
      </c>
      <c r="D1947" s="1">
        <v>43425</v>
      </c>
    </row>
    <row r="1948" spans="1:4" x14ac:dyDescent="0.25">
      <c r="A1948" t="s">
        <v>3285</v>
      </c>
      <c r="B1948" t="str">
        <f>MID(tbl_lock[[#This Row],[PACE Job Number]],3,3)</f>
        <v>STX</v>
      </c>
      <c r="C1948" t="s">
        <v>11</v>
      </c>
      <c r="D1948" s="1">
        <v>43416</v>
      </c>
    </row>
    <row r="1949" spans="1:4" x14ac:dyDescent="0.25">
      <c r="A1949" t="s">
        <v>3279</v>
      </c>
      <c r="B1949" t="str">
        <f>MID(tbl_lock[[#This Row],[PACE Job Number]],3,3)</f>
        <v>STX</v>
      </c>
      <c r="C1949" t="s">
        <v>11</v>
      </c>
      <c r="D1949" s="1">
        <v>43408</v>
      </c>
    </row>
    <row r="1950" spans="1:4" x14ac:dyDescent="0.25">
      <c r="A1950" t="s">
        <v>2578</v>
      </c>
      <c r="B1950" t="str">
        <f>MID(tbl_lock[[#This Row],[PACE Job Number]],3,3)</f>
        <v>STX</v>
      </c>
      <c r="C1950" t="s">
        <v>11</v>
      </c>
      <c r="D1950" s="1">
        <v>43428</v>
      </c>
    </row>
    <row r="1951" spans="1:4" x14ac:dyDescent="0.25">
      <c r="A1951" t="s">
        <v>2581</v>
      </c>
      <c r="B1951" t="str">
        <f>MID(tbl_lock[[#This Row],[PACE Job Number]],3,3)</f>
        <v>STX</v>
      </c>
      <c r="C1951" t="s">
        <v>11</v>
      </c>
      <c r="D1951" s="1">
        <v>43410</v>
      </c>
    </row>
    <row r="1952" spans="1:4" x14ac:dyDescent="0.25">
      <c r="A1952" t="s">
        <v>3362</v>
      </c>
      <c r="B1952" t="str">
        <f>MID(tbl_lock[[#This Row],[PACE Job Number]],3,3)</f>
        <v>STX</v>
      </c>
      <c r="C1952" t="s">
        <v>11</v>
      </c>
      <c r="D1952" s="1">
        <v>43429</v>
      </c>
    </row>
    <row r="1953" spans="1:4" x14ac:dyDescent="0.25">
      <c r="A1953" t="s">
        <v>5333</v>
      </c>
      <c r="B1953" t="str">
        <f>MID(tbl_lock[[#This Row],[PACE Job Number]],3,3)</f>
        <v>STX</v>
      </c>
      <c r="C1953" t="s">
        <v>11</v>
      </c>
      <c r="D1953" s="1">
        <v>43428</v>
      </c>
    </row>
    <row r="1954" spans="1:4" x14ac:dyDescent="0.25">
      <c r="A1954" t="s">
        <v>5334</v>
      </c>
      <c r="B1954" t="str">
        <f>MID(tbl_lock[[#This Row],[PACE Job Number]],3,3)</f>
        <v>STX</v>
      </c>
      <c r="C1954" t="s">
        <v>11</v>
      </c>
      <c r="D1954" s="1">
        <v>43428</v>
      </c>
    </row>
    <row r="1955" spans="1:4" x14ac:dyDescent="0.25">
      <c r="A1955" t="s">
        <v>1628</v>
      </c>
      <c r="B1955" t="str">
        <f>MID(tbl_lock[[#This Row],[PACE Job Number]],3,3)</f>
        <v>NTX</v>
      </c>
      <c r="C1955" t="s">
        <v>11</v>
      </c>
      <c r="D1955" s="1">
        <v>43419</v>
      </c>
    </row>
    <row r="1956" spans="1:4" x14ac:dyDescent="0.25">
      <c r="A1956" t="s">
        <v>1629</v>
      </c>
      <c r="B1956" t="str">
        <f>MID(tbl_lock[[#This Row],[PACE Job Number]],3,3)</f>
        <v>NTX</v>
      </c>
      <c r="C1956" t="s">
        <v>11</v>
      </c>
      <c r="D1956" s="1">
        <v>43419</v>
      </c>
    </row>
    <row r="1957" spans="1:4" x14ac:dyDescent="0.25">
      <c r="A1957" t="s">
        <v>5335</v>
      </c>
      <c r="B1957" t="str">
        <f>MID(tbl_lock[[#This Row],[PACE Job Number]],3,3)</f>
        <v>NTX</v>
      </c>
      <c r="C1957" t="s">
        <v>11</v>
      </c>
      <c r="D1957" s="1">
        <v>43433</v>
      </c>
    </row>
    <row r="1958" spans="1:4" x14ac:dyDescent="0.25">
      <c r="A1958" t="s">
        <v>2322</v>
      </c>
      <c r="B1958" t="str">
        <f>MID(tbl_lock[[#This Row],[PACE Job Number]],3,3)</f>
        <v>NTX</v>
      </c>
      <c r="C1958" t="s">
        <v>11</v>
      </c>
      <c r="D1958" s="1">
        <v>43430</v>
      </c>
    </row>
    <row r="1959" spans="1:4" x14ac:dyDescent="0.25">
      <c r="A1959" t="s">
        <v>920</v>
      </c>
      <c r="B1959" t="str">
        <f>MID(tbl_lock[[#This Row],[PACE Job Number]],3,3)</f>
        <v>NTX</v>
      </c>
      <c r="C1959" t="s">
        <v>11</v>
      </c>
      <c r="D1959" s="1">
        <v>43423</v>
      </c>
    </row>
    <row r="1960" spans="1:4" x14ac:dyDescent="0.25">
      <c r="A1960" t="s">
        <v>4416</v>
      </c>
      <c r="B1960" t="str">
        <f>MID(tbl_lock[[#This Row],[PACE Job Number]],3,3)</f>
        <v>NTX</v>
      </c>
      <c r="C1960" t="s">
        <v>11</v>
      </c>
      <c r="D1960" s="1">
        <v>43430</v>
      </c>
    </row>
    <row r="1961" spans="1:4" x14ac:dyDescent="0.25">
      <c r="A1961" t="s">
        <v>921</v>
      </c>
      <c r="B1961" t="str">
        <f>MID(tbl_lock[[#This Row],[PACE Job Number]],3,3)</f>
        <v>NTX</v>
      </c>
      <c r="C1961" t="s">
        <v>11</v>
      </c>
      <c r="D1961" s="1">
        <v>43423</v>
      </c>
    </row>
    <row r="1962" spans="1:4" x14ac:dyDescent="0.25">
      <c r="A1962" t="s">
        <v>3421</v>
      </c>
      <c r="B1962" t="str">
        <f>MID(tbl_lock[[#This Row],[PACE Job Number]],3,3)</f>
        <v>NTX</v>
      </c>
      <c r="C1962" t="s">
        <v>11</v>
      </c>
      <c r="D1962" s="1">
        <v>43407</v>
      </c>
    </row>
    <row r="1963" spans="1:4" x14ac:dyDescent="0.25">
      <c r="A1963" t="s">
        <v>3398</v>
      </c>
      <c r="B1963" t="str">
        <f>MID(tbl_lock[[#This Row],[PACE Job Number]],3,3)</f>
        <v>NTX</v>
      </c>
      <c r="C1963" t="s">
        <v>11</v>
      </c>
      <c r="D1963" s="1">
        <v>43409</v>
      </c>
    </row>
    <row r="1964" spans="1:4" x14ac:dyDescent="0.25">
      <c r="A1964" t="s">
        <v>1723</v>
      </c>
      <c r="B1964" t="str">
        <f>MID(tbl_lock[[#This Row],[PACE Job Number]],3,3)</f>
        <v>NTX</v>
      </c>
      <c r="C1964" t="s">
        <v>11</v>
      </c>
      <c r="D1964" s="1">
        <v>43427</v>
      </c>
    </row>
    <row r="1965" spans="1:4" x14ac:dyDescent="0.25">
      <c r="A1965" t="s">
        <v>246</v>
      </c>
      <c r="B1965" t="str">
        <f>MID(tbl_lock[[#This Row],[PACE Job Number]],3,3)</f>
        <v>NTX</v>
      </c>
      <c r="C1965" t="s">
        <v>11</v>
      </c>
      <c r="D1965" s="1">
        <v>43423</v>
      </c>
    </row>
    <row r="1966" spans="1:4" x14ac:dyDescent="0.25">
      <c r="A1966" t="s">
        <v>588</v>
      </c>
      <c r="B1966" t="str">
        <f>MID(tbl_lock[[#This Row],[PACE Job Number]],3,3)</f>
        <v>NTX</v>
      </c>
      <c r="C1966" t="s">
        <v>11</v>
      </c>
      <c r="D1966" s="1">
        <v>43430</v>
      </c>
    </row>
    <row r="1967" spans="1:4" x14ac:dyDescent="0.25">
      <c r="A1967" t="s">
        <v>5336</v>
      </c>
      <c r="B1967" t="str">
        <f>MID(tbl_lock[[#This Row],[PACE Job Number]],3,3)</f>
        <v>NTX</v>
      </c>
      <c r="C1967" t="s">
        <v>11</v>
      </c>
      <c r="D1967" s="1">
        <v>43430</v>
      </c>
    </row>
    <row r="1968" spans="1:4" x14ac:dyDescent="0.25">
      <c r="A1968" t="s">
        <v>5337</v>
      </c>
      <c r="B1968" t="str">
        <f>MID(tbl_lock[[#This Row],[PACE Job Number]],3,3)</f>
        <v>NTX</v>
      </c>
      <c r="C1968" t="s">
        <v>11</v>
      </c>
      <c r="D1968" s="1">
        <v>43430</v>
      </c>
    </row>
    <row r="1969" spans="1:4" x14ac:dyDescent="0.25">
      <c r="A1969" t="s">
        <v>3399</v>
      </c>
      <c r="B1969" t="str">
        <f>MID(tbl_lock[[#This Row],[PACE Job Number]],3,3)</f>
        <v>NTX</v>
      </c>
      <c r="C1969" t="s">
        <v>11</v>
      </c>
      <c r="D1969" s="1">
        <v>43409</v>
      </c>
    </row>
    <row r="1970" spans="1:4" x14ac:dyDescent="0.25">
      <c r="A1970" t="s">
        <v>4417</v>
      </c>
      <c r="B1970" t="str">
        <f>MID(tbl_lock[[#This Row],[PACE Job Number]],3,3)</f>
        <v>NTX</v>
      </c>
      <c r="C1970" t="s">
        <v>11</v>
      </c>
      <c r="D1970" s="1">
        <v>43409</v>
      </c>
    </row>
    <row r="1971" spans="1:4" x14ac:dyDescent="0.25">
      <c r="A1971" t="s">
        <v>4383</v>
      </c>
      <c r="B1971" t="str">
        <f>MID(tbl_lock[[#This Row],[PACE Job Number]],3,3)</f>
        <v>NTX</v>
      </c>
      <c r="C1971" t="s">
        <v>11</v>
      </c>
      <c r="D1971" s="1">
        <v>43420</v>
      </c>
    </row>
    <row r="1972" spans="1:4" x14ac:dyDescent="0.25">
      <c r="A1972" t="s">
        <v>2279</v>
      </c>
      <c r="B1972" t="str">
        <f>MID(tbl_lock[[#This Row],[PACE Job Number]],3,3)</f>
        <v>NTX</v>
      </c>
      <c r="C1972" t="s">
        <v>11</v>
      </c>
      <c r="D1972" s="1">
        <v>43431</v>
      </c>
    </row>
    <row r="1973" spans="1:4" x14ac:dyDescent="0.25">
      <c r="A1973" t="s">
        <v>35</v>
      </c>
      <c r="B1973" t="str">
        <f>MID(tbl_lock[[#This Row],[PACE Job Number]],3,3)</f>
        <v>NTX</v>
      </c>
      <c r="C1973" t="s">
        <v>11</v>
      </c>
      <c r="D1973" s="1">
        <v>43416</v>
      </c>
    </row>
    <row r="1974" spans="1:4" x14ac:dyDescent="0.25">
      <c r="A1974" t="s">
        <v>2405</v>
      </c>
      <c r="B1974" t="str">
        <f>MID(tbl_lock[[#This Row],[PACE Job Number]],3,3)</f>
        <v>NTX</v>
      </c>
      <c r="C1974" t="s">
        <v>11</v>
      </c>
      <c r="D1974" s="1">
        <v>43409</v>
      </c>
    </row>
    <row r="1975" spans="1:4" x14ac:dyDescent="0.25">
      <c r="A1975" t="s">
        <v>4250</v>
      </c>
      <c r="B1975" t="str">
        <f>MID(tbl_lock[[#This Row],[PACE Job Number]],3,3)</f>
        <v>NTX</v>
      </c>
      <c r="C1975" t="s">
        <v>11</v>
      </c>
      <c r="D1975" s="1">
        <v>43434</v>
      </c>
    </row>
    <row r="1976" spans="1:4" x14ac:dyDescent="0.25">
      <c r="A1976" t="s">
        <v>4384</v>
      </c>
      <c r="B1976" t="str">
        <f>MID(tbl_lock[[#This Row],[PACE Job Number]],3,3)</f>
        <v>NTX</v>
      </c>
      <c r="C1976" t="s">
        <v>11</v>
      </c>
      <c r="D1976" s="1">
        <v>43423</v>
      </c>
    </row>
    <row r="1977" spans="1:4" x14ac:dyDescent="0.25">
      <c r="A1977" t="s">
        <v>4385</v>
      </c>
      <c r="B1977" t="str">
        <f>MID(tbl_lock[[#This Row],[PACE Job Number]],3,3)</f>
        <v>NTX</v>
      </c>
      <c r="C1977" t="s">
        <v>11</v>
      </c>
      <c r="D1977" s="1">
        <v>43407</v>
      </c>
    </row>
    <row r="1978" spans="1:4" x14ac:dyDescent="0.25">
      <c r="A1978" t="s">
        <v>590</v>
      </c>
      <c r="B1978" t="str">
        <f>MID(tbl_lock[[#This Row],[PACE Job Number]],3,3)</f>
        <v>NTX</v>
      </c>
      <c r="C1978" t="s">
        <v>11</v>
      </c>
      <c r="D1978" s="1">
        <v>43423</v>
      </c>
    </row>
    <row r="1979" spans="1:4" x14ac:dyDescent="0.25">
      <c r="A1979" t="s">
        <v>363</v>
      </c>
      <c r="B1979" t="str">
        <f>MID(tbl_lock[[#This Row],[PACE Job Number]],3,3)</f>
        <v>NTX</v>
      </c>
      <c r="C1979" t="s">
        <v>11</v>
      </c>
      <c r="D1979" s="1">
        <v>43423</v>
      </c>
    </row>
    <row r="1980" spans="1:4" x14ac:dyDescent="0.25">
      <c r="A1980" t="s">
        <v>788</v>
      </c>
      <c r="B1980" t="str">
        <f>MID(tbl_lock[[#This Row],[PACE Job Number]],3,3)</f>
        <v>NTX</v>
      </c>
      <c r="C1980" t="s">
        <v>11</v>
      </c>
      <c r="D1980" s="1">
        <v>43423</v>
      </c>
    </row>
    <row r="1981" spans="1:4" x14ac:dyDescent="0.25">
      <c r="A1981" t="s">
        <v>3879</v>
      </c>
      <c r="B1981" t="str">
        <f>MID(tbl_lock[[#This Row],[PACE Job Number]],3,3)</f>
        <v>ANM</v>
      </c>
      <c r="C1981" t="s">
        <v>11</v>
      </c>
      <c r="D1981" s="1">
        <v>43423</v>
      </c>
    </row>
    <row r="1982" spans="1:4" x14ac:dyDescent="0.25">
      <c r="A1982" t="s">
        <v>4251</v>
      </c>
      <c r="B1982" t="str">
        <f>MID(tbl_lock[[#This Row],[PACE Job Number]],3,3)</f>
        <v>NTX</v>
      </c>
      <c r="C1982" t="s">
        <v>11</v>
      </c>
      <c r="D1982" s="1">
        <v>43434</v>
      </c>
    </row>
    <row r="1983" spans="1:4" x14ac:dyDescent="0.25">
      <c r="A1983" t="s">
        <v>4388</v>
      </c>
      <c r="B1983" t="str">
        <f>MID(tbl_lock[[#This Row],[PACE Job Number]],3,3)</f>
        <v>NTX</v>
      </c>
      <c r="C1983" t="s">
        <v>11</v>
      </c>
      <c r="D1983" s="1">
        <v>43423</v>
      </c>
    </row>
    <row r="1984" spans="1:4" x14ac:dyDescent="0.25">
      <c r="A1984" t="s">
        <v>2409</v>
      </c>
      <c r="B1984" t="str">
        <f>MID(tbl_lock[[#This Row],[PACE Job Number]],3,3)</f>
        <v>NTX</v>
      </c>
      <c r="C1984" t="s">
        <v>11</v>
      </c>
      <c r="D1984" s="1">
        <v>43409</v>
      </c>
    </row>
    <row r="1985" spans="1:4" x14ac:dyDescent="0.25">
      <c r="A1985" t="s">
        <v>3792</v>
      </c>
      <c r="B1985" t="str">
        <f>MID(tbl_lock[[#This Row],[PACE Job Number]],3,3)</f>
        <v>NTX</v>
      </c>
      <c r="C1985" t="s">
        <v>11</v>
      </c>
      <c r="D1985" s="1">
        <v>43406</v>
      </c>
    </row>
    <row r="1986" spans="1:4" x14ac:dyDescent="0.25">
      <c r="A1986" t="s">
        <v>4389</v>
      </c>
      <c r="B1986" t="str">
        <f>MID(tbl_lock[[#This Row],[PACE Job Number]],3,3)</f>
        <v>NTX</v>
      </c>
      <c r="C1986" t="s">
        <v>11</v>
      </c>
      <c r="D1986" s="1">
        <v>43408</v>
      </c>
    </row>
    <row r="1987" spans="1:4" x14ac:dyDescent="0.25">
      <c r="A1987" t="s">
        <v>3443</v>
      </c>
      <c r="B1987" t="str">
        <f>MID(tbl_lock[[#This Row],[PACE Job Number]],3,3)</f>
        <v>STX</v>
      </c>
      <c r="C1987" t="s">
        <v>11</v>
      </c>
      <c r="D1987" s="1">
        <v>43426</v>
      </c>
    </row>
    <row r="1988" spans="1:4" x14ac:dyDescent="0.25">
      <c r="A1988" t="s">
        <v>2514</v>
      </c>
      <c r="B1988" t="str">
        <f>MID(tbl_lock[[#This Row],[PACE Job Number]],3,3)</f>
        <v>STX</v>
      </c>
      <c r="C1988" t="s">
        <v>11</v>
      </c>
      <c r="D1988" s="1">
        <v>43412</v>
      </c>
    </row>
    <row r="1989" spans="1:4" x14ac:dyDescent="0.25">
      <c r="A1989" t="s">
        <v>2518</v>
      </c>
      <c r="B1989" t="str">
        <f>MID(tbl_lock[[#This Row],[PACE Job Number]],3,3)</f>
        <v>STX</v>
      </c>
      <c r="C1989" t="s">
        <v>11</v>
      </c>
      <c r="D1989" s="1">
        <v>43412</v>
      </c>
    </row>
    <row r="1990" spans="1:4" x14ac:dyDescent="0.25">
      <c r="A1990" t="s">
        <v>4390</v>
      </c>
      <c r="B1990" t="str">
        <f>MID(tbl_lock[[#This Row],[PACE Job Number]],3,3)</f>
        <v>STX</v>
      </c>
      <c r="C1990" t="s">
        <v>11</v>
      </c>
      <c r="D1990" s="1">
        <v>43428</v>
      </c>
    </row>
    <row r="1991" spans="1:4" x14ac:dyDescent="0.25">
      <c r="A1991" t="s">
        <v>3240</v>
      </c>
      <c r="B1991" t="str">
        <f>MID(tbl_lock[[#This Row],[PACE Job Number]],3,3)</f>
        <v>STX</v>
      </c>
      <c r="C1991" t="s">
        <v>11</v>
      </c>
      <c r="D1991" s="1">
        <v>43406</v>
      </c>
    </row>
    <row r="1992" spans="1:4" x14ac:dyDescent="0.25">
      <c r="A1992" t="s">
        <v>578</v>
      </c>
      <c r="B1992" t="str">
        <f>MID(tbl_lock[[#This Row],[PACE Job Number]],3,3)</f>
        <v>STX</v>
      </c>
      <c r="C1992" t="s">
        <v>11</v>
      </c>
      <c r="D1992" s="1">
        <v>43428</v>
      </c>
    </row>
    <row r="1993" spans="1:4" x14ac:dyDescent="0.25">
      <c r="A1993" t="s">
        <v>5466</v>
      </c>
      <c r="B1993" t="str">
        <f>MID(tbl_lock[[#This Row],[PACE Job Number]],3,3)</f>
        <v>ANM</v>
      </c>
      <c r="C1993" t="s">
        <v>11</v>
      </c>
      <c r="D1993" s="1">
        <v>43428</v>
      </c>
    </row>
    <row r="1994" spans="1:4" x14ac:dyDescent="0.25">
      <c r="A1994" t="s">
        <v>3446</v>
      </c>
      <c r="B1994" t="str">
        <f>MID(tbl_lock[[#This Row],[PACE Job Number]],3,3)</f>
        <v>ANM</v>
      </c>
      <c r="C1994" t="s">
        <v>11</v>
      </c>
      <c r="D1994" s="1">
        <v>43423</v>
      </c>
    </row>
    <row r="1995" spans="1:4" x14ac:dyDescent="0.25">
      <c r="A1995" t="s">
        <v>4204</v>
      </c>
      <c r="B1995" t="str">
        <f>MID(tbl_lock[[#This Row],[PACE Job Number]],3,3)</f>
        <v>ANM</v>
      </c>
      <c r="C1995" t="s">
        <v>11</v>
      </c>
      <c r="D1995" s="1">
        <v>43426</v>
      </c>
    </row>
    <row r="1996" spans="1:4" x14ac:dyDescent="0.25">
      <c r="A1996" t="s">
        <v>5206</v>
      </c>
      <c r="B1996" t="str">
        <f>MID(tbl_lock[[#This Row],[PACE Job Number]],3,3)</f>
        <v>ANM</v>
      </c>
      <c r="C1996" t="s">
        <v>11</v>
      </c>
      <c r="D1996" s="1">
        <v>43429</v>
      </c>
    </row>
    <row r="1997" spans="1:4" x14ac:dyDescent="0.25">
      <c r="A1997" t="s">
        <v>5207</v>
      </c>
      <c r="B1997" t="str">
        <f>MID(tbl_lock[[#This Row],[PACE Job Number]],3,3)</f>
        <v>ANM</v>
      </c>
      <c r="C1997" t="s">
        <v>11</v>
      </c>
      <c r="D1997" s="1">
        <v>43421</v>
      </c>
    </row>
    <row r="1998" spans="1:4" x14ac:dyDescent="0.25">
      <c r="A1998" t="s">
        <v>5208</v>
      </c>
      <c r="B1998" t="str">
        <f>MID(tbl_lock[[#This Row],[PACE Job Number]],3,3)</f>
        <v>ANM</v>
      </c>
      <c r="C1998" t="s">
        <v>11</v>
      </c>
      <c r="D1998" s="1">
        <v>43421</v>
      </c>
    </row>
    <row r="1999" spans="1:4" x14ac:dyDescent="0.25">
      <c r="A1999" t="s">
        <v>5209</v>
      </c>
      <c r="B1999" t="str">
        <f>MID(tbl_lock[[#This Row],[PACE Job Number]],3,3)</f>
        <v>ANM</v>
      </c>
      <c r="C1999" t="s">
        <v>11</v>
      </c>
      <c r="D1999" s="1">
        <v>43421</v>
      </c>
    </row>
    <row r="2000" spans="1:4" x14ac:dyDescent="0.25">
      <c r="A2000" t="s">
        <v>4527</v>
      </c>
      <c r="B2000" t="str">
        <f>MID(tbl_lock[[#This Row],[PACE Job Number]],3,3)</f>
        <v>ANM</v>
      </c>
      <c r="C2000" t="s">
        <v>11</v>
      </c>
      <c r="D2000" s="1">
        <v>43405</v>
      </c>
    </row>
    <row r="2001" spans="1:4" x14ac:dyDescent="0.25">
      <c r="A2001" t="s">
        <v>1599</v>
      </c>
      <c r="B2001" t="str">
        <f>MID(tbl_lock[[#This Row],[PACE Job Number]],3,3)</f>
        <v>NTX</v>
      </c>
      <c r="C2001" t="s">
        <v>11</v>
      </c>
      <c r="D2001" s="1">
        <v>43419</v>
      </c>
    </row>
    <row r="2002" spans="1:4" x14ac:dyDescent="0.25">
      <c r="A2002" t="s">
        <v>3845</v>
      </c>
      <c r="B2002" t="str">
        <f>MID(tbl_lock[[#This Row],[PACE Job Number]],3,3)</f>
        <v>NTX</v>
      </c>
      <c r="C2002" t="s">
        <v>11</v>
      </c>
      <c r="D2002" s="1">
        <v>43427</v>
      </c>
    </row>
    <row r="2003" spans="1:4" x14ac:dyDescent="0.25">
      <c r="A2003" t="s">
        <v>1799</v>
      </c>
      <c r="B2003" t="str">
        <f>MID(tbl_lock[[#This Row],[PACE Job Number]],3,3)</f>
        <v>NTX</v>
      </c>
      <c r="C2003" t="s">
        <v>11</v>
      </c>
      <c r="D2003" s="1">
        <v>43409</v>
      </c>
    </row>
    <row r="2004" spans="1:4" x14ac:dyDescent="0.25">
      <c r="A2004" t="s">
        <v>272</v>
      </c>
      <c r="B2004" t="str">
        <f>MID(tbl_lock[[#This Row],[PACE Job Number]],3,3)</f>
        <v>NTX</v>
      </c>
      <c r="C2004" t="s">
        <v>11</v>
      </c>
      <c r="D2004" s="1">
        <v>43412</v>
      </c>
    </row>
    <row r="2005" spans="1:4" x14ac:dyDescent="0.25">
      <c r="A2005" t="s">
        <v>3400</v>
      </c>
      <c r="B2005" t="str">
        <f>MID(tbl_lock[[#This Row],[PACE Job Number]],3,3)</f>
        <v>NTX</v>
      </c>
      <c r="C2005" t="s">
        <v>11</v>
      </c>
      <c r="D2005" s="1">
        <v>43420</v>
      </c>
    </row>
    <row r="2006" spans="1:4" x14ac:dyDescent="0.25">
      <c r="A2006" t="s">
        <v>4519</v>
      </c>
      <c r="B2006" t="str">
        <f>MID(tbl_lock[[#This Row],[PACE Job Number]],3,3)</f>
        <v>NTX</v>
      </c>
      <c r="C2006" t="s">
        <v>11</v>
      </c>
      <c r="D2006" s="1">
        <v>43407</v>
      </c>
    </row>
    <row r="2007" spans="1:4" x14ac:dyDescent="0.25">
      <c r="A2007" t="s">
        <v>2700</v>
      </c>
      <c r="B2007" t="str">
        <f>MID(tbl_lock[[#This Row],[PACE Job Number]],3,3)</f>
        <v>STX</v>
      </c>
      <c r="C2007" t="s">
        <v>11</v>
      </c>
      <c r="D2007" s="1">
        <v>43428</v>
      </c>
    </row>
    <row r="2008" spans="1:4" x14ac:dyDescent="0.25">
      <c r="A2008" t="s">
        <v>728</v>
      </c>
      <c r="B2008" t="str">
        <f>MID(tbl_lock[[#This Row],[PACE Job Number]],3,3)</f>
        <v>STX</v>
      </c>
      <c r="C2008" t="s">
        <v>11</v>
      </c>
      <c r="D2008" s="1">
        <v>43428</v>
      </c>
    </row>
    <row r="2009" spans="1:4" x14ac:dyDescent="0.25">
      <c r="A2009" t="s">
        <v>3214</v>
      </c>
      <c r="B2009" t="str">
        <f>MID(tbl_lock[[#This Row],[PACE Job Number]],3,3)</f>
        <v>STX</v>
      </c>
      <c r="C2009" t="s">
        <v>11</v>
      </c>
      <c r="D2009" s="1">
        <v>43406</v>
      </c>
    </row>
    <row r="2010" spans="1:4" x14ac:dyDescent="0.25">
      <c r="A2010" t="s">
        <v>3361</v>
      </c>
      <c r="B2010" t="str">
        <f>MID(tbl_lock[[#This Row],[PACE Job Number]],3,3)</f>
        <v>STX</v>
      </c>
      <c r="C2010" t="s">
        <v>11</v>
      </c>
      <c r="D2010" s="1">
        <v>43425</v>
      </c>
    </row>
    <row r="2011" spans="1:4" x14ac:dyDescent="0.25">
      <c r="A2011" t="s">
        <v>4397</v>
      </c>
      <c r="B2011" t="str">
        <f>MID(tbl_lock[[#This Row],[PACE Job Number]],3,3)</f>
        <v>STX</v>
      </c>
      <c r="C2011" t="s">
        <v>11</v>
      </c>
      <c r="D2011" s="1">
        <v>43428</v>
      </c>
    </row>
    <row r="2012" spans="1:4" x14ac:dyDescent="0.25">
      <c r="A2012" t="s">
        <v>5467</v>
      </c>
      <c r="B2012" t="str">
        <f>MID(tbl_lock[[#This Row],[PACE Job Number]],3,3)</f>
        <v>WSH</v>
      </c>
      <c r="C2012" t="s">
        <v>11</v>
      </c>
      <c r="D2012" s="1">
        <v>43405</v>
      </c>
    </row>
    <row r="2013" spans="1:4" x14ac:dyDescent="0.25">
      <c r="A2013" t="s">
        <v>3911</v>
      </c>
      <c r="B2013" t="str">
        <f>MID(tbl_lock[[#This Row],[PACE Job Number]],3,3)</f>
        <v>WSH</v>
      </c>
      <c r="C2013" t="s">
        <v>11</v>
      </c>
      <c r="D2013" s="1">
        <v>43424</v>
      </c>
    </row>
    <row r="2014" spans="1:4" x14ac:dyDescent="0.25">
      <c r="A2014" t="s">
        <v>5468</v>
      </c>
      <c r="B2014" t="str">
        <f>MID(tbl_lock[[#This Row],[PACE Job Number]],3,3)</f>
        <v>WSH</v>
      </c>
      <c r="C2014" t="s">
        <v>11</v>
      </c>
      <c r="D2014" s="1">
        <v>43405</v>
      </c>
    </row>
    <row r="2015" spans="1:4" x14ac:dyDescent="0.25">
      <c r="A2015" t="s">
        <v>5210</v>
      </c>
      <c r="B2015" t="str">
        <f>MID(tbl_lock[[#This Row],[PACE Job Number]],3,3)</f>
        <v>WSH</v>
      </c>
      <c r="C2015" t="s">
        <v>11</v>
      </c>
      <c r="D2015" s="1">
        <v>43424</v>
      </c>
    </row>
    <row r="2016" spans="1:4" x14ac:dyDescent="0.25">
      <c r="A2016" t="s">
        <v>5211</v>
      </c>
      <c r="B2016" t="str">
        <f>MID(tbl_lock[[#This Row],[PACE Job Number]],3,3)</f>
        <v>WSH</v>
      </c>
      <c r="C2016" t="s">
        <v>11</v>
      </c>
      <c r="D2016" s="1">
        <v>43434</v>
      </c>
    </row>
    <row r="2017" spans="1:4" x14ac:dyDescent="0.25">
      <c r="A2017" t="s">
        <v>3393</v>
      </c>
      <c r="B2017" t="str">
        <f>MID(tbl_lock[[#This Row],[PACE Job Number]],3,3)</f>
        <v>WSH</v>
      </c>
      <c r="C2017" t="s">
        <v>11</v>
      </c>
      <c r="D2017" s="1">
        <v>43433</v>
      </c>
    </row>
    <row r="2018" spans="1:4" x14ac:dyDescent="0.25">
      <c r="A2018" t="s">
        <v>5212</v>
      </c>
      <c r="B2018" t="str">
        <f>MID(tbl_lock[[#This Row],[PACE Job Number]],3,3)</f>
        <v>WSH</v>
      </c>
      <c r="C2018" t="s">
        <v>11</v>
      </c>
      <c r="D2018" s="1">
        <v>43424</v>
      </c>
    </row>
    <row r="2019" spans="1:4" x14ac:dyDescent="0.25">
      <c r="A2019" t="s">
        <v>3821</v>
      </c>
      <c r="B2019" t="str">
        <f>MID(tbl_lock[[#This Row],[PACE Job Number]],3,3)</f>
        <v>WSH</v>
      </c>
      <c r="C2019" t="s">
        <v>11</v>
      </c>
      <c r="D2019" s="1">
        <v>43424</v>
      </c>
    </row>
    <row r="2020" spans="1:4" x14ac:dyDescent="0.25">
      <c r="A2020" t="s">
        <v>3383</v>
      </c>
      <c r="B2020" t="str">
        <f>MID(tbl_lock[[#This Row],[PACE Job Number]],3,3)</f>
        <v>WSH</v>
      </c>
      <c r="C2020" t="s">
        <v>11</v>
      </c>
      <c r="D2020" s="1">
        <v>43405</v>
      </c>
    </row>
    <row r="2021" spans="1:4" x14ac:dyDescent="0.25">
      <c r="A2021" t="s">
        <v>649</v>
      </c>
      <c r="B2021" t="str">
        <f>MID(tbl_lock[[#This Row],[PACE Job Number]],3,3)</f>
        <v>NTX</v>
      </c>
      <c r="C2021" t="s">
        <v>11</v>
      </c>
      <c r="D2021" s="1">
        <v>43427</v>
      </c>
    </row>
    <row r="2022" spans="1:4" x14ac:dyDescent="0.25">
      <c r="A2022" t="s">
        <v>5342</v>
      </c>
      <c r="B2022" t="str">
        <f>MID(tbl_lock[[#This Row],[PACE Job Number]],3,3)</f>
        <v>NTX</v>
      </c>
      <c r="C2022" t="s">
        <v>11</v>
      </c>
      <c r="D2022" s="1">
        <v>43423</v>
      </c>
    </row>
    <row r="2023" spans="1:4" x14ac:dyDescent="0.25">
      <c r="A2023" t="s">
        <v>4337</v>
      </c>
      <c r="B2023" t="str">
        <f>MID(tbl_lock[[#This Row],[PACE Job Number]],3,3)</f>
        <v>NTX</v>
      </c>
      <c r="C2023" t="s">
        <v>11</v>
      </c>
      <c r="D2023" s="1">
        <v>43427</v>
      </c>
    </row>
    <row r="2024" spans="1:4" x14ac:dyDescent="0.25">
      <c r="A2024" t="s">
        <v>5469</v>
      </c>
      <c r="B2024" t="str">
        <f>MID(tbl_lock[[#This Row],[PACE Job Number]],3,3)</f>
        <v>NTX</v>
      </c>
      <c r="C2024" t="s">
        <v>11</v>
      </c>
      <c r="D2024" s="1">
        <v>43423</v>
      </c>
    </row>
    <row r="2025" spans="1:4" x14ac:dyDescent="0.25">
      <c r="A2025" t="s">
        <v>190</v>
      </c>
      <c r="B2025" t="str">
        <f>MID(tbl_lock[[#This Row],[PACE Job Number]],3,3)</f>
        <v>NTX</v>
      </c>
      <c r="C2025" t="s">
        <v>11</v>
      </c>
      <c r="D2025" s="1">
        <v>43406</v>
      </c>
    </row>
    <row r="2026" spans="1:4" x14ac:dyDescent="0.25">
      <c r="A2026" t="s">
        <v>5470</v>
      </c>
      <c r="B2026" t="str">
        <f>MID(tbl_lock[[#This Row],[PACE Job Number]],3,3)</f>
        <v>NTX</v>
      </c>
      <c r="C2026" t="s">
        <v>11</v>
      </c>
      <c r="D2026" s="1">
        <v>43431</v>
      </c>
    </row>
    <row r="2027" spans="1:4" x14ac:dyDescent="0.25">
      <c r="A2027" t="s">
        <v>5343</v>
      </c>
      <c r="B2027" t="str">
        <f>MID(tbl_lock[[#This Row],[PACE Job Number]],3,3)</f>
        <v>NTX</v>
      </c>
      <c r="C2027" t="s">
        <v>11</v>
      </c>
      <c r="D2027" s="1">
        <v>43430</v>
      </c>
    </row>
    <row r="2028" spans="1:4" x14ac:dyDescent="0.25">
      <c r="A2028" t="s">
        <v>1808</v>
      </c>
      <c r="B2028" t="str">
        <f>MID(tbl_lock[[#This Row],[PACE Job Number]],3,3)</f>
        <v>NTX</v>
      </c>
      <c r="C2028" t="s">
        <v>11</v>
      </c>
      <c r="D2028" s="1">
        <v>43409</v>
      </c>
    </row>
    <row r="2029" spans="1:4" x14ac:dyDescent="0.25">
      <c r="A2029" t="s">
        <v>5344</v>
      </c>
      <c r="B2029" t="str">
        <f>MID(tbl_lock[[#This Row],[PACE Job Number]],3,3)</f>
        <v>NTX</v>
      </c>
      <c r="C2029" t="s">
        <v>11</v>
      </c>
      <c r="D2029" s="1">
        <v>43420</v>
      </c>
    </row>
    <row r="2030" spans="1:4" x14ac:dyDescent="0.25">
      <c r="A2030" t="s">
        <v>1661</v>
      </c>
      <c r="B2030" t="str">
        <f>MID(tbl_lock[[#This Row],[PACE Job Number]],3,3)</f>
        <v>NTX</v>
      </c>
      <c r="C2030" t="s">
        <v>11</v>
      </c>
      <c r="D2030" s="1">
        <v>43426</v>
      </c>
    </row>
    <row r="2031" spans="1:4" x14ac:dyDescent="0.25">
      <c r="A2031" t="s">
        <v>5345</v>
      </c>
      <c r="B2031" t="str">
        <f>MID(tbl_lock[[#This Row],[PACE Job Number]],3,3)</f>
        <v>STX</v>
      </c>
      <c r="C2031" t="s">
        <v>11</v>
      </c>
      <c r="D2031" s="1">
        <v>43428</v>
      </c>
    </row>
    <row r="2032" spans="1:4" x14ac:dyDescent="0.25">
      <c r="A2032" t="s">
        <v>3822</v>
      </c>
      <c r="B2032" t="str">
        <f>MID(tbl_lock[[#This Row],[PACE Job Number]],3,3)</f>
        <v>WSH</v>
      </c>
      <c r="C2032" t="s">
        <v>11</v>
      </c>
      <c r="D2032" s="1">
        <v>43424</v>
      </c>
    </row>
    <row r="2033" spans="1:4" x14ac:dyDescent="0.25">
      <c r="A2033" t="s">
        <v>5213</v>
      </c>
      <c r="B2033" t="str">
        <f>MID(tbl_lock[[#This Row],[PACE Job Number]],3,3)</f>
        <v>WSH</v>
      </c>
      <c r="C2033" t="s">
        <v>11</v>
      </c>
      <c r="D2033" s="1">
        <v>43424</v>
      </c>
    </row>
    <row r="2034" spans="1:4" x14ac:dyDescent="0.25">
      <c r="A2034" t="s">
        <v>3823</v>
      </c>
      <c r="B2034" t="str">
        <f>MID(tbl_lock[[#This Row],[PACE Job Number]],3,3)</f>
        <v>WSH</v>
      </c>
      <c r="C2034" t="s">
        <v>11</v>
      </c>
      <c r="D2034" s="1">
        <v>43413</v>
      </c>
    </row>
    <row r="2035" spans="1:4" x14ac:dyDescent="0.25">
      <c r="A2035" t="s">
        <v>5214</v>
      </c>
      <c r="B2035" t="str">
        <f>MID(tbl_lock[[#This Row],[PACE Job Number]],3,3)</f>
        <v>WSH</v>
      </c>
      <c r="C2035" t="s">
        <v>11</v>
      </c>
      <c r="D2035" s="1">
        <v>43424</v>
      </c>
    </row>
    <row r="2036" spans="1:4" x14ac:dyDescent="0.25">
      <c r="A2036" t="s">
        <v>37</v>
      </c>
      <c r="B2036" t="str">
        <f>MID(tbl_lock[[#This Row],[PACE Job Number]],3,3)</f>
        <v>WSH</v>
      </c>
      <c r="C2036" t="s">
        <v>11</v>
      </c>
      <c r="D2036" s="1">
        <v>43413</v>
      </c>
    </row>
    <row r="2037" spans="1:4" x14ac:dyDescent="0.25">
      <c r="A2037" t="s">
        <v>5215</v>
      </c>
      <c r="B2037" t="str">
        <f>MID(tbl_lock[[#This Row],[PACE Job Number]],3,3)</f>
        <v>WSH</v>
      </c>
      <c r="C2037" t="s">
        <v>11</v>
      </c>
      <c r="D2037" s="1">
        <v>43420</v>
      </c>
    </row>
    <row r="2038" spans="1:4" x14ac:dyDescent="0.25">
      <c r="A2038" t="s">
        <v>3824</v>
      </c>
      <c r="B2038" t="str">
        <f>MID(tbl_lock[[#This Row],[PACE Job Number]],3,3)</f>
        <v>WSH</v>
      </c>
      <c r="C2038" t="s">
        <v>11</v>
      </c>
      <c r="D2038" s="1">
        <v>43413</v>
      </c>
    </row>
    <row r="2039" spans="1:4" x14ac:dyDescent="0.25">
      <c r="A2039" t="s">
        <v>5216</v>
      </c>
      <c r="B2039" t="str">
        <f>MID(tbl_lock[[#This Row],[PACE Job Number]],3,3)</f>
        <v>WSH</v>
      </c>
      <c r="C2039" t="s">
        <v>11</v>
      </c>
      <c r="D2039" s="1">
        <v>43424</v>
      </c>
    </row>
    <row r="2040" spans="1:4" x14ac:dyDescent="0.25">
      <c r="A2040" t="s">
        <v>4242</v>
      </c>
      <c r="B2040" t="str">
        <f>MID(tbl_lock[[#This Row],[PACE Job Number]],3,3)</f>
        <v>WSH</v>
      </c>
      <c r="C2040" t="s">
        <v>11</v>
      </c>
      <c r="D2040" s="1">
        <v>43424</v>
      </c>
    </row>
    <row r="2041" spans="1:4" x14ac:dyDescent="0.25">
      <c r="A2041" t="s">
        <v>3828</v>
      </c>
      <c r="B2041" t="str">
        <f>MID(tbl_lock[[#This Row],[PACE Job Number]],3,3)</f>
        <v>WSH</v>
      </c>
      <c r="C2041" t="s">
        <v>11</v>
      </c>
      <c r="D2041" s="1">
        <v>43413</v>
      </c>
    </row>
    <row r="2042" spans="1:4" x14ac:dyDescent="0.25">
      <c r="A2042" t="s">
        <v>5217</v>
      </c>
      <c r="B2042" t="str">
        <f>MID(tbl_lock[[#This Row],[PACE Job Number]],3,3)</f>
        <v>WSH</v>
      </c>
      <c r="C2042" t="s">
        <v>11</v>
      </c>
      <c r="D2042" s="1">
        <v>43420</v>
      </c>
    </row>
    <row r="2043" spans="1:4" x14ac:dyDescent="0.25">
      <c r="A2043" t="s">
        <v>4243</v>
      </c>
      <c r="B2043" t="str">
        <f>MID(tbl_lock[[#This Row],[PACE Job Number]],3,3)</f>
        <v>WSH</v>
      </c>
      <c r="C2043" t="s">
        <v>11</v>
      </c>
      <c r="D2043" s="1">
        <v>43409</v>
      </c>
    </row>
    <row r="2044" spans="1:4" x14ac:dyDescent="0.25">
      <c r="A2044" t="s">
        <v>5471</v>
      </c>
      <c r="B2044" t="str">
        <f>MID(tbl_lock[[#This Row],[PACE Job Number]],3,3)</f>
        <v>WSH</v>
      </c>
      <c r="C2044" t="s">
        <v>11</v>
      </c>
      <c r="D2044" s="1">
        <v>43413</v>
      </c>
    </row>
    <row r="2045" spans="1:4" x14ac:dyDescent="0.25">
      <c r="A2045" t="s">
        <v>4245</v>
      </c>
      <c r="B2045" t="str">
        <f>MID(tbl_lock[[#This Row],[PACE Job Number]],3,3)</f>
        <v>WSH</v>
      </c>
      <c r="C2045" t="s">
        <v>11</v>
      </c>
      <c r="D2045" s="1">
        <v>43424</v>
      </c>
    </row>
    <row r="2046" spans="1:4" x14ac:dyDescent="0.25">
      <c r="A2046" t="s">
        <v>3830</v>
      </c>
      <c r="B2046" t="str">
        <f>MID(tbl_lock[[#This Row],[PACE Job Number]],3,3)</f>
        <v>WSH</v>
      </c>
      <c r="C2046" t="s">
        <v>11</v>
      </c>
      <c r="D2046" s="1">
        <v>43424</v>
      </c>
    </row>
    <row r="2047" spans="1:4" x14ac:dyDescent="0.25">
      <c r="A2047" t="s">
        <v>5219</v>
      </c>
      <c r="B2047" t="str">
        <f>MID(tbl_lock[[#This Row],[PACE Job Number]],3,3)</f>
        <v>WSH</v>
      </c>
      <c r="C2047" t="s">
        <v>11</v>
      </c>
      <c r="D2047" s="1">
        <v>43424</v>
      </c>
    </row>
    <row r="2048" spans="1:4" x14ac:dyDescent="0.25">
      <c r="A2048" t="s">
        <v>5220</v>
      </c>
      <c r="B2048" t="str">
        <f>MID(tbl_lock[[#This Row],[PACE Job Number]],3,3)</f>
        <v>WSH</v>
      </c>
      <c r="C2048" t="s">
        <v>11</v>
      </c>
      <c r="D2048" s="1">
        <v>43420</v>
      </c>
    </row>
    <row r="2049" spans="1:4" x14ac:dyDescent="0.25">
      <c r="A2049" t="s">
        <v>3921</v>
      </c>
      <c r="B2049" t="str">
        <f>MID(tbl_lock[[#This Row],[PACE Job Number]],3,3)</f>
        <v>WSH</v>
      </c>
      <c r="C2049" t="s">
        <v>11</v>
      </c>
      <c r="D2049" s="1">
        <v>43418</v>
      </c>
    </row>
    <row r="2050" spans="1:4" x14ac:dyDescent="0.25">
      <c r="A2050" t="s">
        <v>5348</v>
      </c>
      <c r="B2050" t="str">
        <f>MID(tbl_lock[[#This Row],[PACE Job Number]],3,3)</f>
        <v>NTX</v>
      </c>
      <c r="C2050" t="s">
        <v>11</v>
      </c>
      <c r="D2050" s="1">
        <v>43420</v>
      </c>
    </row>
    <row r="2051" spans="1:4" x14ac:dyDescent="0.25">
      <c r="A2051" t="s">
        <v>5349</v>
      </c>
      <c r="B2051" t="str">
        <f>MID(tbl_lock[[#This Row],[PACE Job Number]],3,3)</f>
        <v>NTX</v>
      </c>
      <c r="C2051" t="s">
        <v>11</v>
      </c>
      <c r="D2051" s="1">
        <v>43420</v>
      </c>
    </row>
    <row r="2052" spans="1:4" x14ac:dyDescent="0.25">
      <c r="A2052" t="s">
        <v>5350</v>
      </c>
      <c r="B2052" t="str">
        <f>MID(tbl_lock[[#This Row],[PACE Job Number]],3,3)</f>
        <v>STX</v>
      </c>
      <c r="C2052" t="s">
        <v>11</v>
      </c>
      <c r="D2052" s="1">
        <v>43425</v>
      </c>
    </row>
    <row r="2053" spans="1:4" x14ac:dyDescent="0.25">
      <c r="A2053" t="s">
        <v>3293</v>
      </c>
      <c r="B2053" t="str">
        <f>MID(tbl_lock[[#This Row],[PACE Job Number]],3,3)</f>
        <v>STX</v>
      </c>
      <c r="C2053" t="s">
        <v>11</v>
      </c>
      <c r="D2053" s="1">
        <v>43425</v>
      </c>
    </row>
    <row r="2054" spans="1:4" x14ac:dyDescent="0.25">
      <c r="A2054" t="s">
        <v>1702</v>
      </c>
      <c r="B2054" t="str">
        <f>MID(tbl_lock[[#This Row],[PACE Job Number]],3,3)</f>
        <v>STX</v>
      </c>
      <c r="C2054" t="s">
        <v>11</v>
      </c>
      <c r="D2054" s="1">
        <v>43425</v>
      </c>
    </row>
    <row r="2055" spans="1:4" x14ac:dyDescent="0.25">
      <c r="A2055" t="s">
        <v>4341</v>
      </c>
      <c r="B2055" t="str">
        <f>MID(tbl_lock[[#This Row],[PACE Job Number]],3,3)</f>
        <v>STX</v>
      </c>
      <c r="C2055" t="s">
        <v>11</v>
      </c>
      <c r="D2055" s="1">
        <v>43425</v>
      </c>
    </row>
    <row r="2056" spans="1:4" x14ac:dyDescent="0.25">
      <c r="A2056" t="s">
        <v>4342</v>
      </c>
      <c r="B2056" t="str">
        <f>MID(tbl_lock[[#This Row],[PACE Job Number]],3,3)</f>
        <v>STX</v>
      </c>
      <c r="C2056" t="s">
        <v>11</v>
      </c>
      <c r="D2056" s="1">
        <v>43425</v>
      </c>
    </row>
    <row r="2057" spans="1:4" x14ac:dyDescent="0.25">
      <c r="A2057" t="s">
        <v>611</v>
      </c>
      <c r="B2057" t="str">
        <f>MID(tbl_lock[[#This Row],[PACE Job Number]],3,3)</f>
        <v>STX</v>
      </c>
      <c r="C2057" t="s">
        <v>11</v>
      </c>
      <c r="D2057" s="1">
        <v>43428</v>
      </c>
    </row>
    <row r="2058" spans="1:4" x14ac:dyDescent="0.25">
      <c r="A2058" t="s">
        <v>4343</v>
      </c>
      <c r="B2058" t="str">
        <f>MID(tbl_lock[[#This Row],[PACE Job Number]],3,3)</f>
        <v>STX</v>
      </c>
      <c r="C2058" t="s">
        <v>11</v>
      </c>
      <c r="D2058" s="1">
        <v>43425</v>
      </c>
    </row>
    <row r="2059" spans="1:4" x14ac:dyDescent="0.25">
      <c r="A2059" t="s">
        <v>3236</v>
      </c>
      <c r="B2059" t="str">
        <f>MID(tbl_lock[[#This Row],[PACE Job Number]],3,3)</f>
        <v>STX</v>
      </c>
      <c r="C2059" t="s">
        <v>11</v>
      </c>
      <c r="D2059" s="1">
        <v>43428</v>
      </c>
    </row>
    <row r="2060" spans="1:4" x14ac:dyDescent="0.25">
      <c r="A2060" t="s">
        <v>3235</v>
      </c>
      <c r="B2060" t="str">
        <f>MID(tbl_lock[[#This Row],[PACE Job Number]],3,3)</f>
        <v>STX</v>
      </c>
      <c r="C2060" t="s">
        <v>11</v>
      </c>
      <c r="D2060" s="1">
        <v>43428</v>
      </c>
    </row>
    <row r="2061" spans="1:4" x14ac:dyDescent="0.25">
      <c r="A2061" t="s">
        <v>65</v>
      </c>
      <c r="B2061" t="str">
        <f>MID(tbl_lock[[#This Row],[PACE Job Number]],3,3)</f>
        <v>STX</v>
      </c>
      <c r="C2061" t="s">
        <v>11</v>
      </c>
      <c r="D2061" s="1">
        <v>43423</v>
      </c>
    </row>
    <row r="2062" spans="1:4" x14ac:dyDescent="0.25">
      <c r="A2062" t="s">
        <v>4345</v>
      </c>
      <c r="B2062" t="str">
        <f>MID(tbl_lock[[#This Row],[PACE Job Number]],3,3)</f>
        <v>STX</v>
      </c>
      <c r="C2062" t="s">
        <v>11</v>
      </c>
      <c r="D2062" s="1">
        <v>43428</v>
      </c>
    </row>
    <row r="2063" spans="1:4" x14ac:dyDescent="0.25">
      <c r="A2063" t="s">
        <v>4134</v>
      </c>
      <c r="B2063" t="str">
        <f>MID(tbl_lock[[#This Row],[PACE Job Number]],3,3)</f>
        <v>STX</v>
      </c>
      <c r="C2063" t="s">
        <v>11</v>
      </c>
      <c r="D2063" s="1">
        <v>43426</v>
      </c>
    </row>
    <row r="2064" spans="1:4" x14ac:dyDescent="0.25">
      <c r="A2064" t="s">
        <v>3339</v>
      </c>
      <c r="B2064" t="str">
        <f>MID(tbl_lock[[#This Row],[PACE Job Number]],3,3)</f>
        <v>STX</v>
      </c>
      <c r="C2064" t="s">
        <v>11</v>
      </c>
      <c r="D2064" s="1">
        <v>43425</v>
      </c>
    </row>
    <row r="2065" spans="1:4" x14ac:dyDescent="0.25">
      <c r="A2065" t="s">
        <v>468</v>
      </c>
      <c r="B2065" t="str">
        <f>MID(tbl_lock[[#This Row],[PACE Job Number]],3,3)</f>
        <v>STX</v>
      </c>
      <c r="C2065" t="s">
        <v>11</v>
      </c>
      <c r="D2065" s="1">
        <v>43428</v>
      </c>
    </row>
    <row r="2066" spans="1:4" x14ac:dyDescent="0.25">
      <c r="A2066" t="s">
        <v>4346</v>
      </c>
      <c r="B2066" t="str">
        <f>MID(tbl_lock[[#This Row],[PACE Job Number]],3,3)</f>
        <v>STX</v>
      </c>
      <c r="C2066" t="s">
        <v>11</v>
      </c>
      <c r="D2066" s="1">
        <v>43425</v>
      </c>
    </row>
    <row r="2067" spans="1:4" x14ac:dyDescent="0.25">
      <c r="A2067" t="s">
        <v>286</v>
      </c>
      <c r="B2067" t="str">
        <f>MID(tbl_lock[[#This Row],[PACE Job Number]],3,3)</f>
        <v>STX</v>
      </c>
      <c r="C2067" t="s">
        <v>11</v>
      </c>
      <c r="D2067" s="1">
        <v>43425</v>
      </c>
    </row>
    <row r="2068" spans="1:4" x14ac:dyDescent="0.25">
      <c r="A2068" t="s">
        <v>2623</v>
      </c>
      <c r="B2068" t="str">
        <f>MID(tbl_lock[[#This Row],[PACE Job Number]],3,3)</f>
        <v>STX</v>
      </c>
      <c r="C2068" t="s">
        <v>11</v>
      </c>
      <c r="D2068" s="1">
        <v>43428</v>
      </c>
    </row>
    <row r="2069" spans="1:4" x14ac:dyDescent="0.25">
      <c r="A2069" t="s">
        <v>466</v>
      </c>
      <c r="B2069" t="str">
        <f>MID(tbl_lock[[#This Row],[PACE Job Number]],3,3)</f>
        <v>STX</v>
      </c>
      <c r="C2069" t="s">
        <v>11</v>
      </c>
      <c r="D2069" s="1">
        <v>43428</v>
      </c>
    </row>
    <row r="2070" spans="1:4" x14ac:dyDescent="0.25">
      <c r="A2070" t="s">
        <v>3118</v>
      </c>
      <c r="B2070" t="str">
        <f>MID(tbl_lock[[#This Row],[PACE Job Number]],3,3)</f>
        <v>STX</v>
      </c>
      <c r="C2070" t="s">
        <v>11</v>
      </c>
      <c r="D2070" s="1">
        <v>43416</v>
      </c>
    </row>
    <row r="2071" spans="1:4" x14ac:dyDescent="0.25">
      <c r="A2071" t="s">
        <v>5351</v>
      </c>
      <c r="B2071" t="str">
        <f>MID(tbl_lock[[#This Row],[PACE Job Number]],3,3)</f>
        <v>NTX</v>
      </c>
      <c r="C2071" t="s">
        <v>11</v>
      </c>
      <c r="D2071" s="1">
        <v>43420</v>
      </c>
    </row>
    <row r="2072" spans="1:4" x14ac:dyDescent="0.25">
      <c r="A2072" t="s">
        <v>1732</v>
      </c>
      <c r="B2072" t="str">
        <f>MID(tbl_lock[[#This Row],[PACE Job Number]],3,3)</f>
        <v>NTX</v>
      </c>
      <c r="C2072" t="s">
        <v>11</v>
      </c>
      <c r="D2072" s="1">
        <v>43430</v>
      </c>
    </row>
    <row r="2073" spans="1:4" x14ac:dyDescent="0.25">
      <c r="A2073" t="s">
        <v>41</v>
      </c>
      <c r="B2073" t="str">
        <f>MID(tbl_lock[[#This Row],[PACE Job Number]],3,3)</f>
        <v>NTX</v>
      </c>
      <c r="C2073" t="s">
        <v>11</v>
      </c>
      <c r="D2073" s="1">
        <v>43430</v>
      </c>
    </row>
    <row r="2074" spans="1:4" x14ac:dyDescent="0.25">
      <c r="A2074" t="s">
        <v>354</v>
      </c>
      <c r="B2074" t="str">
        <f>MID(tbl_lock[[#This Row],[PACE Job Number]],3,3)</f>
        <v>NTX</v>
      </c>
      <c r="C2074" t="s">
        <v>11</v>
      </c>
      <c r="D2074" s="1">
        <v>43412</v>
      </c>
    </row>
    <row r="2075" spans="1:4" x14ac:dyDescent="0.25">
      <c r="A2075" t="s">
        <v>3428</v>
      </c>
      <c r="B2075" t="str">
        <f>MID(tbl_lock[[#This Row],[PACE Job Number]],3,3)</f>
        <v>NTX</v>
      </c>
      <c r="C2075" t="s">
        <v>11</v>
      </c>
      <c r="D2075" s="1">
        <v>43427</v>
      </c>
    </row>
    <row r="2076" spans="1:4" x14ac:dyDescent="0.25">
      <c r="A2076" t="s">
        <v>5472</v>
      </c>
      <c r="B2076" t="str">
        <f>MID(tbl_lock[[#This Row],[PACE Job Number]],3,3)</f>
        <v>NTX</v>
      </c>
      <c r="C2076" t="s">
        <v>11</v>
      </c>
      <c r="D2076" s="1">
        <v>43423</v>
      </c>
    </row>
    <row r="2077" spans="1:4" x14ac:dyDescent="0.25">
      <c r="A2077" t="s">
        <v>1737</v>
      </c>
      <c r="B2077" t="str">
        <f>MID(tbl_lock[[#This Row],[PACE Job Number]],3,3)</f>
        <v>NTX</v>
      </c>
      <c r="C2077" t="s">
        <v>11</v>
      </c>
      <c r="D2077" s="1">
        <v>43409</v>
      </c>
    </row>
    <row r="2078" spans="1:4" x14ac:dyDescent="0.25">
      <c r="A2078" t="s">
        <v>5473</v>
      </c>
      <c r="B2078" t="str">
        <f>MID(tbl_lock[[#This Row],[PACE Job Number]],3,3)</f>
        <v>NTX</v>
      </c>
      <c r="C2078" t="s">
        <v>11</v>
      </c>
      <c r="D2078" s="1">
        <v>43432</v>
      </c>
    </row>
    <row r="2079" spans="1:4" x14ac:dyDescent="0.25">
      <c r="A2079" t="s">
        <v>4556</v>
      </c>
      <c r="B2079" t="str">
        <f>MID(tbl_lock[[#This Row],[PACE Job Number]],3,3)</f>
        <v>NTX</v>
      </c>
      <c r="C2079" t="s">
        <v>11</v>
      </c>
      <c r="D2079" s="1">
        <v>43407</v>
      </c>
    </row>
    <row r="2080" spans="1:4" x14ac:dyDescent="0.25">
      <c r="A2080" t="s">
        <v>5474</v>
      </c>
      <c r="B2080" t="str">
        <f>MID(tbl_lock[[#This Row],[PACE Job Number]],3,3)</f>
        <v>NTX</v>
      </c>
      <c r="C2080" t="s">
        <v>11</v>
      </c>
      <c r="D2080" s="1">
        <v>43423</v>
      </c>
    </row>
    <row r="2081" spans="1:4" x14ac:dyDescent="0.25">
      <c r="A2081" t="s">
        <v>5352</v>
      </c>
      <c r="B2081" t="str">
        <f>MID(tbl_lock[[#This Row],[PACE Job Number]],3,3)</f>
        <v>NTX</v>
      </c>
      <c r="C2081" t="s">
        <v>11</v>
      </c>
      <c r="D2081" s="1">
        <v>43423</v>
      </c>
    </row>
    <row r="2082" spans="1:4" x14ac:dyDescent="0.25">
      <c r="A2082" t="s">
        <v>5353</v>
      </c>
      <c r="B2082" t="str">
        <f>MID(tbl_lock[[#This Row],[PACE Job Number]],3,3)</f>
        <v>NTX</v>
      </c>
      <c r="C2082" t="s">
        <v>11</v>
      </c>
      <c r="D2082" s="1">
        <v>43430</v>
      </c>
    </row>
    <row r="2083" spans="1:4" x14ac:dyDescent="0.25">
      <c r="A2083" t="s">
        <v>557</v>
      </c>
      <c r="B2083" t="str">
        <f>MID(tbl_lock[[#This Row],[PACE Job Number]],3,3)</f>
        <v>NTX</v>
      </c>
      <c r="C2083" t="s">
        <v>11</v>
      </c>
      <c r="D2083" s="1">
        <v>43427</v>
      </c>
    </row>
    <row r="2084" spans="1:4" x14ac:dyDescent="0.25">
      <c r="A2084" t="s">
        <v>5354</v>
      </c>
      <c r="B2084" t="str">
        <f>MID(tbl_lock[[#This Row],[PACE Job Number]],3,3)</f>
        <v>NTX</v>
      </c>
      <c r="C2084" t="s">
        <v>11</v>
      </c>
      <c r="D2084" s="1">
        <v>43423</v>
      </c>
    </row>
    <row r="2085" spans="1:4" x14ac:dyDescent="0.25">
      <c r="A2085" t="s">
        <v>4475</v>
      </c>
      <c r="B2085" t="str">
        <f>MID(tbl_lock[[#This Row],[PACE Job Number]],3,3)</f>
        <v>NTX</v>
      </c>
      <c r="C2085" t="s">
        <v>11</v>
      </c>
      <c r="D2085" s="1">
        <v>43427</v>
      </c>
    </row>
    <row r="2086" spans="1:4" x14ac:dyDescent="0.25">
      <c r="A2086" t="s">
        <v>3374</v>
      </c>
      <c r="B2086" t="str">
        <f>MID(tbl_lock[[#This Row],[PACE Job Number]],3,3)</f>
        <v>NTX</v>
      </c>
      <c r="C2086" t="s">
        <v>11</v>
      </c>
      <c r="D2086" s="1">
        <v>43420</v>
      </c>
    </row>
    <row r="2087" spans="1:4" x14ac:dyDescent="0.25">
      <c r="A2087" t="s">
        <v>1744</v>
      </c>
      <c r="B2087" t="str">
        <f>MID(tbl_lock[[#This Row],[PACE Job Number]],3,3)</f>
        <v>NTX</v>
      </c>
      <c r="C2087" t="s">
        <v>11</v>
      </c>
      <c r="D2087" s="1">
        <v>43409</v>
      </c>
    </row>
    <row r="2088" spans="1:4" x14ac:dyDescent="0.25">
      <c r="A2088" t="s">
        <v>5475</v>
      </c>
      <c r="B2088" t="str">
        <f>MID(tbl_lock[[#This Row],[PACE Job Number]],3,3)</f>
        <v>NTX</v>
      </c>
      <c r="C2088" t="s">
        <v>11</v>
      </c>
      <c r="D2088" s="1">
        <v>43431</v>
      </c>
    </row>
    <row r="2089" spans="1:4" x14ac:dyDescent="0.25">
      <c r="A2089" t="s">
        <v>1089</v>
      </c>
      <c r="B2089" t="str">
        <f>MID(tbl_lock[[#This Row],[PACE Job Number]],3,3)</f>
        <v>NTX</v>
      </c>
      <c r="C2089" t="s">
        <v>11</v>
      </c>
      <c r="D2089" s="1">
        <v>43420</v>
      </c>
    </row>
    <row r="2090" spans="1:4" x14ac:dyDescent="0.25">
      <c r="A2090" t="s">
        <v>4421</v>
      </c>
      <c r="B2090" t="str">
        <f>MID(tbl_lock[[#This Row],[PACE Job Number]],3,3)</f>
        <v>NTX</v>
      </c>
      <c r="C2090" t="s">
        <v>11</v>
      </c>
      <c r="D2090" s="1">
        <v>43423</v>
      </c>
    </row>
    <row r="2091" spans="1:4" x14ac:dyDescent="0.25">
      <c r="A2091" t="s">
        <v>2427</v>
      </c>
      <c r="B2091" t="str">
        <f>MID(tbl_lock[[#This Row],[PACE Job Number]],3,3)</f>
        <v>NTX</v>
      </c>
      <c r="C2091" t="s">
        <v>11</v>
      </c>
      <c r="D2091" s="1">
        <v>43409</v>
      </c>
    </row>
    <row r="2092" spans="1:4" x14ac:dyDescent="0.25">
      <c r="A2092" t="s">
        <v>2428</v>
      </c>
      <c r="B2092" t="str">
        <f>MID(tbl_lock[[#This Row],[PACE Job Number]],3,3)</f>
        <v>NTX</v>
      </c>
      <c r="C2092" t="s">
        <v>11</v>
      </c>
      <c r="D2092" s="1">
        <v>43423</v>
      </c>
    </row>
    <row r="2093" spans="1:4" x14ac:dyDescent="0.25">
      <c r="A2093" t="s">
        <v>3795</v>
      </c>
      <c r="B2093" t="str">
        <f>MID(tbl_lock[[#This Row],[PACE Job Number]],3,3)</f>
        <v>NTX</v>
      </c>
      <c r="C2093" t="s">
        <v>11</v>
      </c>
      <c r="D2093" s="1">
        <v>43406</v>
      </c>
    </row>
    <row r="2094" spans="1:4" x14ac:dyDescent="0.25">
      <c r="A2094" t="s">
        <v>2284</v>
      </c>
      <c r="B2094" t="str">
        <f>MID(tbl_lock[[#This Row],[PACE Job Number]],3,3)</f>
        <v>NTX</v>
      </c>
      <c r="C2094" t="s">
        <v>11</v>
      </c>
      <c r="D2094" s="1">
        <v>43431</v>
      </c>
    </row>
    <row r="2095" spans="1:4" x14ac:dyDescent="0.25">
      <c r="A2095" t="s">
        <v>647</v>
      </c>
      <c r="B2095" t="str">
        <f>MID(tbl_lock[[#This Row],[PACE Job Number]],3,3)</f>
        <v>NTX</v>
      </c>
      <c r="C2095" t="s">
        <v>11</v>
      </c>
      <c r="D2095" s="1">
        <v>43423</v>
      </c>
    </row>
    <row r="2096" spans="1:4" x14ac:dyDescent="0.25">
      <c r="A2096" t="s">
        <v>4422</v>
      </c>
      <c r="B2096" t="str">
        <f>MID(tbl_lock[[#This Row],[PACE Job Number]],3,3)</f>
        <v>NTX</v>
      </c>
      <c r="C2096" t="s">
        <v>11</v>
      </c>
      <c r="D2096" s="1">
        <v>43407</v>
      </c>
    </row>
    <row r="2097" spans="1:4" x14ac:dyDescent="0.25">
      <c r="A2097" t="s">
        <v>352</v>
      </c>
      <c r="B2097" t="str">
        <f>MID(tbl_lock[[#This Row],[PACE Job Number]],3,3)</f>
        <v>NTX</v>
      </c>
      <c r="C2097" t="s">
        <v>11</v>
      </c>
      <c r="D2097" s="1">
        <v>43423</v>
      </c>
    </row>
    <row r="2098" spans="1:4" x14ac:dyDescent="0.25">
      <c r="A2098" t="s">
        <v>4271</v>
      </c>
      <c r="B2098" t="str">
        <f>MID(tbl_lock[[#This Row],[PACE Job Number]],3,3)</f>
        <v>NTX</v>
      </c>
      <c r="C2098" t="s">
        <v>11</v>
      </c>
      <c r="D2098" s="1">
        <v>43434</v>
      </c>
    </row>
    <row r="2099" spans="1:4" x14ac:dyDescent="0.25">
      <c r="A2099" t="s">
        <v>5476</v>
      </c>
      <c r="B2099" t="str">
        <f>MID(tbl_lock[[#This Row],[PACE Job Number]],3,3)</f>
        <v>NTX</v>
      </c>
      <c r="C2099" t="s">
        <v>11</v>
      </c>
      <c r="D2099" s="1">
        <v>43423</v>
      </c>
    </row>
    <row r="2100" spans="1:4" x14ac:dyDescent="0.25">
      <c r="A2100" t="s">
        <v>3971</v>
      </c>
      <c r="B2100" t="str">
        <f>MID(tbl_lock[[#This Row],[PACE Job Number]],3,3)</f>
        <v>NTX</v>
      </c>
      <c r="C2100" t="s">
        <v>11</v>
      </c>
      <c r="D2100" s="1">
        <v>43407</v>
      </c>
    </row>
    <row r="2101" spans="1:4" x14ac:dyDescent="0.25">
      <c r="A2101" t="s">
        <v>3972</v>
      </c>
      <c r="B2101" t="str">
        <f>MID(tbl_lock[[#This Row],[PACE Job Number]],3,3)</f>
        <v>NTX</v>
      </c>
      <c r="C2101" t="s">
        <v>11</v>
      </c>
      <c r="D2101" s="1">
        <v>43407</v>
      </c>
    </row>
    <row r="2102" spans="1:4" x14ac:dyDescent="0.25">
      <c r="A2102" t="s">
        <v>5355</v>
      </c>
      <c r="B2102" t="str">
        <f>MID(tbl_lock[[#This Row],[PACE Job Number]],3,3)</f>
        <v>NTX</v>
      </c>
      <c r="C2102" t="s">
        <v>11</v>
      </c>
      <c r="D2102" s="1">
        <v>43423</v>
      </c>
    </row>
    <row r="2103" spans="1:4" x14ac:dyDescent="0.25">
      <c r="A2103" t="s">
        <v>3973</v>
      </c>
      <c r="B2103" t="str">
        <f>MID(tbl_lock[[#This Row],[PACE Job Number]],3,3)</f>
        <v>NTX</v>
      </c>
      <c r="C2103" t="s">
        <v>11</v>
      </c>
      <c r="D2103" s="1">
        <v>43407</v>
      </c>
    </row>
    <row r="2104" spans="1:4" x14ac:dyDescent="0.25">
      <c r="A2104" t="s">
        <v>5356</v>
      </c>
      <c r="B2104" t="str">
        <f>MID(tbl_lock[[#This Row],[PACE Job Number]],3,3)</f>
        <v>NTX</v>
      </c>
      <c r="C2104" t="s">
        <v>11</v>
      </c>
      <c r="D2104" s="1">
        <v>43430</v>
      </c>
    </row>
    <row r="2105" spans="1:4" x14ac:dyDescent="0.25">
      <c r="A2105" t="s">
        <v>5477</v>
      </c>
      <c r="B2105" t="str">
        <f>MID(tbl_lock[[#This Row],[PACE Job Number]],3,3)</f>
        <v>NTX</v>
      </c>
      <c r="C2105" t="s">
        <v>11</v>
      </c>
      <c r="D2105" s="1">
        <v>43423</v>
      </c>
    </row>
    <row r="2106" spans="1:4" x14ac:dyDescent="0.25">
      <c r="A2106" t="s">
        <v>4194</v>
      </c>
      <c r="B2106" t="str">
        <f>MID(tbl_lock[[#This Row],[PACE Job Number]],3,3)</f>
        <v>WSH</v>
      </c>
      <c r="C2106" t="s">
        <v>11</v>
      </c>
      <c r="D2106" s="1">
        <v>43420</v>
      </c>
    </row>
    <row r="2107" spans="1:4" x14ac:dyDescent="0.25">
      <c r="A2107" t="s">
        <v>5223</v>
      </c>
      <c r="B2107" t="str">
        <f>MID(tbl_lock[[#This Row],[PACE Job Number]],3,3)</f>
        <v>ANM</v>
      </c>
      <c r="C2107" t="s">
        <v>11</v>
      </c>
      <c r="D2107" s="1">
        <v>43423</v>
      </c>
    </row>
    <row r="2108" spans="1:4" x14ac:dyDescent="0.25">
      <c r="A2108" t="s">
        <v>4530</v>
      </c>
      <c r="B2108" t="str">
        <f>MID(tbl_lock[[#This Row],[PACE Job Number]],3,3)</f>
        <v>ANM</v>
      </c>
      <c r="C2108" t="s">
        <v>11</v>
      </c>
      <c r="D2108" s="1">
        <v>43405</v>
      </c>
    </row>
    <row r="2109" spans="1:4" x14ac:dyDescent="0.25">
      <c r="A2109" t="s">
        <v>5224</v>
      </c>
      <c r="B2109" t="str">
        <f>MID(tbl_lock[[#This Row],[PACE Job Number]],3,3)</f>
        <v>ANM</v>
      </c>
      <c r="C2109" t="s">
        <v>11</v>
      </c>
      <c r="D2109" s="1">
        <v>43423</v>
      </c>
    </row>
    <row r="2110" spans="1:4" x14ac:dyDescent="0.25">
      <c r="A2110" t="s">
        <v>5478</v>
      </c>
      <c r="B2110" t="str">
        <f>MID(tbl_lock[[#This Row],[PACE Job Number]],3,3)</f>
        <v>ANM</v>
      </c>
      <c r="C2110" t="s">
        <v>11</v>
      </c>
      <c r="D2110" s="1">
        <v>43422</v>
      </c>
    </row>
    <row r="2111" spans="1:4" x14ac:dyDescent="0.25">
      <c r="A2111" t="s">
        <v>4531</v>
      </c>
      <c r="B2111" t="str">
        <f>MID(tbl_lock[[#This Row],[PACE Job Number]],3,3)</f>
        <v>ANM</v>
      </c>
      <c r="C2111" t="s">
        <v>11</v>
      </c>
      <c r="D2111" s="1">
        <v>43405</v>
      </c>
    </row>
    <row r="2112" spans="1:4" x14ac:dyDescent="0.25">
      <c r="A2112" t="s">
        <v>5225</v>
      </c>
      <c r="B2112" t="str">
        <f>MID(tbl_lock[[#This Row],[PACE Job Number]],3,3)</f>
        <v>ANM</v>
      </c>
      <c r="C2112" t="s">
        <v>11</v>
      </c>
      <c r="D2112" s="1">
        <v>43423</v>
      </c>
    </row>
    <row r="2113" spans="1:4" x14ac:dyDescent="0.25">
      <c r="A2113" t="s">
        <v>3430</v>
      </c>
      <c r="B2113" t="str">
        <f>MID(tbl_lock[[#This Row],[PACE Job Number]],3,3)</f>
        <v>ANM</v>
      </c>
      <c r="C2113" t="s">
        <v>11</v>
      </c>
      <c r="D2113" s="1">
        <v>43423</v>
      </c>
    </row>
    <row r="2114" spans="1:4" x14ac:dyDescent="0.25">
      <c r="A2114" t="s">
        <v>3431</v>
      </c>
      <c r="B2114" t="str">
        <f>MID(tbl_lock[[#This Row],[PACE Job Number]],3,3)</f>
        <v>ANM</v>
      </c>
      <c r="C2114" t="s">
        <v>11</v>
      </c>
      <c r="D2114" s="1">
        <v>43423</v>
      </c>
    </row>
    <row r="2115" spans="1:4" x14ac:dyDescent="0.25">
      <c r="A2115" t="s">
        <v>3440</v>
      </c>
      <c r="B2115" t="str">
        <f>MID(tbl_lock[[#This Row],[PACE Job Number]],3,3)</f>
        <v>ANM</v>
      </c>
      <c r="C2115" t="s">
        <v>11</v>
      </c>
      <c r="D2115" s="1">
        <v>43423</v>
      </c>
    </row>
    <row r="2116" spans="1:4" x14ac:dyDescent="0.25">
      <c r="A2116" t="s">
        <v>5479</v>
      </c>
      <c r="B2116" t="str">
        <f>MID(tbl_lock[[#This Row],[PACE Job Number]],3,3)</f>
        <v>ANM</v>
      </c>
      <c r="C2116" t="s">
        <v>11</v>
      </c>
      <c r="D2116" s="1">
        <v>43406</v>
      </c>
    </row>
    <row r="2117" spans="1:4" x14ac:dyDescent="0.25">
      <c r="A2117" t="s">
        <v>4145</v>
      </c>
      <c r="B2117" t="str">
        <f>MID(tbl_lock[[#This Row],[PACE Job Number]],3,3)</f>
        <v>ANM</v>
      </c>
      <c r="C2117" t="s">
        <v>11</v>
      </c>
      <c r="D2117" s="1">
        <v>43427</v>
      </c>
    </row>
    <row r="2118" spans="1:4" x14ac:dyDescent="0.25">
      <c r="A2118" t="s">
        <v>5226</v>
      </c>
      <c r="B2118" t="str">
        <f>MID(tbl_lock[[#This Row],[PACE Job Number]],3,3)</f>
        <v>ANM</v>
      </c>
      <c r="C2118" t="s">
        <v>11</v>
      </c>
      <c r="D2118" s="1">
        <v>43423</v>
      </c>
    </row>
    <row r="2119" spans="1:4" x14ac:dyDescent="0.25">
      <c r="A2119" t="s">
        <v>5227</v>
      </c>
      <c r="B2119" t="str">
        <f>MID(tbl_lock[[#This Row],[PACE Job Number]],3,3)</f>
        <v>ANM</v>
      </c>
      <c r="C2119" t="s">
        <v>11</v>
      </c>
      <c r="D2119" s="1">
        <v>43423</v>
      </c>
    </row>
    <row r="2120" spans="1:4" x14ac:dyDescent="0.25">
      <c r="A2120" t="s">
        <v>5480</v>
      </c>
      <c r="B2120" t="str">
        <f>MID(tbl_lock[[#This Row],[PACE Job Number]],3,3)</f>
        <v>ANM</v>
      </c>
      <c r="C2120" t="s">
        <v>11</v>
      </c>
      <c r="D2120" s="1">
        <v>43406</v>
      </c>
    </row>
    <row r="2121" spans="1:4" x14ac:dyDescent="0.25">
      <c r="A2121" t="s">
        <v>5481</v>
      </c>
      <c r="B2121" t="str">
        <f>MID(tbl_lock[[#This Row],[PACE Job Number]],3,3)</f>
        <v>NTX</v>
      </c>
      <c r="C2121" t="s">
        <v>11</v>
      </c>
      <c r="D2121" s="1">
        <v>43423</v>
      </c>
    </row>
    <row r="2122" spans="1:4" x14ac:dyDescent="0.25">
      <c r="A2122" t="s">
        <v>167</v>
      </c>
      <c r="B2122" t="str">
        <f>MID(tbl_lock[[#This Row],[PACE Job Number]],3,3)</f>
        <v>NTX</v>
      </c>
      <c r="C2122" t="s">
        <v>11</v>
      </c>
      <c r="D2122" s="1">
        <v>43423</v>
      </c>
    </row>
    <row r="2123" spans="1:4" x14ac:dyDescent="0.25">
      <c r="A2123" t="s">
        <v>3974</v>
      </c>
      <c r="B2123" t="str">
        <f>MID(tbl_lock[[#This Row],[PACE Job Number]],3,3)</f>
        <v>NTX</v>
      </c>
      <c r="C2123" t="s">
        <v>11</v>
      </c>
      <c r="D2123" s="1">
        <v>43420</v>
      </c>
    </row>
    <row r="2124" spans="1:4" x14ac:dyDescent="0.25">
      <c r="A2124" t="s">
        <v>3975</v>
      </c>
      <c r="B2124" t="str">
        <f>MID(tbl_lock[[#This Row],[PACE Job Number]],3,3)</f>
        <v>NTX</v>
      </c>
      <c r="C2124" t="s">
        <v>11</v>
      </c>
      <c r="D2124" s="1">
        <v>43407</v>
      </c>
    </row>
    <row r="2125" spans="1:4" x14ac:dyDescent="0.25">
      <c r="A2125" t="s">
        <v>4415</v>
      </c>
      <c r="B2125" t="str">
        <f>MID(tbl_lock[[#This Row],[PACE Job Number]],3,3)</f>
        <v>STX</v>
      </c>
      <c r="C2125" t="s">
        <v>11</v>
      </c>
      <c r="D2125" s="1">
        <v>43425</v>
      </c>
    </row>
    <row r="2126" spans="1:4" x14ac:dyDescent="0.25">
      <c r="A2126" t="s">
        <v>5357</v>
      </c>
      <c r="B2126" t="str">
        <f>MID(tbl_lock[[#This Row],[PACE Job Number]],3,3)</f>
        <v>STX</v>
      </c>
      <c r="C2126" t="s">
        <v>11</v>
      </c>
      <c r="D2126" s="1">
        <v>43425</v>
      </c>
    </row>
    <row r="2127" spans="1:4" x14ac:dyDescent="0.25">
      <c r="A2127" t="s">
        <v>5358</v>
      </c>
      <c r="B2127" t="str">
        <f>MID(tbl_lock[[#This Row],[PACE Job Number]],3,3)</f>
        <v>STX</v>
      </c>
      <c r="C2127" t="s">
        <v>11</v>
      </c>
      <c r="D2127" s="1">
        <v>43425</v>
      </c>
    </row>
    <row r="2128" spans="1:4" x14ac:dyDescent="0.25">
      <c r="A2128" t="s">
        <v>5359</v>
      </c>
      <c r="B2128" t="str">
        <f>MID(tbl_lock[[#This Row],[PACE Job Number]],3,3)</f>
        <v>STX</v>
      </c>
      <c r="C2128" t="s">
        <v>11</v>
      </c>
      <c r="D2128" s="1">
        <v>43428</v>
      </c>
    </row>
    <row r="2129" spans="1:4" x14ac:dyDescent="0.25">
      <c r="A2129" t="s">
        <v>40</v>
      </c>
      <c r="B2129" t="str">
        <f>MID(tbl_lock[[#This Row],[PACE Job Number]],3,3)</f>
        <v>STX</v>
      </c>
      <c r="C2129" t="s">
        <v>11</v>
      </c>
      <c r="D2129" s="1">
        <v>43428</v>
      </c>
    </row>
    <row r="2130" spans="1:4" x14ac:dyDescent="0.25">
      <c r="A2130" t="s">
        <v>5010</v>
      </c>
      <c r="B2130" t="str">
        <f>MID(tbl_lock[[#This Row],[PACE Job Number]],3,3)</f>
        <v>ANM</v>
      </c>
      <c r="C2130" t="s">
        <v>11</v>
      </c>
      <c r="D2130" s="1">
        <v>43430</v>
      </c>
    </row>
    <row r="2131" spans="1:4" x14ac:dyDescent="0.25">
      <c r="A2131" t="s">
        <v>4218</v>
      </c>
      <c r="B2131" t="str">
        <f>MID(tbl_lock[[#This Row],[PACE Job Number]],3,3)</f>
        <v>ANM</v>
      </c>
      <c r="C2131" t="s">
        <v>11</v>
      </c>
      <c r="D2131" s="1">
        <v>43409</v>
      </c>
    </row>
    <row r="2132" spans="1:4" x14ac:dyDescent="0.25">
      <c r="A2132" t="s">
        <v>4219</v>
      </c>
      <c r="B2132" t="str">
        <f>MID(tbl_lock[[#This Row],[PACE Job Number]],3,3)</f>
        <v>ANM</v>
      </c>
      <c r="C2132" t="s">
        <v>11</v>
      </c>
      <c r="D2132" s="1">
        <v>43423</v>
      </c>
    </row>
    <row r="2133" spans="1:4" x14ac:dyDescent="0.25">
      <c r="A2133" t="s">
        <v>4146</v>
      </c>
      <c r="B2133" t="str">
        <f>MID(tbl_lock[[#This Row],[PACE Job Number]],3,3)</f>
        <v>ANM</v>
      </c>
      <c r="C2133" t="s">
        <v>11</v>
      </c>
      <c r="D2133" s="1">
        <v>43427</v>
      </c>
    </row>
    <row r="2134" spans="1:4" x14ac:dyDescent="0.25">
      <c r="A2134" t="s">
        <v>4220</v>
      </c>
      <c r="B2134" t="str">
        <f>MID(tbl_lock[[#This Row],[PACE Job Number]],3,3)</f>
        <v>ANM</v>
      </c>
      <c r="C2134" t="s">
        <v>11</v>
      </c>
      <c r="D2134" s="1">
        <v>43427</v>
      </c>
    </row>
    <row r="2135" spans="1:4" x14ac:dyDescent="0.25">
      <c r="A2135" t="s">
        <v>4221</v>
      </c>
      <c r="B2135" t="str">
        <f>MID(tbl_lock[[#This Row],[PACE Job Number]],3,3)</f>
        <v>ANM</v>
      </c>
      <c r="C2135" t="s">
        <v>11</v>
      </c>
      <c r="D2135" s="1">
        <v>43430</v>
      </c>
    </row>
    <row r="2136" spans="1:4" x14ac:dyDescent="0.25">
      <c r="A2136" t="s">
        <v>5482</v>
      </c>
      <c r="B2136" t="str">
        <f>MID(tbl_lock[[#This Row],[PACE Job Number]],3,3)</f>
        <v>ANM</v>
      </c>
      <c r="C2136" t="s">
        <v>11</v>
      </c>
      <c r="D2136" s="1">
        <v>43416</v>
      </c>
    </row>
    <row r="2137" spans="1:4" x14ac:dyDescent="0.25">
      <c r="A2137" t="s">
        <v>5483</v>
      </c>
      <c r="B2137" t="str">
        <f>MID(tbl_lock[[#This Row],[PACE Job Number]],3,3)</f>
        <v>ANM</v>
      </c>
      <c r="C2137" t="s">
        <v>11</v>
      </c>
      <c r="D2137" s="1">
        <v>43416</v>
      </c>
    </row>
    <row r="2138" spans="1:4" x14ac:dyDescent="0.25">
      <c r="A2138" t="s">
        <v>4224</v>
      </c>
      <c r="B2138" t="str">
        <f>MID(tbl_lock[[#This Row],[PACE Job Number]],3,3)</f>
        <v>ANM</v>
      </c>
      <c r="C2138" t="s">
        <v>11</v>
      </c>
      <c r="D2138" s="1">
        <v>43417</v>
      </c>
    </row>
    <row r="2139" spans="1:4" x14ac:dyDescent="0.25">
      <c r="A2139" t="s">
        <v>4225</v>
      </c>
      <c r="B2139" t="str">
        <f>MID(tbl_lock[[#This Row],[PACE Job Number]],3,3)</f>
        <v>ANM</v>
      </c>
      <c r="C2139" t="s">
        <v>11</v>
      </c>
      <c r="D2139" s="1">
        <v>43417</v>
      </c>
    </row>
    <row r="2140" spans="1:4" x14ac:dyDescent="0.25">
      <c r="A2140" t="s">
        <v>4226</v>
      </c>
      <c r="B2140" t="str">
        <f>MID(tbl_lock[[#This Row],[PACE Job Number]],3,3)</f>
        <v>ANM</v>
      </c>
      <c r="C2140" t="s">
        <v>11</v>
      </c>
      <c r="D2140" s="1">
        <v>43417</v>
      </c>
    </row>
    <row r="2141" spans="1:4" x14ac:dyDescent="0.25">
      <c r="A2141" t="s">
        <v>4227</v>
      </c>
      <c r="B2141" t="str">
        <f>MID(tbl_lock[[#This Row],[PACE Job Number]],3,3)</f>
        <v>ANM</v>
      </c>
      <c r="C2141" t="s">
        <v>11</v>
      </c>
      <c r="D2141" s="1">
        <v>43417</v>
      </c>
    </row>
    <row r="2142" spans="1:4" x14ac:dyDescent="0.25">
      <c r="A2142" t="s">
        <v>4338</v>
      </c>
      <c r="B2142" t="str">
        <f>MID(tbl_lock[[#This Row],[PACE Job Number]],3,3)</f>
        <v>NTX</v>
      </c>
      <c r="C2142" t="s">
        <v>11</v>
      </c>
      <c r="D2142" s="1">
        <v>43420</v>
      </c>
    </row>
    <row r="2143" spans="1:4" x14ac:dyDescent="0.25">
      <c r="A2143" t="s">
        <v>1809</v>
      </c>
      <c r="B2143" t="str">
        <f>MID(tbl_lock[[#This Row],[PACE Job Number]],3,3)</f>
        <v>NTX</v>
      </c>
      <c r="C2143" t="s">
        <v>11</v>
      </c>
      <c r="D2143" s="1">
        <v>43430</v>
      </c>
    </row>
    <row r="2144" spans="1:4" x14ac:dyDescent="0.25">
      <c r="A2144" t="s">
        <v>119</v>
      </c>
      <c r="B2144" t="str">
        <f>MID(tbl_lock[[#This Row],[PACE Job Number]],3,3)</f>
        <v>NTX</v>
      </c>
      <c r="C2144" t="s">
        <v>11</v>
      </c>
      <c r="D2144" s="1">
        <v>43423</v>
      </c>
    </row>
    <row r="2145" spans="1:4" x14ac:dyDescent="0.25">
      <c r="A2145" t="s">
        <v>4339</v>
      </c>
      <c r="B2145" t="str">
        <f>MID(tbl_lock[[#This Row],[PACE Job Number]],3,3)</f>
        <v>NTX</v>
      </c>
      <c r="C2145" t="s">
        <v>11</v>
      </c>
      <c r="D2145" s="1">
        <v>43409</v>
      </c>
    </row>
    <row r="2146" spans="1:4" x14ac:dyDescent="0.25">
      <c r="A2146" t="s">
        <v>621</v>
      </c>
      <c r="B2146" t="str">
        <f>MID(tbl_lock[[#This Row],[PACE Job Number]],3,3)</f>
        <v>NTX</v>
      </c>
      <c r="C2146" t="s">
        <v>11</v>
      </c>
      <c r="D2146" s="1">
        <v>43411</v>
      </c>
    </row>
    <row r="2147" spans="1:4" x14ac:dyDescent="0.25">
      <c r="A2147" t="s">
        <v>5484</v>
      </c>
      <c r="B2147" t="str">
        <f>MID(tbl_lock[[#This Row],[PACE Job Number]],3,3)</f>
        <v>NTX</v>
      </c>
      <c r="C2147" t="s">
        <v>11</v>
      </c>
      <c r="D2147" s="1">
        <v>43423</v>
      </c>
    </row>
    <row r="2148" spans="1:4" x14ac:dyDescent="0.25">
      <c r="A2148" t="s">
        <v>274</v>
      </c>
      <c r="B2148" t="str">
        <f>MID(tbl_lock[[#This Row],[PACE Job Number]],3,3)</f>
        <v>NTX</v>
      </c>
      <c r="C2148" t="s">
        <v>11</v>
      </c>
      <c r="D2148" s="1">
        <v>43406</v>
      </c>
    </row>
    <row r="2149" spans="1:4" x14ac:dyDescent="0.25">
      <c r="A2149" t="s">
        <v>127</v>
      </c>
      <c r="B2149" t="str">
        <f>MID(tbl_lock[[#This Row],[PACE Job Number]],3,3)</f>
        <v>NTX</v>
      </c>
      <c r="C2149" t="s">
        <v>11</v>
      </c>
      <c r="D2149" s="1">
        <v>43418</v>
      </c>
    </row>
    <row r="2150" spans="1:4" x14ac:dyDescent="0.25">
      <c r="A2150" t="s">
        <v>5361</v>
      </c>
      <c r="B2150" t="str">
        <f>MID(tbl_lock[[#This Row],[PACE Job Number]],3,3)</f>
        <v>NTX</v>
      </c>
      <c r="C2150" t="s">
        <v>11</v>
      </c>
      <c r="D2150" s="1">
        <v>43430</v>
      </c>
    </row>
    <row r="2151" spans="1:4" x14ac:dyDescent="0.25">
      <c r="A2151" t="s">
        <v>5362</v>
      </c>
      <c r="B2151" t="str">
        <f>MID(tbl_lock[[#This Row],[PACE Job Number]],3,3)</f>
        <v>NTX</v>
      </c>
      <c r="C2151" t="s">
        <v>11</v>
      </c>
      <c r="D2151" s="1">
        <v>43430</v>
      </c>
    </row>
    <row r="2152" spans="1:4" x14ac:dyDescent="0.25">
      <c r="A2152" t="s">
        <v>1814</v>
      </c>
      <c r="B2152" t="str">
        <f>MID(tbl_lock[[#This Row],[PACE Job Number]],3,3)</f>
        <v>NTX</v>
      </c>
      <c r="C2152" t="s">
        <v>11</v>
      </c>
      <c r="D2152" s="1">
        <v>43409</v>
      </c>
    </row>
    <row r="2153" spans="1:4" x14ac:dyDescent="0.25">
      <c r="A2153" t="s">
        <v>2717</v>
      </c>
      <c r="B2153" t="str">
        <f>MID(tbl_lock[[#This Row],[PACE Job Number]],3,3)</f>
        <v>STX</v>
      </c>
      <c r="C2153" t="s">
        <v>11</v>
      </c>
      <c r="D2153" s="1">
        <v>43429</v>
      </c>
    </row>
    <row r="2154" spans="1:4" x14ac:dyDescent="0.25">
      <c r="A2154" t="s">
        <v>5363</v>
      </c>
      <c r="B2154" t="str">
        <f>MID(tbl_lock[[#This Row],[PACE Job Number]],3,3)</f>
        <v>STX</v>
      </c>
      <c r="C2154" t="s">
        <v>11</v>
      </c>
      <c r="D2154" s="1">
        <v>43425</v>
      </c>
    </row>
    <row r="2155" spans="1:4" x14ac:dyDescent="0.25">
      <c r="A2155" t="s">
        <v>5364</v>
      </c>
      <c r="B2155" t="str">
        <f>MID(tbl_lock[[#This Row],[PACE Job Number]],3,3)</f>
        <v>STX</v>
      </c>
      <c r="C2155" t="s">
        <v>11</v>
      </c>
      <c r="D2155" s="1">
        <v>43425</v>
      </c>
    </row>
    <row r="2156" spans="1:4" x14ac:dyDescent="0.25">
      <c r="A2156" t="s">
        <v>3269</v>
      </c>
      <c r="B2156" t="str">
        <f>MID(tbl_lock[[#This Row],[PACE Job Number]],3,3)</f>
        <v>STX</v>
      </c>
      <c r="C2156" t="s">
        <v>11</v>
      </c>
      <c r="D2156" s="1">
        <v>43428</v>
      </c>
    </row>
    <row r="2157" spans="1:4" x14ac:dyDescent="0.25">
      <c r="A2157" t="s">
        <v>5228</v>
      </c>
      <c r="B2157" t="str">
        <f>MID(tbl_lock[[#This Row],[PACE Job Number]],3,3)</f>
        <v>WSH</v>
      </c>
      <c r="C2157" t="s">
        <v>11</v>
      </c>
      <c r="D2157" s="1">
        <v>43424</v>
      </c>
    </row>
    <row r="2158" spans="1:4" x14ac:dyDescent="0.25">
      <c r="A2158" t="s">
        <v>5229</v>
      </c>
      <c r="B2158" t="str">
        <f>MID(tbl_lock[[#This Row],[PACE Job Number]],3,3)</f>
        <v>WSH</v>
      </c>
      <c r="C2158" t="s">
        <v>11</v>
      </c>
      <c r="D2158" s="1">
        <v>43434</v>
      </c>
    </row>
    <row r="2159" spans="1:4" x14ac:dyDescent="0.25">
      <c r="A2159" t="s">
        <v>5231</v>
      </c>
      <c r="B2159" t="str">
        <f>MID(tbl_lock[[#This Row],[PACE Job Number]],3,3)</f>
        <v>WSH</v>
      </c>
      <c r="C2159" t="s">
        <v>11</v>
      </c>
      <c r="D2159" s="1">
        <v>43420</v>
      </c>
    </row>
    <row r="2160" spans="1:4" x14ac:dyDescent="0.25">
      <c r="A2160" t="s">
        <v>4259</v>
      </c>
      <c r="B2160" t="str">
        <f>MID(tbl_lock[[#This Row],[PACE Job Number]],3,3)</f>
        <v>WSH</v>
      </c>
      <c r="C2160" t="s">
        <v>11</v>
      </c>
      <c r="D2160" s="1">
        <v>43406</v>
      </c>
    </row>
    <row r="2161" spans="1:4" x14ac:dyDescent="0.25">
      <c r="A2161" t="s">
        <v>4260</v>
      </c>
      <c r="B2161" t="str">
        <f>MID(tbl_lock[[#This Row],[PACE Job Number]],3,3)</f>
        <v>WSH</v>
      </c>
      <c r="C2161" t="s">
        <v>11</v>
      </c>
      <c r="D2161" s="1">
        <v>43412</v>
      </c>
    </row>
    <row r="2162" spans="1:4" x14ac:dyDescent="0.25">
      <c r="A2162" t="s">
        <v>4261</v>
      </c>
      <c r="B2162" t="str">
        <f>MID(tbl_lock[[#This Row],[PACE Job Number]],3,3)</f>
        <v>WSH</v>
      </c>
      <c r="C2162" t="s">
        <v>11</v>
      </c>
      <c r="D2162" s="1">
        <v>43419</v>
      </c>
    </row>
    <row r="2163" spans="1:4" x14ac:dyDescent="0.25">
      <c r="A2163" t="s">
        <v>157</v>
      </c>
      <c r="B2163" t="str">
        <f>MID(tbl_lock[[#This Row],[PACE Job Number]],3,3)</f>
        <v>WSH</v>
      </c>
      <c r="C2163" t="s">
        <v>11</v>
      </c>
      <c r="D2163" s="1">
        <v>43409</v>
      </c>
    </row>
    <row r="2164" spans="1:4" x14ac:dyDescent="0.25">
      <c r="A2164" t="s">
        <v>5232</v>
      </c>
      <c r="B2164" t="str">
        <f>MID(tbl_lock[[#This Row],[PACE Job Number]],3,3)</f>
        <v>WSH</v>
      </c>
      <c r="C2164" t="s">
        <v>11</v>
      </c>
      <c r="D2164" s="1">
        <v>43424</v>
      </c>
    </row>
    <row r="2165" spans="1:4" x14ac:dyDescent="0.25">
      <c r="A2165" t="s">
        <v>323</v>
      </c>
      <c r="B2165" t="str">
        <f>MID(tbl_lock[[#This Row],[PACE Job Number]],3,3)</f>
        <v>WSH</v>
      </c>
      <c r="C2165" t="s">
        <v>11</v>
      </c>
      <c r="D2165" s="1">
        <v>43424</v>
      </c>
    </row>
    <row r="2166" spans="1:4" x14ac:dyDescent="0.25">
      <c r="A2166" t="s">
        <v>5233</v>
      </c>
      <c r="B2166" t="str">
        <f>MID(tbl_lock[[#This Row],[PACE Job Number]],3,3)</f>
        <v>WSH</v>
      </c>
      <c r="C2166" t="s">
        <v>11</v>
      </c>
      <c r="D2166" s="1">
        <v>43424</v>
      </c>
    </row>
    <row r="2167" spans="1:4" x14ac:dyDescent="0.25">
      <c r="A2167" t="s">
        <v>3928</v>
      </c>
      <c r="B2167" t="str">
        <f>MID(tbl_lock[[#This Row],[PACE Job Number]],3,3)</f>
        <v>WSH</v>
      </c>
      <c r="C2167" t="s">
        <v>11</v>
      </c>
      <c r="D2167" s="1">
        <v>43411</v>
      </c>
    </row>
    <row r="2168" spans="1:4" x14ac:dyDescent="0.25">
      <c r="A2168" t="s">
        <v>2372</v>
      </c>
      <c r="B2168" t="str">
        <f>MID(tbl_lock[[#This Row],[PACE Job Number]],3,3)</f>
        <v>NTX</v>
      </c>
      <c r="C2168" t="s">
        <v>11</v>
      </c>
      <c r="D2168" s="1">
        <v>43432</v>
      </c>
    </row>
    <row r="2169" spans="1:4" x14ac:dyDescent="0.25">
      <c r="A2169" t="s">
        <v>4348</v>
      </c>
      <c r="B2169" t="str">
        <f>MID(tbl_lock[[#This Row],[PACE Job Number]],3,3)</f>
        <v>NTX</v>
      </c>
      <c r="C2169" t="s">
        <v>11</v>
      </c>
      <c r="D2169" s="1">
        <v>43420</v>
      </c>
    </row>
    <row r="2170" spans="1:4" x14ac:dyDescent="0.25">
      <c r="A2170" t="s">
        <v>199</v>
      </c>
      <c r="B2170" t="str">
        <f>MID(tbl_lock[[#This Row],[PACE Job Number]],3,3)</f>
        <v>NTX</v>
      </c>
      <c r="C2170" t="s">
        <v>11</v>
      </c>
      <c r="D2170" s="1">
        <v>43406</v>
      </c>
    </row>
    <row r="2171" spans="1:4" x14ac:dyDescent="0.25">
      <c r="A2171" t="s">
        <v>1815</v>
      </c>
      <c r="B2171" t="str">
        <f>MID(tbl_lock[[#This Row],[PACE Job Number]],3,3)</f>
        <v>NTX</v>
      </c>
      <c r="C2171" t="s">
        <v>11</v>
      </c>
      <c r="D2171" s="1">
        <v>43430</v>
      </c>
    </row>
    <row r="2172" spans="1:4" x14ac:dyDescent="0.25">
      <c r="A2172" t="s">
        <v>1816</v>
      </c>
      <c r="B2172" t="str">
        <f>MID(tbl_lock[[#This Row],[PACE Job Number]],3,3)</f>
        <v>NTX</v>
      </c>
      <c r="C2172" t="s">
        <v>11</v>
      </c>
      <c r="D2172" s="1">
        <v>43430</v>
      </c>
    </row>
    <row r="2173" spans="1:4" x14ac:dyDescent="0.25">
      <c r="A2173" t="s">
        <v>2374</v>
      </c>
      <c r="B2173" t="str">
        <f>MID(tbl_lock[[#This Row],[PACE Job Number]],3,3)</f>
        <v>NTX</v>
      </c>
      <c r="C2173" t="s">
        <v>11</v>
      </c>
      <c r="D2173" s="1">
        <v>43423</v>
      </c>
    </row>
    <row r="2174" spans="1:4" x14ac:dyDescent="0.25">
      <c r="A2174" t="s">
        <v>4349</v>
      </c>
      <c r="B2174" t="str">
        <f>MID(tbl_lock[[#This Row],[PACE Job Number]],3,3)</f>
        <v>NTX</v>
      </c>
      <c r="C2174" t="s">
        <v>11</v>
      </c>
      <c r="D2174" s="1">
        <v>43427</v>
      </c>
    </row>
    <row r="2175" spans="1:4" x14ac:dyDescent="0.25">
      <c r="A2175" t="s">
        <v>2375</v>
      </c>
      <c r="B2175" t="str">
        <f>MID(tbl_lock[[#This Row],[PACE Job Number]],3,3)</f>
        <v>NTX</v>
      </c>
      <c r="C2175" t="s">
        <v>11</v>
      </c>
      <c r="D2175" s="1">
        <v>43423</v>
      </c>
    </row>
    <row r="2176" spans="1:4" x14ac:dyDescent="0.25">
      <c r="A2176" t="s">
        <v>2376</v>
      </c>
      <c r="B2176" t="str">
        <f>MID(tbl_lock[[#This Row],[PACE Job Number]],3,3)</f>
        <v>NTX</v>
      </c>
      <c r="C2176" t="s">
        <v>11</v>
      </c>
      <c r="D2176" s="1">
        <v>43430</v>
      </c>
    </row>
    <row r="2177" spans="1:4" x14ac:dyDescent="0.25">
      <c r="A2177" t="s">
        <v>4350</v>
      </c>
      <c r="B2177" t="str">
        <f>MID(tbl_lock[[#This Row],[PACE Job Number]],3,3)</f>
        <v>NTX</v>
      </c>
      <c r="C2177" t="s">
        <v>11</v>
      </c>
      <c r="D2177" s="1">
        <v>43427</v>
      </c>
    </row>
    <row r="2178" spans="1:4" x14ac:dyDescent="0.25">
      <c r="A2178" t="s">
        <v>5365</v>
      </c>
      <c r="B2178" t="str">
        <f>MID(tbl_lock[[#This Row],[PACE Job Number]],3,3)</f>
        <v>NTX</v>
      </c>
      <c r="C2178" t="s">
        <v>11</v>
      </c>
      <c r="D2178" s="1">
        <v>43433</v>
      </c>
    </row>
    <row r="2179" spans="1:4" x14ac:dyDescent="0.25">
      <c r="A2179" t="s">
        <v>144</v>
      </c>
      <c r="B2179" t="str">
        <f>MID(tbl_lock[[#This Row],[PACE Job Number]],3,3)</f>
        <v>NTX</v>
      </c>
      <c r="C2179" t="s">
        <v>11</v>
      </c>
      <c r="D2179" s="1">
        <v>43430</v>
      </c>
    </row>
    <row r="2180" spans="1:4" x14ac:dyDescent="0.25">
      <c r="A2180" t="s">
        <v>278</v>
      </c>
      <c r="B2180" t="str">
        <f>MID(tbl_lock[[#This Row],[PACE Job Number]],3,3)</f>
        <v>NTX</v>
      </c>
      <c r="C2180" t="s">
        <v>11</v>
      </c>
      <c r="D2180" s="1">
        <v>43423</v>
      </c>
    </row>
    <row r="2181" spans="1:4" x14ac:dyDescent="0.25">
      <c r="A2181" t="s">
        <v>4351</v>
      </c>
      <c r="B2181" t="str">
        <f>MID(tbl_lock[[#This Row],[PACE Job Number]],3,3)</f>
        <v>NTX</v>
      </c>
      <c r="C2181" t="s">
        <v>11</v>
      </c>
      <c r="D2181" s="1">
        <v>43427</v>
      </c>
    </row>
    <row r="2182" spans="1:4" x14ac:dyDescent="0.25">
      <c r="A2182" t="s">
        <v>3931</v>
      </c>
      <c r="B2182" t="str">
        <f>MID(tbl_lock[[#This Row],[PACE Job Number]],3,3)</f>
        <v>NTX</v>
      </c>
      <c r="C2182" t="s">
        <v>11</v>
      </c>
      <c r="D2182" s="1">
        <v>43420</v>
      </c>
    </row>
    <row r="2183" spans="1:4" x14ac:dyDescent="0.25">
      <c r="A2183" t="s">
        <v>2379</v>
      </c>
      <c r="B2183" t="str">
        <f>MID(tbl_lock[[#This Row],[PACE Job Number]],3,3)</f>
        <v>NTX</v>
      </c>
      <c r="C2183" t="s">
        <v>11</v>
      </c>
      <c r="D2183" s="1">
        <v>43430</v>
      </c>
    </row>
    <row r="2184" spans="1:4" x14ac:dyDescent="0.25">
      <c r="A2184" t="s">
        <v>4352</v>
      </c>
      <c r="B2184" t="str">
        <f>MID(tbl_lock[[#This Row],[PACE Job Number]],3,3)</f>
        <v>NTX</v>
      </c>
      <c r="C2184" t="s">
        <v>11</v>
      </c>
      <c r="D2184" s="1">
        <v>43427</v>
      </c>
    </row>
    <row r="2185" spans="1:4" x14ac:dyDescent="0.25">
      <c r="A2185" t="s">
        <v>98</v>
      </c>
      <c r="B2185" t="str">
        <f>MID(tbl_lock[[#This Row],[PACE Job Number]],3,3)</f>
        <v>NTX</v>
      </c>
      <c r="C2185" t="s">
        <v>11</v>
      </c>
      <c r="D2185" s="1">
        <v>43420</v>
      </c>
    </row>
    <row r="2186" spans="1:4" x14ac:dyDescent="0.25">
      <c r="A2186" t="s">
        <v>69</v>
      </c>
      <c r="B2186" t="str">
        <f>MID(tbl_lock[[#This Row],[PACE Job Number]],3,3)</f>
        <v>NTX</v>
      </c>
      <c r="C2186" t="s">
        <v>11</v>
      </c>
      <c r="D2186" s="1">
        <v>43430</v>
      </c>
    </row>
    <row r="2187" spans="1:4" x14ac:dyDescent="0.25">
      <c r="A2187" t="s">
        <v>4347</v>
      </c>
      <c r="B2187" t="str">
        <f>MID(tbl_lock[[#This Row],[PACE Job Number]],3,3)</f>
        <v>STX</v>
      </c>
      <c r="C2187" t="s">
        <v>11</v>
      </c>
      <c r="D2187" s="1">
        <v>43425</v>
      </c>
    </row>
    <row r="2188" spans="1:4" x14ac:dyDescent="0.25">
      <c r="A2188" t="s">
        <v>4135</v>
      </c>
      <c r="B2188" t="str">
        <f>MID(tbl_lock[[#This Row],[PACE Job Number]],3,3)</f>
        <v>STX</v>
      </c>
      <c r="C2188" t="s">
        <v>11</v>
      </c>
      <c r="D2188" s="1">
        <v>43426</v>
      </c>
    </row>
    <row r="2189" spans="1:4" x14ac:dyDescent="0.25">
      <c r="A2189" t="s">
        <v>4136</v>
      </c>
      <c r="B2189" t="str">
        <f>MID(tbl_lock[[#This Row],[PACE Job Number]],3,3)</f>
        <v>STX</v>
      </c>
      <c r="C2189" t="s">
        <v>11</v>
      </c>
      <c r="D2189" s="1">
        <v>43426</v>
      </c>
    </row>
    <row r="2190" spans="1:4" x14ac:dyDescent="0.25">
      <c r="A2190" t="s">
        <v>566</v>
      </c>
      <c r="B2190" t="str">
        <f>MID(tbl_lock[[#This Row],[PACE Job Number]],3,3)</f>
        <v>STX</v>
      </c>
      <c r="C2190" t="s">
        <v>11</v>
      </c>
      <c r="D2190" s="1">
        <v>43428</v>
      </c>
    </row>
    <row r="2191" spans="1:4" x14ac:dyDescent="0.25">
      <c r="A2191" t="s">
        <v>5234</v>
      </c>
      <c r="B2191" t="str">
        <f>MID(tbl_lock[[#This Row],[PACE Job Number]],3,3)</f>
        <v>WSH</v>
      </c>
      <c r="C2191" t="s">
        <v>11</v>
      </c>
      <c r="D2191" s="1">
        <v>43424</v>
      </c>
    </row>
    <row r="2192" spans="1:4" x14ac:dyDescent="0.25">
      <c r="A2192" t="s">
        <v>5235</v>
      </c>
      <c r="B2192" t="str">
        <f>MID(tbl_lock[[#This Row],[PACE Job Number]],3,3)</f>
        <v>WSH</v>
      </c>
      <c r="C2192" t="s">
        <v>11</v>
      </c>
      <c r="D2192" s="1">
        <v>43424</v>
      </c>
    </row>
    <row r="2193" spans="1:4" x14ac:dyDescent="0.25">
      <c r="A2193" t="s">
        <v>3929</v>
      </c>
      <c r="B2193" t="str">
        <f>MID(tbl_lock[[#This Row],[PACE Job Number]],3,3)</f>
        <v>WSH</v>
      </c>
      <c r="C2193" t="s">
        <v>11</v>
      </c>
      <c r="D2193" s="1">
        <v>43411</v>
      </c>
    </row>
    <row r="2194" spans="1:4" x14ac:dyDescent="0.25">
      <c r="A2194" t="s">
        <v>5237</v>
      </c>
      <c r="B2194" t="str">
        <f>MID(tbl_lock[[#This Row],[PACE Job Number]],3,3)</f>
        <v>WSH</v>
      </c>
      <c r="C2194" t="s">
        <v>11</v>
      </c>
      <c r="D2194" s="1">
        <v>43424</v>
      </c>
    </row>
    <row r="2195" spans="1:4" x14ac:dyDescent="0.25">
      <c r="A2195" t="s">
        <v>3848</v>
      </c>
      <c r="B2195" t="str">
        <f>MID(tbl_lock[[#This Row],[PACE Job Number]],3,3)</f>
        <v>WSH</v>
      </c>
      <c r="C2195" t="s">
        <v>11</v>
      </c>
      <c r="D2195" s="1">
        <v>43411</v>
      </c>
    </row>
    <row r="2196" spans="1:4" x14ac:dyDescent="0.25">
      <c r="A2196" t="s">
        <v>3849</v>
      </c>
      <c r="B2196" t="str">
        <f>MID(tbl_lock[[#This Row],[PACE Job Number]],3,3)</f>
        <v>WSH</v>
      </c>
      <c r="C2196" t="s">
        <v>11</v>
      </c>
      <c r="D2196" s="1">
        <v>43406</v>
      </c>
    </row>
    <row r="2197" spans="1:4" x14ac:dyDescent="0.25">
      <c r="A2197" t="s">
        <v>255</v>
      </c>
      <c r="B2197" t="str">
        <f>MID(tbl_lock[[#This Row],[PACE Job Number]],3,3)</f>
        <v>WSH</v>
      </c>
      <c r="C2197" t="s">
        <v>11</v>
      </c>
      <c r="D2197" s="1">
        <v>43424</v>
      </c>
    </row>
    <row r="2198" spans="1:4" x14ac:dyDescent="0.25">
      <c r="A2198" t="s">
        <v>5243</v>
      </c>
      <c r="B2198" t="str">
        <f>MID(tbl_lock[[#This Row],[PACE Job Number]],3,3)</f>
        <v>WSH</v>
      </c>
      <c r="C2198" t="s">
        <v>11</v>
      </c>
      <c r="D2198" s="1">
        <v>43424</v>
      </c>
    </row>
    <row r="2199" spans="1:4" x14ac:dyDescent="0.25">
      <c r="A2199" t="s">
        <v>5485</v>
      </c>
      <c r="B2199" t="str">
        <f>MID(tbl_lock[[#This Row],[PACE Job Number]],3,3)</f>
        <v>WSH</v>
      </c>
      <c r="C2199" t="s">
        <v>11</v>
      </c>
      <c r="D2199" s="1">
        <v>43413</v>
      </c>
    </row>
    <row r="2200" spans="1:4" x14ac:dyDescent="0.25">
      <c r="A2200" t="s">
        <v>5244</v>
      </c>
      <c r="B2200" t="str">
        <f>MID(tbl_lock[[#This Row],[PACE Job Number]],3,3)</f>
        <v>WSH</v>
      </c>
      <c r="C2200" t="s">
        <v>11</v>
      </c>
      <c r="D2200" s="1">
        <v>43434</v>
      </c>
    </row>
    <row r="2201" spans="1:4" x14ac:dyDescent="0.25">
      <c r="A2201" t="s">
        <v>5245</v>
      </c>
      <c r="B2201" t="str">
        <f>MID(tbl_lock[[#This Row],[PACE Job Number]],3,3)</f>
        <v>WSH</v>
      </c>
      <c r="C2201" t="s">
        <v>11</v>
      </c>
      <c r="D2201" s="1">
        <v>43424</v>
      </c>
    </row>
    <row r="2202" spans="1:4" x14ac:dyDescent="0.25">
      <c r="A2202" t="s">
        <v>3853</v>
      </c>
      <c r="B2202" t="str">
        <f>MID(tbl_lock[[#This Row],[PACE Job Number]],3,3)</f>
        <v>WSH</v>
      </c>
      <c r="C2202" t="s">
        <v>11</v>
      </c>
      <c r="D2202" s="1">
        <v>43405</v>
      </c>
    </row>
    <row r="2203" spans="1:4" x14ac:dyDescent="0.25">
      <c r="A2203" t="s">
        <v>3854</v>
      </c>
      <c r="B2203" t="str">
        <f>MID(tbl_lock[[#This Row],[PACE Job Number]],3,3)</f>
        <v>WSH</v>
      </c>
      <c r="C2203" t="s">
        <v>11</v>
      </c>
      <c r="D2203" s="1">
        <v>43424</v>
      </c>
    </row>
    <row r="2204" spans="1:4" x14ac:dyDescent="0.25">
      <c r="A2204" t="s">
        <v>5486</v>
      </c>
      <c r="B2204" t="str">
        <f>MID(tbl_lock[[#This Row],[PACE Job Number]],3,3)</f>
        <v>WSH</v>
      </c>
      <c r="C2204" t="s">
        <v>11</v>
      </c>
      <c r="D2204" s="1">
        <v>43413</v>
      </c>
    </row>
    <row r="2205" spans="1:4" x14ac:dyDescent="0.25">
      <c r="A2205" t="s">
        <v>3776</v>
      </c>
      <c r="B2205" t="str">
        <f>MID(tbl_lock[[#This Row],[PACE Job Number]],3,3)</f>
        <v>WSH</v>
      </c>
      <c r="C2205" t="s">
        <v>11</v>
      </c>
      <c r="D2205" s="1">
        <v>43420</v>
      </c>
    </row>
    <row r="2206" spans="1:4" x14ac:dyDescent="0.25">
      <c r="A2206" t="s">
        <v>5246</v>
      </c>
      <c r="B2206" t="str">
        <f>MID(tbl_lock[[#This Row],[PACE Job Number]],3,3)</f>
        <v>WSH</v>
      </c>
      <c r="C2206" t="s">
        <v>11</v>
      </c>
      <c r="D2206" s="1">
        <v>43420</v>
      </c>
    </row>
    <row r="2207" spans="1:4" x14ac:dyDescent="0.25">
      <c r="A2207" t="s">
        <v>3857</v>
      </c>
      <c r="B2207" t="str">
        <f>MID(tbl_lock[[#This Row],[PACE Job Number]],3,3)</f>
        <v>WSH</v>
      </c>
      <c r="C2207" t="s">
        <v>11</v>
      </c>
      <c r="D2207" s="1">
        <v>43424</v>
      </c>
    </row>
    <row r="2208" spans="1:4" x14ac:dyDescent="0.25">
      <c r="A2208" t="s">
        <v>3858</v>
      </c>
      <c r="B2208" t="str">
        <f>MID(tbl_lock[[#This Row],[PACE Job Number]],3,3)</f>
        <v>WSH</v>
      </c>
      <c r="C2208" t="s">
        <v>11</v>
      </c>
      <c r="D2208" s="1">
        <v>43411</v>
      </c>
    </row>
    <row r="2209" spans="1:4" x14ac:dyDescent="0.25">
      <c r="A2209" t="s">
        <v>3859</v>
      </c>
      <c r="B2209" t="str">
        <f>MID(tbl_lock[[#This Row],[PACE Job Number]],3,3)</f>
        <v>WSH</v>
      </c>
      <c r="C2209" t="s">
        <v>11</v>
      </c>
      <c r="D2209" s="1">
        <v>43405</v>
      </c>
    </row>
    <row r="2210" spans="1:4" x14ac:dyDescent="0.25">
      <c r="A2210" t="s">
        <v>3861</v>
      </c>
      <c r="B2210" t="str">
        <f>MID(tbl_lock[[#This Row],[PACE Job Number]],3,3)</f>
        <v>WSH</v>
      </c>
      <c r="C2210" t="s">
        <v>11</v>
      </c>
      <c r="D2210" s="1">
        <v>43424</v>
      </c>
    </row>
    <row r="2211" spans="1:4" x14ac:dyDescent="0.25">
      <c r="A2211" t="s">
        <v>1663</v>
      </c>
      <c r="B2211" t="str">
        <f>MID(tbl_lock[[#This Row],[PACE Job Number]],3,3)</f>
        <v>NTX</v>
      </c>
      <c r="C2211" t="s">
        <v>11</v>
      </c>
      <c r="D2211" s="1">
        <v>43426</v>
      </c>
    </row>
    <row r="2212" spans="1:4" x14ac:dyDescent="0.25">
      <c r="A2212" t="s">
        <v>349</v>
      </c>
      <c r="B2212" t="str">
        <f>MID(tbl_lock[[#This Row],[PACE Job Number]],3,3)</f>
        <v>ANM</v>
      </c>
      <c r="C2212" t="s">
        <v>11</v>
      </c>
      <c r="D2212" s="1">
        <v>43420</v>
      </c>
    </row>
    <row r="2213" spans="1:4" x14ac:dyDescent="0.25">
      <c r="A2213" t="s">
        <v>33</v>
      </c>
      <c r="B2213" t="str">
        <f>MID(tbl_lock[[#This Row],[PACE Job Number]],3,3)</f>
        <v>STX</v>
      </c>
      <c r="C2213" t="s">
        <v>11</v>
      </c>
      <c r="D2213" s="1">
        <v>43425</v>
      </c>
    </row>
    <row r="2214" spans="1:4" x14ac:dyDescent="0.25">
      <c r="A2214" t="s">
        <v>30</v>
      </c>
      <c r="B2214" t="str">
        <f>MID(tbl_lock[[#This Row],[PACE Job Number]],3,3)</f>
        <v>STX</v>
      </c>
      <c r="C2214" t="s">
        <v>11</v>
      </c>
      <c r="D2214" s="1">
        <v>43425</v>
      </c>
    </row>
    <row r="2215" spans="1:4" x14ac:dyDescent="0.25">
      <c r="A2215" t="s">
        <v>253</v>
      </c>
      <c r="B2215" t="str">
        <f>MID(tbl_lock[[#This Row],[PACE Job Number]],3,3)</f>
        <v>STX</v>
      </c>
      <c r="C2215" t="s">
        <v>11</v>
      </c>
      <c r="D2215" s="1">
        <v>43425</v>
      </c>
    </row>
    <row r="2216" spans="1:4" x14ac:dyDescent="0.25">
      <c r="A2216" t="s">
        <v>4354</v>
      </c>
      <c r="B2216" t="str">
        <f>MID(tbl_lock[[#This Row],[PACE Job Number]],3,3)</f>
        <v>STX</v>
      </c>
      <c r="C2216" t="s">
        <v>11</v>
      </c>
      <c r="D2216" s="1">
        <v>43428</v>
      </c>
    </row>
    <row r="2217" spans="1:4" x14ac:dyDescent="0.25">
      <c r="A2217" t="s">
        <v>573</v>
      </c>
      <c r="B2217" t="str">
        <f>MID(tbl_lock[[#This Row],[PACE Job Number]],3,3)</f>
        <v>STX</v>
      </c>
      <c r="C2217" t="s">
        <v>11</v>
      </c>
      <c r="D2217" s="1">
        <v>43428</v>
      </c>
    </row>
    <row r="2218" spans="1:4" x14ac:dyDescent="0.25">
      <c r="A2218" t="s">
        <v>3114</v>
      </c>
      <c r="B2218" t="str">
        <f>MID(tbl_lock[[#This Row],[PACE Job Number]],3,3)</f>
        <v>STX</v>
      </c>
      <c r="C2218" t="s">
        <v>11</v>
      </c>
      <c r="D2218" s="1">
        <v>43428</v>
      </c>
    </row>
    <row r="2219" spans="1:4" x14ac:dyDescent="0.25">
      <c r="A2219" t="s">
        <v>723</v>
      </c>
      <c r="B2219" t="str">
        <f>MID(tbl_lock[[#This Row],[PACE Job Number]],3,3)</f>
        <v>STX</v>
      </c>
      <c r="C2219" t="s">
        <v>11</v>
      </c>
      <c r="D2219" s="1">
        <v>43428</v>
      </c>
    </row>
    <row r="2220" spans="1:4" x14ac:dyDescent="0.25">
      <c r="A2220" t="s">
        <v>3104</v>
      </c>
      <c r="B2220" t="str">
        <f>MID(tbl_lock[[#This Row],[PACE Job Number]],3,3)</f>
        <v>STX</v>
      </c>
      <c r="C2220" t="s">
        <v>11</v>
      </c>
      <c r="D2220" s="1">
        <v>43428</v>
      </c>
    </row>
    <row r="2221" spans="1:4" x14ac:dyDescent="0.25">
      <c r="A2221" t="s">
        <v>1705</v>
      </c>
      <c r="B2221" t="str">
        <f>MID(tbl_lock[[#This Row],[PACE Job Number]],3,3)</f>
        <v>STX</v>
      </c>
      <c r="C2221" t="s">
        <v>11</v>
      </c>
      <c r="D2221" s="1">
        <v>43425</v>
      </c>
    </row>
    <row r="2222" spans="1:4" x14ac:dyDescent="0.25">
      <c r="A2222" t="s">
        <v>5366</v>
      </c>
      <c r="B2222" t="str">
        <f>MID(tbl_lock[[#This Row],[PACE Job Number]],3,3)</f>
        <v>STX</v>
      </c>
      <c r="C2222" t="s">
        <v>11</v>
      </c>
      <c r="D2222" s="1">
        <v>43425</v>
      </c>
    </row>
    <row r="2223" spans="1:4" x14ac:dyDescent="0.25">
      <c r="A2223" t="s">
        <v>4356</v>
      </c>
      <c r="B2223" t="str">
        <f>MID(tbl_lock[[#This Row],[PACE Job Number]],3,3)</f>
        <v>STX</v>
      </c>
      <c r="C2223" t="s">
        <v>11</v>
      </c>
      <c r="D2223" s="1">
        <v>43425</v>
      </c>
    </row>
    <row r="2224" spans="1:4" x14ac:dyDescent="0.25">
      <c r="A2224" t="s">
        <v>4357</v>
      </c>
      <c r="B2224" t="str">
        <f>MID(tbl_lock[[#This Row],[PACE Job Number]],3,3)</f>
        <v>STX</v>
      </c>
      <c r="C2224" t="s">
        <v>11</v>
      </c>
      <c r="D2224" s="1">
        <v>43425</v>
      </c>
    </row>
    <row r="2225" spans="1:4" x14ac:dyDescent="0.25">
      <c r="A2225" t="s">
        <v>312</v>
      </c>
      <c r="B2225" t="str">
        <f>MID(tbl_lock[[#This Row],[PACE Job Number]],3,3)</f>
        <v>STX</v>
      </c>
      <c r="C2225" t="s">
        <v>11</v>
      </c>
      <c r="D2225" s="1">
        <v>43423</v>
      </c>
    </row>
    <row r="2226" spans="1:4" x14ac:dyDescent="0.25">
      <c r="A2226" t="s">
        <v>1749</v>
      </c>
      <c r="B2226" t="str">
        <f>MID(tbl_lock[[#This Row],[PACE Job Number]],3,3)</f>
        <v>NTX</v>
      </c>
      <c r="C2226" t="s">
        <v>11</v>
      </c>
      <c r="D2226" s="1">
        <v>43430</v>
      </c>
    </row>
    <row r="2227" spans="1:4" x14ac:dyDescent="0.25">
      <c r="A2227" t="s">
        <v>3422</v>
      </c>
      <c r="B2227" t="str">
        <f>MID(tbl_lock[[#This Row],[PACE Job Number]],3,3)</f>
        <v>NTX</v>
      </c>
      <c r="C2227" t="s">
        <v>11</v>
      </c>
      <c r="D2227" s="1">
        <v>43407</v>
      </c>
    </row>
    <row r="2228" spans="1:4" x14ac:dyDescent="0.25">
      <c r="A2228" t="s">
        <v>3498</v>
      </c>
      <c r="B2228" t="str">
        <f>MID(tbl_lock[[#This Row],[PACE Job Number]],3,3)</f>
        <v>NTX</v>
      </c>
      <c r="C2228" t="s">
        <v>11</v>
      </c>
      <c r="D2228" s="1">
        <v>43409</v>
      </c>
    </row>
    <row r="2229" spans="1:4" x14ac:dyDescent="0.25">
      <c r="A2229" t="s">
        <v>5368</v>
      </c>
      <c r="B2229" t="str">
        <f>MID(tbl_lock[[#This Row],[PACE Job Number]],3,3)</f>
        <v>NTX</v>
      </c>
      <c r="C2229" t="s">
        <v>11</v>
      </c>
      <c r="D2229" s="1">
        <v>43420</v>
      </c>
    </row>
    <row r="2230" spans="1:4" x14ac:dyDescent="0.25">
      <c r="A2230" t="s">
        <v>2347</v>
      </c>
      <c r="B2230" t="str">
        <f>MID(tbl_lock[[#This Row],[PACE Job Number]],3,3)</f>
        <v>NTX</v>
      </c>
      <c r="C2230" t="s">
        <v>11</v>
      </c>
      <c r="D2230" s="1">
        <v>43420</v>
      </c>
    </row>
    <row r="2231" spans="1:4" x14ac:dyDescent="0.25">
      <c r="A2231" t="s">
        <v>516</v>
      </c>
      <c r="B2231" t="str">
        <f>MID(tbl_lock[[#This Row],[PACE Job Number]],3,3)</f>
        <v>NTX</v>
      </c>
      <c r="C2231" t="s">
        <v>11</v>
      </c>
      <c r="D2231" s="1">
        <v>43409</v>
      </c>
    </row>
    <row r="2232" spans="1:4" x14ac:dyDescent="0.25">
      <c r="A2232" t="s">
        <v>1755</v>
      </c>
      <c r="B2232" t="str">
        <f>MID(tbl_lock[[#This Row],[PACE Job Number]],3,3)</f>
        <v>NTX</v>
      </c>
      <c r="C2232" t="s">
        <v>11</v>
      </c>
      <c r="D2232" s="1">
        <v>43430</v>
      </c>
    </row>
    <row r="2233" spans="1:4" x14ac:dyDescent="0.25">
      <c r="A2233" t="s">
        <v>5487</v>
      </c>
      <c r="B2233" t="str">
        <f>MID(tbl_lock[[#This Row],[PACE Job Number]],3,3)</f>
        <v>NTX</v>
      </c>
      <c r="C2233" t="s">
        <v>11</v>
      </c>
      <c r="D2233" s="1">
        <v>43423</v>
      </c>
    </row>
    <row r="2234" spans="1:4" x14ac:dyDescent="0.25">
      <c r="A2234" t="s">
        <v>3434</v>
      </c>
      <c r="B2234" t="str">
        <f>MID(tbl_lock[[#This Row],[PACE Job Number]],3,3)</f>
        <v>NTX</v>
      </c>
      <c r="C2234" t="s">
        <v>11</v>
      </c>
      <c r="D2234" s="1">
        <v>43407</v>
      </c>
    </row>
    <row r="2235" spans="1:4" x14ac:dyDescent="0.25">
      <c r="A2235" t="s">
        <v>343</v>
      </c>
      <c r="B2235" t="str">
        <f>MID(tbl_lock[[#This Row],[PACE Job Number]],3,3)</f>
        <v>NTX</v>
      </c>
      <c r="C2235" t="s">
        <v>11</v>
      </c>
      <c r="D2235" s="1">
        <v>43430</v>
      </c>
    </row>
    <row r="2236" spans="1:4" x14ac:dyDescent="0.25">
      <c r="A2236" t="s">
        <v>1758</v>
      </c>
      <c r="B2236" t="str">
        <f>MID(tbl_lock[[#This Row],[PACE Job Number]],3,3)</f>
        <v>NTX</v>
      </c>
      <c r="C2236" t="s">
        <v>11</v>
      </c>
      <c r="D2236" s="1">
        <v>43430</v>
      </c>
    </row>
    <row r="2237" spans="1:4" x14ac:dyDescent="0.25">
      <c r="A2237" t="s">
        <v>5488</v>
      </c>
      <c r="B2237" t="str">
        <f>MID(tbl_lock[[#This Row],[PACE Job Number]],3,3)</f>
        <v>NTX</v>
      </c>
      <c r="C2237" t="s">
        <v>11</v>
      </c>
      <c r="D2237" s="1">
        <v>43423</v>
      </c>
    </row>
    <row r="2238" spans="1:4" x14ac:dyDescent="0.25">
      <c r="A2238" t="s">
        <v>291</v>
      </c>
      <c r="B2238" t="str">
        <f>MID(tbl_lock[[#This Row],[PACE Job Number]],3,3)</f>
        <v>NTX</v>
      </c>
      <c r="C2238" t="s">
        <v>11</v>
      </c>
      <c r="D2238" s="1">
        <v>43430</v>
      </c>
    </row>
    <row r="2239" spans="1:4" x14ac:dyDescent="0.25">
      <c r="A2239" t="s">
        <v>5489</v>
      </c>
      <c r="B2239" t="str">
        <f>MID(tbl_lock[[#This Row],[PACE Job Number]],3,3)</f>
        <v>NTX</v>
      </c>
      <c r="C2239" t="s">
        <v>11</v>
      </c>
      <c r="D2239" s="1">
        <v>43423</v>
      </c>
    </row>
    <row r="2240" spans="1:4" x14ac:dyDescent="0.25">
      <c r="A2240" t="s">
        <v>5370</v>
      </c>
      <c r="B2240" t="str">
        <f>MID(tbl_lock[[#This Row],[PACE Job Number]],3,3)</f>
        <v>NTX</v>
      </c>
      <c r="C2240" t="s">
        <v>11</v>
      </c>
      <c r="D2240" s="1">
        <v>43423</v>
      </c>
    </row>
    <row r="2241" spans="1:4" x14ac:dyDescent="0.25">
      <c r="A2241" t="s">
        <v>4423</v>
      </c>
      <c r="B2241" t="str">
        <f>MID(tbl_lock[[#This Row],[PACE Job Number]],3,3)</f>
        <v>NTX</v>
      </c>
      <c r="C2241" t="s">
        <v>11</v>
      </c>
      <c r="D2241" s="1">
        <v>43420</v>
      </c>
    </row>
    <row r="2242" spans="1:4" x14ac:dyDescent="0.25">
      <c r="A2242" t="s">
        <v>5371</v>
      </c>
      <c r="B2242" t="str">
        <f>MID(tbl_lock[[#This Row],[PACE Job Number]],3,3)</f>
        <v>NTX</v>
      </c>
      <c r="C2242" t="s">
        <v>11</v>
      </c>
      <c r="D2242" s="1">
        <v>43423</v>
      </c>
    </row>
    <row r="2243" spans="1:4" x14ac:dyDescent="0.25">
      <c r="A2243" t="s">
        <v>446</v>
      </c>
      <c r="B2243" t="str">
        <f>MID(tbl_lock[[#This Row],[PACE Job Number]],3,3)</f>
        <v>NTX</v>
      </c>
      <c r="C2243" t="s">
        <v>11</v>
      </c>
      <c r="D2243" s="1">
        <v>43420</v>
      </c>
    </row>
    <row r="2244" spans="1:4" x14ac:dyDescent="0.25">
      <c r="A2244" t="s">
        <v>4441</v>
      </c>
      <c r="B2244" t="str">
        <f>MID(tbl_lock[[#This Row],[PACE Job Number]],3,3)</f>
        <v>NTX</v>
      </c>
      <c r="C2244" t="s">
        <v>11</v>
      </c>
      <c r="D2244" s="1">
        <v>43423</v>
      </c>
    </row>
    <row r="2245" spans="1:4" x14ac:dyDescent="0.25">
      <c r="A2245" t="s">
        <v>4442</v>
      </c>
      <c r="B2245" t="str">
        <f>MID(tbl_lock[[#This Row],[PACE Job Number]],3,3)</f>
        <v>NTX</v>
      </c>
      <c r="C2245" t="s">
        <v>11</v>
      </c>
      <c r="D2245" s="1">
        <v>43418</v>
      </c>
    </row>
    <row r="2246" spans="1:4" x14ac:dyDescent="0.25">
      <c r="A2246" t="s">
        <v>4443</v>
      </c>
      <c r="B2246" t="str">
        <f>MID(tbl_lock[[#This Row],[PACE Job Number]],3,3)</f>
        <v>NTX</v>
      </c>
      <c r="C2246" t="s">
        <v>11</v>
      </c>
      <c r="D2246" s="1">
        <v>43420</v>
      </c>
    </row>
    <row r="2247" spans="1:4" x14ac:dyDescent="0.25">
      <c r="A2247" t="s">
        <v>4444</v>
      </c>
      <c r="B2247" t="str">
        <f>MID(tbl_lock[[#This Row],[PACE Job Number]],3,3)</f>
        <v>NTX</v>
      </c>
      <c r="C2247" t="s">
        <v>11</v>
      </c>
      <c r="D2247" s="1">
        <v>43413</v>
      </c>
    </row>
    <row r="2248" spans="1:4" x14ac:dyDescent="0.25">
      <c r="A2248" t="s">
        <v>5372</v>
      </c>
      <c r="B2248" t="str">
        <f>MID(tbl_lock[[#This Row],[PACE Job Number]],3,3)</f>
        <v>NTX</v>
      </c>
      <c r="C2248" t="s">
        <v>11</v>
      </c>
      <c r="D2248" s="1">
        <v>43430</v>
      </c>
    </row>
    <row r="2249" spans="1:4" x14ac:dyDescent="0.25">
      <c r="A2249" t="s">
        <v>2437</v>
      </c>
      <c r="B2249" t="str">
        <f>MID(tbl_lock[[#This Row],[PACE Job Number]],3,3)</f>
        <v>NTX</v>
      </c>
      <c r="C2249" t="s">
        <v>11</v>
      </c>
      <c r="D2249" s="1">
        <v>43406</v>
      </c>
    </row>
    <row r="2250" spans="1:4" x14ac:dyDescent="0.25">
      <c r="A2250" t="s">
        <v>4445</v>
      </c>
      <c r="B2250" t="str">
        <f>MID(tbl_lock[[#This Row],[PACE Job Number]],3,3)</f>
        <v>NTX</v>
      </c>
      <c r="C2250" t="s">
        <v>11</v>
      </c>
      <c r="D2250" s="1">
        <v>43427</v>
      </c>
    </row>
    <row r="2251" spans="1:4" x14ac:dyDescent="0.25">
      <c r="A2251" t="s">
        <v>4446</v>
      </c>
      <c r="B2251" t="str">
        <f>MID(tbl_lock[[#This Row],[PACE Job Number]],3,3)</f>
        <v>NTX</v>
      </c>
      <c r="C2251" t="s">
        <v>11</v>
      </c>
      <c r="D2251" s="1">
        <v>43427</v>
      </c>
    </row>
    <row r="2252" spans="1:4" x14ac:dyDescent="0.25">
      <c r="A2252" t="s">
        <v>4447</v>
      </c>
      <c r="B2252" t="str">
        <f>MID(tbl_lock[[#This Row],[PACE Job Number]],3,3)</f>
        <v>NTX</v>
      </c>
      <c r="C2252" t="s">
        <v>11</v>
      </c>
      <c r="D2252" s="1">
        <v>43430</v>
      </c>
    </row>
    <row r="2253" spans="1:4" x14ac:dyDescent="0.25">
      <c r="A2253" t="s">
        <v>4449</v>
      </c>
      <c r="B2253" t="str">
        <f>MID(tbl_lock[[#This Row],[PACE Job Number]],3,3)</f>
        <v>NTX</v>
      </c>
      <c r="C2253" t="s">
        <v>11</v>
      </c>
      <c r="D2253" s="1">
        <v>43423</v>
      </c>
    </row>
    <row r="2254" spans="1:4" x14ac:dyDescent="0.25">
      <c r="A2254" t="s">
        <v>4450</v>
      </c>
      <c r="B2254" t="str">
        <f>MID(tbl_lock[[#This Row],[PACE Job Number]],3,3)</f>
        <v>NTX</v>
      </c>
      <c r="C2254" t="s">
        <v>11</v>
      </c>
      <c r="D2254" s="1">
        <v>43430</v>
      </c>
    </row>
    <row r="2255" spans="1:4" x14ac:dyDescent="0.25">
      <c r="A2255" t="s">
        <v>4451</v>
      </c>
      <c r="B2255" t="str">
        <f>MID(tbl_lock[[#This Row],[PACE Job Number]],3,3)</f>
        <v>NTX</v>
      </c>
      <c r="C2255" t="s">
        <v>11</v>
      </c>
      <c r="D2255" s="1">
        <v>43423</v>
      </c>
    </row>
    <row r="2256" spans="1:4" x14ac:dyDescent="0.25">
      <c r="A2256" t="s">
        <v>5374</v>
      </c>
      <c r="B2256" t="str">
        <f>MID(tbl_lock[[#This Row],[PACE Job Number]],3,3)</f>
        <v>NTX</v>
      </c>
      <c r="C2256" t="s">
        <v>11</v>
      </c>
      <c r="D2256" s="1">
        <v>43423</v>
      </c>
    </row>
    <row r="2257" spans="1:4" x14ac:dyDescent="0.25">
      <c r="A2257" t="s">
        <v>5490</v>
      </c>
      <c r="B2257" t="str">
        <f>MID(tbl_lock[[#This Row],[PACE Job Number]],3,3)</f>
        <v>NTX</v>
      </c>
      <c r="C2257" t="s">
        <v>11</v>
      </c>
      <c r="D2257" s="1">
        <v>43419</v>
      </c>
    </row>
    <row r="2258" spans="1:4" x14ac:dyDescent="0.25">
      <c r="A2258" t="s">
        <v>5375</v>
      </c>
      <c r="B2258" t="str">
        <f>MID(tbl_lock[[#This Row],[PACE Job Number]],3,3)</f>
        <v>NTX</v>
      </c>
      <c r="C2258" t="s">
        <v>11</v>
      </c>
      <c r="D2258" s="1">
        <v>43430</v>
      </c>
    </row>
    <row r="2259" spans="1:4" x14ac:dyDescent="0.25">
      <c r="A2259" t="s">
        <v>392</v>
      </c>
      <c r="B2259" t="str">
        <f>MID(tbl_lock[[#This Row],[PACE Job Number]],3,3)</f>
        <v>NTX</v>
      </c>
      <c r="C2259" t="s">
        <v>11</v>
      </c>
      <c r="D2259" s="1">
        <v>43406</v>
      </c>
    </row>
    <row r="2260" spans="1:4" x14ac:dyDescent="0.25">
      <c r="A2260" t="s">
        <v>5376</v>
      </c>
      <c r="B2260" t="str">
        <f>MID(tbl_lock[[#This Row],[PACE Job Number]],3,3)</f>
        <v>NTX</v>
      </c>
      <c r="C2260" t="s">
        <v>11</v>
      </c>
      <c r="D2260" s="1">
        <v>43430</v>
      </c>
    </row>
    <row r="2261" spans="1:4" x14ac:dyDescent="0.25">
      <c r="A2261" t="s">
        <v>2291</v>
      </c>
      <c r="B2261" t="str">
        <f>MID(tbl_lock[[#This Row],[PACE Job Number]],3,3)</f>
        <v>NTX</v>
      </c>
      <c r="C2261" t="s">
        <v>11</v>
      </c>
      <c r="D2261" s="1">
        <v>43430</v>
      </c>
    </row>
    <row r="2262" spans="1:4" x14ac:dyDescent="0.25">
      <c r="A2262" t="s">
        <v>5491</v>
      </c>
      <c r="B2262" t="str">
        <f>MID(tbl_lock[[#This Row],[PACE Job Number]],3,3)</f>
        <v>NTX</v>
      </c>
      <c r="C2262" t="s">
        <v>11</v>
      </c>
      <c r="D2262" s="1">
        <v>43423</v>
      </c>
    </row>
    <row r="2263" spans="1:4" x14ac:dyDescent="0.25">
      <c r="A2263" t="s">
        <v>5492</v>
      </c>
      <c r="B2263" t="str">
        <f>MID(tbl_lock[[#This Row],[PACE Job Number]],3,3)</f>
        <v>NTX</v>
      </c>
      <c r="C2263" t="s">
        <v>11</v>
      </c>
      <c r="D2263" s="1">
        <v>43419</v>
      </c>
    </row>
    <row r="2264" spans="1:4" x14ac:dyDescent="0.25">
      <c r="A2264" t="s">
        <v>2292</v>
      </c>
      <c r="B2264" t="str">
        <f>MID(tbl_lock[[#This Row],[PACE Job Number]],3,3)</f>
        <v>NTX</v>
      </c>
      <c r="C2264" t="s">
        <v>11</v>
      </c>
      <c r="D2264" s="1">
        <v>43430</v>
      </c>
    </row>
    <row r="2265" spans="1:4" x14ac:dyDescent="0.25">
      <c r="A2265" t="s">
        <v>2440</v>
      </c>
      <c r="B2265" t="str">
        <f>MID(tbl_lock[[#This Row],[PACE Job Number]],3,3)</f>
        <v>NTX</v>
      </c>
      <c r="C2265" t="s">
        <v>11</v>
      </c>
      <c r="D2265" s="1">
        <v>43430</v>
      </c>
    </row>
    <row r="2266" spans="1:4" x14ac:dyDescent="0.25">
      <c r="A2266" t="s">
        <v>4452</v>
      </c>
      <c r="B2266" t="str">
        <f>MID(tbl_lock[[#This Row],[PACE Job Number]],3,3)</f>
        <v>NTX</v>
      </c>
      <c r="C2266" t="s">
        <v>11</v>
      </c>
      <c r="D2266" s="1">
        <v>43430</v>
      </c>
    </row>
    <row r="2267" spans="1:4" x14ac:dyDescent="0.25">
      <c r="A2267" t="s">
        <v>5378</v>
      </c>
      <c r="B2267" t="str">
        <f>MID(tbl_lock[[#This Row],[PACE Job Number]],3,3)</f>
        <v>NTX</v>
      </c>
      <c r="C2267" t="s">
        <v>11</v>
      </c>
      <c r="D2267" s="1">
        <v>43430</v>
      </c>
    </row>
    <row r="2268" spans="1:4" x14ac:dyDescent="0.25">
      <c r="A2268" t="s">
        <v>5379</v>
      </c>
      <c r="B2268" t="str">
        <f>MID(tbl_lock[[#This Row],[PACE Job Number]],3,3)</f>
        <v>NTX</v>
      </c>
      <c r="C2268" t="s">
        <v>11</v>
      </c>
      <c r="D2268" s="1">
        <v>43425</v>
      </c>
    </row>
    <row r="2269" spans="1:4" x14ac:dyDescent="0.25">
      <c r="A2269" t="s">
        <v>5380</v>
      </c>
      <c r="B2269" t="str">
        <f>MID(tbl_lock[[#This Row],[PACE Job Number]],3,3)</f>
        <v>NTX</v>
      </c>
      <c r="C2269" t="s">
        <v>11</v>
      </c>
      <c r="D2269" s="1">
        <v>43430</v>
      </c>
    </row>
    <row r="2270" spans="1:4" x14ac:dyDescent="0.25">
      <c r="A2270" t="s">
        <v>5493</v>
      </c>
      <c r="B2270" t="str">
        <f>MID(tbl_lock[[#This Row],[PACE Job Number]],3,3)</f>
        <v>NTX</v>
      </c>
      <c r="C2270" t="s">
        <v>11</v>
      </c>
      <c r="D2270" s="1">
        <v>43423</v>
      </c>
    </row>
    <row r="2271" spans="1:4" x14ac:dyDescent="0.25">
      <c r="A2271" t="s">
        <v>5494</v>
      </c>
      <c r="B2271" t="str">
        <f>MID(tbl_lock[[#This Row],[PACE Job Number]],3,3)</f>
        <v>NTX</v>
      </c>
      <c r="C2271" t="s">
        <v>11</v>
      </c>
      <c r="D2271" s="1">
        <v>43423</v>
      </c>
    </row>
    <row r="2272" spans="1:4" x14ac:dyDescent="0.25">
      <c r="A2272" t="s">
        <v>4455</v>
      </c>
      <c r="B2272" t="str">
        <f>MID(tbl_lock[[#This Row],[PACE Job Number]],3,3)</f>
        <v>NTX</v>
      </c>
      <c r="C2272" t="s">
        <v>11</v>
      </c>
      <c r="D2272" s="1">
        <v>43430</v>
      </c>
    </row>
    <row r="2273" spans="1:4" x14ac:dyDescent="0.25">
      <c r="A2273" t="s">
        <v>5381</v>
      </c>
      <c r="B2273" t="str">
        <f>MID(tbl_lock[[#This Row],[PACE Job Number]],3,3)</f>
        <v>NTX</v>
      </c>
      <c r="C2273" t="s">
        <v>11</v>
      </c>
      <c r="D2273" s="1">
        <v>43430</v>
      </c>
    </row>
    <row r="2274" spans="1:4" x14ac:dyDescent="0.25">
      <c r="A2274" t="s">
        <v>5382</v>
      </c>
      <c r="B2274" t="str">
        <f>MID(tbl_lock[[#This Row],[PACE Job Number]],3,3)</f>
        <v>NTX</v>
      </c>
      <c r="C2274" t="s">
        <v>11</v>
      </c>
      <c r="D2274" s="1">
        <v>43425</v>
      </c>
    </row>
    <row r="2275" spans="1:4" x14ac:dyDescent="0.25">
      <c r="A2275" t="s">
        <v>2293</v>
      </c>
      <c r="B2275" t="str">
        <f>MID(tbl_lock[[#This Row],[PACE Job Number]],3,3)</f>
        <v>NTX</v>
      </c>
      <c r="C2275" t="s">
        <v>11</v>
      </c>
      <c r="D2275" s="1">
        <v>43430</v>
      </c>
    </row>
    <row r="2276" spans="1:4" x14ac:dyDescent="0.25">
      <c r="A2276" t="s">
        <v>5383</v>
      </c>
      <c r="B2276" t="str">
        <f>MID(tbl_lock[[#This Row],[PACE Job Number]],3,3)</f>
        <v>NTX</v>
      </c>
      <c r="C2276" t="s">
        <v>11</v>
      </c>
      <c r="D2276" s="1">
        <v>43430</v>
      </c>
    </row>
    <row r="2277" spans="1:4" x14ac:dyDescent="0.25">
      <c r="A2277" t="s">
        <v>435</v>
      </c>
      <c r="B2277" t="str">
        <f>MID(tbl_lock[[#This Row],[PACE Job Number]],3,3)</f>
        <v>NTX</v>
      </c>
      <c r="C2277" t="s">
        <v>11</v>
      </c>
      <c r="D2277" s="1">
        <v>43406</v>
      </c>
    </row>
    <row r="2278" spans="1:4" x14ac:dyDescent="0.25">
      <c r="A2278" t="s">
        <v>2441</v>
      </c>
      <c r="B2278" t="str">
        <f>MID(tbl_lock[[#This Row],[PACE Job Number]],3,3)</f>
        <v>NTX</v>
      </c>
      <c r="C2278" t="s">
        <v>11</v>
      </c>
      <c r="D2278" s="1">
        <v>43430</v>
      </c>
    </row>
    <row r="2279" spans="1:4" x14ac:dyDescent="0.25">
      <c r="A2279" t="s">
        <v>5384</v>
      </c>
      <c r="B2279" t="str">
        <f>MID(tbl_lock[[#This Row],[PACE Job Number]],3,3)</f>
        <v>NTX</v>
      </c>
      <c r="C2279" t="s">
        <v>11</v>
      </c>
      <c r="D2279" s="1">
        <v>43430</v>
      </c>
    </row>
    <row r="2280" spans="1:4" x14ac:dyDescent="0.25">
      <c r="A2280" t="s">
        <v>5385</v>
      </c>
      <c r="B2280" t="str">
        <f>MID(tbl_lock[[#This Row],[PACE Job Number]],3,3)</f>
        <v>NTX</v>
      </c>
      <c r="C2280" t="s">
        <v>11</v>
      </c>
      <c r="D2280" s="1">
        <v>43430</v>
      </c>
    </row>
    <row r="2281" spans="1:4" x14ac:dyDescent="0.25">
      <c r="A2281" t="s">
        <v>3473</v>
      </c>
      <c r="B2281" t="str">
        <f>MID(tbl_lock[[#This Row],[PACE Job Number]],3,3)</f>
        <v>NTX</v>
      </c>
      <c r="C2281" t="s">
        <v>11</v>
      </c>
      <c r="D2281" s="1">
        <v>43420</v>
      </c>
    </row>
    <row r="2282" spans="1:4" x14ac:dyDescent="0.25">
      <c r="A2282" t="s">
        <v>2442</v>
      </c>
      <c r="B2282" t="str">
        <f>MID(tbl_lock[[#This Row],[PACE Job Number]],3,3)</f>
        <v>NTX</v>
      </c>
      <c r="C2282" t="s">
        <v>11</v>
      </c>
      <c r="D2282" s="1">
        <v>43433</v>
      </c>
    </row>
    <row r="2283" spans="1:4" x14ac:dyDescent="0.25">
      <c r="A2283" t="s">
        <v>5386</v>
      </c>
      <c r="B2283" t="str">
        <f>MID(tbl_lock[[#This Row],[PACE Job Number]],3,3)</f>
        <v>NTX</v>
      </c>
      <c r="C2283" t="s">
        <v>11</v>
      </c>
      <c r="D2283" s="1">
        <v>43430</v>
      </c>
    </row>
    <row r="2284" spans="1:4" x14ac:dyDescent="0.25">
      <c r="A2284" t="s">
        <v>2444</v>
      </c>
      <c r="B2284" t="str">
        <f>MID(tbl_lock[[#This Row],[PACE Job Number]],3,3)</f>
        <v>NTX</v>
      </c>
      <c r="C2284" t="s">
        <v>11</v>
      </c>
      <c r="D2284" s="1">
        <v>43433</v>
      </c>
    </row>
    <row r="2285" spans="1:4" x14ac:dyDescent="0.25">
      <c r="A2285" t="s">
        <v>4457</v>
      </c>
      <c r="B2285" t="str">
        <f>MID(tbl_lock[[#This Row],[PACE Job Number]],3,3)</f>
        <v>NTX</v>
      </c>
      <c r="C2285" t="s">
        <v>11</v>
      </c>
      <c r="D2285" s="1">
        <v>43427</v>
      </c>
    </row>
    <row r="2286" spans="1:4" x14ac:dyDescent="0.25">
      <c r="A2286" t="s">
        <v>2445</v>
      </c>
      <c r="B2286" t="str">
        <f>MID(tbl_lock[[#This Row],[PACE Job Number]],3,3)</f>
        <v>NTX</v>
      </c>
      <c r="C2286" t="s">
        <v>11</v>
      </c>
      <c r="D2286" s="1">
        <v>43433</v>
      </c>
    </row>
    <row r="2287" spans="1:4" x14ac:dyDescent="0.25">
      <c r="A2287" t="s">
        <v>118</v>
      </c>
      <c r="B2287" t="str">
        <f>MID(tbl_lock[[#This Row],[PACE Job Number]],3,3)</f>
        <v>NTX</v>
      </c>
      <c r="C2287" t="s">
        <v>11</v>
      </c>
      <c r="D2287" s="1">
        <v>43423</v>
      </c>
    </row>
    <row r="2288" spans="1:4" x14ac:dyDescent="0.25">
      <c r="A2288" t="s">
        <v>5495</v>
      </c>
      <c r="B2288" t="str">
        <f>MID(tbl_lock[[#This Row],[PACE Job Number]],3,3)</f>
        <v>NTX</v>
      </c>
      <c r="C2288" t="s">
        <v>11</v>
      </c>
      <c r="D2288" s="1">
        <v>43432</v>
      </c>
    </row>
    <row r="2289" spans="1:4" x14ac:dyDescent="0.25">
      <c r="A2289" t="s">
        <v>4458</v>
      </c>
      <c r="B2289" t="str">
        <f>MID(tbl_lock[[#This Row],[PACE Job Number]],3,3)</f>
        <v>NTX</v>
      </c>
      <c r="C2289" t="s">
        <v>11</v>
      </c>
      <c r="D2289" s="1">
        <v>43427</v>
      </c>
    </row>
    <row r="2290" spans="1:4" x14ac:dyDescent="0.25">
      <c r="A2290" t="s">
        <v>4459</v>
      </c>
      <c r="B2290" t="str">
        <f>MID(tbl_lock[[#This Row],[PACE Job Number]],3,3)</f>
        <v>NTX</v>
      </c>
      <c r="C2290" t="s">
        <v>11</v>
      </c>
      <c r="D2290" s="1">
        <v>43420</v>
      </c>
    </row>
    <row r="2291" spans="1:4" x14ac:dyDescent="0.25">
      <c r="A2291" t="s">
        <v>3375</v>
      </c>
      <c r="B2291" t="str">
        <f>MID(tbl_lock[[#This Row],[PACE Job Number]],3,3)</f>
        <v>NTX</v>
      </c>
      <c r="C2291" t="s">
        <v>11</v>
      </c>
      <c r="D2291" s="1">
        <v>43409</v>
      </c>
    </row>
    <row r="2292" spans="1:4" x14ac:dyDescent="0.25">
      <c r="A2292" t="s">
        <v>4461</v>
      </c>
      <c r="B2292" t="str">
        <f>MID(tbl_lock[[#This Row],[PACE Job Number]],3,3)</f>
        <v>NTX</v>
      </c>
      <c r="C2292" t="s">
        <v>11</v>
      </c>
      <c r="D2292" s="1">
        <v>43427</v>
      </c>
    </row>
    <row r="2293" spans="1:4" x14ac:dyDescent="0.25">
      <c r="A2293" t="s">
        <v>342</v>
      </c>
      <c r="B2293" t="str">
        <f>MID(tbl_lock[[#This Row],[PACE Job Number]],3,3)</f>
        <v>NTX</v>
      </c>
      <c r="C2293" t="s">
        <v>11</v>
      </c>
      <c r="D2293" s="1">
        <v>43423</v>
      </c>
    </row>
    <row r="2294" spans="1:4" x14ac:dyDescent="0.25">
      <c r="A2294" t="s">
        <v>2447</v>
      </c>
      <c r="B2294" t="str">
        <f>MID(tbl_lock[[#This Row],[PACE Job Number]],3,3)</f>
        <v>NTX</v>
      </c>
      <c r="C2294" t="s">
        <v>11</v>
      </c>
      <c r="D2294" s="1">
        <v>43430</v>
      </c>
    </row>
    <row r="2295" spans="1:4" x14ac:dyDescent="0.25">
      <c r="A2295" t="s">
        <v>471</v>
      </c>
      <c r="B2295" t="str">
        <f>MID(tbl_lock[[#This Row],[PACE Job Number]],3,3)</f>
        <v>NTX</v>
      </c>
      <c r="C2295" t="s">
        <v>11</v>
      </c>
      <c r="D2295" s="1">
        <v>43427</v>
      </c>
    </row>
    <row r="2296" spans="1:4" x14ac:dyDescent="0.25">
      <c r="A2296" t="s">
        <v>5388</v>
      </c>
      <c r="B2296" t="str">
        <f>MID(tbl_lock[[#This Row],[PACE Job Number]],3,3)</f>
        <v>NTX</v>
      </c>
      <c r="C2296" t="s">
        <v>11</v>
      </c>
      <c r="D2296" s="1">
        <v>43433</v>
      </c>
    </row>
    <row r="2297" spans="1:4" x14ac:dyDescent="0.25">
      <c r="A2297" t="s">
        <v>4418</v>
      </c>
      <c r="B2297" t="str">
        <f>MID(tbl_lock[[#This Row],[PACE Job Number]],3,3)</f>
        <v>NTX</v>
      </c>
      <c r="C2297" t="s">
        <v>11</v>
      </c>
      <c r="D2297" s="1">
        <v>43430</v>
      </c>
    </row>
    <row r="2298" spans="1:4" x14ac:dyDescent="0.25">
      <c r="A2298" t="s">
        <v>768</v>
      </c>
      <c r="B2298" t="str">
        <f>MID(tbl_lock[[#This Row],[PACE Job Number]],3,3)</f>
        <v>NTX</v>
      </c>
      <c r="C2298" t="s">
        <v>11</v>
      </c>
      <c r="D2298" s="1">
        <v>43430</v>
      </c>
    </row>
    <row r="2299" spans="1:4" x14ac:dyDescent="0.25">
      <c r="A2299" t="s">
        <v>3797</v>
      </c>
      <c r="B2299" t="str">
        <f>MID(tbl_lock[[#This Row],[PACE Job Number]],3,3)</f>
        <v>NTX</v>
      </c>
      <c r="C2299" t="s">
        <v>11</v>
      </c>
      <c r="D2299" s="1">
        <v>43430</v>
      </c>
    </row>
    <row r="2300" spans="1:4" x14ac:dyDescent="0.25">
      <c r="A2300" t="s">
        <v>5389</v>
      </c>
      <c r="B2300" t="str">
        <f>MID(tbl_lock[[#This Row],[PACE Job Number]],3,3)</f>
        <v>NTX</v>
      </c>
      <c r="C2300" t="s">
        <v>11</v>
      </c>
      <c r="D2300" s="1">
        <v>43430</v>
      </c>
    </row>
    <row r="2301" spans="1:4" x14ac:dyDescent="0.25">
      <c r="A2301" t="s">
        <v>4419</v>
      </c>
      <c r="B2301" t="str">
        <f>MID(tbl_lock[[#This Row],[PACE Job Number]],3,3)</f>
        <v>NTX</v>
      </c>
      <c r="C2301" t="s">
        <v>11</v>
      </c>
      <c r="D2301" s="1">
        <v>43427</v>
      </c>
    </row>
    <row r="2302" spans="1:4" x14ac:dyDescent="0.25">
      <c r="A2302" t="s">
        <v>3969</v>
      </c>
      <c r="B2302" t="str">
        <f>MID(tbl_lock[[#This Row],[PACE Job Number]],3,3)</f>
        <v>NTX</v>
      </c>
      <c r="C2302" t="s">
        <v>11</v>
      </c>
      <c r="D2302" s="1">
        <v>43412</v>
      </c>
    </row>
    <row r="2303" spans="1:4" x14ac:dyDescent="0.25">
      <c r="A2303" t="s">
        <v>1891</v>
      </c>
      <c r="B2303" t="str">
        <f>MID(tbl_lock[[#This Row],[PACE Job Number]],3,3)</f>
        <v>NTX</v>
      </c>
      <c r="C2303" t="s">
        <v>11</v>
      </c>
      <c r="D2303" s="1">
        <v>43420</v>
      </c>
    </row>
    <row r="2304" spans="1:4" x14ac:dyDescent="0.25">
      <c r="A2304" t="s">
        <v>3506</v>
      </c>
      <c r="B2304" t="str">
        <f>MID(tbl_lock[[#This Row],[PACE Job Number]],3,3)</f>
        <v>NTX</v>
      </c>
      <c r="C2304" t="s">
        <v>11</v>
      </c>
      <c r="D2304" s="1">
        <v>43420</v>
      </c>
    </row>
    <row r="2305" spans="1:4" x14ac:dyDescent="0.25">
      <c r="A2305" t="s">
        <v>5390</v>
      </c>
      <c r="B2305" t="str">
        <f>MID(tbl_lock[[#This Row],[PACE Job Number]],3,3)</f>
        <v>NTX</v>
      </c>
      <c r="C2305" t="s">
        <v>11</v>
      </c>
      <c r="D2305" s="1">
        <v>43430</v>
      </c>
    </row>
    <row r="2306" spans="1:4" x14ac:dyDescent="0.25">
      <c r="A2306" t="s">
        <v>4433</v>
      </c>
      <c r="B2306" t="str">
        <f>MID(tbl_lock[[#This Row],[PACE Job Number]],3,3)</f>
        <v>NTX</v>
      </c>
      <c r="C2306" t="s">
        <v>11</v>
      </c>
      <c r="D2306" s="1">
        <v>43409</v>
      </c>
    </row>
    <row r="2307" spans="1:4" x14ac:dyDescent="0.25">
      <c r="A2307" t="s">
        <v>3376</v>
      </c>
      <c r="B2307" t="str">
        <f>MID(tbl_lock[[#This Row],[PACE Job Number]],3,3)</f>
        <v>NTX</v>
      </c>
      <c r="C2307" t="s">
        <v>11</v>
      </c>
      <c r="D2307" s="1">
        <v>43423</v>
      </c>
    </row>
    <row r="2308" spans="1:4" x14ac:dyDescent="0.25">
      <c r="A2308" t="s">
        <v>5391</v>
      </c>
      <c r="B2308" t="str">
        <f>MID(tbl_lock[[#This Row],[PACE Job Number]],3,3)</f>
        <v>NTX</v>
      </c>
      <c r="C2308" t="s">
        <v>11</v>
      </c>
      <c r="D2308" s="1">
        <v>43430</v>
      </c>
    </row>
    <row r="2309" spans="1:4" x14ac:dyDescent="0.25">
      <c r="A2309" t="s">
        <v>2147</v>
      </c>
      <c r="B2309" t="str">
        <f>MID(tbl_lock[[#This Row],[PACE Job Number]],3,3)</f>
        <v>NTX</v>
      </c>
      <c r="C2309" t="s">
        <v>11</v>
      </c>
      <c r="D2309" s="1">
        <v>43418</v>
      </c>
    </row>
    <row r="2310" spans="1:4" x14ac:dyDescent="0.25">
      <c r="A2310" t="s">
        <v>2330</v>
      </c>
      <c r="B2310" t="str">
        <f>MID(tbl_lock[[#This Row],[PACE Job Number]],3,3)</f>
        <v>NTX</v>
      </c>
      <c r="C2310" t="s">
        <v>11</v>
      </c>
      <c r="D2310" s="1">
        <v>43433</v>
      </c>
    </row>
    <row r="2311" spans="1:4" x14ac:dyDescent="0.25">
      <c r="A2311" t="s">
        <v>231</v>
      </c>
      <c r="B2311" t="str">
        <f>MID(tbl_lock[[#This Row],[PACE Job Number]],3,3)</f>
        <v>NTX</v>
      </c>
      <c r="C2311" t="s">
        <v>11</v>
      </c>
      <c r="D2311" s="1">
        <v>43409</v>
      </c>
    </row>
    <row r="2312" spans="1:4" x14ac:dyDescent="0.25">
      <c r="A2312" t="s">
        <v>3378</v>
      </c>
      <c r="B2312" t="str">
        <f>MID(tbl_lock[[#This Row],[PACE Job Number]],3,3)</f>
        <v>NTX</v>
      </c>
      <c r="C2312" t="s">
        <v>11</v>
      </c>
      <c r="D2312" s="1">
        <v>43423</v>
      </c>
    </row>
    <row r="2313" spans="1:4" x14ac:dyDescent="0.25">
      <c r="A2313" t="s">
        <v>4435</v>
      </c>
      <c r="B2313" t="str">
        <f>MID(tbl_lock[[#This Row],[PACE Job Number]],3,3)</f>
        <v>NTX</v>
      </c>
      <c r="C2313" t="s">
        <v>11</v>
      </c>
      <c r="D2313" s="1">
        <v>43420</v>
      </c>
    </row>
    <row r="2314" spans="1:4" x14ac:dyDescent="0.25">
      <c r="A2314" t="s">
        <v>3486</v>
      </c>
      <c r="B2314" t="str">
        <f>MID(tbl_lock[[#This Row],[PACE Job Number]],3,3)</f>
        <v>NTX</v>
      </c>
      <c r="C2314" t="s">
        <v>11</v>
      </c>
      <c r="D2314" s="1">
        <v>43406</v>
      </c>
    </row>
    <row r="2315" spans="1:4" x14ac:dyDescent="0.25">
      <c r="A2315" t="s">
        <v>4163</v>
      </c>
      <c r="B2315" t="str">
        <f>MID(tbl_lock[[#This Row],[PACE Job Number]],3,3)</f>
        <v>NTX</v>
      </c>
      <c r="C2315" t="s">
        <v>11</v>
      </c>
      <c r="D2315" s="1">
        <v>43429</v>
      </c>
    </row>
    <row r="2316" spans="1:4" x14ac:dyDescent="0.25">
      <c r="A2316" t="s">
        <v>3970</v>
      </c>
      <c r="B2316" t="str">
        <f>MID(tbl_lock[[#This Row],[PACE Job Number]],3,3)</f>
        <v>NTX</v>
      </c>
      <c r="C2316" t="s">
        <v>11</v>
      </c>
      <c r="D2316" s="1">
        <v>43413</v>
      </c>
    </row>
    <row r="2317" spans="1:4" x14ac:dyDescent="0.25">
      <c r="A2317" t="s">
        <v>4436</v>
      </c>
      <c r="B2317" t="str">
        <f>MID(tbl_lock[[#This Row],[PACE Job Number]],3,3)</f>
        <v>NTX</v>
      </c>
      <c r="C2317" t="s">
        <v>11</v>
      </c>
      <c r="D2317" s="1">
        <v>43430</v>
      </c>
    </row>
    <row r="2318" spans="1:4" x14ac:dyDescent="0.25">
      <c r="A2318" t="s">
        <v>132</v>
      </c>
      <c r="B2318" t="str">
        <f>MID(tbl_lock[[#This Row],[PACE Job Number]],3,3)</f>
        <v>NTX</v>
      </c>
      <c r="C2318" t="s">
        <v>11</v>
      </c>
      <c r="D2318" s="1">
        <v>43414</v>
      </c>
    </row>
    <row r="2319" spans="1:4" x14ac:dyDescent="0.25">
      <c r="A2319" t="s">
        <v>5392</v>
      </c>
      <c r="B2319" t="str">
        <f>MID(tbl_lock[[#This Row],[PACE Job Number]],3,3)</f>
        <v>NTX</v>
      </c>
      <c r="C2319" t="s">
        <v>11</v>
      </c>
      <c r="D2319" s="1">
        <v>43429</v>
      </c>
    </row>
    <row r="2320" spans="1:4" x14ac:dyDescent="0.25">
      <c r="A2320" t="s">
        <v>2269</v>
      </c>
      <c r="B2320" t="str">
        <f>MID(tbl_lock[[#This Row],[PACE Job Number]],3,3)</f>
        <v>NTX</v>
      </c>
      <c r="C2320" t="s">
        <v>11</v>
      </c>
      <c r="D2320" s="1">
        <v>43433</v>
      </c>
    </row>
    <row r="2321" spans="1:4" x14ac:dyDescent="0.25">
      <c r="A2321" t="s">
        <v>370</v>
      </c>
      <c r="B2321" t="str">
        <f>MID(tbl_lock[[#This Row],[PACE Job Number]],3,3)</f>
        <v>NTX</v>
      </c>
      <c r="C2321" t="s">
        <v>11</v>
      </c>
      <c r="D2321" s="1">
        <v>43429</v>
      </c>
    </row>
    <row r="2322" spans="1:4" x14ac:dyDescent="0.25">
      <c r="A2322" t="s">
        <v>3503</v>
      </c>
      <c r="B2322" t="str">
        <f>MID(tbl_lock[[#This Row],[PACE Job Number]],3,3)</f>
        <v>NTX</v>
      </c>
      <c r="C2322" t="s">
        <v>11</v>
      </c>
      <c r="D2322" s="1">
        <v>43418</v>
      </c>
    </row>
    <row r="2323" spans="1:4" x14ac:dyDescent="0.25">
      <c r="A2323" t="s">
        <v>1892</v>
      </c>
      <c r="B2323" t="str">
        <f>MID(tbl_lock[[#This Row],[PACE Job Number]],3,3)</f>
        <v>NTX</v>
      </c>
      <c r="C2323" t="s">
        <v>11</v>
      </c>
      <c r="D2323" s="1">
        <v>43420</v>
      </c>
    </row>
    <row r="2324" spans="1:4" x14ac:dyDescent="0.25">
      <c r="A2324" t="s">
        <v>5393</v>
      </c>
      <c r="B2324" t="str">
        <f>MID(tbl_lock[[#This Row],[PACE Job Number]],3,3)</f>
        <v>NTX</v>
      </c>
      <c r="C2324" t="s">
        <v>11</v>
      </c>
      <c r="D2324" s="1">
        <v>43430</v>
      </c>
    </row>
    <row r="2325" spans="1:4" x14ac:dyDescent="0.25">
      <c r="A2325" t="s">
        <v>3501</v>
      </c>
      <c r="B2325" t="str">
        <f>MID(tbl_lock[[#This Row],[PACE Job Number]],3,3)</f>
        <v>NTX</v>
      </c>
      <c r="C2325" t="s">
        <v>11</v>
      </c>
      <c r="D2325" s="1">
        <v>43427</v>
      </c>
    </row>
    <row r="2326" spans="1:4" x14ac:dyDescent="0.25">
      <c r="A2326" t="s">
        <v>5496</v>
      </c>
      <c r="B2326" t="str">
        <f>MID(tbl_lock[[#This Row],[PACE Job Number]],3,3)</f>
        <v>NTX</v>
      </c>
      <c r="C2326" t="s">
        <v>11</v>
      </c>
      <c r="D2326" s="1">
        <v>43432</v>
      </c>
    </row>
    <row r="2327" spans="1:4" x14ac:dyDescent="0.25">
      <c r="A2327" t="s">
        <v>5497</v>
      </c>
      <c r="B2327" t="str">
        <f>MID(tbl_lock[[#This Row],[PACE Job Number]],3,3)</f>
        <v>NTX</v>
      </c>
      <c r="C2327" t="s">
        <v>11</v>
      </c>
      <c r="D2327" s="1">
        <v>43433</v>
      </c>
    </row>
    <row r="2328" spans="1:4" x14ac:dyDescent="0.25">
      <c r="A2328" t="s">
        <v>5394</v>
      </c>
      <c r="B2328" t="str">
        <f>MID(tbl_lock[[#This Row],[PACE Job Number]],3,3)</f>
        <v>NTX</v>
      </c>
      <c r="C2328" t="s">
        <v>11</v>
      </c>
      <c r="D2328" s="1">
        <v>43429</v>
      </c>
    </row>
    <row r="2329" spans="1:4" x14ac:dyDescent="0.25">
      <c r="A2329" t="s">
        <v>3481</v>
      </c>
      <c r="B2329" t="str">
        <f>MID(tbl_lock[[#This Row],[PACE Job Number]],3,3)</f>
        <v>NTX</v>
      </c>
      <c r="C2329" t="s">
        <v>11</v>
      </c>
      <c r="D2329" s="1">
        <v>43418</v>
      </c>
    </row>
    <row r="2330" spans="1:4" x14ac:dyDescent="0.25">
      <c r="A2330" t="s">
        <v>4437</v>
      </c>
      <c r="B2330" t="str">
        <f>MID(tbl_lock[[#This Row],[PACE Job Number]],3,3)</f>
        <v>NTX</v>
      </c>
      <c r="C2330" t="s">
        <v>11</v>
      </c>
      <c r="D2330" s="1">
        <v>43418</v>
      </c>
    </row>
    <row r="2331" spans="1:4" x14ac:dyDescent="0.25">
      <c r="A2331" t="s">
        <v>5395</v>
      </c>
      <c r="B2331" t="str">
        <f>MID(tbl_lock[[#This Row],[PACE Job Number]],3,3)</f>
        <v>NTX</v>
      </c>
      <c r="C2331" t="s">
        <v>11</v>
      </c>
      <c r="D2331" s="1">
        <v>43420</v>
      </c>
    </row>
    <row r="2332" spans="1:4" x14ac:dyDescent="0.25">
      <c r="A2332" t="s">
        <v>3489</v>
      </c>
      <c r="B2332" t="str">
        <f>MID(tbl_lock[[#This Row],[PACE Job Number]],3,3)</f>
        <v>NTX</v>
      </c>
      <c r="C2332" t="s">
        <v>11</v>
      </c>
      <c r="D2332" s="1">
        <v>43406</v>
      </c>
    </row>
    <row r="2333" spans="1:4" x14ac:dyDescent="0.25">
      <c r="A2333" t="s">
        <v>5396</v>
      </c>
      <c r="B2333" t="str">
        <f>MID(tbl_lock[[#This Row],[PACE Job Number]],3,3)</f>
        <v>NTX</v>
      </c>
      <c r="C2333" t="s">
        <v>11</v>
      </c>
      <c r="D2333" s="1">
        <v>43430</v>
      </c>
    </row>
    <row r="2334" spans="1:4" x14ac:dyDescent="0.25">
      <c r="A2334" t="s">
        <v>4438</v>
      </c>
      <c r="B2334" t="str">
        <f>MID(tbl_lock[[#This Row],[PACE Job Number]],3,3)</f>
        <v>NTX</v>
      </c>
      <c r="C2334" t="s">
        <v>11</v>
      </c>
      <c r="D2334" s="1">
        <v>43420</v>
      </c>
    </row>
    <row r="2335" spans="1:4" x14ac:dyDescent="0.25">
      <c r="A2335" t="s">
        <v>5397</v>
      </c>
      <c r="B2335" t="str">
        <f>MID(tbl_lock[[#This Row],[PACE Job Number]],3,3)</f>
        <v>NTX</v>
      </c>
      <c r="C2335" t="s">
        <v>11</v>
      </c>
      <c r="D2335" s="1">
        <v>43430</v>
      </c>
    </row>
    <row r="2336" spans="1:4" x14ac:dyDescent="0.25">
      <c r="A2336" t="s">
        <v>4439</v>
      </c>
      <c r="B2336" t="str">
        <f>MID(tbl_lock[[#This Row],[PACE Job Number]],3,3)</f>
        <v>NTX</v>
      </c>
      <c r="C2336" t="s">
        <v>11</v>
      </c>
      <c r="D2336" s="1">
        <v>43409</v>
      </c>
    </row>
    <row r="2337" spans="1:4" x14ac:dyDescent="0.25">
      <c r="A2337" t="s">
        <v>124</v>
      </c>
      <c r="B2337" t="str">
        <f>MID(tbl_lock[[#This Row],[PACE Job Number]],3,3)</f>
        <v>NTX</v>
      </c>
      <c r="C2337" t="s">
        <v>11</v>
      </c>
      <c r="D2337" s="1">
        <v>43416</v>
      </c>
    </row>
    <row r="2338" spans="1:4" x14ac:dyDescent="0.25">
      <c r="A2338" t="s">
        <v>3451</v>
      </c>
      <c r="B2338" t="str">
        <f>MID(tbl_lock[[#This Row],[PACE Job Number]],3,3)</f>
        <v>NTX</v>
      </c>
      <c r="C2338" t="s">
        <v>11</v>
      </c>
      <c r="D2338" s="1">
        <v>43407</v>
      </c>
    </row>
    <row r="2339" spans="1:4" x14ac:dyDescent="0.25">
      <c r="A2339" t="s">
        <v>5398</v>
      </c>
      <c r="B2339" t="str">
        <f>MID(tbl_lock[[#This Row],[PACE Job Number]],3,3)</f>
        <v>NTX</v>
      </c>
      <c r="C2339" t="s">
        <v>11</v>
      </c>
      <c r="D2339" s="1">
        <v>43430</v>
      </c>
    </row>
    <row r="2340" spans="1:4" x14ac:dyDescent="0.25">
      <c r="A2340" t="s">
        <v>1731</v>
      </c>
      <c r="B2340" t="str">
        <f>MID(tbl_lock[[#This Row],[PACE Job Number]],3,3)</f>
        <v>NTX</v>
      </c>
      <c r="C2340" t="s">
        <v>11</v>
      </c>
      <c r="D2340" s="1">
        <v>43427</v>
      </c>
    </row>
    <row r="2341" spans="1:4" x14ac:dyDescent="0.25">
      <c r="A2341" t="s">
        <v>2335</v>
      </c>
      <c r="B2341" t="str">
        <f>MID(tbl_lock[[#This Row],[PACE Job Number]],3,3)</f>
        <v>NTX</v>
      </c>
      <c r="C2341" t="s">
        <v>11</v>
      </c>
      <c r="D2341" s="1">
        <v>43433</v>
      </c>
    </row>
    <row r="2342" spans="1:4" x14ac:dyDescent="0.25">
      <c r="A2342" t="s">
        <v>3802</v>
      </c>
      <c r="B2342" t="str">
        <f>MID(tbl_lock[[#This Row],[PACE Job Number]],3,3)</f>
        <v>NTX</v>
      </c>
      <c r="C2342" t="s">
        <v>11</v>
      </c>
      <c r="D2342" s="1">
        <v>43430</v>
      </c>
    </row>
    <row r="2343" spans="1:4" x14ac:dyDescent="0.25">
      <c r="A2343" t="s">
        <v>3499</v>
      </c>
      <c r="B2343" t="str">
        <f>MID(tbl_lock[[#This Row],[PACE Job Number]],3,3)</f>
        <v>NTX</v>
      </c>
      <c r="C2343" t="s">
        <v>11</v>
      </c>
      <c r="D2343" s="1">
        <v>43418</v>
      </c>
    </row>
    <row r="2344" spans="1:4" x14ac:dyDescent="0.25">
      <c r="A2344" t="s">
        <v>3389</v>
      </c>
      <c r="B2344" t="str">
        <f>MID(tbl_lock[[#This Row],[PACE Job Number]],3,3)</f>
        <v>NTX</v>
      </c>
      <c r="C2344" t="s">
        <v>11</v>
      </c>
      <c r="D2344" s="1">
        <v>43423</v>
      </c>
    </row>
    <row r="2345" spans="1:4" x14ac:dyDescent="0.25">
      <c r="A2345" t="s">
        <v>1893</v>
      </c>
      <c r="B2345" t="str">
        <f>MID(tbl_lock[[#This Row],[PACE Job Number]],3,3)</f>
        <v>NTX</v>
      </c>
      <c r="C2345" t="s">
        <v>11</v>
      </c>
      <c r="D2345" s="1">
        <v>43420</v>
      </c>
    </row>
    <row r="2346" spans="1:4" x14ac:dyDescent="0.25">
      <c r="A2346" t="s">
        <v>1894</v>
      </c>
      <c r="B2346" t="str">
        <f>MID(tbl_lock[[#This Row],[PACE Job Number]],3,3)</f>
        <v>NTX</v>
      </c>
      <c r="C2346" t="s">
        <v>11</v>
      </c>
      <c r="D2346" s="1">
        <v>43420</v>
      </c>
    </row>
    <row r="2347" spans="1:4" x14ac:dyDescent="0.25">
      <c r="A2347" t="s">
        <v>4440</v>
      </c>
      <c r="B2347" t="str">
        <f>MID(tbl_lock[[#This Row],[PACE Job Number]],3,3)</f>
        <v>NTX</v>
      </c>
      <c r="C2347" t="s">
        <v>11</v>
      </c>
      <c r="D2347" s="1">
        <v>43418</v>
      </c>
    </row>
    <row r="2348" spans="1:4" x14ac:dyDescent="0.25">
      <c r="A2348" t="s">
        <v>5399</v>
      </c>
      <c r="B2348" t="str">
        <f>MID(tbl_lock[[#This Row],[PACE Job Number]],3,3)</f>
        <v>NTX</v>
      </c>
      <c r="C2348" t="s">
        <v>11</v>
      </c>
      <c r="D2348" s="1">
        <v>43430</v>
      </c>
    </row>
    <row r="2349" spans="1:4" x14ac:dyDescent="0.25">
      <c r="A2349" t="s">
        <v>2150</v>
      </c>
      <c r="B2349" t="str">
        <f>MID(tbl_lock[[#This Row],[PACE Job Number]],3,3)</f>
        <v>NTX</v>
      </c>
      <c r="C2349" t="s">
        <v>11</v>
      </c>
      <c r="D2349" s="1">
        <v>43408</v>
      </c>
    </row>
    <row r="2350" spans="1:4" x14ac:dyDescent="0.25">
      <c r="A2350" t="s">
        <v>2151</v>
      </c>
      <c r="B2350" t="str">
        <f>MID(tbl_lock[[#This Row],[PACE Job Number]],3,3)</f>
        <v>NTX</v>
      </c>
      <c r="C2350" t="s">
        <v>11</v>
      </c>
      <c r="D2350" s="1">
        <v>43408</v>
      </c>
    </row>
    <row r="2351" spans="1:4" x14ac:dyDescent="0.25">
      <c r="A2351" t="s">
        <v>5498</v>
      </c>
      <c r="B2351" t="str">
        <f>MID(tbl_lock[[#This Row],[PACE Job Number]],3,3)</f>
        <v>NTX</v>
      </c>
      <c r="C2351" t="s">
        <v>11</v>
      </c>
      <c r="D2351" s="1">
        <v>43430</v>
      </c>
    </row>
    <row r="2352" spans="1:4" x14ac:dyDescent="0.25">
      <c r="A2352" t="s">
        <v>47</v>
      </c>
      <c r="B2352" t="str">
        <f>MID(tbl_lock[[#This Row],[PACE Job Number]],3,3)</f>
        <v>NTX</v>
      </c>
      <c r="C2352" t="s">
        <v>11</v>
      </c>
      <c r="D2352" s="1">
        <v>43409</v>
      </c>
    </row>
    <row r="2353" spans="1:4" x14ac:dyDescent="0.25">
      <c r="A2353" t="s">
        <v>5400</v>
      </c>
      <c r="B2353" t="str">
        <f>MID(tbl_lock[[#This Row],[PACE Job Number]],3,3)</f>
        <v>NTX</v>
      </c>
      <c r="C2353" t="s">
        <v>11</v>
      </c>
      <c r="D2353" s="1">
        <v>43430</v>
      </c>
    </row>
    <row r="2354" spans="1:4" x14ac:dyDescent="0.25">
      <c r="A2354" t="s">
        <v>3497</v>
      </c>
      <c r="B2354" t="str">
        <f>MID(tbl_lock[[#This Row],[PACE Job Number]],3,3)</f>
        <v>NTX</v>
      </c>
      <c r="C2354" t="s">
        <v>11</v>
      </c>
      <c r="D2354" s="1">
        <v>43418</v>
      </c>
    </row>
    <row r="2355" spans="1:4" x14ac:dyDescent="0.25">
      <c r="A2355" t="s">
        <v>3507</v>
      </c>
      <c r="B2355" t="str">
        <f>MID(tbl_lock[[#This Row],[PACE Job Number]],3,3)</f>
        <v>NTX</v>
      </c>
      <c r="C2355" t="s">
        <v>11</v>
      </c>
      <c r="D2355" s="1">
        <v>43427</v>
      </c>
    </row>
    <row r="2356" spans="1:4" x14ac:dyDescent="0.25">
      <c r="A2356" t="s">
        <v>5401</v>
      </c>
      <c r="B2356" t="str">
        <f>MID(tbl_lock[[#This Row],[PACE Job Number]],3,3)</f>
        <v>NTX</v>
      </c>
      <c r="C2356" t="s">
        <v>11</v>
      </c>
      <c r="D2356" s="1">
        <v>43420</v>
      </c>
    </row>
    <row r="2357" spans="1:4" x14ac:dyDescent="0.25">
      <c r="A2357" t="s">
        <v>3803</v>
      </c>
      <c r="B2357" t="str">
        <f>MID(tbl_lock[[#This Row],[PACE Job Number]],3,3)</f>
        <v>NTX</v>
      </c>
      <c r="C2357" t="s">
        <v>11</v>
      </c>
      <c r="D2357" s="1">
        <v>43430</v>
      </c>
    </row>
    <row r="2358" spans="1:4" x14ac:dyDescent="0.25">
      <c r="A2358" t="s">
        <v>229</v>
      </c>
      <c r="B2358" t="str">
        <f>MID(tbl_lock[[#This Row],[PACE Job Number]],3,3)</f>
        <v>NTX</v>
      </c>
      <c r="C2358" t="s">
        <v>11</v>
      </c>
      <c r="D2358" s="1">
        <v>43409</v>
      </c>
    </row>
    <row r="2359" spans="1:4" x14ac:dyDescent="0.25">
      <c r="A2359" t="s">
        <v>2413</v>
      </c>
      <c r="B2359" t="str">
        <f>MID(tbl_lock[[#This Row],[PACE Job Number]],3,3)</f>
        <v>NTX</v>
      </c>
      <c r="C2359" t="s">
        <v>11</v>
      </c>
      <c r="D2359" s="1">
        <v>43409</v>
      </c>
    </row>
    <row r="2360" spans="1:4" x14ac:dyDescent="0.25">
      <c r="A2360" t="s">
        <v>4262</v>
      </c>
      <c r="B2360" t="str">
        <f>MID(tbl_lock[[#This Row],[PACE Job Number]],3,3)</f>
        <v>NTX</v>
      </c>
      <c r="C2360" t="s">
        <v>11</v>
      </c>
      <c r="D2360" s="1">
        <v>43423</v>
      </c>
    </row>
    <row r="2361" spans="1:4" x14ac:dyDescent="0.25">
      <c r="A2361" t="s">
        <v>4403</v>
      </c>
      <c r="B2361" t="str">
        <f>MID(tbl_lock[[#This Row],[PACE Job Number]],3,3)</f>
        <v>NTX</v>
      </c>
      <c r="C2361" t="s">
        <v>11</v>
      </c>
      <c r="D2361" s="1">
        <v>43423</v>
      </c>
    </row>
    <row r="2362" spans="1:4" x14ac:dyDescent="0.25">
      <c r="A2362" t="s">
        <v>619</v>
      </c>
      <c r="B2362" t="str">
        <f>MID(tbl_lock[[#This Row],[PACE Job Number]],3,3)</f>
        <v>NTX</v>
      </c>
      <c r="C2362" t="s">
        <v>11</v>
      </c>
      <c r="D2362" s="1">
        <v>43411</v>
      </c>
    </row>
    <row r="2363" spans="1:4" x14ac:dyDescent="0.25">
      <c r="A2363" t="s">
        <v>4263</v>
      </c>
      <c r="B2363" t="str">
        <f>MID(tbl_lock[[#This Row],[PACE Job Number]],3,3)</f>
        <v>NTX</v>
      </c>
      <c r="C2363" t="s">
        <v>11</v>
      </c>
      <c r="D2363" s="1">
        <v>43423</v>
      </c>
    </row>
    <row r="2364" spans="1:4" x14ac:dyDescent="0.25">
      <c r="A2364" t="s">
        <v>164</v>
      </c>
      <c r="B2364" t="str">
        <f>MID(tbl_lock[[#This Row],[PACE Job Number]],3,3)</f>
        <v>NTX</v>
      </c>
      <c r="C2364" t="s">
        <v>11</v>
      </c>
      <c r="D2364" s="1">
        <v>43416</v>
      </c>
    </row>
    <row r="2365" spans="1:4" x14ac:dyDescent="0.25">
      <c r="A2365" t="s">
        <v>4264</v>
      </c>
      <c r="B2365" t="str">
        <f>MID(tbl_lock[[#This Row],[PACE Job Number]],3,3)</f>
        <v>NTX</v>
      </c>
      <c r="C2365" t="s">
        <v>11</v>
      </c>
      <c r="D2365" s="1">
        <v>43430</v>
      </c>
    </row>
    <row r="2366" spans="1:4" x14ac:dyDescent="0.25">
      <c r="A2366" t="s">
        <v>106</v>
      </c>
      <c r="B2366" t="str">
        <f>MID(tbl_lock[[#This Row],[PACE Job Number]],3,3)</f>
        <v>NTX</v>
      </c>
      <c r="C2366" t="s">
        <v>11</v>
      </c>
      <c r="D2366" s="1">
        <v>43423</v>
      </c>
    </row>
    <row r="2367" spans="1:4" x14ac:dyDescent="0.25">
      <c r="A2367" t="s">
        <v>4265</v>
      </c>
      <c r="B2367" t="str">
        <f>MID(tbl_lock[[#This Row],[PACE Job Number]],3,3)</f>
        <v>NTX</v>
      </c>
      <c r="C2367" t="s">
        <v>11</v>
      </c>
      <c r="D2367" s="1">
        <v>43430</v>
      </c>
    </row>
    <row r="2368" spans="1:4" x14ac:dyDescent="0.25">
      <c r="A2368" t="s">
        <v>3793</v>
      </c>
      <c r="B2368" t="str">
        <f>MID(tbl_lock[[#This Row],[PACE Job Number]],3,3)</f>
        <v>NTX</v>
      </c>
      <c r="C2368" t="s">
        <v>11</v>
      </c>
      <c r="D2368" s="1">
        <v>43406</v>
      </c>
    </row>
    <row r="2369" spans="1:4" x14ac:dyDescent="0.25">
      <c r="A2369" t="s">
        <v>2282</v>
      </c>
      <c r="B2369" t="str">
        <f>MID(tbl_lock[[#This Row],[PACE Job Number]],3,3)</f>
        <v>NTX</v>
      </c>
      <c r="C2369" t="s">
        <v>11</v>
      </c>
      <c r="D2369" s="1">
        <v>43431</v>
      </c>
    </row>
    <row r="2370" spans="1:4" x14ac:dyDescent="0.25">
      <c r="A2370" t="s">
        <v>2419</v>
      </c>
      <c r="B2370" t="str">
        <f>MID(tbl_lock[[#This Row],[PACE Job Number]],3,3)</f>
        <v>NTX</v>
      </c>
      <c r="C2370" t="s">
        <v>11</v>
      </c>
      <c r="D2370" s="1">
        <v>43423</v>
      </c>
    </row>
    <row r="2371" spans="1:4" x14ac:dyDescent="0.25">
      <c r="A2371" t="s">
        <v>4404</v>
      </c>
      <c r="B2371" t="str">
        <f>MID(tbl_lock[[#This Row],[PACE Job Number]],3,3)</f>
        <v>NTX</v>
      </c>
      <c r="C2371" t="s">
        <v>11</v>
      </c>
      <c r="D2371" s="1">
        <v>43407</v>
      </c>
    </row>
    <row r="2372" spans="1:4" x14ac:dyDescent="0.25">
      <c r="A2372" t="s">
        <v>3798</v>
      </c>
      <c r="B2372" t="str">
        <f>MID(tbl_lock[[#This Row],[PACE Job Number]],3,3)</f>
        <v>WSH</v>
      </c>
      <c r="C2372" t="s">
        <v>11</v>
      </c>
      <c r="D2372" s="1">
        <v>43434</v>
      </c>
    </row>
    <row r="2373" spans="1:4" x14ac:dyDescent="0.25">
      <c r="A2373" t="s">
        <v>4196</v>
      </c>
      <c r="B2373" t="str">
        <f>MID(tbl_lock[[#This Row],[PACE Job Number]],3,3)</f>
        <v>WSH</v>
      </c>
      <c r="C2373" t="s">
        <v>11</v>
      </c>
      <c r="D2373" s="1">
        <v>43434</v>
      </c>
    </row>
    <row r="2374" spans="1:4" x14ac:dyDescent="0.25">
      <c r="A2374" t="s">
        <v>31</v>
      </c>
      <c r="B2374" t="str">
        <f>MID(tbl_lock[[#This Row],[PACE Job Number]],3,3)</f>
        <v>WSH</v>
      </c>
      <c r="C2374" t="s">
        <v>11</v>
      </c>
      <c r="D2374" s="1">
        <v>43434</v>
      </c>
    </row>
    <row r="2375" spans="1:4" x14ac:dyDescent="0.25">
      <c r="A2375" t="s">
        <v>5250</v>
      </c>
      <c r="B2375" t="str">
        <f>MID(tbl_lock[[#This Row],[PACE Job Number]],3,3)</f>
        <v>WSH</v>
      </c>
      <c r="C2375" t="s">
        <v>11</v>
      </c>
      <c r="D2375" s="1">
        <v>43434</v>
      </c>
    </row>
    <row r="2376" spans="1:4" x14ac:dyDescent="0.25">
      <c r="A2376" t="s">
        <v>3889</v>
      </c>
      <c r="B2376" t="str">
        <f>MID(tbl_lock[[#This Row],[PACE Job Number]],3,3)</f>
        <v>WSH</v>
      </c>
      <c r="C2376" t="s">
        <v>11</v>
      </c>
      <c r="D2376" s="1">
        <v>43405</v>
      </c>
    </row>
    <row r="2377" spans="1:4" x14ac:dyDescent="0.25">
      <c r="A2377" t="s">
        <v>3890</v>
      </c>
      <c r="B2377" t="str">
        <f>MID(tbl_lock[[#This Row],[PACE Job Number]],3,3)</f>
        <v>WSH</v>
      </c>
      <c r="C2377" t="s">
        <v>11</v>
      </c>
      <c r="D2377" s="1">
        <v>43413</v>
      </c>
    </row>
    <row r="2378" spans="1:4" x14ac:dyDescent="0.25">
      <c r="A2378" t="s">
        <v>5252</v>
      </c>
      <c r="B2378" t="str">
        <f>MID(tbl_lock[[#This Row],[PACE Job Number]],3,3)</f>
        <v>WSH</v>
      </c>
      <c r="C2378" t="s">
        <v>11</v>
      </c>
      <c r="D2378" s="1">
        <v>43424</v>
      </c>
    </row>
    <row r="2379" spans="1:4" x14ac:dyDescent="0.25">
      <c r="A2379" t="s">
        <v>62</v>
      </c>
      <c r="B2379" t="str">
        <f>MID(tbl_lock[[#This Row],[PACE Job Number]],3,3)</f>
        <v>WSH</v>
      </c>
      <c r="C2379" t="s">
        <v>11</v>
      </c>
      <c r="D2379" s="1">
        <v>43413</v>
      </c>
    </row>
    <row r="2380" spans="1:4" x14ac:dyDescent="0.25">
      <c r="A2380" t="s">
        <v>3799</v>
      </c>
      <c r="B2380" t="str">
        <f>MID(tbl_lock[[#This Row],[PACE Job Number]],3,3)</f>
        <v>WSH</v>
      </c>
      <c r="C2380" t="s">
        <v>11</v>
      </c>
      <c r="D2380" s="1">
        <v>43424</v>
      </c>
    </row>
    <row r="2381" spans="1:4" x14ac:dyDescent="0.25">
      <c r="A2381" t="s">
        <v>4228</v>
      </c>
      <c r="B2381" t="str">
        <f>MID(tbl_lock[[#This Row],[PACE Job Number]],3,3)</f>
        <v>ANM</v>
      </c>
      <c r="C2381" t="s">
        <v>11</v>
      </c>
      <c r="D2381" s="1">
        <v>43417</v>
      </c>
    </row>
    <row r="2382" spans="1:4" x14ac:dyDescent="0.25">
      <c r="A2382" t="s">
        <v>4229</v>
      </c>
      <c r="B2382" t="str">
        <f>MID(tbl_lock[[#This Row],[PACE Job Number]],3,3)</f>
        <v>ANM</v>
      </c>
      <c r="C2382" t="s">
        <v>11</v>
      </c>
      <c r="D2382" s="1">
        <v>43417</v>
      </c>
    </row>
    <row r="2383" spans="1:4" x14ac:dyDescent="0.25">
      <c r="A2383" t="s">
        <v>4231</v>
      </c>
      <c r="B2383" t="str">
        <f>MID(tbl_lock[[#This Row],[PACE Job Number]],3,3)</f>
        <v>ANM</v>
      </c>
      <c r="C2383" t="s">
        <v>11</v>
      </c>
      <c r="D2383" s="1">
        <v>43417</v>
      </c>
    </row>
    <row r="2384" spans="1:4" x14ac:dyDescent="0.25">
      <c r="A2384" t="s">
        <v>4232</v>
      </c>
      <c r="B2384" t="str">
        <f>MID(tbl_lock[[#This Row],[PACE Job Number]],3,3)</f>
        <v>ANM</v>
      </c>
      <c r="C2384" t="s">
        <v>11</v>
      </c>
      <c r="D2384" s="1">
        <v>43417</v>
      </c>
    </row>
    <row r="2385" spans="1:4" x14ac:dyDescent="0.25">
      <c r="A2385" t="s">
        <v>4233</v>
      </c>
      <c r="B2385" t="str">
        <f>MID(tbl_lock[[#This Row],[PACE Job Number]],3,3)</f>
        <v>ANM</v>
      </c>
      <c r="C2385" t="s">
        <v>11</v>
      </c>
      <c r="D2385" s="1">
        <v>43417</v>
      </c>
    </row>
    <row r="2386" spans="1:4" x14ac:dyDescent="0.25">
      <c r="A2386" t="s">
        <v>4234</v>
      </c>
      <c r="B2386" t="str">
        <f>MID(tbl_lock[[#This Row],[PACE Job Number]],3,3)</f>
        <v>ANM</v>
      </c>
      <c r="C2386" t="s">
        <v>11</v>
      </c>
      <c r="D2386" s="1">
        <v>43417</v>
      </c>
    </row>
    <row r="2387" spans="1:4" x14ac:dyDescent="0.25">
      <c r="A2387" t="s">
        <v>4235</v>
      </c>
      <c r="B2387" t="str">
        <f>MID(tbl_lock[[#This Row],[PACE Job Number]],3,3)</f>
        <v>ANM</v>
      </c>
      <c r="C2387" t="s">
        <v>11</v>
      </c>
      <c r="D2387" s="1">
        <v>43417</v>
      </c>
    </row>
    <row r="2388" spans="1:4" x14ac:dyDescent="0.25">
      <c r="A2388" t="s">
        <v>4236</v>
      </c>
      <c r="B2388" t="str">
        <f>MID(tbl_lock[[#This Row],[PACE Job Number]],3,3)</f>
        <v>ANM</v>
      </c>
      <c r="C2388" t="s">
        <v>11</v>
      </c>
      <c r="D2388" s="1">
        <v>43417</v>
      </c>
    </row>
    <row r="2389" spans="1:4" x14ac:dyDescent="0.25">
      <c r="A2389" t="s">
        <v>4237</v>
      </c>
      <c r="B2389" t="str">
        <f>MID(tbl_lock[[#This Row],[PACE Job Number]],3,3)</f>
        <v>ANM</v>
      </c>
      <c r="C2389" t="s">
        <v>11</v>
      </c>
      <c r="D2389" s="1">
        <v>43417</v>
      </c>
    </row>
    <row r="2390" spans="1:4" x14ac:dyDescent="0.25">
      <c r="A2390" t="s">
        <v>5253</v>
      </c>
      <c r="B2390" t="str">
        <f>MID(tbl_lock[[#This Row],[PACE Job Number]],3,3)</f>
        <v>ANM</v>
      </c>
      <c r="C2390" t="s">
        <v>11</v>
      </c>
      <c r="D2390" s="1">
        <v>43430</v>
      </c>
    </row>
    <row r="2391" spans="1:4" x14ac:dyDescent="0.25">
      <c r="A2391" t="s">
        <v>4239</v>
      </c>
      <c r="B2391" t="str">
        <f>MID(tbl_lock[[#This Row],[PACE Job Number]],3,3)</f>
        <v>ANM</v>
      </c>
      <c r="C2391" t="s">
        <v>11</v>
      </c>
      <c r="D2391" s="1">
        <v>43409</v>
      </c>
    </row>
    <row r="2392" spans="1:4" x14ac:dyDescent="0.25">
      <c r="A2392" t="s">
        <v>4240</v>
      </c>
      <c r="B2392" t="str">
        <f>MID(tbl_lock[[#This Row],[PACE Job Number]],3,3)</f>
        <v>ANM</v>
      </c>
      <c r="C2392" t="s">
        <v>11</v>
      </c>
      <c r="D2392" s="1">
        <v>43409</v>
      </c>
    </row>
    <row r="2393" spans="1:4" x14ac:dyDescent="0.25">
      <c r="A2393" t="s">
        <v>5065</v>
      </c>
      <c r="B2393" t="str">
        <f>MID(tbl_lock[[#This Row],[PACE Job Number]],3,3)</f>
        <v>ANM</v>
      </c>
      <c r="C2393" t="s">
        <v>11</v>
      </c>
      <c r="D2393" s="1">
        <v>43430</v>
      </c>
    </row>
    <row r="2394" spans="1:4" x14ac:dyDescent="0.25">
      <c r="A2394" t="s">
        <v>5254</v>
      </c>
      <c r="B2394" t="str">
        <f>MID(tbl_lock[[#This Row],[PACE Job Number]],3,3)</f>
        <v>ANM</v>
      </c>
      <c r="C2394" t="s">
        <v>11</v>
      </c>
      <c r="D2394" s="1">
        <v>43419</v>
      </c>
    </row>
    <row r="2395" spans="1:4" x14ac:dyDescent="0.25">
      <c r="A2395" t="s">
        <v>4153</v>
      </c>
      <c r="B2395" t="str">
        <f>MID(tbl_lock[[#This Row],[PACE Job Number]],3,3)</f>
        <v>ANM</v>
      </c>
      <c r="C2395" t="s">
        <v>11</v>
      </c>
      <c r="D2395" s="1">
        <v>43430</v>
      </c>
    </row>
    <row r="2396" spans="1:4" x14ac:dyDescent="0.25">
      <c r="A2396" t="s">
        <v>4156</v>
      </c>
      <c r="B2396" t="str">
        <f>MID(tbl_lock[[#This Row],[PACE Job Number]],3,3)</f>
        <v>ANM</v>
      </c>
      <c r="C2396" t="s">
        <v>11</v>
      </c>
      <c r="D2396" s="1">
        <v>43430</v>
      </c>
    </row>
    <row r="2397" spans="1:4" x14ac:dyDescent="0.25">
      <c r="A2397" t="s">
        <v>5067</v>
      </c>
      <c r="B2397" t="str">
        <f>MID(tbl_lock[[#This Row],[PACE Job Number]],3,3)</f>
        <v>ANM</v>
      </c>
      <c r="C2397" t="s">
        <v>11</v>
      </c>
      <c r="D2397" s="1">
        <v>43430</v>
      </c>
    </row>
    <row r="2398" spans="1:4" x14ac:dyDescent="0.25">
      <c r="A2398" t="s">
        <v>5068</v>
      </c>
      <c r="B2398" t="str">
        <f>MID(tbl_lock[[#This Row],[PACE Job Number]],3,3)</f>
        <v>ANM</v>
      </c>
      <c r="C2398" t="s">
        <v>11</v>
      </c>
      <c r="D2398" s="1">
        <v>43430</v>
      </c>
    </row>
    <row r="2399" spans="1:4" x14ac:dyDescent="0.25">
      <c r="A2399" t="s">
        <v>4464</v>
      </c>
      <c r="B2399" t="str">
        <f>MID(tbl_lock[[#This Row],[PACE Job Number]],3,3)</f>
        <v>STX</v>
      </c>
      <c r="C2399" t="s">
        <v>11</v>
      </c>
      <c r="D2399" s="1">
        <v>43428</v>
      </c>
    </row>
    <row r="2400" spans="1:4" x14ac:dyDescent="0.25">
      <c r="A2400" t="s">
        <v>4465</v>
      </c>
      <c r="B2400" t="str">
        <f>MID(tbl_lock[[#This Row],[PACE Job Number]],3,3)</f>
        <v>STX</v>
      </c>
      <c r="C2400" t="s">
        <v>11</v>
      </c>
      <c r="D2400" s="1">
        <v>43428</v>
      </c>
    </row>
    <row r="2401" spans="1:4" x14ac:dyDescent="0.25">
      <c r="A2401" t="s">
        <v>3259</v>
      </c>
      <c r="B2401" t="str">
        <f>MID(tbl_lock[[#This Row],[PACE Job Number]],3,3)</f>
        <v>STX</v>
      </c>
      <c r="C2401" t="s">
        <v>11</v>
      </c>
      <c r="D2401" s="1">
        <v>43428</v>
      </c>
    </row>
    <row r="2402" spans="1:4" x14ac:dyDescent="0.25">
      <c r="A2402" t="s">
        <v>1205</v>
      </c>
      <c r="B2402" t="str">
        <f>MID(tbl_lock[[#This Row],[PACE Job Number]],3,3)</f>
        <v>STX</v>
      </c>
      <c r="C2402" t="s">
        <v>11</v>
      </c>
      <c r="D2402" s="1">
        <v>43428</v>
      </c>
    </row>
    <row r="2403" spans="1:4" x14ac:dyDescent="0.25">
      <c r="A2403" t="s">
        <v>4467</v>
      </c>
      <c r="B2403" t="str">
        <f>MID(tbl_lock[[#This Row],[PACE Job Number]],3,3)</f>
        <v>STX</v>
      </c>
      <c r="C2403" t="s">
        <v>11</v>
      </c>
      <c r="D2403" s="1">
        <v>43428</v>
      </c>
    </row>
    <row r="2404" spans="1:4" x14ac:dyDescent="0.25">
      <c r="A2404" t="s">
        <v>4468</v>
      </c>
      <c r="B2404" t="str">
        <f>MID(tbl_lock[[#This Row],[PACE Job Number]],3,3)</f>
        <v>STX</v>
      </c>
      <c r="C2404" t="s">
        <v>11</v>
      </c>
      <c r="D2404" s="1">
        <v>43428</v>
      </c>
    </row>
    <row r="2405" spans="1:4" x14ac:dyDescent="0.25">
      <c r="A2405" t="s">
        <v>3294</v>
      </c>
      <c r="B2405" t="str">
        <f>MID(tbl_lock[[#This Row],[PACE Job Number]],3,3)</f>
        <v>STX</v>
      </c>
      <c r="C2405" t="s">
        <v>11</v>
      </c>
      <c r="D2405" s="1">
        <v>43425</v>
      </c>
    </row>
    <row r="2406" spans="1:4" x14ac:dyDescent="0.25">
      <c r="A2406" t="s">
        <v>2726</v>
      </c>
      <c r="B2406" t="str">
        <f>MID(tbl_lock[[#This Row],[PACE Job Number]],3,3)</f>
        <v>STX</v>
      </c>
      <c r="C2406" t="s">
        <v>11</v>
      </c>
      <c r="D2406" s="1">
        <v>43428</v>
      </c>
    </row>
    <row r="2407" spans="1:4" x14ac:dyDescent="0.25">
      <c r="A2407" t="s">
        <v>2731</v>
      </c>
      <c r="B2407" t="str">
        <f>MID(tbl_lock[[#This Row],[PACE Job Number]],3,3)</f>
        <v>STX</v>
      </c>
      <c r="C2407" t="s">
        <v>11</v>
      </c>
      <c r="D2407" s="1">
        <v>43428</v>
      </c>
    </row>
    <row r="2408" spans="1:4" x14ac:dyDescent="0.25">
      <c r="A2408" t="s">
        <v>2729</v>
      </c>
      <c r="B2408" t="str">
        <f>MID(tbl_lock[[#This Row],[PACE Job Number]],3,3)</f>
        <v>STX</v>
      </c>
      <c r="C2408" t="s">
        <v>11</v>
      </c>
      <c r="D2408" s="1">
        <v>43428</v>
      </c>
    </row>
    <row r="2409" spans="1:4" x14ac:dyDescent="0.25">
      <c r="A2409" t="s">
        <v>3128</v>
      </c>
      <c r="B2409" t="str">
        <f>MID(tbl_lock[[#This Row],[PACE Job Number]],3,3)</f>
        <v>STX</v>
      </c>
      <c r="C2409" t="s">
        <v>11</v>
      </c>
      <c r="D2409" s="1">
        <v>43428</v>
      </c>
    </row>
    <row r="2410" spans="1:4" x14ac:dyDescent="0.25">
      <c r="A2410" t="s">
        <v>3275</v>
      </c>
      <c r="B2410" t="str">
        <f>MID(tbl_lock[[#This Row],[PACE Job Number]],3,3)</f>
        <v>STX</v>
      </c>
      <c r="C2410" t="s">
        <v>11</v>
      </c>
      <c r="D2410" s="1">
        <v>43405</v>
      </c>
    </row>
    <row r="2411" spans="1:4" x14ac:dyDescent="0.25">
      <c r="A2411" t="s">
        <v>5405</v>
      </c>
      <c r="B2411" t="str">
        <f>MID(tbl_lock[[#This Row],[PACE Job Number]],3,3)</f>
        <v>STX</v>
      </c>
      <c r="C2411" t="s">
        <v>11</v>
      </c>
      <c r="D2411" s="1">
        <v>43425</v>
      </c>
    </row>
    <row r="2412" spans="1:4" x14ac:dyDescent="0.25">
      <c r="A2412" t="s">
        <v>4279</v>
      </c>
      <c r="B2412" t="str">
        <f>MID(tbl_lock[[#This Row],[PACE Job Number]],3,3)</f>
        <v>STX</v>
      </c>
      <c r="C2412" t="s">
        <v>11</v>
      </c>
      <c r="D2412" s="1">
        <v>43429</v>
      </c>
    </row>
    <row r="2413" spans="1:4" x14ac:dyDescent="0.25">
      <c r="A2413" t="s">
        <v>1270</v>
      </c>
      <c r="B2413" t="str">
        <f>MID(tbl_lock[[#This Row],[PACE Job Number]],3,3)</f>
        <v>STX</v>
      </c>
      <c r="C2413" t="s">
        <v>11</v>
      </c>
      <c r="D2413" s="1">
        <v>43428</v>
      </c>
    </row>
    <row r="2414" spans="1:4" x14ac:dyDescent="0.25">
      <c r="A2414" t="s">
        <v>584</v>
      </c>
      <c r="B2414" t="str">
        <f>MID(tbl_lock[[#This Row],[PACE Job Number]],3,3)</f>
        <v>NTX</v>
      </c>
      <c r="C2414" t="s">
        <v>11</v>
      </c>
      <c r="D2414" s="1">
        <v>43411</v>
      </c>
    </row>
    <row r="2415" spans="1:4" x14ac:dyDescent="0.25">
      <c r="A2415" t="s">
        <v>5499</v>
      </c>
      <c r="B2415" t="str">
        <f>MID(tbl_lock[[#This Row],[PACE Job Number]],3,3)</f>
        <v>NTX</v>
      </c>
      <c r="C2415" t="s">
        <v>11</v>
      </c>
      <c r="D2415" s="1">
        <v>43425</v>
      </c>
    </row>
    <row r="2416" spans="1:4" x14ac:dyDescent="0.25">
      <c r="A2416" t="s">
        <v>4266</v>
      </c>
      <c r="B2416" t="str">
        <f>MID(tbl_lock[[#This Row],[PACE Job Number]],3,3)</f>
        <v>NTX</v>
      </c>
      <c r="C2416" t="s">
        <v>11</v>
      </c>
      <c r="D2416" s="1">
        <v>43434</v>
      </c>
    </row>
    <row r="2417" spans="1:4" x14ac:dyDescent="0.25">
      <c r="A2417" t="s">
        <v>3794</v>
      </c>
      <c r="B2417" t="str">
        <f>MID(tbl_lock[[#This Row],[PACE Job Number]],3,3)</f>
        <v>NTX</v>
      </c>
      <c r="C2417" t="s">
        <v>11</v>
      </c>
      <c r="D2417" s="1">
        <v>43433</v>
      </c>
    </row>
    <row r="2418" spans="1:4" x14ac:dyDescent="0.25">
      <c r="A2418" t="s">
        <v>677</v>
      </c>
      <c r="B2418" t="str">
        <f>MID(tbl_lock[[#This Row],[PACE Job Number]],3,3)</f>
        <v>STX</v>
      </c>
      <c r="C2418" t="s">
        <v>11</v>
      </c>
      <c r="D2418" s="1">
        <v>43428</v>
      </c>
    </row>
    <row r="2419" spans="1:4" x14ac:dyDescent="0.25">
      <c r="A2419" t="s">
        <v>3124</v>
      </c>
      <c r="B2419" t="str">
        <f>MID(tbl_lock[[#This Row],[PACE Job Number]],3,3)</f>
        <v>STX</v>
      </c>
      <c r="C2419" t="s">
        <v>11</v>
      </c>
      <c r="D2419" s="1">
        <v>43406</v>
      </c>
    </row>
    <row r="2420" spans="1:4" x14ac:dyDescent="0.25">
      <c r="A2420" t="s">
        <v>3110</v>
      </c>
      <c r="B2420" t="str">
        <f>MID(tbl_lock[[#This Row],[PACE Job Number]],3,3)</f>
        <v>STX</v>
      </c>
      <c r="C2420" t="s">
        <v>11</v>
      </c>
      <c r="D2420" s="1">
        <v>43406</v>
      </c>
    </row>
    <row r="2421" spans="1:4" x14ac:dyDescent="0.25">
      <c r="A2421" t="s">
        <v>3472</v>
      </c>
      <c r="B2421" t="str">
        <f>MID(tbl_lock[[#This Row],[PACE Job Number]],3,3)</f>
        <v>STX</v>
      </c>
      <c r="C2421" t="s">
        <v>11</v>
      </c>
      <c r="D2421" s="1">
        <v>43418</v>
      </c>
    </row>
    <row r="2422" spans="1:4" x14ac:dyDescent="0.25">
      <c r="A2422" t="s">
        <v>261</v>
      </c>
      <c r="B2422" t="str">
        <f>MID(tbl_lock[[#This Row],[PACE Job Number]],3,3)</f>
        <v>STX</v>
      </c>
      <c r="C2422" t="s">
        <v>11</v>
      </c>
      <c r="D2422" s="1">
        <v>43425</v>
      </c>
    </row>
    <row r="2423" spans="1:4" x14ac:dyDescent="0.25">
      <c r="A2423" t="s">
        <v>53</v>
      </c>
      <c r="B2423" t="str">
        <f>MID(tbl_lock[[#This Row],[PACE Job Number]],3,3)</f>
        <v>STX</v>
      </c>
      <c r="C2423" t="s">
        <v>11</v>
      </c>
      <c r="D2423" s="1">
        <v>43425</v>
      </c>
    </row>
    <row r="2424" spans="1:4" x14ac:dyDescent="0.25">
      <c r="A2424" t="s">
        <v>5407</v>
      </c>
      <c r="B2424" t="str">
        <f>MID(tbl_lock[[#This Row],[PACE Job Number]],3,3)</f>
        <v>STX</v>
      </c>
      <c r="C2424" t="s">
        <v>11</v>
      </c>
      <c r="D2424" s="1">
        <v>43425</v>
      </c>
    </row>
    <row r="2425" spans="1:4" x14ac:dyDescent="0.25">
      <c r="A2425" t="s">
        <v>1612</v>
      </c>
      <c r="B2425" t="str">
        <f>MID(tbl_lock[[#This Row],[PACE Job Number]],3,3)</f>
        <v>STX</v>
      </c>
      <c r="C2425" t="s">
        <v>11</v>
      </c>
      <c r="D2425" s="1">
        <v>43426</v>
      </c>
    </row>
    <row r="2426" spans="1:4" x14ac:dyDescent="0.25">
      <c r="A2426" t="s">
        <v>1594</v>
      </c>
      <c r="B2426" t="str">
        <f>MID(tbl_lock[[#This Row],[PACE Job Number]],3,3)</f>
        <v>NTX</v>
      </c>
      <c r="C2426" t="s">
        <v>11</v>
      </c>
      <c r="D2426" s="1">
        <v>43419</v>
      </c>
    </row>
    <row r="2427" spans="1:4" x14ac:dyDescent="0.25">
      <c r="A2427" t="s">
        <v>3958</v>
      </c>
      <c r="B2427" t="str">
        <f>MID(tbl_lock[[#This Row],[PACE Job Number]],3,3)</f>
        <v>NTX</v>
      </c>
      <c r="C2427" t="s">
        <v>11</v>
      </c>
      <c r="D2427" s="1">
        <v>43427</v>
      </c>
    </row>
    <row r="2428" spans="1:4" x14ac:dyDescent="0.25">
      <c r="A2428" t="s">
        <v>318</v>
      </c>
      <c r="B2428" t="str">
        <f>MID(tbl_lock[[#This Row],[PACE Job Number]],3,3)</f>
        <v>NTX</v>
      </c>
      <c r="C2428" t="s">
        <v>11</v>
      </c>
      <c r="D2428" s="1">
        <v>43430</v>
      </c>
    </row>
    <row r="2429" spans="1:4" x14ac:dyDescent="0.25">
      <c r="A2429" t="s">
        <v>369</v>
      </c>
      <c r="B2429" t="str">
        <f>MID(tbl_lock[[#This Row],[PACE Job Number]],3,3)</f>
        <v>NTX</v>
      </c>
      <c r="C2429" t="s">
        <v>11</v>
      </c>
      <c r="D2429" s="1">
        <v>43412</v>
      </c>
    </row>
    <row r="2430" spans="1:4" x14ac:dyDescent="0.25">
      <c r="A2430" t="s">
        <v>3420</v>
      </c>
      <c r="B2430" t="str">
        <f>MID(tbl_lock[[#This Row],[PACE Job Number]],3,3)</f>
        <v>NTX</v>
      </c>
      <c r="C2430" t="s">
        <v>11</v>
      </c>
      <c r="D2430" s="1">
        <v>43407</v>
      </c>
    </row>
    <row r="2431" spans="1:4" x14ac:dyDescent="0.25">
      <c r="A2431" t="s">
        <v>5500</v>
      </c>
      <c r="B2431" t="str">
        <f>MID(tbl_lock[[#This Row],[PACE Job Number]],3,3)</f>
        <v>NTX</v>
      </c>
      <c r="C2431" t="s">
        <v>11</v>
      </c>
      <c r="D2431" s="1">
        <v>43431</v>
      </c>
    </row>
    <row r="2432" spans="1:4" x14ac:dyDescent="0.25">
      <c r="A2432" t="s">
        <v>1821</v>
      </c>
      <c r="B2432" t="str">
        <f>MID(tbl_lock[[#This Row],[PACE Job Number]],3,3)</f>
        <v>NTX</v>
      </c>
      <c r="C2432" t="s">
        <v>11</v>
      </c>
      <c r="D2432" s="1">
        <v>43409</v>
      </c>
    </row>
    <row r="2433" spans="1:4" x14ac:dyDescent="0.25">
      <c r="A2433" t="s">
        <v>1825</v>
      </c>
      <c r="B2433" t="str">
        <f>MID(tbl_lock[[#This Row],[PACE Job Number]],3,3)</f>
        <v>NTX</v>
      </c>
      <c r="C2433" t="s">
        <v>11</v>
      </c>
      <c r="D2433" s="1">
        <v>43430</v>
      </c>
    </row>
    <row r="2434" spans="1:4" x14ac:dyDescent="0.25">
      <c r="A2434" t="s">
        <v>1826</v>
      </c>
      <c r="B2434" t="str">
        <f>MID(tbl_lock[[#This Row],[PACE Job Number]],3,3)</f>
        <v>NTX</v>
      </c>
      <c r="C2434" t="s">
        <v>11</v>
      </c>
      <c r="D2434" s="1">
        <v>43409</v>
      </c>
    </row>
    <row r="2435" spans="1:4" x14ac:dyDescent="0.25">
      <c r="A2435" t="s">
        <v>583</v>
      </c>
      <c r="B2435" t="str">
        <f>MID(tbl_lock[[#This Row],[PACE Job Number]],3,3)</f>
        <v>NTX</v>
      </c>
      <c r="C2435" t="s">
        <v>11</v>
      </c>
      <c r="D2435" s="1">
        <v>43409</v>
      </c>
    </row>
    <row r="2436" spans="1:4" x14ac:dyDescent="0.25">
      <c r="A2436" t="s">
        <v>1575</v>
      </c>
      <c r="B2436" t="str">
        <f>MID(tbl_lock[[#This Row],[PACE Job Number]],3,3)</f>
        <v>NTX</v>
      </c>
      <c r="C2436" t="s">
        <v>11</v>
      </c>
      <c r="D2436" s="1">
        <v>43426</v>
      </c>
    </row>
    <row r="2437" spans="1:4" x14ac:dyDescent="0.25">
      <c r="A2437" t="s">
        <v>5501</v>
      </c>
      <c r="B2437" t="str">
        <f>MID(tbl_lock[[#This Row],[PACE Job Number]],3,3)</f>
        <v>NTX</v>
      </c>
      <c r="C2437" t="s">
        <v>11</v>
      </c>
      <c r="D2437" s="1">
        <v>43423</v>
      </c>
    </row>
    <row r="2438" spans="1:4" x14ac:dyDescent="0.25">
      <c r="A2438" t="s">
        <v>4528</v>
      </c>
      <c r="B2438" t="str">
        <f>MID(tbl_lock[[#This Row],[PACE Job Number]],3,3)</f>
        <v>NTX</v>
      </c>
      <c r="C2438" t="s">
        <v>11</v>
      </c>
      <c r="D2438" s="1">
        <v>43407</v>
      </c>
    </row>
    <row r="2439" spans="1:4" x14ac:dyDescent="0.25">
      <c r="A2439" t="s">
        <v>5408</v>
      </c>
      <c r="B2439" t="str">
        <f>MID(tbl_lock[[#This Row],[PACE Job Number]],3,3)</f>
        <v>NTX</v>
      </c>
      <c r="C2439" t="s">
        <v>11</v>
      </c>
      <c r="D2439" s="1">
        <v>43423</v>
      </c>
    </row>
    <row r="2440" spans="1:4" x14ac:dyDescent="0.25">
      <c r="A2440" t="s">
        <v>645</v>
      </c>
      <c r="B2440" t="str">
        <f>MID(tbl_lock[[#This Row],[PACE Job Number]],3,3)</f>
        <v>NTX</v>
      </c>
      <c r="C2440" t="s">
        <v>11</v>
      </c>
      <c r="D2440" s="1">
        <v>43427</v>
      </c>
    </row>
    <row r="2441" spans="1:4" x14ac:dyDescent="0.25">
      <c r="A2441" t="s">
        <v>3368</v>
      </c>
      <c r="B2441" t="str">
        <f>MID(tbl_lock[[#This Row],[PACE Job Number]],3,3)</f>
        <v>NTX</v>
      </c>
      <c r="C2441" t="s">
        <v>11</v>
      </c>
      <c r="D2441" s="1">
        <v>43420</v>
      </c>
    </row>
    <row r="2442" spans="1:4" x14ac:dyDescent="0.25">
      <c r="A2442" t="s">
        <v>5409</v>
      </c>
      <c r="B2442" t="str">
        <f>MID(tbl_lock[[#This Row],[PACE Job Number]],3,3)</f>
        <v>NTX</v>
      </c>
      <c r="C2442" t="s">
        <v>11</v>
      </c>
      <c r="D2442" s="1">
        <v>43423</v>
      </c>
    </row>
    <row r="2443" spans="1:4" x14ac:dyDescent="0.25">
      <c r="A2443" t="s">
        <v>5502</v>
      </c>
      <c r="B2443" t="str">
        <f>MID(tbl_lock[[#This Row],[PACE Job Number]],3,3)</f>
        <v>WSH</v>
      </c>
      <c r="C2443" t="s">
        <v>11</v>
      </c>
      <c r="D2443" s="1">
        <v>43413</v>
      </c>
    </row>
    <row r="2444" spans="1:4" x14ac:dyDescent="0.25">
      <c r="A2444" t="s">
        <v>5258</v>
      </c>
      <c r="B2444" t="str">
        <f>MID(tbl_lock[[#This Row],[PACE Job Number]],3,3)</f>
        <v>WSH</v>
      </c>
      <c r="C2444" t="s">
        <v>11</v>
      </c>
      <c r="D2444" s="1">
        <v>43424</v>
      </c>
    </row>
    <row r="2445" spans="1:4" x14ac:dyDescent="0.25">
      <c r="A2445" t="s">
        <v>242</v>
      </c>
      <c r="B2445" t="str">
        <f>MID(tbl_lock[[#This Row],[PACE Job Number]],3,3)</f>
        <v>WSH</v>
      </c>
      <c r="C2445" t="s">
        <v>11</v>
      </c>
      <c r="D2445" s="1">
        <v>43424</v>
      </c>
    </row>
    <row r="2446" spans="1:4" x14ac:dyDescent="0.25">
      <c r="A2446" t="s">
        <v>3863</v>
      </c>
      <c r="B2446" t="str">
        <f>MID(tbl_lock[[#This Row],[PACE Job Number]],3,3)</f>
        <v>WSH</v>
      </c>
      <c r="C2446" t="s">
        <v>11</v>
      </c>
      <c r="D2446" s="1">
        <v>43413</v>
      </c>
    </row>
    <row r="2447" spans="1:4" x14ac:dyDescent="0.25">
      <c r="A2447" t="s">
        <v>5259</v>
      </c>
      <c r="B2447" t="str">
        <f>MID(tbl_lock[[#This Row],[PACE Job Number]],3,3)</f>
        <v>WSH</v>
      </c>
      <c r="C2447" t="s">
        <v>11</v>
      </c>
      <c r="D2447" s="1">
        <v>43424</v>
      </c>
    </row>
    <row r="2448" spans="1:4" x14ac:dyDescent="0.25">
      <c r="A2448" t="s">
        <v>121</v>
      </c>
      <c r="B2448" t="str">
        <f>MID(tbl_lock[[#This Row],[PACE Job Number]],3,3)</f>
        <v>WSH</v>
      </c>
      <c r="C2448" t="s">
        <v>11</v>
      </c>
      <c r="D2448" s="1">
        <v>43420</v>
      </c>
    </row>
    <row r="2449" spans="1:4" x14ac:dyDescent="0.25">
      <c r="A2449" t="s">
        <v>5503</v>
      </c>
      <c r="B2449" t="str">
        <f>MID(tbl_lock[[#This Row],[PACE Job Number]],3,3)</f>
        <v>WSH</v>
      </c>
      <c r="C2449" t="s">
        <v>11</v>
      </c>
      <c r="D2449" s="1">
        <v>43413</v>
      </c>
    </row>
    <row r="2450" spans="1:4" x14ac:dyDescent="0.25">
      <c r="A2450" t="s">
        <v>5261</v>
      </c>
      <c r="B2450" t="str">
        <f>MID(tbl_lock[[#This Row],[PACE Job Number]],3,3)</f>
        <v>WSH</v>
      </c>
      <c r="C2450" t="s">
        <v>11</v>
      </c>
      <c r="D2450" s="1">
        <v>43424</v>
      </c>
    </row>
    <row r="2451" spans="1:4" x14ac:dyDescent="0.25">
      <c r="A2451" t="s">
        <v>4269</v>
      </c>
      <c r="B2451" t="str">
        <f>MID(tbl_lock[[#This Row],[PACE Job Number]],3,3)</f>
        <v>WSH</v>
      </c>
      <c r="C2451" t="s">
        <v>11</v>
      </c>
      <c r="D2451" s="1">
        <v>43410</v>
      </c>
    </row>
    <row r="2452" spans="1:4" x14ac:dyDescent="0.25">
      <c r="A2452" t="s">
        <v>5504</v>
      </c>
      <c r="B2452" t="str">
        <f>MID(tbl_lock[[#This Row],[PACE Job Number]],3,3)</f>
        <v>WSH</v>
      </c>
      <c r="C2452" t="s">
        <v>11</v>
      </c>
      <c r="D2452" s="1">
        <v>43405</v>
      </c>
    </row>
    <row r="2453" spans="1:4" x14ac:dyDescent="0.25">
      <c r="A2453" t="s">
        <v>5262</v>
      </c>
      <c r="B2453" t="str">
        <f>MID(tbl_lock[[#This Row],[PACE Job Number]],3,3)</f>
        <v>WSH</v>
      </c>
      <c r="C2453" t="s">
        <v>11</v>
      </c>
      <c r="D2453" s="1">
        <v>43424</v>
      </c>
    </row>
    <row r="2454" spans="1:4" x14ac:dyDescent="0.25">
      <c r="A2454" t="s">
        <v>153</v>
      </c>
      <c r="B2454" t="str">
        <f>MID(tbl_lock[[#This Row],[PACE Job Number]],3,3)</f>
        <v>WSH</v>
      </c>
      <c r="C2454" t="s">
        <v>11</v>
      </c>
      <c r="D2454" s="1">
        <v>43420</v>
      </c>
    </row>
    <row r="2455" spans="1:4" x14ac:dyDescent="0.25">
      <c r="A2455" t="s">
        <v>5505</v>
      </c>
      <c r="B2455" t="str">
        <f>MID(tbl_lock[[#This Row],[PACE Job Number]],3,3)</f>
        <v>WSH</v>
      </c>
      <c r="C2455" t="s">
        <v>11</v>
      </c>
      <c r="D2455" s="1">
        <v>43405</v>
      </c>
    </row>
    <row r="2456" spans="1:4" x14ac:dyDescent="0.25">
      <c r="A2456" t="s">
        <v>5506</v>
      </c>
      <c r="B2456" t="str">
        <f>MID(tbl_lock[[#This Row],[PACE Job Number]],3,3)</f>
        <v>WSH</v>
      </c>
      <c r="C2456" t="s">
        <v>11</v>
      </c>
      <c r="D2456" s="1">
        <v>43413</v>
      </c>
    </row>
    <row r="2457" spans="1:4" x14ac:dyDescent="0.25">
      <c r="A2457" t="s">
        <v>5263</v>
      </c>
      <c r="B2457" t="str">
        <f>MID(tbl_lock[[#This Row],[PACE Job Number]],3,3)</f>
        <v>WSH</v>
      </c>
      <c r="C2457" t="s">
        <v>11</v>
      </c>
      <c r="D2457" s="1">
        <v>43424</v>
      </c>
    </row>
    <row r="2458" spans="1:4" x14ac:dyDescent="0.25">
      <c r="A2458" t="s">
        <v>5507</v>
      </c>
      <c r="B2458" t="str">
        <f>MID(tbl_lock[[#This Row],[PACE Job Number]],3,3)</f>
        <v>WSH</v>
      </c>
      <c r="C2458" t="s">
        <v>11</v>
      </c>
      <c r="D2458" s="1">
        <v>43413</v>
      </c>
    </row>
    <row r="2459" spans="1:4" x14ac:dyDescent="0.25">
      <c r="A2459" t="s">
        <v>5264</v>
      </c>
      <c r="B2459" t="str">
        <f>MID(tbl_lock[[#This Row],[PACE Job Number]],3,3)</f>
        <v>WSH</v>
      </c>
      <c r="C2459" t="s">
        <v>11</v>
      </c>
      <c r="D2459" s="1">
        <v>43418</v>
      </c>
    </row>
    <row r="2460" spans="1:4" x14ac:dyDescent="0.25">
      <c r="A2460" t="s">
        <v>5265</v>
      </c>
      <c r="B2460" t="str">
        <f>MID(tbl_lock[[#This Row],[PACE Job Number]],3,3)</f>
        <v>WSH</v>
      </c>
      <c r="C2460" t="s">
        <v>11</v>
      </c>
      <c r="D2460" s="1">
        <v>43418</v>
      </c>
    </row>
    <row r="2461" spans="1:4" x14ac:dyDescent="0.25">
      <c r="A2461" t="s">
        <v>3868</v>
      </c>
      <c r="B2461" t="str">
        <f>MID(tbl_lock[[#This Row],[PACE Job Number]],3,3)</f>
        <v>WSH</v>
      </c>
      <c r="C2461" t="s">
        <v>11</v>
      </c>
      <c r="D2461" s="1">
        <v>43413</v>
      </c>
    </row>
    <row r="2462" spans="1:4" x14ac:dyDescent="0.25">
      <c r="A2462" t="s">
        <v>3869</v>
      </c>
      <c r="B2462" t="str">
        <f>MID(tbl_lock[[#This Row],[PACE Job Number]],3,3)</f>
        <v>WSH</v>
      </c>
      <c r="C2462" t="s">
        <v>11</v>
      </c>
      <c r="D2462" s="1">
        <v>43405</v>
      </c>
    </row>
    <row r="2463" spans="1:4" x14ac:dyDescent="0.25">
      <c r="A2463" t="s">
        <v>5268</v>
      </c>
      <c r="B2463" t="str">
        <f>MID(tbl_lock[[#This Row],[PACE Job Number]],3,3)</f>
        <v>WSH</v>
      </c>
      <c r="C2463" t="s">
        <v>11</v>
      </c>
      <c r="D2463" s="1">
        <v>43424</v>
      </c>
    </row>
    <row r="2464" spans="1:4" x14ac:dyDescent="0.25">
      <c r="A2464" t="s">
        <v>5269</v>
      </c>
      <c r="B2464" t="str">
        <f>MID(tbl_lock[[#This Row],[PACE Job Number]],3,3)</f>
        <v>WSH</v>
      </c>
      <c r="C2464" t="s">
        <v>11</v>
      </c>
      <c r="D2464" s="1">
        <v>43424</v>
      </c>
    </row>
    <row r="2465" spans="1:4" x14ac:dyDescent="0.25">
      <c r="A2465" t="s">
        <v>2694</v>
      </c>
      <c r="B2465" t="str">
        <f>MID(tbl_lock[[#This Row],[PACE Job Number]],3,3)</f>
        <v>STX</v>
      </c>
      <c r="C2465" t="s">
        <v>11</v>
      </c>
      <c r="D2465" s="1">
        <v>43428</v>
      </c>
    </row>
    <row r="2466" spans="1:4" x14ac:dyDescent="0.25">
      <c r="A2466" t="s">
        <v>3510</v>
      </c>
      <c r="B2466" t="str">
        <f>MID(tbl_lock[[#This Row],[PACE Job Number]],3,3)</f>
        <v>STX</v>
      </c>
      <c r="C2466" t="s">
        <v>11</v>
      </c>
      <c r="D2466" s="1">
        <v>43428</v>
      </c>
    </row>
    <row r="2467" spans="1:4" x14ac:dyDescent="0.25">
      <c r="A2467" t="s">
        <v>5410</v>
      </c>
      <c r="B2467" t="str">
        <f>MID(tbl_lock[[#This Row],[PACE Job Number]],3,3)</f>
        <v>STX</v>
      </c>
      <c r="C2467" t="s">
        <v>11</v>
      </c>
      <c r="D2467" s="1">
        <v>43428</v>
      </c>
    </row>
    <row r="2468" spans="1:4" x14ac:dyDescent="0.25">
      <c r="A2468" t="s">
        <v>3831</v>
      </c>
      <c r="B2468" t="str">
        <f>MID(tbl_lock[[#This Row],[PACE Job Number]],3,3)</f>
        <v>WSH</v>
      </c>
      <c r="C2468" t="s">
        <v>11</v>
      </c>
      <c r="D2468" s="1">
        <v>43424</v>
      </c>
    </row>
    <row r="2469" spans="1:4" x14ac:dyDescent="0.25">
      <c r="A2469" t="s">
        <v>4247</v>
      </c>
      <c r="B2469" t="str">
        <f>MID(tbl_lock[[#This Row],[PACE Job Number]],3,3)</f>
        <v>WSH</v>
      </c>
      <c r="C2469" t="s">
        <v>11</v>
      </c>
      <c r="D2469" s="1">
        <v>43409</v>
      </c>
    </row>
    <row r="2470" spans="1:4" x14ac:dyDescent="0.25">
      <c r="A2470" t="s">
        <v>4248</v>
      </c>
      <c r="B2470" t="str">
        <f>MID(tbl_lock[[#This Row],[PACE Job Number]],3,3)</f>
        <v>WSH</v>
      </c>
      <c r="C2470" t="s">
        <v>11</v>
      </c>
      <c r="D2470" s="1">
        <v>43409</v>
      </c>
    </row>
    <row r="2471" spans="1:4" x14ac:dyDescent="0.25">
      <c r="A2471" t="s">
        <v>4249</v>
      </c>
      <c r="B2471" t="str">
        <f>MID(tbl_lock[[#This Row],[PACE Job Number]],3,3)</f>
        <v>WSH</v>
      </c>
      <c r="C2471" t="s">
        <v>11</v>
      </c>
      <c r="D2471" s="1">
        <v>43424</v>
      </c>
    </row>
    <row r="2472" spans="1:4" x14ac:dyDescent="0.25">
      <c r="A2472" t="s">
        <v>361</v>
      </c>
      <c r="B2472" t="str">
        <f>MID(tbl_lock[[#This Row],[PACE Job Number]],3,3)</f>
        <v>WSH</v>
      </c>
      <c r="C2472" t="s">
        <v>11</v>
      </c>
      <c r="D2472" s="1">
        <v>43408</v>
      </c>
    </row>
    <row r="2473" spans="1:4" x14ac:dyDescent="0.25">
      <c r="A2473" t="s">
        <v>232</v>
      </c>
      <c r="B2473" t="str">
        <f>MID(tbl_lock[[#This Row],[PACE Job Number]],3,3)</f>
        <v>WSH</v>
      </c>
      <c r="C2473" t="s">
        <v>11</v>
      </c>
      <c r="D2473" s="1">
        <v>43434</v>
      </c>
    </row>
    <row r="2474" spans="1:4" x14ac:dyDescent="0.25">
      <c r="A2474" t="s">
        <v>177</v>
      </c>
      <c r="B2474" t="str">
        <f>MID(tbl_lock[[#This Row],[PACE Job Number]],3,3)</f>
        <v>WSH</v>
      </c>
      <c r="C2474" t="s">
        <v>11</v>
      </c>
      <c r="D2474" s="1">
        <v>43424</v>
      </c>
    </row>
    <row r="2475" spans="1:4" x14ac:dyDescent="0.25">
      <c r="A2475" t="s">
        <v>5271</v>
      </c>
      <c r="B2475" t="str">
        <f>MID(tbl_lock[[#This Row],[PACE Job Number]],3,3)</f>
        <v>WSH</v>
      </c>
      <c r="C2475" t="s">
        <v>11</v>
      </c>
      <c r="D2475" s="1">
        <v>43434</v>
      </c>
    </row>
    <row r="2476" spans="1:4" x14ac:dyDescent="0.25">
      <c r="A2476" t="s">
        <v>3833</v>
      </c>
      <c r="B2476" t="str">
        <f>MID(tbl_lock[[#This Row],[PACE Job Number]],3,3)</f>
        <v>WSH</v>
      </c>
      <c r="C2476" t="s">
        <v>11</v>
      </c>
      <c r="D2476" s="1">
        <v>43410</v>
      </c>
    </row>
    <row r="2477" spans="1:4" x14ac:dyDescent="0.25">
      <c r="A2477" t="s">
        <v>4359</v>
      </c>
      <c r="B2477" t="str">
        <f>MID(tbl_lock[[#This Row],[PACE Job Number]],3,3)</f>
        <v>NTX</v>
      </c>
      <c r="C2477" t="s">
        <v>11</v>
      </c>
      <c r="D2477" s="1">
        <v>43409</v>
      </c>
    </row>
    <row r="2478" spans="1:4" x14ac:dyDescent="0.25">
      <c r="A2478" t="s">
        <v>122</v>
      </c>
      <c r="B2478" t="str">
        <f>MID(tbl_lock[[#This Row],[PACE Job Number]],3,3)</f>
        <v>NTX</v>
      </c>
      <c r="C2478" t="s">
        <v>11</v>
      </c>
      <c r="D2478" s="1">
        <v>43423</v>
      </c>
    </row>
    <row r="2479" spans="1:4" x14ac:dyDescent="0.25">
      <c r="A2479" t="s">
        <v>89</v>
      </c>
      <c r="B2479" t="str">
        <f>MID(tbl_lock[[#This Row],[PACE Job Number]],3,3)</f>
        <v>NTX</v>
      </c>
      <c r="C2479" t="s">
        <v>11</v>
      </c>
      <c r="D2479" s="1">
        <v>43423</v>
      </c>
    </row>
    <row r="2480" spans="1:4" x14ac:dyDescent="0.25">
      <c r="A2480" t="s">
        <v>3502</v>
      </c>
      <c r="B2480" t="str">
        <f>MID(tbl_lock[[#This Row],[PACE Job Number]],3,3)</f>
        <v>NTX</v>
      </c>
      <c r="C2480" t="s">
        <v>11</v>
      </c>
      <c r="D2480" s="1">
        <v>43409</v>
      </c>
    </row>
    <row r="2481" spans="1:4" x14ac:dyDescent="0.25">
      <c r="A2481" t="s">
        <v>66</v>
      </c>
      <c r="B2481" t="str">
        <f>MID(tbl_lock[[#This Row],[PACE Job Number]],3,3)</f>
        <v>NTX</v>
      </c>
      <c r="C2481" t="s">
        <v>11</v>
      </c>
      <c r="D2481" s="1">
        <v>43423</v>
      </c>
    </row>
    <row r="2482" spans="1:4" x14ac:dyDescent="0.25">
      <c r="A2482" t="s">
        <v>74</v>
      </c>
      <c r="B2482" t="str">
        <f>MID(tbl_lock[[#This Row],[PACE Job Number]],3,3)</f>
        <v>NTX</v>
      </c>
      <c r="C2482" t="s">
        <v>11</v>
      </c>
      <c r="D2482" s="1">
        <v>43423</v>
      </c>
    </row>
    <row r="2483" spans="1:4" x14ac:dyDescent="0.25">
      <c r="A2483" t="s">
        <v>3881</v>
      </c>
      <c r="B2483" t="str">
        <f>MID(tbl_lock[[#This Row],[PACE Job Number]],3,3)</f>
        <v>NTX</v>
      </c>
      <c r="C2483" t="s">
        <v>11</v>
      </c>
      <c r="D2483" s="1">
        <v>43409</v>
      </c>
    </row>
    <row r="2484" spans="1:4" x14ac:dyDescent="0.25">
      <c r="A2484" t="s">
        <v>5413</v>
      </c>
      <c r="B2484" t="str">
        <f>MID(tbl_lock[[#This Row],[PACE Job Number]],3,3)</f>
        <v>NTX</v>
      </c>
      <c r="C2484" t="s">
        <v>11</v>
      </c>
      <c r="D2484" s="1">
        <v>43428</v>
      </c>
    </row>
    <row r="2485" spans="1:4" x14ac:dyDescent="0.25">
      <c r="A2485" t="s">
        <v>3464</v>
      </c>
      <c r="B2485" t="str">
        <f>MID(tbl_lock[[#This Row],[PACE Job Number]],3,3)</f>
        <v>NTX</v>
      </c>
      <c r="C2485" t="s">
        <v>11</v>
      </c>
      <c r="D2485" s="1">
        <v>43409</v>
      </c>
    </row>
    <row r="2486" spans="1:4" x14ac:dyDescent="0.25">
      <c r="A2486" t="s">
        <v>3304</v>
      </c>
      <c r="B2486" t="str">
        <f>MID(tbl_lock[[#This Row],[PACE Job Number]],3,3)</f>
        <v>STX</v>
      </c>
      <c r="C2486" t="s">
        <v>11</v>
      </c>
      <c r="D2486" s="1">
        <v>43425</v>
      </c>
    </row>
    <row r="2487" spans="1:4" x14ac:dyDescent="0.25">
      <c r="A2487" t="s">
        <v>5414</v>
      </c>
      <c r="B2487" t="str">
        <f>MID(tbl_lock[[#This Row],[PACE Job Number]],3,3)</f>
        <v>STX</v>
      </c>
      <c r="C2487" t="s">
        <v>11</v>
      </c>
      <c r="D2487" s="1">
        <v>43428</v>
      </c>
    </row>
    <row r="2488" spans="1:4" x14ac:dyDescent="0.25">
      <c r="A2488" t="s">
        <v>4364</v>
      </c>
      <c r="B2488" t="str">
        <f>MID(tbl_lock[[#This Row],[PACE Job Number]],3,3)</f>
        <v>STX</v>
      </c>
      <c r="C2488" t="s">
        <v>11</v>
      </c>
      <c r="D2488" s="1">
        <v>43425</v>
      </c>
    </row>
    <row r="2489" spans="1:4" x14ac:dyDescent="0.25">
      <c r="A2489" t="s">
        <v>4365</v>
      </c>
      <c r="B2489" t="str">
        <f>MID(tbl_lock[[#This Row],[PACE Job Number]],3,3)</f>
        <v>STX</v>
      </c>
      <c r="C2489" t="s">
        <v>11</v>
      </c>
      <c r="D2489" s="1">
        <v>43425</v>
      </c>
    </row>
    <row r="2490" spans="1:4" x14ac:dyDescent="0.25">
      <c r="A2490" t="s">
        <v>3785</v>
      </c>
      <c r="B2490" t="str">
        <f>MID(tbl_lock[[#This Row],[PACE Job Number]],3,3)</f>
        <v>WSH</v>
      </c>
      <c r="C2490" t="s">
        <v>11</v>
      </c>
      <c r="D2490" s="1">
        <v>43410</v>
      </c>
    </row>
    <row r="2491" spans="1:4" x14ac:dyDescent="0.25">
      <c r="A2491" t="s">
        <v>5272</v>
      </c>
      <c r="B2491" t="str">
        <f>MID(tbl_lock[[#This Row],[PACE Job Number]],3,3)</f>
        <v>WSH</v>
      </c>
      <c r="C2491" t="s">
        <v>11</v>
      </c>
      <c r="D2491" s="1">
        <v>43434</v>
      </c>
    </row>
    <row r="2492" spans="1:4" x14ac:dyDescent="0.25">
      <c r="A2492" t="s">
        <v>314</v>
      </c>
      <c r="B2492" t="str">
        <f>MID(tbl_lock[[#This Row],[PACE Job Number]],3,3)</f>
        <v>WSH</v>
      </c>
      <c r="C2492" t="s">
        <v>11</v>
      </c>
      <c r="D2492" s="1">
        <v>43424</v>
      </c>
    </row>
    <row r="2493" spans="1:4" x14ac:dyDescent="0.25">
      <c r="A2493" t="s">
        <v>5273</v>
      </c>
      <c r="B2493" t="str">
        <f>MID(tbl_lock[[#This Row],[PACE Job Number]],3,3)</f>
        <v>WSH</v>
      </c>
      <c r="C2493" t="s">
        <v>11</v>
      </c>
      <c r="D2493" s="1">
        <v>43434</v>
      </c>
    </row>
    <row r="2494" spans="1:4" x14ac:dyDescent="0.25">
      <c r="A2494" t="s">
        <v>93</v>
      </c>
      <c r="B2494" t="str">
        <f>MID(tbl_lock[[#This Row],[PACE Job Number]],3,3)</f>
        <v>WSH</v>
      </c>
      <c r="C2494" t="s">
        <v>11</v>
      </c>
      <c r="D2494" s="1">
        <v>43424</v>
      </c>
    </row>
    <row r="2495" spans="1:4" x14ac:dyDescent="0.25">
      <c r="A2495" t="s">
        <v>306</v>
      </c>
      <c r="B2495" t="str">
        <f>MID(tbl_lock[[#This Row],[PACE Job Number]],3,3)</f>
        <v>WSH</v>
      </c>
      <c r="C2495" t="s">
        <v>11</v>
      </c>
      <c r="D2495" s="1">
        <v>43412</v>
      </c>
    </row>
    <row r="2496" spans="1:4" x14ac:dyDescent="0.25">
      <c r="A2496" t="s">
        <v>298</v>
      </c>
      <c r="B2496" t="str">
        <f>MID(tbl_lock[[#This Row],[PACE Job Number]],3,3)</f>
        <v>WSH</v>
      </c>
      <c r="C2496" t="s">
        <v>11</v>
      </c>
      <c r="D2496" s="1">
        <v>43424</v>
      </c>
    </row>
    <row r="2497" spans="1:4" x14ac:dyDescent="0.25">
      <c r="A2497" t="s">
        <v>123</v>
      </c>
      <c r="B2497" t="str">
        <f>MID(tbl_lock[[#This Row],[PACE Job Number]],3,3)</f>
        <v>WSH</v>
      </c>
      <c r="C2497" t="s">
        <v>11</v>
      </c>
      <c r="D2497" s="1">
        <v>43412</v>
      </c>
    </row>
    <row r="2498" spans="1:4" x14ac:dyDescent="0.25">
      <c r="A2498" t="s">
        <v>4273</v>
      </c>
      <c r="B2498" t="str">
        <f>MID(tbl_lock[[#This Row],[PACE Job Number]],3,3)</f>
        <v>WSH</v>
      </c>
      <c r="C2498" t="s">
        <v>11</v>
      </c>
      <c r="D2498" s="1">
        <v>43424</v>
      </c>
    </row>
    <row r="2499" spans="1:4" x14ac:dyDescent="0.25">
      <c r="A2499" t="s">
        <v>215</v>
      </c>
      <c r="B2499" t="str">
        <f>MID(tbl_lock[[#This Row],[PACE Job Number]],3,3)</f>
        <v>WSH</v>
      </c>
      <c r="C2499" t="s">
        <v>11</v>
      </c>
      <c r="D2499" s="1">
        <v>43424</v>
      </c>
    </row>
    <row r="2500" spans="1:4" x14ac:dyDescent="0.25">
      <c r="A2500" t="s">
        <v>3914</v>
      </c>
      <c r="B2500" t="str">
        <f>MID(tbl_lock[[#This Row],[PACE Job Number]],3,3)</f>
        <v>NTX</v>
      </c>
      <c r="C2500" t="s">
        <v>11</v>
      </c>
      <c r="D2500" s="1">
        <v>43427</v>
      </c>
    </row>
    <row r="2501" spans="1:4" x14ac:dyDescent="0.25">
      <c r="A2501" t="s">
        <v>5508</v>
      </c>
      <c r="B2501" t="str">
        <f>MID(tbl_lock[[#This Row],[PACE Job Number]],3,3)</f>
        <v>NTX</v>
      </c>
      <c r="C2501" t="s">
        <v>11</v>
      </c>
      <c r="D2501" s="1">
        <v>43431</v>
      </c>
    </row>
    <row r="2502" spans="1:4" x14ac:dyDescent="0.25">
      <c r="A2502" t="s">
        <v>5415</v>
      </c>
      <c r="B2502" t="str">
        <f>MID(tbl_lock[[#This Row],[PACE Job Number]],3,3)</f>
        <v>NTX</v>
      </c>
      <c r="C2502" t="s">
        <v>11</v>
      </c>
      <c r="D2502" s="1">
        <v>43423</v>
      </c>
    </row>
    <row r="2503" spans="1:4" x14ac:dyDescent="0.25">
      <c r="A2503" t="s">
        <v>3404</v>
      </c>
      <c r="B2503" t="str">
        <f>MID(tbl_lock[[#This Row],[PACE Job Number]],3,3)</f>
        <v>NTX</v>
      </c>
      <c r="C2503" t="s">
        <v>11</v>
      </c>
      <c r="D2503" s="1">
        <v>43420</v>
      </c>
    </row>
    <row r="2504" spans="1:4" x14ac:dyDescent="0.25">
      <c r="A2504" t="s">
        <v>4502</v>
      </c>
      <c r="B2504" t="str">
        <f>MID(tbl_lock[[#This Row],[PACE Job Number]],3,3)</f>
        <v>NTX</v>
      </c>
      <c r="C2504" t="s">
        <v>11</v>
      </c>
      <c r="D2504" s="1">
        <v>43427</v>
      </c>
    </row>
    <row r="2505" spans="1:4" x14ac:dyDescent="0.25">
      <c r="A2505" t="s">
        <v>5275</v>
      </c>
      <c r="B2505" t="str">
        <f>MID(tbl_lock[[#This Row],[PACE Job Number]],3,3)</f>
        <v>WSH</v>
      </c>
      <c r="C2505" t="s">
        <v>11</v>
      </c>
      <c r="D2505" s="1">
        <v>43424</v>
      </c>
    </row>
    <row r="2506" spans="1:4" x14ac:dyDescent="0.25">
      <c r="A2506" t="s">
        <v>5276</v>
      </c>
      <c r="B2506" t="str">
        <f>MID(tbl_lock[[#This Row],[PACE Job Number]],3,3)</f>
        <v>WSH</v>
      </c>
      <c r="C2506" t="s">
        <v>11</v>
      </c>
      <c r="D2506" s="1">
        <v>43424</v>
      </c>
    </row>
    <row r="2507" spans="1:4" x14ac:dyDescent="0.25">
      <c r="A2507" t="s">
        <v>3834</v>
      </c>
      <c r="B2507" t="str">
        <f>MID(tbl_lock[[#This Row],[PACE Job Number]],3,3)</f>
        <v>WSH</v>
      </c>
      <c r="C2507" t="s">
        <v>11</v>
      </c>
      <c r="D2507" s="1">
        <v>43413</v>
      </c>
    </row>
    <row r="2508" spans="1:4" x14ac:dyDescent="0.25">
      <c r="A2508" t="s">
        <v>5277</v>
      </c>
      <c r="B2508" t="str">
        <f>MID(tbl_lock[[#This Row],[PACE Job Number]],3,3)</f>
        <v>WSH</v>
      </c>
      <c r="C2508" t="s">
        <v>11</v>
      </c>
      <c r="D2508" s="1">
        <v>43424</v>
      </c>
    </row>
    <row r="2509" spans="1:4" x14ac:dyDescent="0.25">
      <c r="A2509" t="s">
        <v>366</v>
      </c>
      <c r="B2509" t="str">
        <f>MID(tbl_lock[[#This Row],[PACE Job Number]],3,3)</f>
        <v>WSH</v>
      </c>
      <c r="C2509" t="s">
        <v>11</v>
      </c>
      <c r="D2509" s="1">
        <v>43408</v>
      </c>
    </row>
    <row r="2510" spans="1:4" x14ac:dyDescent="0.25">
      <c r="A2510" t="s">
        <v>270</v>
      </c>
      <c r="B2510" t="str">
        <f>MID(tbl_lock[[#This Row],[PACE Job Number]],3,3)</f>
        <v>WSH</v>
      </c>
      <c r="C2510" t="s">
        <v>11</v>
      </c>
      <c r="D2510" s="1">
        <v>43408</v>
      </c>
    </row>
    <row r="2511" spans="1:4" x14ac:dyDescent="0.25">
      <c r="A2511" t="s">
        <v>3837</v>
      </c>
      <c r="B2511" t="str">
        <f>MID(tbl_lock[[#This Row],[PACE Job Number]],3,3)</f>
        <v>WSH</v>
      </c>
      <c r="C2511" t="s">
        <v>11</v>
      </c>
      <c r="D2511" s="1">
        <v>43424</v>
      </c>
    </row>
    <row r="2512" spans="1:4" x14ac:dyDescent="0.25">
      <c r="A2512" t="s">
        <v>5509</v>
      </c>
      <c r="B2512" t="str">
        <f>MID(tbl_lock[[#This Row],[PACE Job Number]],3,3)</f>
        <v>WSH</v>
      </c>
      <c r="C2512" t="s">
        <v>11</v>
      </c>
      <c r="D2512" s="1">
        <v>43413</v>
      </c>
    </row>
    <row r="2513" spans="1:4" x14ac:dyDescent="0.25">
      <c r="A2513" t="s">
        <v>4253</v>
      </c>
      <c r="B2513" t="str">
        <f>MID(tbl_lock[[#This Row],[PACE Job Number]],3,3)</f>
        <v>WSH</v>
      </c>
      <c r="C2513" t="s">
        <v>11</v>
      </c>
      <c r="D2513" s="1">
        <v>43419</v>
      </c>
    </row>
    <row r="2514" spans="1:4" x14ac:dyDescent="0.25">
      <c r="A2514" t="s">
        <v>4254</v>
      </c>
      <c r="B2514" t="str">
        <f>MID(tbl_lock[[#This Row],[PACE Job Number]],3,3)</f>
        <v>WSH</v>
      </c>
      <c r="C2514" t="s">
        <v>11</v>
      </c>
      <c r="D2514" s="1">
        <v>43419</v>
      </c>
    </row>
    <row r="2515" spans="1:4" x14ac:dyDescent="0.25">
      <c r="A2515" t="s">
        <v>5282</v>
      </c>
      <c r="B2515" t="str">
        <f>MID(tbl_lock[[#This Row],[PACE Job Number]],3,3)</f>
        <v>WSH</v>
      </c>
      <c r="C2515" t="s">
        <v>11</v>
      </c>
      <c r="D2515" s="1">
        <v>43424</v>
      </c>
    </row>
    <row r="2516" spans="1:4" x14ac:dyDescent="0.25">
      <c r="A2516" t="s">
        <v>3392</v>
      </c>
      <c r="B2516" t="str">
        <f>MID(tbl_lock[[#This Row],[PACE Job Number]],3,3)</f>
        <v>WSH</v>
      </c>
      <c r="C2516" t="s">
        <v>11</v>
      </c>
      <c r="D2516" s="1">
        <v>43434</v>
      </c>
    </row>
    <row r="2517" spans="1:4" x14ac:dyDescent="0.25">
      <c r="A2517" t="s">
        <v>5283</v>
      </c>
      <c r="B2517" t="str">
        <f>MID(tbl_lock[[#This Row],[PACE Job Number]],3,3)</f>
        <v>WSH</v>
      </c>
      <c r="C2517" t="s">
        <v>11</v>
      </c>
      <c r="D2517" s="1">
        <v>43420</v>
      </c>
    </row>
    <row r="2518" spans="1:4" x14ac:dyDescent="0.25">
      <c r="A2518" t="s">
        <v>4256</v>
      </c>
      <c r="B2518" t="str">
        <f>MID(tbl_lock[[#This Row],[PACE Job Number]],3,3)</f>
        <v>WSH</v>
      </c>
      <c r="C2518" t="s">
        <v>11</v>
      </c>
      <c r="D2518" s="1">
        <v>43406</v>
      </c>
    </row>
    <row r="2519" spans="1:4" x14ac:dyDescent="0.25">
      <c r="A2519" t="s">
        <v>4257</v>
      </c>
      <c r="B2519" t="str">
        <f>MID(tbl_lock[[#This Row],[PACE Job Number]],3,3)</f>
        <v>WSH</v>
      </c>
      <c r="C2519" t="s">
        <v>11</v>
      </c>
      <c r="D2519" s="1">
        <v>43412</v>
      </c>
    </row>
    <row r="2520" spans="1:4" x14ac:dyDescent="0.25">
      <c r="A2520" t="s">
        <v>317</v>
      </c>
      <c r="B2520" t="str">
        <f>MID(tbl_lock[[#This Row],[PACE Job Number]],3,3)</f>
        <v>STX</v>
      </c>
      <c r="C2520" t="s">
        <v>11</v>
      </c>
      <c r="D2520" s="1">
        <v>43423</v>
      </c>
    </row>
    <row r="2521" spans="1:4" x14ac:dyDescent="0.25">
      <c r="A2521" t="s">
        <v>689</v>
      </c>
      <c r="B2521" t="str">
        <f>MID(tbl_lock[[#This Row],[PACE Job Number]],3,3)</f>
        <v>STX</v>
      </c>
      <c r="C2521" t="s">
        <v>11</v>
      </c>
      <c r="D2521" s="1">
        <v>43429</v>
      </c>
    </row>
    <row r="2522" spans="1:4" x14ac:dyDescent="0.25">
      <c r="A2522" t="s">
        <v>3344</v>
      </c>
      <c r="B2522" t="str">
        <f>MID(tbl_lock[[#This Row],[PACE Job Number]],3,3)</f>
        <v>STX</v>
      </c>
      <c r="C2522" t="s">
        <v>11</v>
      </c>
      <c r="D2522" s="1">
        <v>43425</v>
      </c>
    </row>
    <row r="2523" spans="1:4" x14ac:dyDescent="0.25">
      <c r="A2523" t="s">
        <v>181</v>
      </c>
      <c r="B2523" t="str">
        <f>MID(tbl_lock[[#This Row],[PACE Job Number]],3,3)</f>
        <v>STX</v>
      </c>
      <c r="C2523" t="s">
        <v>11</v>
      </c>
      <c r="D2523" s="1">
        <v>43425</v>
      </c>
    </row>
    <row r="2524" spans="1:4" x14ac:dyDescent="0.25">
      <c r="A2524" t="s">
        <v>1706</v>
      </c>
      <c r="B2524" t="str">
        <f>MID(tbl_lock[[#This Row],[PACE Job Number]],3,3)</f>
        <v>STX</v>
      </c>
      <c r="C2524" t="s">
        <v>11</v>
      </c>
      <c r="D2524" s="1">
        <v>43425</v>
      </c>
    </row>
    <row r="2525" spans="1:4" x14ac:dyDescent="0.25">
      <c r="A2525" t="s">
        <v>5419</v>
      </c>
      <c r="B2525" t="str">
        <f>MID(tbl_lock[[#This Row],[PACE Job Number]],3,3)</f>
        <v>STX</v>
      </c>
      <c r="C2525" t="s">
        <v>11</v>
      </c>
      <c r="D2525" s="1">
        <v>43425</v>
      </c>
    </row>
    <row r="2526" spans="1:4" x14ac:dyDescent="0.25">
      <c r="A2526" t="s">
        <v>5420</v>
      </c>
      <c r="B2526" t="str">
        <f>MID(tbl_lock[[#This Row],[PACE Job Number]],3,3)</f>
        <v>STX</v>
      </c>
      <c r="C2526" t="s">
        <v>11</v>
      </c>
      <c r="D2526" s="1">
        <v>43425</v>
      </c>
    </row>
    <row r="2527" spans="1:4" x14ac:dyDescent="0.25">
      <c r="A2527" t="s">
        <v>4143</v>
      </c>
      <c r="B2527" t="str">
        <f>MID(tbl_lock[[#This Row],[PACE Job Number]],3,3)</f>
        <v>STX</v>
      </c>
      <c r="C2527" t="s">
        <v>11</v>
      </c>
      <c r="D2527" s="1">
        <v>43426</v>
      </c>
    </row>
    <row r="2528" spans="1:4" x14ac:dyDescent="0.25">
      <c r="A2528" t="s">
        <v>659</v>
      </c>
      <c r="B2528" t="str">
        <f>MID(tbl_lock[[#This Row],[PACE Job Number]],3,3)</f>
        <v>STX</v>
      </c>
      <c r="C2528" t="s">
        <v>11</v>
      </c>
      <c r="D2528" s="1">
        <v>43428</v>
      </c>
    </row>
    <row r="2529" spans="1:4" x14ac:dyDescent="0.25">
      <c r="A2529" t="s">
        <v>319</v>
      </c>
      <c r="B2529" t="str">
        <f>MID(tbl_lock[[#This Row],[PACE Job Number]],3,3)</f>
        <v>STX</v>
      </c>
      <c r="C2529" t="s">
        <v>11</v>
      </c>
      <c r="D2529" s="1">
        <v>43425</v>
      </c>
    </row>
    <row r="2530" spans="1:4" x14ac:dyDescent="0.25">
      <c r="A2530" t="s">
        <v>3401</v>
      </c>
      <c r="B2530" t="str">
        <f>MID(tbl_lock[[#This Row],[PACE Job Number]],3,3)</f>
        <v>WSH</v>
      </c>
      <c r="C2530" t="s">
        <v>11</v>
      </c>
      <c r="D2530" s="1">
        <v>43433</v>
      </c>
    </row>
    <row r="2531" spans="1:4" x14ac:dyDescent="0.25">
      <c r="A2531" t="s">
        <v>4559</v>
      </c>
      <c r="B2531" t="str">
        <f>MID(tbl_lock[[#This Row],[PACE Job Number]],3,3)</f>
        <v>NTX</v>
      </c>
      <c r="C2531" t="s">
        <v>11</v>
      </c>
      <c r="D2531" s="1">
        <v>43407</v>
      </c>
    </row>
    <row r="2532" spans="1:4" x14ac:dyDescent="0.25">
      <c r="A2532" t="s">
        <v>1768</v>
      </c>
      <c r="B2532" t="str">
        <f>MID(tbl_lock[[#This Row],[PACE Job Number]],3,3)</f>
        <v>NTX</v>
      </c>
      <c r="C2532" t="s">
        <v>11</v>
      </c>
      <c r="D2532" s="1">
        <v>43409</v>
      </c>
    </row>
    <row r="2533" spans="1:4" x14ac:dyDescent="0.25">
      <c r="A2533" t="s">
        <v>537</v>
      </c>
      <c r="B2533" t="str">
        <f>MID(tbl_lock[[#This Row],[PACE Job Number]],3,3)</f>
        <v>NTX</v>
      </c>
      <c r="C2533" t="s">
        <v>11</v>
      </c>
      <c r="D2533" s="1">
        <v>43427</v>
      </c>
    </row>
    <row r="2534" spans="1:4" x14ac:dyDescent="0.25">
      <c r="A2534" t="s">
        <v>5421</v>
      </c>
      <c r="B2534" t="str">
        <f>MID(tbl_lock[[#This Row],[PACE Job Number]],3,3)</f>
        <v>NTX</v>
      </c>
      <c r="C2534" t="s">
        <v>11</v>
      </c>
      <c r="D2534" s="1">
        <v>43423</v>
      </c>
    </row>
    <row r="2535" spans="1:4" x14ac:dyDescent="0.25">
      <c r="A2535" t="s">
        <v>168</v>
      </c>
      <c r="B2535" t="str">
        <f>MID(tbl_lock[[#This Row],[PACE Job Number]],3,3)</f>
        <v>NTX</v>
      </c>
      <c r="C2535" t="s">
        <v>11</v>
      </c>
      <c r="D2535" s="1">
        <v>43412</v>
      </c>
    </row>
    <row r="2536" spans="1:4" x14ac:dyDescent="0.25">
      <c r="A2536" t="s">
        <v>1772</v>
      </c>
      <c r="B2536" t="str">
        <f>MID(tbl_lock[[#This Row],[PACE Job Number]],3,3)</f>
        <v>NTX</v>
      </c>
      <c r="C2536" t="s">
        <v>11</v>
      </c>
      <c r="D2536" s="1">
        <v>43430</v>
      </c>
    </row>
    <row r="2537" spans="1:4" x14ac:dyDescent="0.25">
      <c r="A2537" t="s">
        <v>2353</v>
      </c>
      <c r="B2537" t="str">
        <f>MID(tbl_lock[[#This Row],[PACE Job Number]],3,3)</f>
        <v>NTX</v>
      </c>
      <c r="C2537" t="s">
        <v>11</v>
      </c>
      <c r="D2537" s="1">
        <v>43430</v>
      </c>
    </row>
    <row r="2538" spans="1:4" x14ac:dyDescent="0.25">
      <c r="A2538" t="s">
        <v>653</v>
      </c>
      <c r="B2538" t="str">
        <f>MID(tbl_lock[[#This Row],[PACE Job Number]],3,3)</f>
        <v>NTX</v>
      </c>
      <c r="C2538" t="s">
        <v>11</v>
      </c>
      <c r="D2538" s="1">
        <v>43406</v>
      </c>
    </row>
    <row r="2539" spans="1:4" x14ac:dyDescent="0.25">
      <c r="A2539" t="s">
        <v>1897</v>
      </c>
      <c r="B2539" t="str">
        <f>MID(tbl_lock[[#This Row],[PACE Job Number]],3,3)</f>
        <v>NTX</v>
      </c>
      <c r="C2539" t="s">
        <v>11</v>
      </c>
      <c r="D2539" s="1">
        <v>43423</v>
      </c>
    </row>
    <row r="2540" spans="1:4" x14ac:dyDescent="0.25">
      <c r="A2540" t="s">
        <v>472</v>
      </c>
      <c r="B2540" t="str">
        <f>MID(tbl_lock[[#This Row],[PACE Job Number]],3,3)</f>
        <v>NTX</v>
      </c>
      <c r="C2540" t="s">
        <v>11</v>
      </c>
      <c r="D2540" s="1">
        <v>43427</v>
      </c>
    </row>
    <row r="2541" spans="1:4" x14ac:dyDescent="0.25">
      <c r="A2541" t="s">
        <v>1776</v>
      </c>
      <c r="B2541" t="str">
        <f>MID(tbl_lock[[#This Row],[PACE Job Number]],3,3)</f>
        <v>NTX</v>
      </c>
      <c r="C2541" t="s">
        <v>11</v>
      </c>
      <c r="D2541" s="1">
        <v>43427</v>
      </c>
    </row>
    <row r="2542" spans="1:4" x14ac:dyDescent="0.25">
      <c r="A2542" t="s">
        <v>5422</v>
      </c>
      <c r="B2542" t="str">
        <f>MID(tbl_lock[[#This Row],[PACE Job Number]],3,3)</f>
        <v>NTX</v>
      </c>
      <c r="C2542" t="s">
        <v>11</v>
      </c>
      <c r="D2542" s="1">
        <v>43430</v>
      </c>
    </row>
    <row r="2543" spans="1:4" x14ac:dyDescent="0.25">
      <c r="A2543" t="s">
        <v>4462</v>
      </c>
      <c r="B2543" t="str">
        <f>MID(tbl_lock[[#This Row],[PACE Job Number]],3,3)</f>
        <v>NTX</v>
      </c>
      <c r="C2543" t="s">
        <v>11</v>
      </c>
      <c r="D2543" s="1">
        <v>43427</v>
      </c>
    </row>
    <row r="2544" spans="1:4" x14ac:dyDescent="0.25">
      <c r="A2544" t="s">
        <v>4463</v>
      </c>
      <c r="B2544" t="str">
        <f>MID(tbl_lock[[#This Row],[PACE Job Number]],3,3)</f>
        <v>NTX</v>
      </c>
      <c r="C2544" t="s">
        <v>11</v>
      </c>
      <c r="D2544" s="1">
        <v>43430</v>
      </c>
    </row>
    <row r="2545" spans="1:4" x14ac:dyDescent="0.25">
      <c r="A2545" t="s">
        <v>2298</v>
      </c>
      <c r="B2545" t="str">
        <f>MID(tbl_lock[[#This Row],[PACE Job Number]],3,3)</f>
        <v>NTX</v>
      </c>
      <c r="C2545" t="s">
        <v>11</v>
      </c>
      <c r="D2545" s="1">
        <v>43433</v>
      </c>
    </row>
    <row r="2546" spans="1:4" x14ac:dyDescent="0.25">
      <c r="A2546" t="s">
        <v>3806</v>
      </c>
      <c r="B2546" t="str">
        <f>MID(tbl_lock[[#This Row],[PACE Job Number]],3,3)</f>
        <v>NTX</v>
      </c>
      <c r="C2546" t="s">
        <v>11</v>
      </c>
      <c r="D2546" s="1">
        <v>43433</v>
      </c>
    </row>
    <row r="2547" spans="1:4" x14ac:dyDescent="0.25">
      <c r="A2547" t="s">
        <v>3482</v>
      </c>
      <c r="B2547" t="str">
        <f>MID(tbl_lock[[#This Row],[PACE Job Number]],3,3)</f>
        <v>NTX</v>
      </c>
      <c r="C2547" t="s">
        <v>11</v>
      </c>
      <c r="D2547" s="1">
        <v>43406</v>
      </c>
    </row>
    <row r="2548" spans="1:4" x14ac:dyDescent="0.25">
      <c r="A2548" t="s">
        <v>4476</v>
      </c>
      <c r="B2548" t="str">
        <f>MID(tbl_lock[[#This Row],[PACE Job Number]],3,3)</f>
        <v>NTX</v>
      </c>
      <c r="C2548" t="s">
        <v>11</v>
      </c>
      <c r="D2548" s="1">
        <v>43420</v>
      </c>
    </row>
    <row r="2549" spans="1:4" x14ac:dyDescent="0.25">
      <c r="A2549" t="s">
        <v>4477</v>
      </c>
      <c r="B2549" t="str">
        <f>MID(tbl_lock[[#This Row],[PACE Job Number]],3,3)</f>
        <v>NTX</v>
      </c>
      <c r="C2549" t="s">
        <v>11</v>
      </c>
      <c r="D2549" s="1">
        <v>43409</v>
      </c>
    </row>
    <row r="2550" spans="1:4" x14ac:dyDescent="0.25">
      <c r="A2550" t="s">
        <v>4479</v>
      </c>
      <c r="B2550" t="str">
        <f>MID(tbl_lock[[#This Row],[PACE Job Number]],3,3)</f>
        <v>NTX</v>
      </c>
      <c r="C2550" t="s">
        <v>11</v>
      </c>
      <c r="D2550" s="1">
        <v>43409</v>
      </c>
    </row>
    <row r="2551" spans="1:4" x14ac:dyDescent="0.25">
      <c r="A2551" t="s">
        <v>5428</v>
      </c>
      <c r="B2551" t="str">
        <f>MID(tbl_lock[[#This Row],[PACE Job Number]],3,3)</f>
        <v>NTX</v>
      </c>
      <c r="C2551" t="s">
        <v>11</v>
      </c>
      <c r="D2551" s="1">
        <v>43430</v>
      </c>
    </row>
    <row r="2552" spans="1:4" x14ac:dyDescent="0.25">
      <c r="A2552" t="s">
        <v>5429</v>
      </c>
      <c r="B2552" t="str">
        <f>MID(tbl_lock[[#This Row],[PACE Job Number]],3,3)</f>
        <v>NTX</v>
      </c>
      <c r="C2552" t="s">
        <v>11</v>
      </c>
      <c r="D2552" s="1">
        <v>43430</v>
      </c>
    </row>
    <row r="2553" spans="1:4" x14ac:dyDescent="0.25">
      <c r="A2553" t="s">
        <v>5430</v>
      </c>
      <c r="B2553" t="str">
        <f>MID(tbl_lock[[#This Row],[PACE Job Number]],3,3)</f>
        <v>NTX</v>
      </c>
      <c r="C2553" t="s">
        <v>11</v>
      </c>
      <c r="D2553" s="1">
        <v>43430</v>
      </c>
    </row>
    <row r="2554" spans="1:4" x14ac:dyDescent="0.25">
      <c r="A2554" t="s">
        <v>3807</v>
      </c>
      <c r="B2554" t="str">
        <f>MID(tbl_lock[[#This Row],[PACE Job Number]],3,3)</f>
        <v>NTX</v>
      </c>
      <c r="C2554" t="s">
        <v>11</v>
      </c>
      <c r="D2554" s="1">
        <v>43430</v>
      </c>
    </row>
    <row r="2555" spans="1:4" x14ac:dyDescent="0.25">
      <c r="A2555" t="s">
        <v>56</v>
      </c>
      <c r="B2555" t="str">
        <f>MID(tbl_lock[[#This Row],[PACE Job Number]],3,3)</f>
        <v>NTX</v>
      </c>
      <c r="C2555" t="s">
        <v>11</v>
      </c>
      <c r="D2555" s="1">
        <v>43418</v>
      </c>
    </row>
    <row r="2556" spans="1:4" x14ac:dyDescent="0.25">
      <c r="A2556" t="s">
        <v>2160</v>
      </c>
      <c r="B2556" t="str">
        <f>MID(tbl_lock[[#This Row],[PACE Job Number]],3,3)</f>
        <v>NTX</v>
      </c>
      <c r="C2556" t="s">
        <v>11</v>
      </c>
      <c r="D2556" s="1">
        <v>43408</v>
      </c>
    </row>
    <row r="2557" spans="1:4" x14ac:dyDescent="0.25">
      <c r="A2557" t="s">
        <v>4292</v>
      </c>
      <c r="B2557" t="str">
        <f>MID(tbl_lock[[#This Row],[PACE Job Number]],3,3)</f>
        <v>NTX</v>
      </c>
      <c r="C2557" t="s">
        <v>11</v>
      </c>
      <c r="D2557" s="1">
        <v>43423</v>
      </c>
    </row>
    <row r="2558" spans="1:4" x14ac:dyDescent="0.25">
      <c r="A2558" t="s">
        <v>337</v>
      </c>
      <c r="B2558" t="str">
        <f>MID(tbl_lock[[#This Row],[PACE Job Number]],3,3)</f>
        <v>NTX</v>
      </c>
      <c r="C2558" t="s">
        <v>11</v>
      </c>
      <c r="D2558" s="1">
        <v>43409</v>
      </c>
    </row>
    <row r="2559" spans="1:4" x14ac:dyDescent="0.25">
      <c r="A2559" t="s">
        <v>2455</v>
      </c>
      <c r="B2559" t="str">
        <f>MID(tbl_lock[[#This Row],[PACE Job Number]],3,3)</f>
        <v>NTX</v>
      </c>
      <c r="C2559" t="s">
        <v>11</v>
      </c>
      <c r="D2559" s="1">
        <v>43433</v>
      </c>
    </row>
    <row r="2560" spans="1:4" x14ac:dyDescent="0.25">
      <c r="A2560" t="s">
        <v>226</v>
      </c>
      <c r="B2560" t="str">
        <f>MID(tbl_lock[[#This Row],[PACE Job Number]],3,3)</f>
        <v>NTX</v>
      </c>
      <c r="C2560" t="s">
        <v>11</v>
      </c>
      <c r="D2560" s="1">
        <v>43409</v>
      </c>
    </row>
    <row r="2561" spans="1:4" x14ac:dyDescent="0.25">
      <c r="A2561" t="s">
        <v>2161</v>
      </c>
      <c r="B2561" t="str">
        <f>MID(tbl_lock[[#This Row],[PACE Job Number]],3,3)</f>
        <v>NTX</v>
      </c>
      <c r="C2561" t="s">
        <v>11</v>
      </c>
      <c r="D2561" s="1">
        <v>43408</v>
      </c>
    </row>
    <row r="2562" spans="1:4" x14ac:dyDescent="0.25">
      <c r="A2562" t="s">
        <v>2456</v>
      </c>
      <c r="B2562" t="str">
        <f>MID(tbl_lock[[#This Row],[PACE Job Number]],3,3)</f>
        <v>NTX</v>
      </c>
      <c r="C2562" t="s">
        <v>11</v>
      </c>
      <c r="D2562" s="1">
        <v>43433</v>
      </c>
    </row>
    <row r="2563" spans="1:4" x14ac:dyDescent="0.25">
      <c r="A2563" t="s">
        <v>917</v>
      </c>
      <c r="B2563" t="str">
        <f>MID(tbl_lock[[#This Row],[PACE Job Number]],3,3)</f>
        <v>NTX</v>
      </c>
      <c r="C2563" t="s">
        <v>11</v>
      </c>
      <c r="D2563" s="1">
        <v>43406</v>
      </c>
    </row>
    <row r="2564" spans="1:4" x14ac:dyDescent="0.25">
      <c r="A2564" t="s">
        <v>4480</v>
      </c>
      <c r="B2564" t="str">
        <f>MID(tbl_lock[[#This Row],[PACE Job Number]],3,3)</f>
        <v>NTX</v>
      </c>
      <c r="C2564" t="s">
        <v>11</v>
      </c>
      <c r="D2564" s="1">
        <v>43418</v>
      </c>
    </row>
    <row r="2565" spans="1:4" x14ac:dyDescent="0.25">
      <c r="A2565" t="s">
        <v>878</v>
      </c>
      <c r="B2565" t="str">
        <f>MID(tbl_lock[[#This Row],[PACE Job Number]],3,3)</f>
        <v>NTX</v>
      </c>
      <c r="C2565" t="s">
        <v>11</v>
      </c>
      <c r="D2565" s="1">
        <v>43423</v>
      </c>
    </row>
    <row r="2566" spans="1:4" x14ac:dyDescent="0.25">
      <c r="A2566" t="s">
        <v>4481</v>
      </c>
      <c r="B2566" t="str">
        <f>MID(tbl_lock[[#This Row],[PACE Job Number]],3,3)</f>
        <v>NTX</v>
      </c>
      <c r="C2566" t="s">
        <v>11</v>
      </c>
      <c r="D2566" s="1">
        <v>43418</v>
      </c>
    </row>
    <row r="2567" spans="1:4" x14ac:dyDescent="0.25">
      <c r="A2567" t="s">
        <v>824</v>
      </c>
      <c r="B2567" t="str">
        <f>MID(tbl_lock[[#This Row],[PACE Job Number]],3,3)</f>
        <v>NTX</v>
      </c>
      <c r="C2567" t="s">
        <v>11</v>
      </c>
      <c r="D2567" s="1">
        <v>43423</v>
      </c>
    </row>
    <row r="2568" spans="1:4" x14ac:dyDescent="0.25">
      <c r="A2568" t="s">
        <v>916</v>
      </c>
      <c r="B2568" t="str">
        <f>MID(tbl_lock[[#This Row],[PACE Job Number]],3,3)</f>
        <v>NTX</v>
      </c>
      <c r="C2568" t="s">
        <v>11</v>
      </c>
      <c r="D2568" s="1">
        <v>43405</v>
      </c>
    </row>
    <row r="2569" spans="1:4" x14ac:dyDescent="0.25">
      <c r="A2569" t="s">
        <v>4482</v>
      </c>
      <c r="B2569" t="str">
        <f>MID(tbl_lock[[#This Row],[PACE Job Number]],3,3)</f>
        <v>NTX</v>
      </c>
      <c r="C2569" t="s">
        <v>11</v>
      </c>
      <c r="D2569" s="1">
        <v>43420</v>
      </c>
    </row>
    <row r="2570" spans="1:4" x14ac:dyDescent="0.25">
      <c r="A2570" t="s">
        <v>4483</v>
      </c>
      <c r="B2570" t="str">
        <f>MID(tbl_lock[[#This Row],[PACE Job Number]],3,3)</f>
        <v>NTX</v>
      </c>
      <c r="C2570" t="s">
        <v>11</v>
      </c>
      <c r="D2570" s="1">
        <v>43418</v>
      </c>
    </row>
    <row r="2571" spans="1:4" x14ac:dyDescent="0.25">
      <c r="A2571" t="s">
        <v>4034</v>
      </c>
      <c r="B2571" t="str">
        <f>MID(tbl_lock[[#This Row],[PACE Job Number]],3,3)</f>
        <v>NTX</v>
      </c>
      <c r="C2571" t="s">
        <v>11</v>
      </c>
      <c r="D2571" s="1">
        <v>43420</v>
      </c>
    </row>
    <row r="2572" spans="1:4" x14ac:dyDescent="0.25">
      <c r="A2572" t="s">
        <v>4484</v>
      </c>
      <c r="B2572" t="str">
        <f>MID(tbl_lock[[#This Row],[PACE Job Number]],3,3)</f>
        <v>NTX</v>
      </c>
      <c r="C2572" t="s">
        <v>11</v>
      </c>
      <c r="D2572" s="1">
        <v>43418</v>
      </c>
    </row>
    <row r="2573" spans="1:4" x14ac:dyDescent="0.25">
      <c r="A2573" t="s">
        <v>4293</v>
      </c>
      <c r="B2573" t="str">
        <f>MID(tbl_lock[[#This Row],[PACE Job Number]],3,3)</f>
        <v>NTX</v>
      </c>
      <c r="C2573" t="s">
        <v>11</v>
      </c>
      <c r="D2573" s="1">
        <v>43423</v>
      </c>
    </row>
    <row r="2574" spans="1:4" x14ac:dyDescent="0.25">
      <c r="A2574" t="s">
        <v>2460</v>
      </c>
      <c r="B2574" t="str">
        <f>MID(tbl_lock[[#This Row],[PACE Job Number]],3,3)</f>
        <v>NTX</v>
      </c>
      <c r="C2574" t="s">
        <v>11</v>
      </c>
      <c r="D2574" s="1">
        <v>43433</v>
      </c>
    </row>
    <row r="2575" spans="1:4" x14ac:dyDescent="0.25">
      <c r="A2575" t="s">
        <v>3512</v>
      </c>
      <c r="B2575" t="str">
        <f>MID(tbl_lock[[#This Row],[PACE Job Number]],3,3)</f>
        <v>NTX</v>
      </c>
      <c r="C2575" t="s">
        <v>11</v>
      </c>
      <c r="D2575" s="1">
        <v>43418</v>
      </c>
    </row>
    <row r="2576" spans="1:4" x14ac:dyDescent="0.25">
      <c r="A2576" t="s">
        <v>3381</v>
      </c>
      <c r="B2576" t="str">
        <f>MID(tbl_lock[[#This Row],[PACE Job Number]],3,3)</f>
        <v>NTX</v>
      </c>
      <c r="C2576" t="s">
        <v>11</v>
      </c>
      <c r="D2576" s="1">
        <v>43423</v>
      </c>
    </row>
    <row r="2577" spans="1:4" x14ac:dyDescent="0.25">
      <c r="A2577" t="s">
        <v>4294</v>
      </c>
      <c r="B2577" t="str">
        <f>MID(tbl_lock[[#This Row],[PACE Job Number]],3,3)</f>
        <v>NTX</v>
      </c>
      <c r="C2577" t="s">
        <v>11</v>
      </c>
      <c r="D2577" s="1">
        <v>43430</v>
      </c>
    </row>
    <row r="2578" spans="1:4" x14ac:dyDescent="0.25">
      <c r="A2578" t="s">
        <v>5431</v>
      </c>
      <c r="B2578" t="str">
        <f>MID(tbl_lock[[#This Row],[PACE Job Number]],3,3)</f>
        <v>NTX</v>
      </c>
      <c r="C2578" t="s">
        <v>11</v>
      </c>
      <c r="D2578" s="1">
        <v>43420</v>
      </c>
    </row>
    <row r="2579" spans="1:4" x14ac:dyDescent="0.25">
      <c r="A2579" t="s">
        <v>3427</v>
      </c>
      <c r="B2579" t="str">
        <f>MID(tbl_lock[[#This Row],[PACE Job Number]],3,3)</f>
        <v>NTX</v>
      </c>
      <c r="C2579" t="s">
        <v>11</v>
      </c>
      <c r="D2579" s="1">
        <v>43407</v>
      </c>
    </row>
    <row r="2580" spans="1:4" x14ac:dyDescent="0.25">
      <c r="A2580" t="s">
        <v>3816</v>
      </c>
      <c r="B2580" t="str">
        <f>MID(tbl_lock[[#This Row],[PACE Job Number]],3,3)</f>
        <v>NTX</v>
      </c>
      <c r="C2580" t="s">
        <v>11</v>
      </c>
      <c r="D2580" s="1">
        <v>43430</v>
      </c>
    </row>
    <row r="2581" spans="1:4" x14ac:dyDescent="0.25">
      <c r="A2581" t="s">
        <v>5510</v>
      </c>
      <c r="B2581" t="str">
        <f>MID(tbl_lock[[#This Row],[PACE Job Number]],3,3)</f>
        <v>NTX</v>
      </c>
      <c r="C2581" t="s">
        <v>11</v>
      </c>
      <c r="D2581" s="1">
        <v>43430</v>
      </c>
    </row>
    <row r="2582" spans="1:4" x14ac:dyDescent="0.25">
      <c r="A2582" t="s">
        <v>262</v>
      </c>
      <c r="B2582" t="str">
        <f>MID(tbl_lock[[#This Row],[PACE Job Number]],3,3)</f>
        <v>NTX</v>
      </c>
      <c r="C2582" t="s">
        <v>11</v>
      </c>
      <c r="D2582" s="1">
        <v>43418</v>
      </c>
    </row>
    <row r="2583" spans="1:4" x14ac:dyDescent="0.25">
      <c r="A2583" t="s">
        <v>88</v>
      </c>
      <c r="B2583" t="str">
        <f>MID(tbl_lock[[#This Row],[PACE Job Number]],3,3)</f>
        <v>NTX</v>
      </c>
      <c r="C2583" t="s">
        <v>11</v>
      </c>
      <c r="D2583" s="1">
        <v>43415</v>
      </c>
    </row>
    <row r="2584" spans="1:4" x14ac:dyDescent="0.25">
      <c r="A2584" t="s">
        <v>3494</v>
      </c>
      <c r="B2584" t="str">
        <f>MID(tbl_lock[[#This Row],[PACE Job Number]],3,3)</f>
        <v>NTX</v>
      </c>
      <c r="C2584" t="s">
        <v>11</v>
      </c>
      <c r="D2584" s="1">
        <v>43418</v>
      </c>
    </row>
    <row r="2585" spans="1:4" x14ac:dyDescent="0.25">
      <c r="A2585" t="s">
        <v>5432</v>
      </c>
      <c r="B2585" t="str">
        <f>MID(tbl_lock[[#This Row],[PACE Job Number]],3,3)</f>
        <v>NTX</v>
      </c>
      <c r="C2585" t="s">
        <v>11</v>
      </c>
      <c r="D2585" s="1">
        <v>43430</v>
      </c>
    </row>
    <row r="2586" spans="1:4" x14ac:dyDescent="0.25">
      <c r="A2586" t="s">
        <v>5433</v>
      </c>
      <c r="B2586" t="str">
        <f>MID(tbl_lock[[#This Row],[PACE Job Number]],3,3)</f>
        <v>NTX</v>
      </c>
      <c r="C2586" t="s">
        <v>11</v>
      </c>
      <c r="D2586" s="1">
        <v>43430</v>
      </c>
    </row>
    <row r="2587" spans="1:4" x14ac:dyDescent="0.25">
      <c r="A2587" t="s">
        <v>5434</v>
      </c>
      <c r="B2587" t="str">
        <f>MID(tbl_lock[[#This Row],[PACE Job Number]],3,3)</f>
        <v>NTX</v>
      </c>
      <c r="C2587" t="s">
        <v>11</v>
      </c>
      <c r="D2587" s="1">
        <v>43430</v>
      </c>
    </row>
    <row r="2588" spans="1:4" x14ac:dyDescent="0.25">
      <c r="A2588" t="s">
        <v>166</v>
      </c>
      <c r="B2588" t="str">
        <f>MID(tbl_lock[[#This Row],[PACE Job Number]],3,3)</f>
        <v>NTX</v>
      </c>
      <c r="C2588" t="s">
        <v>11</v>
      </c>
      <c r="D2588" s="1">
        <v>43423</v>
      </c>
    </row>
    <row r="2589" spans="1:4" x14ac:dyDescent="0.25">
      <c r="A2589" t="s">
        <v>3905</v>
      </c>
      <c r="B2589" t="str">
        <f>MID(tbl_lock[[#This Row],[PACE Job Number]],3,3)</f>
        <v>NTX</v>
      </c>
      <c r="C2589" t="s">
        <v>11</v>
      </c>
      <c r="D2589" s="1">
        <v>43409</v>
      </c>
    </row>
    <row r="2590" spans="1:4" x14ac:dyDescent="0.25">
      <c r="A2590" t="s">
        <v>5511</v>
      </c>
      <c r="B2590" t="str">
        <f>MID(tbl_lock[[#This Row],[PACE Job Number]],3,3)</f>
        <v>NTX</v>
      </c>
      <c r="C2590" t="s">
        <v>11</v>
      </c>
      <c r="D2590" s="1">
        <v>43433</v>
      </c>
    </row>
    <row r="2591" spans="1:4" x14ac:dyDescent="0.25">
      <c r="A2591" t="s">
        <v>243</v>
      </c>
      <c r="B2591" t="str">
        <f>MID(tbl_lock[[#This Row],[PACE Job Number]],3,3)</f>
        <v>NTX</v>
      </c>
      <c r="C2591" t="s">
        <v>11</v>
      </c>
      <c r="D2591" s="1">
        <v>43433</v>
      </c>
    </row>
    <row r="2592" spans="1:4" x14ac:dyDescent="0.25">
      <c r="A2592" t="s">
        <v>5512</v>
      </c>
      <c r="B2592" t="str">
        <f>MID(tbl_lock[[#This Row],[PACE Job Number]],3,3)</f>
        <v>NTX</v>
      </c>
      <c r="C2592" t="s">
        <v>11</v>
      </c>
      <c r="D2592" s="1">
        <v>43433</v>
      </c>
    </row>
    <row r="2593" spans="1:4" x14ac:dyDescent="0.25">
      <c r="A2593" t="s">
        <v>4466</v>
      </c>
      <c r="B2593" t="str">
        <f>MID(tbl_lock[[#This Row],[PACE Job Number]],3,3)</f>
        <v>STX</v>
      </c>
      <c r="C2593" t="s">
        <v>11</v>
      </c>
      <c r="D2593" s="1">
        <v>43428</v>
      </c>
    </row>
    <row r="2594" spans="1:4" x14ac:dyDescent="0.25">
      <c r="A2594" t="s">
        <v>141</v>
      </c>
      <c r="B2594" t="str">
        <f>MID(tbl_lock[[#This Row],[PACE Job Number]],3,3)</f>
        <v>STX</v>
      </c>
      <c r="C2594" t="s">
        <v>11</v>
      </c>
      <c r="D2594" s="1">
        <v>43425</v>
      </c>
    </row>
    <row r="2595" spans="1:4" x14ac:dyDescent="0.25">
      <c r="A2595" t="s">
        <v>3967</v>
      </c>
      <c r="B2595" t="str">
        <f>MID(tbl_lock[[#This Row],[PACE Job Number]],3,3)</f>
        <v>STX</v>
      </c>
      <c r="C2595" t="s">
        <v>11</v>
      </c>
      <c r="D2595" s="1">
        <v>43428</v>
      </c>
    </row>
    <row r="2596" spans="1:4" x14ac:dyDescent="0.25">
      <c r="A2596" t="s">
        <v>3439</v>
      </c>
      <c r="B2596" t="str">
        <f>MID(tbl_lock[[#This Row],[PACE Job Number]],3,3)</f>
        <v>NTX</v>
      </c>
      <c r="C2596" t="s">
        <v>11</v>
      </c>
      <c r="D2596" s="1">
        <v>43407</v>
      </c>
    </row>
    <row r="2597" spans="1:4" x14ac:dyDescent="0.25">
      <c r="A2597" t="s">
        <v>59</v>
      </c>
      <c r="B2597" t="str">
        <f>MID(tbl_lock[[#This Row],[PACE Job Number]],3,3)</f>
        <v>NTX</v>
      </c>
      <c r="C2597" t="s">
        <v>11</v>
      </c>
      <c r="D2597" s="1">
        <v>43430</v>
      </c>
    </row>
    <row r="2598" spans="1:4" x14ac:dyDescent="0.25">
      <c r="A2598" t="s">
        <v>1782</v>
      </c>
      <c r="B2598" t="str">
        <f>MID(tbl_lock[[#This Row],[PACE Job Number]],3,3)</f>
        <v>NTX</v>
      </c>
      <c r="C2598" t="s">
        <v>11</v>
      </c>
      <c r="D2598" s="1">
        <v>43430</v>
      </c>
    </row>
    <row r="2599" spans="1:4" x14ac:dyDescent="0.25">
      <c r="A2599" t="s">
        <v>4323</v>
      </c>
      <c r="B2599" t="str">
        <f>MID(tbl_lock[[#This Row],[PACE Job Number]],3,3)</f>
        <v>NTX</v>
      </c>
      <c r="C2599" t="s">
        <v>11</v>
      </c>
      <c r="D2599" s="1">
        <v>43423</v>
      </c>
    </row>
    <row r="2600" spans="1:4" x14ac:dyDescent="0.25">
      <c r="A2600" t="s">
        <v>4192</v>
      </c>
      <c r="B2600" t="str">
        <f>MID(tbl_lock[[#This Row],[PACE Job Number]],3,3)</f>
        <v>NTX</v>
      </c>
      <c r="C2600" t="s">
        <v>11</v>
      </c>
      <c r="D2600" s="1">
        <v>43430</v>
      </c>
    </row>
    <row r="2601" spans="1:4" x14ac:dyDescent="0.25">
      <c r="A2601" t="s">
        <v>346</v>
      </c>
      <c r="B2601" t="str">
        <f>MID(tbl_lock[[#This Row],[PACE Job Number]],3,3)</f>
        <v>NTX</v>
      </c>
      <c r="C2601" t="s">
        <v>11</v>
      </c>
      <c r="D2601" s="1">
        <v>43430</v>
      </c>
    </row>
    <row r="2602" spans="1:4" x14ac:dyDescent="0.25">
      <c r="A2602" t="s">
        <v>72</v>
      </c>
      <c r="B2602" t="str">
        <f>MID(tbl_lock[[#This Row],[PACE Job Number]],3,3)</f>
        <v>NTX</v>
      </c>
      <c r="C2602" t="s">
        <v>11</v>
      </c>
      <c r="D2602" s="1">
        <v>43430</v>
      </c>
    </row>
    <row r="2603" spans="1:4" x14ac:dyDescent="0.25">
      <c r="A2603" t="s">
        <v>3461</v>
      </c>
      <c r="B2603" t="str">
        <f>MID(tbl_lock[[#This Row],[PACE Job Number]],3,3)</f>
        <v>NTX</v>
      </c>
      <c r="C2603" t="s">
        <v>11</v>
      </c>
      <c r="D2603" s="1">
        <v>43407</v>
      </c>
    </row>
    <row r="2604" spans="1:4" x14ac:dyDescent="0.25">
      <c r="A2604" t="s">
        <v>4324</v>
      </c>
      <c r="B2604" t="str">
        <f>MID(tbl_lock[[#This Row],[PACE Job Number]],3,3)</f>
        <v>NTX</v>
      </c>
      <c r="C2604" t="s">
        <v>11</v>
      </c>
      <c r="D2604" s="1">
        <v>43420</v>
      </c>
    </row>
    <row r="2605" spans="1:4" x14ac:dyDescent="0.25">
      <c r="A2605" t="s">
        <v>2362</v>
      </c>
      <c r="B2605" t="str">
        <f>MID(tbl_lock[[#This Row],[PACE Job Number]],3,3)</f>
        <v>NTX</v>
      </c>
      <c r="C2605" t="s">
        <v>11</v>
      </c>
      <c r="D2605" s="1">
        <v>43420</v>
      </c>
    </row>
    <row r="2606" spans="1:4" x14ac:dyDescent="0.25">
      <c r="A2606" t="s">
        <v>3844</v>
      </c>
      <c r="B2606" t="str">
        <f>MID(tbl_lock[[#This Row],[PACE Job Number]],3,3)</f>
        <v>NTX</v>
      </c>
      <c r="C2606" t="s">
        <v>11</v>
      </c>
      <c r="D2606" s="1">
        <v>43427</v>
      </c>
    </row>
    <row r="2607" spans="1:4" x14ac:dyDescent="0.25">
      <c r="A2607" t="s">
        <v>4325</v>
      </c>
      <c r="B2607" t="str">
        <f>MID(tbl_lock[[#This Row],[PACE Job Number]],3,3)</f>
        <v>NTX</v>
      </c>
      <c r="C2607" t="s">
        <v>11</v>
      </c>
      <c r="D2607" s="1">
        <v>43427</v>
      </c>
    </row>
    <row r="2608" spans="1:4" x14ac:dyDescent="0.25">
      <c r="A2608" t="s">
        <v>667</v>
      </c>
      <c r="B2608" t="str">
        <f>MID(tbl_lock[[#This Row],[PACE Job Number]],3,3)</f>
        <v>NTX</v>
      </c>
      <c r="C2608" t="s">
        <v>11</v>
      </c>
      <c r="D2608" s="1">
        <v>43409</v>
      </c>
    </row>
    <row r="2609" spans="1:4" x14ac:dyDescent="0.25">
      <c r="A2609" t="s">
        <v>4326</v>
      </c>
      <c r="B2609" t="str">
        <f>MID(tbl_lock[[#This Row],[PACE Job Number]],3,3)</f>
        <v>NTX</v>
      </c>
      <c r="C2609" t="s">
        <v>11</v>
      </c>
      <c r="D2609" s="1">
        <v>43420</v>
      </c>
    </row>
    <row r="2610" spans="1:4" x14ac:dyDescent="0.25">
      <c r="A2610" t="s">
        <v>5513</v>
      </c>
      <c r="B2610" t="str">
        <f>MID(tbl_lock[[#This Row],[PACE Job Number]],3,3)</f>
        <v>NTX</v>
      </c>
      <c r="C2610" t="s">
        <v>11</v>
      </c>
      <c r="D2610" s="1">
        <v>43423</v>
      </c>
    </row>
    <row r="2611" spans="1:4" x14ac:dyDescent="0.25">
      <c r="A2611" t="s">
        <v>2363</v>
      </c>
      <c r="B2611" t="str">
        <f>MID(tbl_lock[[#This Row],[PACE Job Number]],3,3)</f>
        <v>NTX</v>
      </c>
      <c r="C2611" t="s">
        <v>11</v>
      </c>
      <c r="D2611" s="1">
        <v>43420</v>
      </c>
    </row>
    <row r="2612" spans="1:4" x14ac:dyDescent="0.25">
      <c r="A2612" t="s">
        <v>2365</v>
      </c>
      <c r="B2612" t="str">
        <f>MID(tbl_lock[[#This Row],[PACE Job Number]],3,3)</f>
        <v>NTX</v>
      </c>
      <c r="C2612" t="s">
        <v>11</v>
      </c>
      <c r="D2612" s="1">
        <v>43432</v>
      </c>
    </row>
    <row r="2613" spans="1:4" x14ac:dyDescent="0.25">
      <c r="A2613" t="s">
        <v>2482</v>
      </c>
      <c r="B2613" t="str">
        <f>MID(tbl_lock[[#This Row],[PACE Job Number]],3,3)</f>
        <v>NTX</v>
      </c>
      <c r="C2613" t="s">
        <v>11</v>
      </c>
      <c r="D2613" s="1">
        <v>43430</v>
      </c>
    </row>
    <row r="2614" spans="1:4" x14ac:dyDescent="0.25">
      <c r="A2614" t="s">
        <v>2483</v>
      </c>
      <c r="B2614" t="str">
        <f>MID(tbl_lock[[#This Row],[PACE Job Number]],3,3)</f>
        <v>NTX</v>
      </c>
      <c r="C2614" t="s">
        <v>11</v>
      </c>
      <c r="D2614" s="1">
        <v>43430</v>
      </c>
    </row>
    <row r="2615" spans="1:4" x14ac:dyDescent="0.25">
      <c r="A2615" t="s">
        <v>5435</v>
      </c>
      <c r="B2615" t="str">
        <f>MID(tbl_lock[[#This Row],[PACE Job Number]],3,3)</f>
        <v>NTX</v>
      </c>
      <c r="C2615" t="s">
        <v>11</v>
      </c>
      <c r="D2615" s="1">
        <v>43423</v>
      </c>
    </row>
    <row r="2616" spans="1:4" x14ac:dyDescent="0.25">
      <c r="A2616" t="s">
        <v>5436</v>
      </c>
      <c r="B2616" t="str">
        <f>MID(tbl_lock[[#This Row],[PACE Job Number]],3,3)</f>
        <v>NTX</v>
      </c>
      <c r="C2616" t="s">
        <v>11</v>
      </c>
      <c r="D2616" s="1">
        <v>43423</v>
      </c>
    </row>
    <row r="2617" spans="1:4" x14ac:dyDescent="0.25">
      <c r="A2617" t="s">
        <v>4311</v>
      </c>
      <c r="B2617" t="str">
        <f>MID(tbl_lock[[#This Row],[PACE Job Number]],3,3)</f>
        <v>NTX</v>
      </c>
      <c r="C2617" t="s">
        <v>11</v>
      </c>
      <c r="D2617" s="1">
        <v>43420</v>
      </c>
    </row>
    <row r="2618" spans="1:4" x14ac:dyDescent="0.25">
      <c r="A2618" t="s">
        <v>76</v>
      </c>
      <c r="B2618" t="str">
        <f>MID(tbl_lock[[#This Row],[PACE Job Number]],3,3)</f>
        <v>WSH</v>
      </c>
      <c r="C2618" t="s">
        <v>11</v>
      </c>
      <c r="D2618" s="1">
        <v>43420</v>
      </c>
    </row>
    <row r="2619" spans="1:4" x14ac:dyDescent="0.25">
      <c r="A2619" t="s">
        <v>5284</v>
      </c>
      <c r="B2619" t="str">
        <f>MID(tbl_lock[[#This Row],[PACE Job Number]],3,3)</f>
        <v>WSH</v>
      </c>
      <c r="C2619" t="s">
        <v>11</v>
      </c>
      <c r="D2619" s="1">
        <v>43424</v>
      </c>
    </row>
    <row r="2620" spans="1:4" x14ac:dyDescent="0.25">
      <c r="A2620" t="s">
        <v>5285</v>
      </c>
      <c r="B2620" t="str">
        <f>MID(tbl_lock[[#This Row],[PACE Job Number]],3,3)</f>
        <v>WSH</v>
      </c>
      <c r="C2620" t="s">
        <v>11</v>
      </c>
      <c r="D2620" s="1">
        <v>43424</v>
      </c>
    </row>
    <row r="2621" spans="1:4" x14ac:dyDescent="0.25">
      <c r="A2621" t="s">
        <v>5514</v>
      </c>
      <c r="B2621" t="str">
        <f>MID(tbl_lock[[#This Row],[PACE Job Number]],3,3)</f>
        <v>WSH</v>
      </c>
      <c r="C2621" t="s">
        <v>11</v>
      </c>
      <c r="D2621" s="1">
        <v>43405</v>
      </c>
    </row>
    <row r="2622" spans="1:4" x14ac:dyDescent="0.25">
      <c r="A2622" t="s">
        <v>4199</v>
      </c>
      <c r="B2622" t="str">
        <f>MID(tbl_lock[[#This Row],[PACE Job Number]],3,3)</f>
        <v>WSH</v>
      </c>
      <c r="C2622" t="s">
        <v>11</v>
      </c>
      <c r="D2622" s="1">
        <v>43412</v>
      </c>
    </row>
    <row r="2623" spans="1:4" x14ac:dyDescent="0.25">
      <c r="A2623" t="s">
        <v>3800</v>
      </c>
      <c r="B2623" t="str">
        <f>MID(tbl_lock[[#This Row],[PACE Job Number]],3,3)</f>
        <v>WSH</v>
      </c>
      <c r="C2623" t="s">
        <v>11</v>
      </c>
      <c r="D2623" s="1">
        <v>43420</v>
      </c>
    </row>
    <row r="2624" spans="1:4" x14ac:dyDescent="0.25">
      <c r="A2624" t="s">
        <v>311</v>
      </c>
      <c r="B2624" t="str">
        <f>MID(tbl_lock[[#This Row],[PACE Job Number]],3,3)</f>
        <v>WSH</v>
      </c>
      <c r="C2624" t="s">
        <v>11</v>
      </c>
      <c r="D2624" s="1">
        <v>43420</v>
      </c>
    </row>
    <row r="2625" spans="1:4" x14ac:dyDescent="0.25">
      <c r="A2625" t="s">
        <v>152</v>
      </c>
      <c r="B2625" t="str">
        <f>MID(tbl_lock[[#This Row],[PACE Job Number]],3,3)</f>
        <v>WSH</v>
      </c>
      <c r="C2625" t="s">
        <v>11</v>
      </c>
      <c r="D2625" s="1">
        <v>43409</v>
      </c>
    </row>
    <row r="2626" spans="1:4" x14ac:dyDescent="0.25">
      <c r="A2626" t="s">
        <v>5286</v>
      </c>
      <c r="B2626" t="str">
        <f>MID(tbl_lock[[#This Row],[PACE Job Number]],3,3)</f>
        <v>WSH</v>
      </c>
      <c r="C2626" t="s">
        <v>11</v>
      </c>
      <c r="D2626" s="1">
        <v>43424</v>
      </c>
    </row>
    <row r="2627" spans="1:4" x14ac:dyDescent="0.25">
      <c r="A2627" t="s">
        <v>5288</v>
      </c>
      <c r="B2627" t="str">
        <f>MID(tbl_lock[[#This Row],[PACE Job Number]],3,3)</f>
        <v>WSH</v>
      </c>
      <c r="C2627" t="s">
        <v>11</v>
      </c>
      <c r="D2627" s="1">
        <v>43424</v>
      </c>
    </row>
    <row r="2628" spans="1:4" x14ac:dyDescent="0.25">
      <c r="A2628" t="s">
        <v>3801</v>
      </c>
      <c r="B2628" t="str">
        <f>MID(tbl_lock[[#This Row],[PACE Job Number]],3,3)</f>
        <v>WSH</v>
      </c>
      <c r="C2628" t="s">
        <v>11</v>
      </c>
      <c r="D2628" s="1">
        <v>43424</v>
      </c>
    </row>
    <row r="2629" spans="1:4" x14ac:dyDescent="0.25">
      <c r="A2629" t="s">
        <v>5289</v>
      </c>
      <c r="B2629" t="str">
        <f>MID(tbl_lock[[#This Row],[PACE Job Number]],3,3)</f>
        <v>WSH</v>
      </c>
      <c r="C2629" t="s">
        <v>11</v>
      </c>
      <c r="D2629" s="1">
        <v>43420</v>
      </c>
    </row>
    <row r="2630" spans="1:4" x14ac:dyDescent="0.25">
      <c r="A2630" t="s">
        <v>5291</v>
      </c>
      <c r="B2630" t="str">
        <f>MID(tbl_lock[[#This Row],[PACE Job Number]],3,3)</f>
        <v>WSH</v>
      </c>
      <c r="C2630" t="s">
        <v>11</v>
      </c>
      <c r="D2630" s="1">
        <v>43424</v>
      </c>
    </row>
    <row r="2631" spans="1:4" x14ac:dyDescent="0.25">
      <c r="A2631" t="s">
        <v>5292</v>
      </c>
      <c r="B2631" t="str">
        <f>MID(tbl_lock[[#This Row],[PACE Job Number]],3,3)</f>
        <v>WSH</v>
      </c>
      <c r="C2631" t="s">
        <v>11</v>
      </c>
      <c r="D2631" s="1">
        <v>43424</v>
      </c>
    </row>
    <row r="2632" spans="1:4" x14ac:dyDescent="0.25">
      <c r="A2632" t="s">
        <v>5293</v>
      </c>
      <c r="B2632" t="str">
        <f>MID(tbl_lock[[#This Row],[PACE Job Number]],3,3)</f>
        <v>WSH</v>
      </c>
      <c r="C2632" t="s">
        <v>11</v>
      </c>
      <c r="D2632" s="1">
        <v>43424</v>
      </c>
    </row>
    <row r="2633" spans="1:4" x14ac:dyDescent="0.25">
      <c r="A2633" t="s">
        <v>3891</v>
      </c>
      <c r="B2633" t="str">
        <f>MID(tbl_lock[[#This Row],[PACE Job Number]],3,3)</f>
        <v>WSH</v>
      </c>
      <c r="C2633" t="s">
        <v>11</v>
      </c>
      <c r="D2633" s="1">
        <v>43406</v>
      </c>
    </row>
    <row r="2634" spans="1:4" x14ac:dyDescent="0.25">
      <c r="A2634" t="s">
        <v>3808</v>
      </c>
      <c r="B2634" t="str">
        <f>MID(tbl_lock[[#This Row],[PACE Job Number]],3,3)</f>
        <v>WSH</v>
      </c>
      <c r="C2634" t="s">
        <v>11</v>
      </c>
      <c r="D2634" s="1">
        <v>43420</v>
      </c>
    </row>
    <row r="2635" spans="1:4" x14ac:dyDescent="0.25">
      <c r="A2635" t="s">
        <v>5515</v>
      </c>
      <c r="B2635" t="str">
        <f>MID(tbl_lock[[#This Row],[PACE Job Number]],3,3)</f>
        <v>WSH</v>
      </c>
      <c r="C2635" t="s">
        <v>11</v>
      </c>
      <c r="D2635" s="1">
        <v>43413</v>
      </c>
    </row>
    <row r="2636" spans="1:4" x14ac:dyDescent="0.25">
      <c r="A2636" t="s">
        <v>3898</v>
      </c>
      <c r="B2636" t="str">
        <f>MID(tbl_lock[[#This Row],[PACE Job Number]],3,3)</f>
        <v>WSH</v>
      </c>
      <c r="C2636" t="s">
        <v>11</v>
      </c>
      <c r="D2636" s="1">
        <v>43413</v>
      </c>
    </row>
    <row r="2637" spans="1:4" x14ac:dyDescent="0.25">
      <c r="A2637" t="s">
        <v>3809</v>
      </c>
      <c r="B2637" t="str">
        <f>MID(tbl_lock[[#This Row],[PACE Job Number]],3,3)</f>
        <v>WSH</v>
      </c>
      <c r="C2637" t="s">
        <v>11</v>
      </c>
      <c r="D2637" s="1">
        <v>43413</v>
      </c>
    </row>
    <row r="2638" spans="1:4" x14ac:dyDescent="0.25">
      <c r="A2638" t="s">
        <v>5294</v>
      </c>
      <c r="B2638" t="str">
        <f>MID(tbl_lock[[#This Row],[PACE Job Number]],3,3)</f>
        <v>WSH</v>
      </c>
      <c r="C2638" t="s">
        <v>11</v>
      </c>
      <c r="D2638" s="1">
        <v>43420</v>
      </c>
    </row>
    <row r="2639" spans="1:4" x14ac:dyDescent="0.25">
      <c r="A2639" t="s">
        <v>3900</v>
      </c>
      <c r="B2639" t="str">
        <f>MID(tbl_lock[[#This Row],[PACE Job Number]],3,3)</f>
        <v>WSH</v>
      </c>
      <c r="C2639" t="s">
        <v>11</v>
      </c>
      <c r="D2639" s="1">
        <v>43413</v>
      </c>
    </row>
    <row r="2640" spans="1:4" x14ac:dyDescent="0.25">
      <c r="A2640" t="s">
        <v>3901</v>
      </c>
      <c r="B2640" t="str">
        <f>MID(tbl_lock[[#This Row],[PACE Job Number]],3,3)</f>
        <v>WSH</v>
      </c>
      <c r="C2640" t="s">
        <v>11</v>
      </c>
      <c r="D2640" s="1">
        <v>43424</v>
      </c>
    </row>
    <row r="2641" spans="1:4" x14ac:dyDescent="0.25">
      <c r="A2641" t="s">
        <v>3391</v>
      </c>
      <c r="B2641" t="str">
        <f>MID(tbl_lock[[#This Row],[PACE Job Number]],3,3)</f>
        <v>WSH</v>
      </c>
      <c r="C2641" t="s">
        <v>11</v>
      </c>
      <c r="D2641" s="1">
        <v>43405</v>
      </c>
    </row>
    <row r="2642" spans="1:4" x14ac:dyDescent="0.25">
      <c r="A2642" t="s">
        <v>5295</v>
      </c>
      <c r="B2642" t="str">
        <f>MID(tbl_lock[[#This Row],[PACE Job Number]],3,3)</f>
        <v>WSH</v>
      </c>
      <c r="C2642" t="s">
        <v>11</v>
      </c>
      <c r="D2642" s="1">
        <v>43424</v>
      </c>
    </row>
    <row r="2643" spans="1:4" x14ac:dyDescent="0.25">
      <c r="A2643" t="s">
        <v>351</v>
      </c>
      <c r="B2643" t="str">
        <f>MID(tbl_lock[[#This Row],[PACE Job Number]],3,3)</f>
        <v>WSH</v>
      </c>
      <c r="C2643" t="s">
        <v>11</v>
      </c>
      <c r="D2643" s="1">
        <v>43424</v>
      </c>
    </row>
    <row r="2644" spans="1:4" x14ac:dyDescent="0.25">
      <c r="A2644" t="s">
        <v>5297</v>
      </c>
      <c r="B2644" t="str">
        <f>MID(tbl_lock[[#This Row],[PACE Job Number]],3,3)</f>
        <v>WSH</v>
      </c>
      <c r="C2644" t="s">
        <v>11</v>
      </c>
      <c r="D2644" s="1">
        <v>43424</v>
      </c>
    </row>
    <row r="2645" spans="1:4" x14ac:dyDescent="0.25">
      <c r="A2645" t="s">
        <v>71</v>
      </c>
      <c r="B2645" t="str">
        <f>MID(tbl_lock[[#This Row],[PACE Job Number]],3,3)</f>
        <v>WSH</v>
      </c>
      <c r="C2645" t="s">
        <v>11</v>
      </c>
      <c r="D2645" s="1">
        <v>43424</v>
      </c>
    </row>
    <row r="2646" spans="1:4" x14ac:dyDescent="0.25">
      <c r="A2646" t="s">
        <v>315</v>
      </c>
      <c r="B2646" t="str">
        <f>MID(tbl_lock[[#This Row],[PACE Job Number]],3,3)</f>
        <v>WSH</v>
      </c>
      <c r="C2646" t="s">
        <v>11</v>
      </c>
      <c r="D2646" s="1">
        <v>43409</v>
      </c>
    </row>
    <row r="2647" spans="1:4" x14ac:dyDescent="0.25">
      <c r="A2647" t="s">
        <v>5298</v>
      </c>
      <c r="B2647" t="str">
        <f>MID(tbl_lock[[#This Row],[PACE Job Number]],3,3)</f>
        <v>WSH</v>
      </c>
      <c r="C2647" t="s">
        <v>11</v>
      </c>
      <c r="D2647" s="1">
        <v>43424</v>
      </c>
    </row>
    <row r="2648" spans="1:4" x14ac:dyDescent="0.25">
      <c r="A2648" t="s">
        <v>5516</v>
      </c>
      <c r="B2648" t="str">
        <f>MID(tbl_lock[[#This Row],[PACE Job Number]],3,3)</f>
        <v>WSH</v>
      </c>
      <c r="C2648" t="s">
        <v>11</v>
      </c>
      <c r="D2648" s="1">
        <v>43405</v>
      </c>
    </row>
    <row r="2649" spans="1:4" x14ac:dyDescent="0.25">
      <c r="A2649" t="s">
        <v>1571</v>
      </c>
      <c r="B2649" t="str">
        <f>MID(tbl_lock[[#This Row],[PACE Job Number]],3,3)</f>
        <v>NTX</v>
      </c>
      <c r="C2649" t="s">
        <v>11</v>
      </c>
      <c r="D2649" s="1">
        <v>43419</v>
      </c>
    </row>
    <row r="2650" spans="1:4" x14ac:dyDescent="0.25">
      <c r="A2650" t="s">
        <v>176</v>
      </c>
      <c r="B2650" t="str">
        <f>MID(tbl_lock[[#This Row],[PACE Job Number]],3,3)</f>
        <v>STX</v>
      </c>
      <c r="C2650" t="s">
        <v>11</v>
      </c>
      <c r="D2650" s="1">
        <v>43425</v>
      </c>
    </row>
    <row r="2651" spans="1:4" x14ac:dyDescent="0.25">
      <c r="A2651" t="s">
        <v>142</v>
      </c>
      <c r="B2651" t="str">
        <f>MID(tbl_lock[[#This Row],[PACE Job Number]],3,3)</f>
        <v>STX</v>
      </c>
      <c r="C2651" t="s">
        <v>11</v>
      </c>
      <c r="D2651" s="1">
        <v>43425</v>
      </c>
    </row>
    <row r="2652" spans="1:4" x14ac:dyDescent="0.25">
      <c r="A2652" t="s">
        <v>5440</v>
      </c>
      <c r="B2652" t="str">
        <f>MID(tbl_lock[[#This Row],[PACE Job Number]],3,3)</f>
        <v>STX</v>
      </c>
      <c r="C2652" t="s">
        <v>11</v>
      </c>
      <c r="D2652" s="1">
        <v>43425</v>
      </c>
    </row>
    <row r="2653" spans="1:4" x14ac:dyDescent="0.25">
      <c r="A2653" t="s">
        <v>4493</v>
      </c>
      <c r="B2653" t="str">
        <f>MID(tbl_lock[[#This Row],[PACE Job Number]],3,3)</f>
        <v>STX</v>
      </c>
      <c r="C2653" t="s">
        <v>11</v>
      </c>
      <c r="D2653" s="1">
        <v>43425</v>
      </c>
    </row>
    <row r="2654" spans="1:4" x14ac:dyDescent="0.25">
      <c r="A2654" t="s">
        <v>3490</v>
      </c>
      <c r="B2654" t="str">
        <f>MID(tbl_lock[[#This Row],[PACE Job Number]],3,3)</f>
        <v>STX</v>
      </c>
      <c r="C2654" t="s">
        <v>11</v>
      </c>
      <c r="D2654" s="1">
        <v>43428</v>
      </c>
    </row>
    <row r="2655" spans="1:4" x14ac:dyDescent="0.25">
      <c r="A2655" t="s">
        <v>5441</v>
      </c>
      <c r="B2655" t="str">
        <f>MID(tbl_lock[[#This Row],[PACE Job Number]],3,3)</f>
        <v>STX</v>
      </c>
      <c r="C2655" t="s">
        <v>11</v>
      </c>
      <c r="D2655" s="1">
        <v>43425</v>
      </c>
    </row>
    <row r="2656" spans="1:4" x14ac:dyDescent="0.25">
      <c r="A2656" t="s">
        <v>5442</v>
      </c>
      <c r="B2656" t="str">
        <f>MID(tbl_lock[[#This Row],[PACE Job Number]],3,3)</f>
        <v>STX</v>
      </c>
      <c r="C2656" t="s">
        <v>11</v>
      </c>
      <c r="D2656" s="1">
        <v>43428</v>
      </c>
    </row>
    <row r="2657" spans="1:4" x14ac:dyDescent="0.25">
      <c r="A2657" t="s">
        <v>722</v>
      </c>
      <c r="B2657" t="str">
        <f>MID(tbl_lock[[#This Row],[PACE Job Number]],3,3)</f>
        <v>STX</v>
      </c>
      <c r="C2657" t="s">
        <v>11</v>
      </c>
      <c r="D2657" s="1">
        <v>43428</v>
      </c>
    </row>
    <row r="2658" spans="1:4" x14ac:dyDescent="0.25">
      <c r="A2658" t="s">
        <v>5443</v>
      </c>
      <c r="B2658" t="str">
        <f>MID(tbl_lock[[#This Row],[PACE Job Number]],3,3)</f>
        <v>STX</v>
      </c>
      <c r="C2658" t="s">
        <v>11</v>
      </c>
      <c r="D2658" s="1">
        <v>43425</v>
      </c>
    </row>
    <row r="2659" spans="1:4" x14ac:dyDescent="0.25">
      <c r="A2659" t="s">
        <v>4495</v>
      </c>
      <c r="B2659" t="str">
        <f>MID(tbl_lock[[#This Row],[PACE Job Number]],3,3)</f>
        <v>STX</v>
      </c>
      <c r="C2659" t="s">
        <v>11</v>
      </c>
      <c r="D2659" s="1">
        <v>43425</v>
      </c>
    </row>
    <row r="2660" spans="1:4" x14ac:dyDescent="0.25">
      <c r="A2660" t="s">
        <v>4496</v>
      </c>
      <c r="B2660" t="str">
        <f>MID(tbl_lock[[#This Row],[PACE Job Number]],3,3)</f>
        <v>STX</v>
      </c>
      <c r="C2660" t="s">
        <v>11</v>
      </c>
      <c r="D2660" s="1">
        <v>43425</v>
      </c>
    </row>
    <row r="2661" spans="1:4" x14ac:dyDescent="0.25">
      <c r="A2661" t="s">
        <v>288</v>
      </c>
      <c r="B2661" t="str">
        <f>MID(tbl_lock[[#This Row],[PACE Job Number]],3,3)</f>
        <v>STX</v>
      </c>
      <c r="C2661" t="s">
        <v>11</v>
      </c>
      <c r="D2661" s="1">
        <v>43425</v>
      </c>
    </row>
    <row r="2662" spans="1:4" x14ac:dyDescent="0.25">
      <c r="A2662" t="s">
        <v>5445</v>
      </c>
      <c r="B2662" t="str">
        <f>MID(tbl_lock[[#This Row],[PACE Job Number]],3,3)</f>
        <v>STX</v>
      </c>
      <c r="C2662" t="s">
        <v>11</v>
      </c>
      <c r="D2662" s="1">
        <v>43428</v>
      </c>
    </row>
    <row r="2663" spans="1:4" x14ac:dyDescent="0.25">
      <c r="A2663" t="s">
        <v>5446</v>
      </c>
      <c r="B2663" t="str">
        <f>MID(tbl_lock[[#This Row],[PACE Job Number]],3,3)</f>
        <v>STX</v>
      </c>
      <c r="C2663" t="s">
        <v>11</v>
      </c>
      <c r="D2663" s="1">
        <v>43428</v>
      </c>
    </row>
    <row r="2664" spans="1:4" x14ac:dyDescent="0.25">
      <c r="A2664" t="s">
        <v>5447</v>
      </c>
      <c r="B2664" t="str">
        <f>MID(tbl_lock[[#This Row],[PACE Job Number]],3,3)</f>
        <v>STX</v>
      </c>
      <c r="C2664" t="s">
        <v>11</v>
      </c>
      <c r="D2664" s="1">
        <v>43428</v>
      </c>
    </row>
    <row r="2665" spans="1:4" x14ac:dyDescent="0.25">
      <c r="A2665" t="s">
        <v>5448</v>
      </c>
      <c r="B2665" t="str">
        <f>MID(tbl_lock[[#This Row],[PACE Job Number]],3,3)</f>
        <v>STX</v>
      </c>
      <c r="C2665" t="s">
        <v>11</v>
      </c>
      <c r="D2665" s="1">
        <v>43428</v>
      </c>
    </row>
    <row r="2666" spans="1:4" x14ac:dyDescent="0.25">
      <c r="A2666" t="s">
        <v>4312</v>
      </c>
      <c r="B2666" t="str">
        <f>MID(tbl_lock[[#This Row],[PACE Job Number]],3,3)</f>
        <v>NTX</v>
      </c>
      <c r="C2666" t="s">
        <v>11</v>
      </c>
      <c r="D2666" s="1">
        <v>43406</v>
      </c>
    </row>
    <row r="2667" spans="1:4" x14ac:dyDescent="0.25">
      <c r="A2667" t="s">
        <v>4503</v>
      </c>
      <c r="B2667" t="str">
        <f>MID(tbl_lock[[#This Row],[PACE Job Number]],3,3)</f>
        <v>NTX</v>
      </c>
      <c r="C2667" t="s">
        <v>11</v>
      </c>
      <c r="D2667" s="1">
        <v>43423</v>
      </c>
    </row>
    <row r="2668" spans="1:4" x14ac:dyDescent="0.25">
      <c r="A2668" t="s">
        <v>360</v>
      </c>
      <c r="B2668" t="str">
        <f>MID(tbl_lock[[#This Row],[PACE Job Number]],3,3)</f>
        <v>NTX</v>
      </c>
      <c r="C2668" t="s">
        <v>11</v>
      </c>
      <c r="D2668" s="1">
        <v>43406</v>
      </c>
    </row>
    <row r="2669" spans="1:4" x14ac:dyDescent="0.25">
      <c r="A2669" t="s">
        <v>5449</v>
      </c>
      <c r="B2669" t="str">
        <f>MID(tbl_lock[[#This Row],[PACE Job Number]],3,3)</f>
        <v>NTX</v>
      </c>
      <c r="C2669" t="s">
        <v>11</v>
      </c>
      <c r="D2669" s="1">
        <v>43423</v>
      </c>
    </row>
    <row r="2670" spans="1:4" x14ac:dyDescent="0.25">
      <c r="A2670" t="s">
        <v>2488</v>
      </c>
      <c r="B2670" t="str">
        <f>MID(tbl_lock[[#This Row],[PACE Job Number]],3,3)</f>
        <v>NTX</v>
      </c>
      <c r="C2670" t="s">
        <v>11</v>
      </c>
      <c r="D2670" s="1">
        <v>43430</v>
      </c>
    </row>
    <row r="2671" spans="1:4" x14ac:dyDescent="0.25">
      <c r="A2671" t="s">
        <v>5452</v>
      </c>
      <c r="B2671" t="str">
        <f>MID(tbl_lock[[#This Row],[PACE Job Number]],3,3)</f>
        <v>NTX</v>
      </c>
      <c r="C2671" t="s">
        <v>11</v>
      </c>
      <c r="D2671" s="1">
        <v>43430</v>
      </c>
    </row>
    <row r="2672" spans="1:4" x14ac:dyDescent="0.25">
      <c r="A2672" t="s">
        <v>4506</v>
      </c>
      <c r="B2672" t="str">
        <f>MID(tbl_lock[[#This Row],[PACE Job Number]],3,3)</f>
        <v>NTX</v>
      </c>
      <c r="C2672" t="s">
        <v>11</v>
      </c>
      <c r="D2672" s="1">
        <v>43423</v>
      </c>
    </row>
    <row r="2673" spans="1:4" x14ac:dyDescent="0.25">
      <c r="A2673" t="s">
        <v>2489</v>
      </c>
      <c r="B2673" t="str">
        <f>MID(tbl_lock[[#This Row],[PACE Job Number]],3,3)</f>
        <v>NTX</v>
      </c>
      <c r="C2673" t="s">
        <v>11</v>
      </c>
      <c r="D2673" s="1">
        <v>43430</v>
      </c>
    </row>
    <row r="2674" spans="1:4" x14ac:dyDescent="0.25">
      <c r="A2674" t="s">
        <v>5517</v>
      </c>
      <c r="B2674" t="str">
        <f>MID(tbl_lock[[#This Row],[PACE Job Number]],3,3)</f>
        <v>NTX</v>
      </c>
      <c r="C2674" t="s">
        <v>11</v>
      </c>
      <c r="D2674" s="1">
        <v>43419</v>
      </c>
    </row>
    <row r="2675" spans="1:4" x14ac:dyDescent="0.25">
      <c r="A2675" t="s">
        <v>4507</v>
      </c>
      <c r="B2675" t="str">
        <f>MID(tbl_lock[[#This Row],[PACE Job Number]],3,3)</f>
        <v>NTX</v>
      </c>
      <c r="C2675" t="s">
        <v>11</v>
      </c>
      <c r="D2675" s="1">
        <v>43430</v>
      </c>
    </row>
    <row r="2676" spans="1:4" x14ac:dyDescent="0.25">
      <c r="A2676" t="s">
        <v>3985</v>
      </c>
      <c r="B2676" t="str">
        <f>MID(tbl_lock[[#This Row],[PACE Job Number]],3,3)</f>
        <v>NTX</v>
      </c>
      <c r="C2676" t="s">
        <v>11</v>
      </c>
      <c r="D2676" s="1">
        <v>43420</v>
      </c>
    </row>
    <row r="2677" spans="1:4" x14ac:dyDescent="0.25">
      <c r="A2677" t="s">
        <v>5518</v>
      </c>
      <c r="B2677" t="str">
        <f>MID(tbl_lock[[#This Row],[PACE Job Number]],3,3)</f>
        <v>NTX</v>
      </c>
      <c r="C2677" t="s">
        <v>11</v>
      </c>
      <c r="D2677" s="1">
        <v>43419</v>
      </c>
    </row>
    <row r="2678" spans="1:4" x14ac:dyDescent="0.25">
      <c r="A2678" t="s">
        <v>2572</v>
      </c>
      <c r="B2678" t="str">
        <f>MID(tbl_lock[[#This Row],[PACE Job Number]],3,3)</f>
        <v>STX</v>
      </c>
      <c r="C2678" t="s">
        <v>11</v>
      </c>
      <c r="D2678" s="1">
        <v>43429</v>
      </c>
    </row>
    <row r="2679" spans="1:4" x14ac:dyDescent="0.25">
      <c r="A2679" t="s">
        <v>4508</v>
      </c>
      <c r="B2679" t="str">
        <f>MID(tbl_lock[[#This Row],[PACE Job Number]],3,3)</f>
        <v>STX</v>
      </c>
      <c r="C2679" t="s">
        <v>11</v>
      </c>
      <c r="D2679" s="1">
        <v>43412</v>
      </c>
    </row>
    <row r="2680" spans="1:4" x14ac:dyDescent="0.25">
      <c r="A2680" t="s">
        <v>5455</v>
      </c>
      <c r="B2680" t="str">
        <f>MID(tbl_lock[[#This Row],[PACE Job Number]],3,3)</f>
        <v>STX</v>
      </c>
      <c r="C2680" t="s">
        <v>11</v>
      </c>
      <c r="D2680" s="1">
        <v>43428</v>
      </c>
    </row>
    <row r="2681" spans="1:4" x14ac:dyDescent="0.25">
      <c r="A2681" t="s">
        <v>5519</v>
      </c>
      <c r="B2681" t="str">
        <f>MID(tbl_lock[[#This Row],[PACE Job Number]],3,3)</f>
        <v>STX</v>
      </c>
      <c r="C2681" t="s">
        <v>11</v>
      </c>
      <c r="D2681" s="1">
        <v>43409</v>
      </c>
    </row>
    <row r="2682" spans="1:4" x14ac:dyDescent="0.25">
      <c r="A2682" t="s">
        <v>5520</v>
      </c>
      <c r="B2682" t="str">
        <f>MID(tbl_lock[[#This Row],[PACE Job Number]],3,3)</f>
        <v>STX</v>
      </c>
      <c r="C2682" t="s">
        <v>11</v>
      </c>
      <c r="D2682" s="1">
        <v>43409</v>
      </c>
    </row>
    <row r="2683" spans="1:4" x14ac:dyDescent="0.25">
      <c r="A2683" t="s">
        <v>3206</v>
      </c>
      <c r="B2683" t="str">
        <f>MID(tbl_lock[[#This Row],[PACE Job Number]],3,3)</f>
        <v>STX</v>
      </c>
      <c r="C2683" t="s">
        <v>11</v>
      </c>
      <c r="D2683" s="1">
        <v>43428</v>
      </c>
    </row>
    <row r="2684" spans="1:4" x14ac:dyDescent="0.25">
      <c r="A2684" t="s">
        <v>5456</v>
      </c>
      <c r="B2684" t="str">
        <f>MID(tbl_lock[[#This Row],[PACE Job Number]],3,3)</f>
        <v>STX</v>
      </c>
      <c r="C2684" t="s">
        <v>11</v>
      </c>
      <c r="D2684" s="1">
        <v>43428</v>
      </c>
    </row>
    <row r="2685" spans="1:4" x14ac:dyDescent="0.25">
      <c r="A2685" t="s">
        <v>297</v>
      </c>
      <c r="B2685" t="str">
        <f>MID(tbl_lock[[#This Row],[PACE Job Number]],3,3)</f>
        <v>STX</v>
      </c>
      <c r="C2685" t="s">
        <v>11</v>
      </c>
      <c r="D2685" s="1">
        <v>43425</v>
      </c>
    </row>
    <row r="2686" spans="1:4" x14ac:dyDescent="0.25">
      <c r="A2686" t="s">
        <v>3358</v>
      </c>
      <c r="B2686" t="str">
        <f>MID(tbl_lock[[#This Row],[PACE Job Number]],3,3)</f>
        <v>STX</v>
      </c>
      <c r="C2686" t="s">
        <v>11</v>
      </c>
      <c r="D2686" s="1">
        <v>43428</v>
      </c>
    </row>
    <row r="2687" spans="1:4" x14ac:dyDescent="0.25">
      <c r="A2687" t="s">
        <v>2560</v>
      </c>
      <c r="B2687" t="str">
        <f>MID(tbl_lock[[#This Row],[PACE Job Number]],3,3)</f>
        <v>STX</v>
      </c>
      <c r="C2687" t="s">
        <v>11</v>
      </c>
      <c r="D2687" s="1">
        <v>43429</v>
      </c>
    </row>
    <row r="2688" spans="1:4" x14ac:dyDescent="0.25">
      <c r="A2688" t="s">
        <v>5457</v>
      </c>
      <c r="B2688" t="str">
        <f>MID(tbl_lock[[#This Row],[PACE Job Number]],3,3)</f>
        <v>STX</v>
      </c>
      <c r="C2688" t="s">
        <v>11</v>
      </c>
      <c r="D2688" s="1">
        <v>43429</v>
      </c>
    </row>
    <row r="2689" spans="1:4" x14ac:dyDescent="0.25">
      <c r="A2689" t="s">
        <v>4401</v>
      </c>
      <c r="B2689" t="str">
        <f>MID(tbl_lock[[#This Row],[PACE Job Number]],3,3)</f>
        <v>NTX</v>
      </c>
      <c r="C2689" t="s">
        <v>11</v>
      </c>
      <c r="D2689" s="1">
        <v>43409</v>
      </c>
    </row>
    <row r="2690" spans="1:4" x14ac:dyDescent="0.25">
      <c r="A2690" t="s">
        <v>3788</v>
      </c>
      <c r="B2690" t="str">
        <f>MID(tbl_lock[[#This Row],[PACE Job Number]],3,3)</f>
        <v>NTX</v>
      </c>
      <c r="C2690" t="s">
        <v>11</v>
      </c>
      <c r="D2690" s="1">
        <v>43430</v>
      </c>
    </row>
    <row r="2691" spans="1:4" x14ac:dyDescent="0.25">
      <c r="A2691" t="s">
        <v>3882</v>
      </c>
      <c r="B2691" t="str">
        <f>MID(tbl_lock[[#This Row],[PACE Job Number]],3,3)</f>
        <v>NTX</v>
      </c>
      <c r="C2691" t="s">
        <v>11</v>
      </c>
      <c r="D2691" s="1">
        <v>43409</v>
      </c>
    </row>
    <row r="2692" spans="1:4" x14ac:dyDescent="0.25">
      <c r="A2692" t="s">
        <v>75</v>
      </c>
      <c r="B2692" t="str">
        <f>MID(tbl_lock[[#This Row],[PACE Job Number]],3,3)</f>
        <v>NTX</v>
      </c>
      <c r="C2692" t="s">
        <v>11</v>
      </c>
      <c r="D2692" s="1">
        <v>43423</v>
      </c>
    </row>
    <row r="2693" spans="1:4" x14ac:dyDescent="0.25">
      <c r="A2693" t="s">
        <v>3789</v>
      </c>
      <c r="B2693" t="str">
        <f>MID(tbl_lock[[#This Row],[PACE Job Number]],3,3)</f>
        <v>NTX</v>
      </c>
      <c r="C2693" t="s">
        <v>11</v>
      </c>
      <c r="D2693" s="1">
        <v>43430</v>
      </c>
    </row>
    <row r="2694" spans="1:4" x14ac:dyDescent="0.25">
      <c r="A2694" t="s">
        <v>2391</v>
      </c>
      <c r="B2694" t="str">
        <f>MID(tbl_lock[[#This Row],[PACE Job Number]],3,3)</f>
        <v>NTX</v>
      </c>
      <c r="C2694" t="s">
        <v>11</v>
      </c>
      <c r="D2694" s="1">
        <v>43423</v>
      </c>
    </row>
    <row r="2695" spans="1:4" x14ac:dyDescent="0.25">
      <c r="A2695" t="s">
        <v>5521</v>
      </c>
      <c r="B2695" t="str">
        <f>MID(tbl_lock[[#This Row],[PACE Job Number]],3,3)</f>
        <v>NTX</v>
      </c>
      <c r="C2695" t="s">
        <v>11</v>
      </c>
      <c r="D2695" s="1">
        <v>43425</v>
      </c>
    </row>
    <row r="2696" spans="1:4" x14ac:dyDescent="0.25">
      <c r="A2696" t="s">
        <v>2278</v>
      </c>
      <c r="B2696" t="str">
        <f>MID(tbl_lock[[#This Row],[PACE Job Number]],3,3)</f>
        <v>NTX</v>
      </c>
      <c r="C2696" t="s">
        <v>11</v>
      </c>
      <c r="D2696" s="1">
        <v>43431</v>
      </c>
    </row>
    <row r="2697" spans="1:4" x14ac:dyDescent="0.25">
      <c r="A2697" t="s">
        <v>3790</v>
      </c>
      <c r="B2697" t="str">
        <f>MID(tbl_lock[[#This Row],[PACE Job Number]],3,3)</f>
        <v>NTX</v>
      </c>
      <c r="C2697" t="s">
        <v>11</v>
      </c>
      <c r="D2697" s="1">
        <v>43430</v>
      </c>
    </row>
    <row r="2698" spans="1:4" x14ac:dyDescent="0.25">
      <c r="A2698" t="s">
        <v>3874</v>
      </c>
      <c r="B2698" t="str">
        <f>MID(tbl_lock[[#This Row],[PACE Job Number]],3,3)</f>
        <v>WSH</v>
      </c>
      <c r="C2698" t="s">
        <v>11</v>
      </c>
      <c r="D2698" s="1">
        <v>43406</v>
      </c>
    </row>
    <row r="2699" spans="1:4" x14ac:dyDescent="0.25">
      <c r="A2699" t="s">
        <v>3875</v>
      </c>
      <c r="B2699" t="str">
        <f>MID(tbl_lock[[#This Row],[PACE Job Number]],3,3)</f>
        <v>WSH</v>
      </c>
      <c r="C2699" t="s">
        <v>11</v>
      </c>
      <c r="D2699" s="1">
        <v>43406</v>
      </c>
    </row>
    <row r="2700" spans="1:4" x14ac:dyDescent="0.25">
      <c r="A2700" t="s">
        <v>4274</v>
      </c>
      <c r="B2700" t="str">
        <f>MID(tbl_lock[[#This Row],[PACE Job Number]],3,3)</f>
        <v>WSH</v>
      </c>
      <c r="C2700" t="s">
        <v>11</v>
      </c>
      <c r="D2700" s="1">
        <v>43406</v>
      </c>
    </row>
    <row r="2701" spans="1:4" x14ac:dyDescent="0.25">
      <c r="A2701" t="s">
        <v>4280</v>
      </c>
      <c r="B2701" t="str">
        <f>MID(tbl_lock[[#This Row],[PACE Job Number]],3,3)</f>
        <v>WSH</v>
      </c>
      <c r="C2701" t="s">
        <v>11</v>
      </c>
      <c r="D2701" s="1">
        <v>43420</v>
      </c>
    </row>
    <row r="2702" spans="1:4" x14ac:dyDescent="0.25">
      <c r="A2702" t="s">
        <v>5522</v>
      </c>
      <c r="B2702" t="str">
        <f>MID(tbl_lock[[#This Row],[PACE Job Number]],3,3)</f>
        <v>WSH</v>
      </c>
      <c r="C2702" t="s">
        <v>11</v>
      </c>
      <c r="D2702" s="1">
        <v>43424</v>
      </c>
    </row>
    <row r="2703" spans="1:4" x14ac:dyDescent="0.25">
      <c r="A2703" t="s">
        <v>4281</v>
      </c>
      <c r="B2703" t="str">
        <f>MID(tbl_lock[[#This Row],[PACE Job Number]],3,3)</f>
        <v>WSH</v>
      </c>
      <c r="C2703" t="s">
        <v>11</v>
      </c>
      <c r="D2703" s="1">
        <v>43420</v>
      </c>
    </row>
    <row r="2704" spans="1:4" x14ac:dyDescent="0.25">
      <c r="A2704" t="s">
        <v>5310</v>
      </c>
      <c r="B2704" t="str">
        <f>MID(tbl_lock[[#This Row],[PACE Job Number]],3,3)</f>
        <v>WSH</v>
      </c>
      <c r="C2704" t="s">
        <v>11</v>
      </c>
      <c r="D2704" s="1">
        <v>43420</v>
      </c>
    </row>
    <row r="2705" spans="1:4" x14ac:dyDescent="0.25">
      <c r="A2705" t="s">
        <v>5523</v>
      </c>
      <c r="B2705" t="str">
        <f>MID(tbl_lock[[#This Row],[PACE Job Number]],3,3)</f>
        <v>WSH</v>
      </c>
      <c r="C2705" t="s">
        <v>11</v>
      </c>
      <c r="D2705" s="1">
        <v>43424</v>
      </c>
    </row>
    <row r="2706" spans="1:4" x14ac:dyDescent="0.25">
      <c r="A2706" t="s">
        <v>3878</v>
      </c>
      <c r="B2706" t="str">
        <f>MID(tbl_lock[[#This Row],[PACE Job Number]],3,3)</f>
        <v>WSH</v>
      </c>
      <c r="C2706" t="s">
        <v>11</v>
      </c>
      <c r="D2706" s="1">
        <v>43418</v>
      </c>
    </row>
    <row r="2707" spans="1:4" x14ac:dyDescent="0.25">
      <c r="A2707" t="s">
        <v>4282</v>
      </c>
      <c r="B2707" t="str">
        <f>MID(tbl_lock[[#This Row],[PACE Job Number]],3,3)</f>
        <v>WSH</v>
      </c>
      <c r="C2707" t="s">
        <v>11</v>
      </c>
      <c r="D2707" s="1">
        <v>43405</v>
      </c>
    </row>
    <row r="2708" spans="1:4" x14ac:dyDescent="0.25">
      <c r="A2708" t="s">
        <v>5312</v>
      </c>
      <c r="B2708" t="str">
        <f>MID(tbl_lock[[#This Row],[PACE Job Number]],3,3)</f>
        <v>WSH</v>
      </c>
      <c r="C2708" t="s">
        <v>11</v>
      </c>
      <c r="D2708" s="1">
        <v>43420</v>
      </c>
    </row>
    <row r="2709" spans="1:4" x14ac:dyDescent="0.25">
      <c r="A2709" t="s">
        <v>4283</v>
      </c>
      <c r="B2709" t="str">
        <f>MID(tbl_lock[[#This Row],[PACE Job Number]],3,3)</f>
        <v>WSH</v>
      </c>
      <c r="C2709" t="s">
        <v>11</v>
      </c>
      <c r="D2709" s="1">
        <v>43413</v>
      </c>
    </row>
    <row r="2710" spans="1:4" x14ac:dyDescent="0.25">
      <c r="A2710" t="s">
        <v>4284</v>
      </c>
      <c r="B2710" t="str">
        <f>MID(tbl_lock[[#This Row],[PACE Job Number]],3,3)</f>
        <v>WSH</v>
      </c>
      <c r="C2710" t="s">
        <v>11</v>
      </c>
      <c r="D2710" s="1">
        <v>43407</v>
      </c>
    </row>
    <row r="2711" spans="1:4" x14ac:dyDescent="0.25">
      <c r="A2711" t="s">
        <v>5315</v>
      </c>
      <c r="B2711" t="str">
        <f>MID(tbl_lock[[#This Row],[PACE Job Number]],3,3)</f>
        <v>WSH</v>
      </c>
      <c r="C2711" t="s">
        <v>11</v>
      </c>
      <c r="D2711" s="1">
        <v>43418</v>
      </c>
    </row>
    <row r="2712" spans="1:4" x14ac:dyDescent="0.25">
      <c r="A2712" t="s">
        <v>5316</v>
      </c>
      <c r="B2712" t="str">
        <f>MID(tbl_lock[[#This Row],[PACE Job Number]],3,3)</f>
        <v>WSH</v>
      </c>
      <c r="C2712" t="s">
        <v>11</v>
      </c>
      <c r="D2712" s="1">
        <v>43424</v>
      </c>
    </row>
    <row r="2713" spans="1:4" x14ac:dyDescent="0.25">
      <c r="A2713" t="s">
        <v>4289</v>
      </c>
      <c r="B2713" t="str">
        <f>MID(tbl_lock[[#This Row],[PACE Job Number]],3,3)</f>
        <v>WSH</v>
      </c>
      <c r="C2713" t="s">
        <v>11</v>
      </c>
      <c r="D2713" s="1">
        <v>43420</v>
      </c>
    </row>
    <row r="2714" spans="1:4" x14ac:dyDescent="0.25">
      <c r="A2714" t="s">
        <v>5524</v>
      </c>
      <c r="B2714" t="str">
        <f>MID(tbl_lock[[#This Row],[PACE Job Number]],3,3)</f>
        <v>WSH</v>
      </c>
      <c r="C2714" t="s">
        <v>11</v>
      </c>
      <c r="D2714" s="1">
        <v>43413</v>
      </c>
    </row>
    <row r="2715" spans="1:4" x14ac:dyDescent="0.25">
      <c r="A2715" t="s">
        <v>5525</v>
      </c>
      <c r="B2715" t="str">
        <f>MID(tbl_lock[[#This Row],[PACE Job Number]],3,3)</f>
        <v>WSH</v>
      </c>
      <c r="C2715" t="s">
        <v>11</v>
      </c>
      <c r="D2715" s="1">
        <v>43413</v>
      </c>
    </row>
    <row r="2716" spans="1:4" x14ac:dyDescent="0.25">
      <c r="A2716" t="s">
        <v>5461</v>
      </c>
      <c r="B2716" t="str">
        <f>MID(tbl_lock[[#This Row],[PACE Job Number]],3,3)</f>
        <v>STX</v>
      </c>
      <c r="C2716" t="s">
        <v>11</v>
      </c>
      <c r="D2716" s="1">
        <v>43424</v>
      </c>
    </row>
    <row r="2717" spans="1:4" x14ac:dyDescent="0.25">
      <c r="A2717" t="s">
        <v>3447</v>
      </c>
      <c r="B2717" t="str">
        <f>MID(tbl_lock[[#This Row],[PACE Job Number]],3,3)</f>
        <v>NTX</v>
      </c>
      <c r="C2717" t="s">
        <v>11</v>
      </c>
      <c r="D2717" s="1">
        <v>43409</v>
      </c>
    </row>
    <row r="2718" spans="1:4" x14ac:dyDescent="0.25">
      <c r="A2718" t="s">
        <v>151</v>
      </c>
      <c r="B2718" t="str">
        <f>MID(tbl_lock[[#This Row],[PACE Job Number]],3,3)</f>
        <v>NTX</v>
      </c>
      <c r="C2718" t="s">
        <v>11</v>
      </c>
      <c r="D2718" s="1">
        <v>43423</v>
      </c>
    </row>
    <row r="2719" spans="1:4" x14ac:dyDescent="0.25">
      <c r="A2719" t="s">
        <v>3500</v>
      </c>
      <c r="B2719" t="str">
        <f>MID(tbl_lock[[#This Row],[PACE Job Number]],3,3)</f>
        <v>NTX</v>
      </c>
      <c r="C2719" t="s">
        <v>11</v>
      </c>
      <c r="D2719" s="1">
        <v>43409</v>
      </c>
    </row>
    <row r="2720" spans="1:4" x14ac:dyDescent="0.25">
      <c r="A2720" t="s">
        <v>3791</v>
      </c>
      <c r="B2720" t="str">
        <f>MID(tbl_lock[[#This Row],[PACE Job Number]],3,3)</f>
        <v>NTX</v>
      </c>
      <c r="C2720" t="s">
        <v>11</v>
      </c>
      <c r="D2720" s="1">
        <v>43406</v>
      </c>
    </row>
    <row r="2721" spans="1:4" x14ac:dyDescent="0.25">
      <c r="A2721" t="s">
        <v>2400</v>
      </c>
      <c r="B2721" t="str">
        <f>MID(tbl_lock[[#This Row],[PACE Job Number]],3,3)</f>
        <v>NTX</v>
      </c>
      <c r="C2721" t="s">
        <v>11</v>
      </c>
      <c r="D2721" s="1">
        <v>43423</v>
      </c>
    </row>
    <row r="2722" spans="1:4" x14ac:dyDescent="0.25">
      <c r="A2722" t="s">
        <v>83</v>
      </c>
      <c r="B2722" t="str">
        <f>MID(tbl_lock[[#This Row],[PACE Job Number]],3,3)</f>
        <v>NTX</v>
      </c>
      <c r="C2722" t="s">
        <v>11</v>
      </c>
      <c r="D2722" s="1">
        <v>43423</v>
      </c>
    </row>
    <row r="2723" spans="1:4" x14ac:dyDescent="0.25">
      <c r="A2723" t="s">
        <v>2647</v>
      </c>
      <c r="B2723" t="str">
        <f>MID(tbl_lock[[#This Row],[PACE Job Number]],3,3)</f>
        <v>STX</v>
      </c>
      <c r="C2723" t="s">
        <v>11</v>
      </c>
      <c r="D2723" s="1">
        <v>43429</v>
      </c>
    </row>
    <row r="2724" spans="1:4" x14ac:dyDescent="0.25">
      <c r="A2724" t="s">
        <v>2644</v>
      </c>
      <c r="B2724" t="str">
        <f>MID(tbl_lock[[#This Row],[PACE Job Number]],3,3)</f>
        <v>STX</v>
      </c>
      <c r="C2724" t="s">
        <v>11</v>
      </c>
      <c r="D2724" s="1">
        <v>43428</v>
      </c>
    </row>
    <row r="2725" spans="1:4" x14ac:dyDescent="0.25">
      <c r="A2725" t="s">
        <v>3946</v>
      </c>
      <c r="B2725" t="str">
        <f>MID(tbl_lock[[#This Row],[PACE Job Number]],3,3)</f>
        <v>STX</v>
      </c>
      <c r="C2725" t="s">
        <v>11</v>
      </c>
      <c r="D2725" s="1">
        <v>43428</v>
      </c>
    </row>
    <row r="2726" spans="1:4" x14ac:dyDescent="0.25">
      <c r="A2726" t="s">
        <v>2649</v>
      </c>
      <c r="B2726" t="str">
        <f>MID(tbl_lock[[#This Row],[PACE Job Number]],3,3)</f>
        <v>STX</v>
      </c>
      <c r="C2726" t="s">
        <v>11</v>
      </c>
      <c r="D2726" s="1">
        <v>43428</v>
      </c>
    </row>
    <row r="2727" spans="1:4" x14ac:dyDescent="0.25">
      <c r="A2727" t="s">
        <v>2630</v>
      </c>
      <c r="B2727" t="str">
        <f>MID(tbl_lock[[#This Row],[PACE Job Number]],3,3)</f>
        <v>STX</v>
      </c>
      <c r="C2727" t="s">
        <v>11</v>
      </c>
      <c r="D2727" s="1">
        <v>43428</v>
      </c>
    </row>
    <row r="2728" spans="1:4" x14ac:dyDescent="0.25">
      <c r="A2728" t="s">
        <v>2641</v>
      </c>
      <c r="B2728" t="str">
        <f>MID(tbl_lock[[#This Row],[PACE Job Number]],3,3)</f>
        <v>STX</v>
      </c>
      <c r="C2728" t="s">
        <v>11</v>
      </c>
      <c r="D2728" s="1">
        <v>43428</v>
      </c>
    </row>
    <row r="2729" spans="1:4" x14ac:dyDescent="0.25">
      <c r="A2729" t="s">
        <v>5318</v>
      </c>
      <c r="B2729" t="str">
        <f>MID(tbl_lock[[#This Row],[PACE Job Number]],3,3)</f>
        <v>WSH</v>
      </c>
      <c r="C2729" t="s">
        <v>11</v>
      </c>
      <c r="D2729" s="1">
        <v>43424</v>
      </c>
    </row>
    <row r="2730" spans="1:4" x14ac:dyDescent="0.25">
      <c r="A2730" t="s">
        <v>5320</v>
      </c>
      <c r="B2730" t="str">
        <f>MID(tbl_lock[[#This Row],[PACE Job Number]],3,3)</f>
        <v>WSH</v>
      </c>
      <c r="C2730" t="s">
        <v>11</v>
      </c>
      <c r="D2730" s="1">
        <v>43424</v>
      </c>
    </row>
    <row r="2731" spans="1:4" x14ac:dyDescent="0.25">
      <c r="A2731" t="s">
        <v>5462</v>
      </c>
      <c r="B2731" t="str">
        <f>MID(tbl_lock[[#This Row],[PACE Job Number]],3,3)</f>
        <v>NTX</v>
      </c>
      <c r="C2731" t="s">
        <v>11</v>
      </c>
      <c r="D2731" s="1">
        <v>43420</v>
      </c>
    </row>
    <row r="2732" spans="1:4" x14ac:dyDescent="0.25">
      <c r="A2732" t="s">
        <v>345</v>
      </c>
      <c r="B2732" t="str">
        <f>MID(tbl_lock[[#This Row],[PACE Job Number]],3,3)</f>
        <v>NTX</v>
      </c>
      <c r="C2732" t="s">
        <v>11</v>
      </c>
      <c r="D2732" s="1">
        <v>43433</v>
      </c>
    </row>
    <row r="2733" spans="1:4" x14ac:dyDescent="0.25">
      <c r="A2733" t="s">
        <v>2308</v>
      </c>
      <c r="B2733" t="str">
        <f>MID(tbl_lock[[#This Row],[PACE Job Number]],3,3)</f>
        <v>NTX</v>
      </c>
      <c r="C2733" t="s">
        <v>11</v>
      </c>
      <c r="D2733" s="1">
        <v>43430</v>
      </c>
    </row>
    <row r="2734" spans="1:4" x14ac:dyDescent="0.25">
      <c r="A2734" t="s">
        <v>5526</v>
      </c>
      <c r="B2734" t="str">
        <f>MID(tbl_lock[[#This Row],[PACE Job Number]],3,3)</f>
        <v>NTX</v>
      </c>
      <c r="C2734" t="s">
        <v>11</v>
      </c>
      <c r="D2734" s="1">
        <v>43433</v>
      </c>
    </row>
    <row r="2735" spans="1:4" x14ac:dyDescent="0.25">
      <c r="A2735" t="s">
        <v>2311</v>
      </c>
      <c r="B2735" t="str">
        <f>MID(tbl_lock[[#This Row],[PACE Job Number]],3,3)</f>
        <v>NTX</v>
      </c>
      <c r="C2735" t="s">
        <v>11</v>
      </c>
      <c r="D2735" s="1">
        <v>43433</v>
      </c>
    </row>
    <row r="2736" spans="1:4" x14ac:dyDescent="0.25">
      <c r="A2736" t="s">
        <v>4191</v>
      </c>
      <c r="B2736" t="str">
        <f>MID(tbl_lock[[#This Row],[PACE Job Number]],3,3)</f>
        <v>WSH</v>
      </c>
      <c r="C2736" t="s">
        <v>18</v>
      </c>
      <c r="D2736" s="1">
        <v>43434</v>
      </c>
    </row>
    <row r="2737" spans="1:4" x14ac:dyDescent="0.25">
      <c r="A2737" t="s">
        <v>432</v>
      </c>
      <c r="B2737" t="str">
        <f>MID(tbl_lock[[#This Row],[PACE Job Number]],3,3)</f>
        <v>ANM</v>
      </c>
      <c r="C2737" t="s">
        <v>18</v>
      </c>
      <c r="D2737" s="1">
        <v>43434</v>
      </c>
    </row>
    <row r="2738" spans="1:4" x14ac:dyDescent="0.25">
      <c r="A2738" t="s">
        <v>4377</v>
      </c>
      <c r="B2738" t="str">
        <f>MID(tbl_lock[[#This Row],[PACE Job Number]],3,3)</f>
        <v>STX</v>
      </c>
      <c r="C2738" t="s">
        <v>18</v>
      </c>
      <c r="D2738" s="1">
        <v>43434</v>
      </c>
    </row>
    <row r="2739" spans="1:4" x14ac:dyDescent="0.25">
      <c r="A2739" t="s">
        <v>3352</v>
      </c>
      <c r="B2739" t="str">
        <f>MID(tbl_lock[[#This Row],[PACE Job Number]],3,3)</f>
        <v>STX</v>
      </c>
      <c r="C2739" t="s">
        <v>18</v>
      </c>
      <c r="D2739" s="1">
        <v>43432</v>
      </c>
    </row>
    <row r="2740" spans="1:4" x14ac:dyDescent="0.25">
      <c r="A2740" t="s">
        <v>2669</v>
      </c>
      <c r="B2740" t="str">
        <f>MID(tbl_lock[[#This Row],[PACE Job Number]],3,3)</f>
        <v>STX</v>
      </c>
      <c r="C2740" t="s">
        <v>18</v>
      </c>
      <c r="D2740" s="1">
        <v>43434</v>
      </c>
    </row>
    <row r="2741" spans="1:4" x14ac:dyDescent="0.25">
      <c r="A2741" t="s">
        <v>4379</v>
      </c>
      <c r="B2741" t="str">
        <f>MID(tbl_lock[[#This Row],[PACE Job Number]],3,3)</f>
        <v>STX</v>
      </c>
      <c r="C2741" t="s">
        <v>18</v>
      </c>
      <c r="D2741" s="1">
        <v>43419</v>
      </c>
    </row>
    <row r="2742" spans="1:4" x14ac:dyDescent="0.25">
      <c r="A2742" t="s">
        <v>3810</v>
      </c>
      <c r="B2742" t="str">
        <f>MID(tbl_lock[[#This Row],[PACE Job Number]],3,3)</f>
        <v>WSH</v>
      </c>
      <c r="C2742" t="s">
        <v>18</v>
      </c>
      <c r="D2742" s="1">
        <v>43434</v>
      </c>
    </row>
    <row r="2743" spans="1:4" x14ac:dyDescent="0.25">
      <c r="A2743" t="s">
        <v>3811</v>
      </c>
      <c r="B2743" t="str">
        <f>MID(tbl_lock[[#This Row],[PACE Job Number]],3,3)</f>
        <v>WSH</v>
      </c>
      <c r="C2743" t="s">
        <v>18</v>
      </c>
      <c r="D2743" s="1">
        <v>43434</v>
      </c>
    </row>
    <row r="2744" spans="1:4" x14ac:dyDescent="0.25">
      <c r="A2744" t="s">
        <v>3812</v>
      </c>
      <c r="B2744" t="str">
        <f>MID(tbl_lock[[#This Row],[PACE Job Number]],3,3)</f>
        <v>WSH</v>
      </c>
      <c r="C2744" t="s">
        <v>18</v>
      </c>
      <c r="D2744" s="1">
        <v>43434</v>
      </c>
    </row>
    <row r="2745" spans="1:4" x14ac:dyDescent="0.25">
      <c r="A2745" t="s">
        <v>5195</v>
      </c>
      <c r="B2745" t="str">
        <f>MID(tbl_lock[[#This Row],[PACE Job Number]],3,3)</f>
        <v>WSH</v>
      </c>
      <c r="C2745" t="s">
        <v>18</v>
      </c>
      <c r="D2745" s="1">
        <v>43434</v>
      </c>
    </row>
    <row r="2746" spans="1:4" x14ac:dyDescent="0.25">
      <c r="A2746" t="s">
        <v>4303</v>
      </c>
      <c r="B2746" t="str">
        <f>MID(tbl_lock[[#This Row],[PACE Job Number]],3,3)</f>
        <v>NTX</v>
      </c>
      <c r="C2746" t="s">
        <v>18</v>
      </c>
      <c r="D2746" s="1">
        <v>43427</v>
      </c>
    </row>
    <row r="2747" spans="1:4" x14ac:dyDescent="0.25">
      <c r="A2747" t="s">
        <v>380</v>
      </c>
      <c r="B2747" t="str">
        <f>MID(tbl_lock[[#This Row],[PACE Job Number]],3,3)</f>
        <v>NTX</v>
      </c>
      <c r="C2747" t="s">
        <v>18</v>
      </c>
      <c r="D2747" s="1">
        <v>43427</v>
      </c>
    </row>
    <row r="2748" spans="1:4" x14ac:dyDescent="0.25">
      <c r="A2748" t="s">
        <v>61</v>
      </c>
      <c r="B2748" t="str">
        <f>MID(tbl_lock[[#This Row],[PACE Job Number]],3,3)</f>
        <v>NTX</v>
      </c>
      <c r="C2748" t="s">
        <v>18</v>
      </c>
      <c r="D2748" s="1">
        <v>43412</v>
      </c>
    </row>
    <row r="2749" spans="1:4" x14ac:dyDescent="0.25">
      <c r="A2749" t="s">
        <v>3380</v>
      </c>
      <c r="B2749" t="str">
        <f>MID(tbl_lock[[#This Row],[PACE Job Number]],3,3)</f>
        <v>NTX</v>
      </c>
      <c r="C2749" t="s">
        <v>18</v>
      </c>
      <c r="D2749" s="1">
        <v>43426</v>
      </c>
    </row>
    <row r="2750" spans="1:4" x14ac:dyDescent="0.25">
      <c r="A2750" t="s">
        <v>2478</v>
      </c>
      <c r="B2750" t="str">
        <f>MID(tbl_lock[[#This Row],[PACE Job Number]],3,3)</f>
        <v>NTX</v>
      </c>
      <c r="C2750" t="s">
        <v>18</v>
      </c>
      <c r="D2750" s="1">
        <v>43432</v>
      </c>
    </row>
    <row r="2751" spans="1:4" x14ac:dyDescent="0.25">
      <c r="A2751" t="s">
        <v>4304</v>
      </c>
      <c r="B2751" t="str">
        <f>MID(tbl_lock[[#This Row],[PACE Job Number]],3,3)</f>
        <v>NTX</v>
      </c>
      <c r="C2751" t="s">
        <v>18</v>
      </c>
      <c r="D2751" s="1">
        <v>43429</v>
      </c>
    </row>
    <row r="2752" spans="1:4" x14ac:dyDescent="0.25">
      <c r="A2752" t="s">
        <v>139</v>
      </c>
      <c r="B2752" t="str">
        <f>MID(tbl_lock[[#This Row],[PACE Job Number]],3,3)</f>
        <v>NTX</v>
      </c>
      <c r="C2752" t="s">
        <v>18</v>
      </c>
      <c r="D2752" s="1">
        <v>43412</v>
      </c>
    </row>
    <row r="2753" spans="1:4" x14ac:dyDescent="0.25">
      <c r="A2753" t="s">
        <v>2479</v>
      </c>
      <c r="B2753" t="str">
        <f>MID(tbl_lock[[#This Row],[PACE Job Number]],3,3)</f>
        <v>NTX</v>
      </c>
      <c r="C2753" t="s">
        <v>18</v>
      </c>
      <c r="D2753" s="1">
        <v>43432</v>
      </c>
    </row>
    <row r="2754" spans="1:4" x14ac:dyDescent="0.25">
      <c r="A2754" t="s">
        <v>3382</v>
      </c>
      <c r="B2754" t="str">
        <f>MID(tbl_lock[[#This Row],[PACE Job Number]],3,3)</f>
        <v>NTX</v>
      </c>
      <c r="C2754" t="s">
        <v>18</v>
      </c>
      <c r="D2754" s="1">
        <v>43426</v>
      </c>
    </row>
    <row r="2755" spans="1:4" x14ac:dyDescent="0.25">
      <c r="A2755" t="s">
        <v>2480</v>
      </c>
      <c r="B2755" t="str">
        <f>MID(tbl_lock[[#This Row],[PACE Job Number]],3,3)</f>
        <v>NTX</v>
      </c>
      <c r="C2755" t="s">
        <v>18</v>
      </c>
      <c r="D2755" s="1">
        <v>43432</v>
      </c>
    </row>
    <row r="2756" spans="1:4" x14ac:dyDescent="0.25">
      <c r="A2756" t="s">
        <v>2481</v>
      </c>
      <c r="B2756" t="str">
        <f>MID(tbl_lock[[#This Row],[PACE Job Number]],3,3)</f>
        <v>NTX</v>
      </c>
      <c r="C2756" t="s">
        <v>18</v>
      </c>
      <c r="D2756" s="1">
        <v>43414</v>
      </c>
    </row>
    <row r="2757" spans="1:4" x14ac:dyDescent="0.25">
      <c r="A2757" t="s">
        <v>4190</v>
      </c>
      <c r="B2757" t="str">
        <f>MID(tbl_lock[[#This Row],[PACE Job Number]],3,3)</f>
        <v>NTX</v>
      </c>
      <c r="C2757" t="s">
        <v>18</v>
      </c>
      <c r="D2757" s="1">
        <v>43434</v>
      </c>
    </row>
    <row r="2758" spans="1:4" x14ac:dyDescent="0.25">
      <c r="A2758" t="s">
        <v>2163</v>
      </c>
      <c r="B2758" t="str">
        <f>MID(tbl_lock[[#This Row],[PACE Job Number]],3,3)</f>
        <v>NTX</v>
      </c>
      <c r="C2758" t="s">
        <v>18</v>
      </c>
      <c r="D2758" s="1">
        <v>43422</v>
      </c>
    </row>
    <row r="2759" spans="1:4" x14ac:dyDescent="0.25">
      <c r="A2759" t="s">
        <v>4306</v>
      </c>
      <c r="B2759" t="str">
        <f>MID(tbl_lock[[#This Row],[PACE Job Number]],3,3)</f>
        <v>NTX</v>
      </c>
      <c r="C2759" t="s">
        <v>18</v>
      </c>
      <c r="D2759" s="1">
        <v>43423</v>
      </c>
    </row>
    <row r="2760" spans="1:4" x14ac:dyDescent="0.25">
      <c r="A2760" t="s">
        <v>4513</v>
      </c>
      <c r="B2760" t="str">
        <f>MID(tbl_lock[[#This Row],[PACE Job Number]],3,3)</f>
        <v>NTX</v>
      </c>
      <c r="C2760" t="s">
        <v>18</v>
      </c>
      <c r="D2760" s="1">
        <v>43418</v>
      </c>
    </row>
    <row r="2761" spans="1:4" x14ac:dyDescent="0.25">
      <c r="A2761" t="s">
        <v>4307</v>
      </c>
      <c r="B2761" t="str">
        <f>MID(tbl_lock[[#This Row],[PACE Job Number]],3,3)</f>
        <v>NTX</v>
      </c>
      <c r="C2761" t="s">
        <v>18</v>
      </c>
      <c r="D2761" s="1">
        <v>43427</v>
      </c>
    </row>
    <row r="2762" spans="1:4" x14ac:dyDescent="0.25">
      <c r="A2762" t="s">
        <v>4308</v>
      </c>
      <c r="B2762" t="str">
        <f>MID(tbl_lock[[#This Row],[PACE Job Number]],3,3)</f>
        <v>NTX</v>
      </c>
      <c r="C2762" t="s">
        <v>18</v>
      </c>
      <c r="D2762" s="1">
        <v>43428</v>
      </c>
    </row>
    <row r="2763" spans="1:4" x14ac:dyDescent="0.25">
      <c r="A2763" t="s">
        <v>4309</v>
      </c>
      <c r="B2763" t="str">
        <f>MID(tbl_lock[[#This Row],[PACE Job Number]],3,3)</f>
        <v>NTX</v>
      </c>
      <c r="C2763" t="s">
        <v>18</v>
      </c>
      <c r="D2763" s="1">
        <v>43429</v>
      </c>
    </row>
    <row r="2764" spans="1:4" x14ac:dyDescent="0.25">
      <c r="A2764" t="s">
        <v>4310</v>
      </c>
      <c r="B2764" t="str">
        <f>MID(tbl_lock[[#This Row],[PACE Job Number]],3,3)</f>
        <v>NTX</v>
      </c>
      <c r="C2764" t="s">
        <v>18</v>
      </c>
      <c r="D2764" s="1">
        <v>43414</v>
      </c>
    </row>
    <row r="2765" spans="1:4" x14ac:dyDescent="0.25">
      <c r="A2765" t="s">
        <v>5325</v>
      </c>
      <c r="B2765" t="str">
        <f>MID(tbl_lock[[#This Row],[PACE Job Number]],3,3)</f>
        <v>NTX</v>
      </c>
      <c r="C2765" t="s">
        <v>18</v>
      </c>
      <c r="D2765" s="1">
        <v>43433</v>
      </c>
    </row>
    <row r="2766" spans="1:4" x14ac:dyDescent="0.25">
      <c r="A2766" t="s">
        <v>2542</v>
      </c>
      <c r="B2766" t="str">
        <f>MID(tbl_lock[[#This Row],[PACE Job Number]],3,3)</f>
        <v>STX</v>
      </c>
      <c r="C2766" t="s">
        <v>18</v>
      </c>
      <c r="D2766" s="1">
        <v>43434</v>
      </c>
    </row>
    <row r="2767" spans="1:4" x14ac:dyDescent="0.25">
      <c r="A2767" t="s">
        <v>1605</v>
      </c>
      <c r="B2767" t="str">
        <f>MID(tbl_lock[[#This Row],[PACE Job Number]],3,3)</f>
        <v>STX</v>
      </c>
      <c r="C2767" t="s">
        <v>18</v>
      </c>
      <c r="D2767" s="1">
        <v>43434</v>
      </c>
    </row>
    <row r="2768" spans="1:4" x14ac:dyDescent="0.25">
      <c r="A2768" t="s">
        <v>172</v>
      </c>
      <c r="B2768" t="str">
        <f>MID(tbl_lock[[#This Row],[PACE Job Number]],3,3)</f>
        <v>STX</v>
      </c>
      <c r="C2768" t="s">
        <v>18</v>
      </c>
      <c r="D2768" s="1">
        <v>43434</v>
      </c>
    </row>
    <row r="2769" spans="1:4" x14ac:dyDescent="0.25">
      <c r="A2769" t="s">
        <v>1646</v>
      </c>
      <c r="B2769" t="str">
        <f>MID(tbl_lock[[#This Row],[PACE Job Number]],3,3)</f>
        <v>STX</v>
      </c>
      <c r="C2769" t="s">
        <v>18</v>
      </c>
      <c r="D2769" s="1">
        <v>43434</v>
      </c>
    </row>
    <row r="2770" spans="1:4" x14ac:dyDescent="0.25">
      <c r="A2770" t="s">
        <v>3426</v>
      </c>
      <c r="B2770" t="str">
        <f>MID(tbl_lock[[#This Row],[PACE Job Number]],3,3)</f>
        <v>STX</v>
      </c>
      <c r="C2770" t="s">
        <v>18</v>
      </c>
      <c r="D2770" s="1">
        <v>43434</v>
      </c>
    </row>
    <row r="2771" spans="1:4" x14ac:dyDescent="0.25">
      <c r="A2771" t="s">
        <v>4314</v>
      </c>
      <c r="B2771" t="str">
        <f>MID(tbl_lock[[#This Row],[PACE Job Number]],3,3)</f>
        <v>STX</v>
      </c>
      <c r="C2771" t="s">
        <v>18</v>
      </c>
      <c r="D2771" s="1">
        <v>43419</v>
      </c>
    </row>
    <row r="2772" spans="1:4" x14ac:dyDescent="0.25">
      <c r="A2772" t="s">
        <v>4316</v>
      </c>
      <c r="B2772" t="str">
        <f>MID(tbl_lock[[#This Row],[PACE Job Number]],3,3)</f>
        <v>STX</v>
      </c>
      <c r="C2772" t="s">
        <v>18</v>
      </c>
      <c r="D2772" s="1">
        <v>43434</v>
      </c>
    </row>
    <row r="2773" spans="1:4" x14ac:dyDescent="0.25">
      <c r="A2773" t="s">
        <v>5326</v>
      </c>
      <c r="B2773" t="str">
        <f>MID(tbl_lock[[#This Row],[PACE Job Number]],3,3)</f>
        <v>STX</v>
      </c>
      <c r="C2773" t="s">
        <v>18</v>
      </c>
      <c r="D2773" s="1">
        <v>43434</v>
      </c>
    </row>
    <row r="2774" spans="1:4" x14ac:dyDescent="0.25">
      <c r="A2774" t="s">
        <v>1650</v>
      </c>
      <c r="B2774" t="str">
        <f>MID(tbl_lock[[#This Row],[PACE Job Number]],3,3)</f>
        <v>STX</v>
      </c>
      <c r="C2774" t="s">
        <v>18</v>
      </c>
      <c r="D2774" s="1">
        <v>43434</v>
      </c>
    </row>
    <row r="2775" spans="1:4" x14ac:dyDescent="0.25">
      <c r="A2775" t="s">
        <v>1579</v>
      </c>
      <c r="B2775" t="str">
        <f>MID(tbl_lock[[#This Row],[PACE Job Number]],3,3)</f>
        <v>STX</v>
      </c>
      <c r="C2775" t="s">
        <v>18</v>
      </c>
      <c r="D2775" s="1">
        <v>43434</v>
      </c>
    </row>
    <row r="2776" spans="1:4" x14ac:dyDescent="0.25">
      <c r="A2776" t="s">
        <v>4318</v>
      </c>
      <c r="B2776" t="str">
        <f>MID(tbl_lock[[#This Row],[PACE Job Number]],3,3)</f>
        <v>STX</v>
      </c>
      <c r="C2776" t="s">
        <v>18</v>
      </c>
      <c r="D2776" s="1">
        <v>43419</v>
      </c>
    </row>
    <row r="2777" spans="1:4" x14ac:dyDescent="0.25">
      <c r="A2777" t="s">
        <v>4319</v>
      </c>
      <c r="B2777" t="str">
        <f>MID(tbl_lock[[#This Row],[PACE Job Number]],3,3)</f>
        <v>STX</v>
      </c>
      <c r="C2777" t="s">
        <v>18</v>
      </c>
      <c r="D2777" s="1">
        <v>43432</v>
      </c>
    </row>
    <row r="2778" spans="1:4" x14ac:dyDescent="0.25">
      <c r="A2778" t="s">
        <v>3463</v>
      </c>
      <c r="B2778" t="str">
        <f>MID(tbl_lock[[#This Row],[PACE Job Number]],3,3)</f>
        <v>STX</v>
      </c>
      <c r="C2778" t="s">
        <v>18</v>
      </c>
      <c r="D2778" s="1">
        <v>43432</v>
      </c>
    </row>
    <row r="2779" spans="1:4" x14ac:dyDescent="0.25">
      <c r="A2779" t="s">
        <v>5527</v>
      </c>
      <c r="B2779" t="str">
        <f>MID(tbl_lock[[#This Row],[PACE Job Number]],3,3)</f>
        <v>STX</v>
      </c>
      <c r="C2779" t="s">
        <v>18</v>
      </c>
      <c r="D2779" s="1">
        <v>43434</v>
      </c>
    </row>
    <row r="2780" spans="1:4" x14ac:dyDescent="0.25">
      <c r="A2780" t="s">
        <v>5464</v>
      </c>
      <c r="B2780" t="str">
        <f>MID(tbl_lock[[#This Row],[PACE Job Number]],3,3)</f>
        <v>STX</v>
      </c>
      <c r="C2780" t="s">
        <v>18</v>
      </c>
      <c r="D2780" s="1">
        <v>43434</v>
      </c>
    </row>
    <row r="2781" spans="1:4" x14ac:dyDescent="0.25">
      <c r="A2781" t="s">
        <v>5197</v>
      </c>
      <c r="B2781" t="str">
        <f>MID(tbl_lock[[#This Row],[PACE Job Number]],3,3)</f>
        <v>WSH</v>
      </c>
      <c r="C2781" t="s">
        <v>18</v>
      </c>
      <c r="D2781" s="1">
        <v>43434</v>
      </c>
    </row>
    <row r="2782" spans="1:4" x14ac:dyDescent="0.25">
      <c r="A2782" t="s">
        <v>3902</v>
      </c>
      <c r="B2782" t="str">
        <f>MID(tbl_lock[[#This Row],[PACE Job Number]],3,3)</f>
        <v>WSH</v>
      </c>
      <c r="C2782" t="s">
        <v>18</v>
      </c>
      <c r="D2782" s="1">
        <v>43434</v>
      </c>
    </row>
    <row r="2783" spans="1:4" x14ac:dyDescent="0.25">
      <c r="A2783" t="s">
        <v>3903</v>
      </c>
      <c r="B2783" t="str">
        <f>MID(tbl_lock[[#This Row],[PACE Job Number]],3,3)</f>
        <v>WSH</v>
      </c>
      <c r="C2783" t="s">
        <v>18</v>
      </c>
      <c r="D2783" s="1">
        <v>43434</v>
      </c>
    </row>
    <row r="2784" spans="1:4" x14ac:dyDescent="0.25">
      <c r="A2784" t="s">
        <v>148</v>
      </c>
      <c r="B2784" t="str">
        <f>MID(tbl_lock[[#This Row],[PACE Job Number]],3,3)</f>
        <v>WSH</v>
      </c>
      <c r="C2784" t="s">
        <v>18</v>
      </c>
      <c r="D2784" s="1">
        <v>43434</v>
      </c>
    </row>
    <row r="2785" spans="1:4" x14ac:dyDescent="0.25">
      <c r="A2785" t="s">
        <v>4206</v>
      </c>
      <c r="B2785" t="str">
        <f>MID(tbl_lock[[#This Row],[PACE Job Number]],3,3)</f>
        <v>WSH</v>
      </c>
      <c r="C2785" t="s">
        <v>18</v>
      </c>
      <c r="D2785" s="1">
        <v>43434</v>
      </c>
    </row>
    <row r="2786" spans="1:4" x14ac:dyDescent="0.25">
      <c r="A2786" t="s">
        <v>4207</v>
      </c>
      <c r="B2786" t="str">
        <f>MID(tbl_lock[[#This Row],[PACE Job Number]],3,3)</f>
        <v>WSH</v>
      </c>
      <c r="C2786" t="s">
        <v>18</v>
      </c>
      <c r="D2786" s="1">
        <v>43434</v>
      </c>
    </row>
    <row r="2787" spans="1:4" x14ac:dyDescent="0.25">
      <c r="A2787" t="s">
        <v>254</v>
      </c>
      <c r="B2787" t="str">
        <f>MID(tbl_lock[[#This Row],[PACE Job Number]],3,3)</f>
        <v>WSH</v>
      </c>
      <c r="C2787" t="s">
        <v>18</v>
      </c>
      <c r="D2787" s="1">
        <v>43434</v>
      </c>
    </row>
    <row r="2788" spans="1:4" x14ac:dyDescent="0.25">
      <c r="A2788" t="s">
        <v>5199</v>
      </c>
      <c r="B2788" t="str">
        <f>MID(tbl_lock[[#This Row],[PACE Job Number]],3,3)</f>
        <v>WSH</v>
      </c>
      <c r="C2788" t="s">
        <v>18</v>
      </c>
      <c r="D2788" s="1">
        <v>43434</v>
      </c>
    </row>
    <row r="2789" spans="1:4" x14ac:dyDescent="0.25">
      <c r="A2789" t="s">
        <v>5200</v>
      </c>
      <c r="B2789" t="str">
        <f>MID(tbl_lock[[#This Row],[PACE Job Number]],3,3)</f>
        <v>WSH</v>
      </c>
      <c r="C2789" t="s">
        <v>18</v>
      </c>
      <c r="D2789" s="1">
        <v>43434</v>
      </c>
    </row>
    <row r="2790" spans="1:4" x14ac:dyDescent="0.25">
      <c r="A2790" t="s">
        <v>5327</v>
      </c>
      <c r="B2790" t="str">
        <f>MID(tbl_lock[[#This Row],[PACE Job Number]],3,3)</f>
        <v>WSH</v>
      </c>
      <c r="C2790" t="s">
        <v>18</v>
      </c>
      <c r="D2790" s="1">
        <v>43434</v>
      </c>
    </row>
    <row r="2791" spans="1:4" x14ac:dyDescent="0.25">
      <c r="A2791" t="s">
        <v>3813</v>
      </c>
      <c r="B2791" t="str">
        <f>MID(tbl_lock[[#This Row],[PACE Job Number]],3,3)</f>
        <v>WSH</v>
      </c>
      <c r="C2791" t="s">
        <v>18</v>
      </c>
      <c r="D2791" s="1">
        <v>43434</v>
      </c>
    </row>
    <row r="2792" spans="1:4" x14ac:dyDescent="0.25">
      <c r="A2792" t="s">
        <v>3396</v>
      </c>
      <c r="B2792" t="str">
        <f>MID(tbl_lock[[#This Row],[PACE Job Number]],3,3)</f>
        <v>WSH</v>
      </c>
      <c r="C2792" t="s">
        <v>18</v>
      </c>
      <c r="D2792" s="1">
        <v>43434</v>
      </c>
    </row>
    <row r="2793" spans="1:4" x14ac:dyDescent="0.25">
      <c r="A2793" t="s">
        <v>55</v>
      </c>
      <c r="B2793" t="str">
        <f>MID(tbl_lock[[#This Row],[PACE Job Number]],3,3)</f>
        <v>WSH</v>
      </c>
      <c r="C2793" t="s">
        <v>18</v>
      </c>
      <c r="D2793" s="1">
        <v>43434</v>
      </c>
    </row>
    <row r="2794" spans="1:4" x14ac:dyDescent="0.25">
      <c r="A2794" t="s">
        <v>3410</v>
      </c>
      <c r="B2794" t="str">
        <f>MID(tbl_lock[[#This Row],[PACE Job Number]],3,3)</f>
        <v>WSH</v>
      </c>
      <c r="C2794" t="s">
        <v>18</v>
      </c>
      <c r="D2794" s="1">
        <v>43434</v>
      </c>
    </row>
    <row r="2795" spans="1:4" x14ac:dyDescent="0.25">
      <c r="A2795" t="s">
        <v>197</v>
      </c>
      <c r="B2795" t="str">
        <f>MID(tbl_lock[[#This Row],[PACE Job Number]],3,3)</f>
        <v>WSH</v>
      </c>
      <c r="C2795" t="s">
        <v>18</v>
      </c>
      <c r="D2795" s="1">
        <v>43434</v>
      </c>
    </row>
    <row r="2796" spans="1:4" x14ac:dyDescent="0.25">
      <c r="A2796" t="s">
        <v>3907</v>
      </c>
      <c r="B2796" t="str">
        <f>MID(tbl_lock[[#This Row],[PACE Job Number]],3,3)</f>
        <v>WSH</v>
      </c>
      <c r="C2796" t="s">
        <v>18</v>
      </c>
      <c r="D2796" s="1">
        <v>43434</v>
      </c>
    </row>
    <row r="2797" spans="1:4" x14ac:dyDescent="0.25">
      <c r="A2797" t="s">
        <v>4208</v>
      </c>
      <c r="B2797" t="str">
        <f>MID(tbl_lock[[#This Row],[PACE Job Number]],3,3)</f>
        <v>WSH</v>
      </c>
      <c r="C2797" t="s">
        <v>18</v>
      </c>
      <c r="D2797" s="1">
        <v>43434</v>
      </c>
    </row>
    <row r="2798" spans="1:4" x14ac:dyDescent="0.25">
      <c r="A2798" t="s">
        <v>5201</v>
      </c>
      <c r="B2798" t="str">
        <f>MID(tbl_lock[[#This Row],[PACE Job Number]],3,3)</f>
        <v>WSH</v>
      </c>
      <c r="C2798" t="s">
        <v>18</v>
      </c>
      <c r="D2798" s="1">
        <v>43434</v>
      </c>
    </row>
    <row r="2799" spans="1:4" x14ac:dyDescent="0.25">
      <c r="A2799" t="s">
        <v>5202</v>
      </c>
      <c r="B2799" t="str">
        <f>MID(tbl_lock[[#This Row],[PACE Job Number]],3,3)</f>
        <v>WSH</v>
      </c>
      <c r="C2799" t="s">
        <v>18</v>
      </c>
      <c r="D2799" s="1">
        <v>43434</v>
      </c>
    </row>
    <row r="2800" spans="1:4" x14ac:dyDescent="0.25">
      <c r="A2800" t="s">
        <v>3411</v>
      </c>
      <c r="B2800" t="str">
        <f>MID(tbl_lock[[#This Row],[PACE Job Number]],3,3)</f>
        <v>WSH</v>
      </c>
      <c r="C2800" t="s">
        <v>18</v>
      </c>
      <c r="D2800" s="1">
        <v>43434</v>
      </c>
    </row>
    <row r="2801" spans="1:4" x14ac:dyDescent="0.25">
      <c r="A2801" t="s">
        <v>63</v>
      </c>
      <c r="B2801" t="str">
        <f>MID(tbl_lock[[#This Row],[PACE Job Number]],3,3)</f>
        <v>WSH</v>
      </c>
      <c r="C2801" t="s">
        <v>18</v>
      </c>
      <c r="D2801" s="1">
        <v>43434</v>
      </c>
    </row>
    <row r="2802" spans="1:4" x14ac:dyDescent="0.25">
      <c r="A2802" t="s">
        <v>4209</v>
      </c>
      <c r="B2802" t="str">
        <f>MID(tbl_lock[[#This Row],[PACE Job Number]],3,3)</f>
        <v>WSH</v>
      </c>
      <c r="C2802" t="s">
        <v>18</v>
      </c>
      <c r="D2802" s="1">
        <v>43434</v>
      </c>
    </row>
    <row r="2803" spans="1:4" x14ac:dyDescent="0.25">
      <c r="A2803" t="s">
        <v>3819</v>
      </c>
      <c r="B2803" t="str">
        <f>MID(tbl_lock[[#This Row],[PACE Job Number]],3,3)</f>
        <v>WSH</v>
      </c>
      <c r="C2803" t="s">
        <v>18</v>
      </c>
      <c r="D2803" s="1">
        <v>43434</v>
      </c>
    </row>
    <row r="2804" spans="1:4" x14ac:dyDescent="0.25">
      <c r="A2804" t="s">
        <v>3820</v>
      </c>
      <c r="B2804" t="str">
        <f>MID(tbl_lock[[#This Row],[PACE Job Number]],3,3)</f>
        <v>WSH</v>
      </c>
      <c r="C2804" t="s">
        <v>18</v>
      </c>
      <c r="D2804" s="1">
        <v>43434</v>
      </c>
    </row>
    <row r="2805" spans="1:4" x14ac:dyDescent="0.25">
      <c r="A2805" t="s">
        <v>5329</v>
      </c>
      <c r="B2805" t="str">
        <f>MID(tbl_lock[[#This Row],[PACE Job Number]],3,3)</f>
        <v>WSH</v>
      </c>
      <c r="C2805" t="s">
        <v>18</v>
      </c>
      <c r="D2805" s="1">
        <v>43434</v>
      </c>
    </row>
    <row r="2806" spans="1:4" x14ac:dyDescent="0.25">
      <c r="A2806" t="s">
        <v>5330</v>
      </c>
      <c r="B2806" t="str">
        <f>MID(tbl_lock[[#This Row],[PACE Job Number]],3,3)</f>
        <v>WSH</v>
      </c>
      <c r="C2806" t="s">
        <v>18</v>
      </c>
      <c r="D2806" s="1">
        <v>43434</v>
      </c>
    </row>
    <row r="2807" spans="1:4" x14ac:dyDescent="0.25">
      <c r="A2807" t="s">
        <v>296</v>
      </c>
      <c r="B2807" t="str">
        <f>MID(tbl_lock[[#This Row],[PACE Job Number]],3,3)</f>
        <v>WSH</v>
      </c>
      <c r="C2807" t="s">
        <v>18</v>
      </c>
      <c r="D2807" s="1">
        <v>43434</v>
      </c>
    </row>
    <row r="2808" spans="1:4" x14ac:dyDescent="0.25">
      <c r="A2808" t="s">
        <v>5465</v>
      </c>
      <c r="B2808" t="str">
        <f>MID(tbl_lock[[#This Row],[PACE Job Number]],3,3)</f>
        <v>STX</v>
      </c>
      <c r="C2808" t="s">
        <v>18</v>
      </c>
      <c r="D2808" s="1">
        <v>43434</v>
      </c>
    </row>
    <row r="2809" spans="1:4" x14ac:dyDescent="0.25">
      <c r="A2809" t="s">
        <v>4327</v>
      </c>
      <c r="B2809" t="str">
        <f>MID(tbl_lock[[#This Row],[PACE Job Number]],3,3)</f>
        <v>STX</v>
      </c>
      <c r="C2809" t="s">
        <v>18</v>
      </c>
      <c r="D2809" s="1">
        <v>43434</v>
      </c>
    </row>
    <row r="2810" spans="1:4" x14ac:dyDescent="0.25">
      <c r="A2810" t="s">
        <v>5331</v>
      </c>
      <c r="B2810" t="str">
        <f>MID(tbl_lock[[#This Row],[PACE Job Number]],3,3)</f>
        <v>STX</v>
      </c>
      <c r="C2810" t="s">
        <v>18</v>
      </c>
      <c r="D2810" s="1">
        <v>43432</v>
      </c>
    </row>
    <row r="2811" spans="1:4" x14ac:dyDescent="0.25">
      <c r="A2811" t="s">
        <v>5528</v>
      </c>
      <c r="B2811" t="str">
        <f>MID(tbl_lock[[#This Row],[PACE Job Number]],3,3)</f>
        <v>STX</v>
      </c>
      <c r="C2811" t="s">
        <v>18</v>
      </c>
      <c r="D2811" s="1">
        <v>43419</v>
      </c>
    </row>
    <row r="2812" spans="1:4" x14ac:dyDescent="0.25">
      <c r="A2812" t="s">
        <v>2568</v>
      </c>
      <c r="B2812" t="str">
        <f>MID(tbl_lock[[#This Row],[PACE Job Number]],3,3)</f>
        <v>STX</v>
      </c>
      <c r="C2812" t="s">
        <v>18</v>
      </c>
      <c r="D2812" s="1">
        <v>43434</v>
      </c>
    </row>
    <row r="2813" spans="1:4" x14ac:dyDescent="0.25">
      <c r="A2813" t="s">
        <v>4329</v>
      </c>
      <c r="B2813" t="str">
        <f>MID(tbl_lock[[#This Row],[PACE Job Number]],3,3)</f>
        <v>STX</v>
      </c>
      <c r="C2813" t="s">
        <v>18</v>
      </c>
      <c r="D2813" s="1">
        <v>43432</v>
      </c>
    </row>
    <row r="2814" spans="1:4" x14ac:dyDescent="0.25">
      <c r="A2814" t="s">
        <v>187</v>
      </c>
      <c r="B2814" t="str">
        <f>MID(tbl_lock[[#This Row],[PACE Job Number]],3,3)</f>
        <v>STX</v>
      </c>
      <c r="C2814" t="s">
        <v>18</v>
      </c>
      <c r="D2814" s="1">
        <v>43434</v>
      </c>
    </row>
    <row r="2815" spans="1:4" x14ac:dyDescent="0.25">
      <c r="A2815" t="s">
        <v>5332</v>
      </c>
      <c r="B2815" t="str">
        <f>MID(tbl_lock[[#This Row],[PACE Job Number]],3,3)</f>
        <v>STX</v>
      </c>
      <c r="C2815" t="s">
        <v>18</v>
      </c>
      <c r="D2815" s="1">
        <v>43432</v>
      </c>
    </row>
    <row r="2816" spans="1:4" x14ac:dyDescent="0.25">
      <c r="A2816" t="s">
        <v>2576</v>
      </c>
      <c r="B2816" t="str">
        <f>MID(tbl_lock[[#This Row],[PACE Job Number]],3,3)</f>
        <v>STX</v>
      </c>
      <c r="C2816" t="s">
        <v>18</v>
      </c>
      <c r="D2816" s="1">
        <v>43434</v>
      </c>
    </row>
    <row r="2817" spans="1:4" x14ac:dyDescent="0.25">
      <c r="A2817" t="s">
        <v>4330</v>
      </c>
      <c r="B2817" t="str">
        <f>MID(tbl_lock[[#This Row],[PACE Job Number]],3,3)</f>
        <v>STX</v>
      </c>
      <c r="C2817" t="s">
        <v>18</v>
      </c>
      <c r="D2817" s="1">
        <v>43434</v>
      </c>
    </row>
    <row r="2818" spans="1:4" x14ac:dyDescent="0.25">
      <c r="A2818" t="s">
        <v>4331</v>
      </c>
      <c r="B2818" t="str">
        <f>MID(tbl_lock[[#This Row],[PACE Job Number]],3,3)</f>
        <v>STX</v>
      </c>
      <c r="C2818" t="s">
        <v>18</v>
      </c>
      <c r="D2818" s="1">
        <v>43432</v>
      </c>
    </row>
    <row r="2819" spans="1:4" x14ac:dyDescent="0.25">
      <c r="A2819" t="s">
        <v>3365</v>
      </c>
      <c r="B2819" t="str">
        <f>MID(tbl_lock[[#This Row],[PACE Job Number]],3,3)</f>
        <v>STX</v>
      </c>
      <c r="C2819" t="s">
        <v>18</v>
      </c>
      <c r="D2819" s="1">
        <v>43434</v>
      </c>
    </row>
    <row r="2820" spans="1:4" x14ac:dyDescent="0.25">
      <c r="A2820" t="s">
        <v>2571</v>
      </c>
      <c r="B2820" t="str">
        <f>MID(tbl_lock[[#This Row],[PACE Job Number]],3,3)</f>
        <v>STX</v>
      </c>
      <c r="C2820" t="s">
        <v>18</v>
      </c>
      <c r="D2820" s="1">
        <v>43432</v>
      </c>
    </row>
    <row r="2821" spans="1:4" x14ac:dyDescent="0.25">
      <c r="A2821" t="s">
        <v>3285</v>
      </c>
      <c r="B2821" t="str">
        <f>MID(tbl_lock[[#This Row],[PACE Job Number]],3,3)</f>
        <v>STX</v>
      </c>
      <c r="C2821" t="s">
        <v>18</v>
      </c>
      <c r="D2821" s="1">
        <v>43434</v>
      </c>
    </row>
    <row r="2822" spans="1:4" x14ac:dyDescent="0.25">
      <c r="A2822" t="s">
        <v>3279</v>
      </c>
      <c r="B2822" t="str">
        <f>MID(tbl_lock[[#This Row],[PACE Job Number]],3,3)</f>
        <v>STX</v>
      </c>
      <c r="C2822" t="s">
        <v>18</v>
      </c>
      <c r="D2822" s="1">
        <v>43434</v>
      </c>
    </row>
    <row r="2823" spans="1:4" x14ac:dyDescent="0.25">
      <c r="A2823" t="s">
        <v>4332</v>
      </c>
      <c r="B2823" t="str">
        <f>MID(tbl_lock[[#This Row],[PACE Job Number]],3,3)</f>
        <v>STX</v>
      </c>
      <c r="C2823" t="s">
        <v>18</v>
      </c>
      <c r="D2823" s="1">
        <v>43419</v>
      </c>
    </row>
    <row r="2824" spans="1:4" x14ac:dyDescent="0.25">
      <c r="A2824" t="s">
        <v>2578</v>
      </c>
      <c r="B2824" t="str">
        <f>MID(tbl_lock[[#This Row],[PACE Job Number]],3,3)</f>
        <v>STX</v>
      </c>
      <c r="C2824" t="s">
        <v>18</v>
      </c>
      <c r="D2824" s="1">
        <v>43432</v>
      </c>
    </row>
    <row r="2825" spans="1:4" x14ac:dyDescent="0.25">
      <c r="A2825" t="s">
        <v>2581</v>
      </c>
      <c r="B2825" t="str">
        <f>MID(tbl_lock[[#This Row],[PACE Job Number]],3,3)</f>
        <v>STX</v>
      </c>
      <c r="C2825" t="s">
        <v>18</v>
      </c>
      <c r="D2825" s="1">
        <v>43434</v>
      </c>
    </row>
    <row r="2826" spans="1:4" x14ac:dyDescent="0.25">
      <c r="A2826" t="s">
        <v>4333</v>
      </c>
      <c r="B2826" t="str">
        <f>MID(tbl_lock[[#This Row],[PACE Job Number]],3,3)</f>
        <v>STX</v>
      </c>
      <c r="C2826" t="s">
        <v>18</v>
      </c>
      <c r="D2826" s="1">
        <v>43419</v>
      </c>
    </row>
    <row r="2827" spans="1:4" x14ac:dyDescent="0.25">
      <c r="A2827" t="s">
        <v>3362</v>
      </c>
      <c r="B2827" t="str">
        <f>MID(tbl_lock[[#This Row],[PACE Job Number]],3,3)</f>
        <v>STX</v>
      </c>
      <c r="C2827" t="s">
        <v>18</v>
      </c>
      <c r="D2827" s="1">
        <v>43432</v>
      </c>
    </row>
    <row r="2828" spans="1:4" x14ac:dyDescent="0.25">
      <c r="A2828" t="s">
        <v>5333</v>
      </c>
      <c r="B2828" t="str">
        <f>MID(tbl_lock[[#This Row],[PACE Job Number]],3,3)</f>
        <v>STX</v>
      </c>
      <c r="C2828" t="s">
        <v>18</v>
      </c>
      <c r="D2828" s="1">
        <v>43434</v>
      </c>
    </row>
    <row r="2829" spans="1:4" x14ac:dyDescent="0.25">
      <c r="A2829" t="s">
        <v>5334</v>
      </c>
      <c r="B2829" t="str">
        <f>MID(tbl_lock[[#This Row],[PACE Job Number]],3,3)</f>
        <v>STX</v>
      </c>
      <c r="C2829" t="s">
        <v>18</v>
      </c>
      <c r="D2829" s="1">
        <v>43434</v>
      </c>
    </row>
    <row r="2830" spans="1:4" x14ac:dyDescent="0.25">
      <c r="A2830" t="s">
        <v>1722</v>
      </c>
      <c r="B2830" t="str">
        <f>MID(tbl_lock[[#This Row],[PACE Job Number]],3,3)</f>
        <v>NTX</v>
      </c>
      <c r="C2830" t="s">
        <v>18</v>
      </c>
      <c r="D2830" s="1">
        <v>43431</v>
      </c>
    </row>
    <row r="2831" spans="1:4" x14ac:dyDescent="0.25">
      <c r="A2831" t="s">
        <v>1085</v>
      </c>
      <c r="B2831" t="str">
        <f>MID(tbl_lock[[#This Row],[PACE Job Number]],3,3)</f>
        <v>NTX</v>
      </c>
      <c r="C2831" t="s">
        <v>18</v>
      </c>
      <c r="D2831" s="1">
        <v>43434</v>
      </c>
    </row>
    <row r="2832" spans="1:4" x14ac:dyDescent="0.25">
      <c r="A2832" t="s">
        <v>1628</v>
      </c>
      <c r="B2832" t="str">
        <f>MID(tbl_lock[[#This Row],[PACE Job Number]],3,3)</f>
        <v>NTX</v>
      </c>
      <c r="C2832" t="s">
        <v>18</v>
      </c>
      <c r="D2832" s="1">
        <v>43419</v>
      </c>
    </row>
    <row r="2833" spans="1:4" x14ac:dyDescent="0.25">
      <c r="A2833" t="s">
        <v>1629</v>
      </c>
      <c r="B2833" t="str">
        <f>MID(tbl_lock[[#This Row],[PACE Job Number]],3,3)</f>
        <v>NTX</v>
      </c>
      <c r="C2833" t="s">
        <v>18</v>
      </c>
      <c r="D2833" s="1">
        <v>43419</v>
      </c>
    </row>
    <row r="2834" spans="1:4" x14ac:dyDescent="0.25">
      <c r="A2834" t="s">
        <v>4270</v>
      </c>
      <c r="B2834" t="str">
        <f>MID(tbl_lock[[#This Row],[PACE Job Number]],3,3)</f>
        <v>NTX</v>
      </c>
      <c r="C2834" t="s">
        <v>18</v>
      </c>
      <c r="D2834" s="1">
        <v>43430</v>
      </c>
    </row>
    <row r="2835" spans="1:4" x14ac:dyDescent="0.25">
      <c r="A2835" t="s">
        <v>920</v>
      </c>
      <c r="B2835" t="str">
        <f>MID(tbl_lock[[#This Row],[PACE Job Number]],3,3)</f>
        <v>NTX</v>
      </c>
      <c r="C2835" t="s">
        <v>18</v>
      </c>
      <c r="D2835" s="1">
        <v>43426</v>
      </c>
    </row>
    <row r="2836" spans="1:4" x14ac:dyDescent="0.25">
      <c r="A2836" t="s">
        <v>4416</v>
      </c>
      <c r="B2836" t="str">
        <f>MID(tbl_lock[[#This Row],[PACE Job Number]],3,3)</f>
        <v>NTX</v>
      </c>
      <c r="C2836" t="s">
        <v>18</v>
      </c>
      <c r="D2836" s="1">
        <v>43434</v>
      </c>
    </row>
    <row r="2837" spans="1:4" x14ac:dyDescent="0.25">
      <c r="A2837" t="s">
        <v>921</v>
      </c>
      <c r="B2837" t="str">
        <f>MID(tbl_lock[[#This Row],[PACE Job Number]],3,3)</f>
        <v>NTX</v>
      </c>
      <c r="C2837" t="s">
        <v>18</v>
      </c>
      <c r="D2837" s="1">
        <v>43426</v>
      </c>
    </row>
    <row r="2838" spans="1:4" x14ac:dyDescent="0.25">
      <c r="A2838" t="s">
        <v>3421</v>
      </c>
      <c r="B2838" t="str">
        <f>MID(tbl_lock[[#This Row],[PACE Job Number]],3,3)</f>
        <v>NTX</v>
      </c>
      <c r="C2838" t="s">
        <v>18</v>
      </c>
      <c r="D2838" s="1">
        <v>43421</v>
      </c>
    </row>
    <row r="2839" spans="1:4" x14ac:dyDescent="0.25">
      <c r="A2839" t="s">
        <v>3398</v>
      </c>
      <c r="B2839" t="str">
        <f>MID(tbl_lock[[#This Row],[PACE Job Number]],3,3)</f>
        <v>NTX</v>
      </c>
      <c r="C2839" t="s">
        <v>18</v>
      </c>
      <c r="D2839" s="1">
        <v>43416</v>
      </c>
    </row>
    <row r="2840" spans="1:4" x14ac:dyDescent="0.25">
      <c r="A2840" t="s">
        <v>1723</v>
      </c>
      <c r="B2840" t="str">
        <f>MID(tbl_lock[[#This Row],[PACE Job Number]],3,3)</f>
        <v>NTX</v>
      </c>
      <c r="C2840" t="s">
        <v>18</v>
      </c>
      <c r="D2840" s="1">
        <v>43432</v>
      </c>
    </row>
    <row r="2841" spans="1:4" x14ac:dyDescent="0.25">
      <c r="A2841" t="s">
        <v>246</v>
      </c>
      <c r="B2841" t="str">
        <f>MID(tbl_lock[[#This Row],[PACE Job Number]],3,3)</f>
        <v>NTX</v>
      </c>
      <c r="C2841" t="s">
        <v>18</v>
      </c>
      <c r="D2841" s="1">
        <v>43430</v>
      </c>
    </row>
    <row r="2842" spans="1:4" x14ac:dyDescent="0.25">
      <c r="A2842" t="s">
        <v>3884</v>
      </c>
      <c r="B2842" t="str">
        <f>MID(tbl_lock[[#This Row],[PACE Job Number]],3,3)</f>
        <v>NTX</v>
      </c>
      <c r="C2842" t="s">
        <v>18</v>
      </c>
      <c r="D2842" s="1">
        <v>43426</v>
      </c>
    </row>
    <row r="2843" spans="1:4" x14ac:dyDescent="0.25">
      <c r="A2843" t="s">
        <v>3399</v>
      </c>
      <c r="B2843" t="str">
        <f>MID(tbl_lock[[#This Row],[PACE Job Number]],3,3)</f>
        <v>NTX</v>
      </c>
      <c r="C2843" t="s">
        <v>18</v>
      </c>
      <c r="D2843" s="1">
        <v>43416</v>
      </c>
    </row>
    <row r="2844" spans="1:4" x14ac:dyDescent="0.25">
      <c r="A2844" t="s">
        <v>4417</v>
      </c>
      <c r="B2844" t="str">
        <f>MID(tbl_lock[[#This Row],[PACE Job Number]],3,3)</f>
        <v>NTX</v>
      </c>
      <c r="C2844" t="s">
        <v>18</v>
      </c>
      <c r="D2844" s="1">
        <v>43423</v>
      </c>
    </row>
    <row r="2845" spans="1:4" x14ac:dyDescent="0.25">
      <c r="A2845" t="s">
        <v>4383</v>
      </c>
      <c r="B2845" t="str">
        <f>MID(tbl_lock[[#This Row],[PACE Job Number]],3,3)</f>
        <v>NTX</v>
      </c>
      <c r="C2845" t="s">
        <v>18</v>
      </c>
      <c r="D2845" s="1">
        <v>43429</v>
      </c>
    </row>
    <row r="2846" spans="1:4" x14ac:dyDescent="0.25">
      <c r="A2846" t="s">
        <v>35</v>
      </c>
      <c r="B2846" t="str">
        <f>MID(tbl_lock[[#This Row],[PACE Job Number]],3,3)</f>
        <v>NTX</v>
      </c>
      <c r="C2846" t="s">
        <v>18</v>
      </c>
      <c r="D2846" s="1">
        <v>43430</v>
      </c>
    </row>
    <row r="2847" spans="1:4" x14ac:dyDescent="0.25">
      <c r="A2847" t="s">
        <v>497</v>
      </c>
      <c r="B2847" t="str">
        <f>MID(tbl_lock[[#This Row],[PACE Job Number]],3,3)</f>
        <v>NTX</v>
      </c>
      <c r="C2847" t="s">
        <v>18</v>
      </c>
      <c r="D2847" s="1">
        <v>43434</v>
      </c>
    </row>
    <row r="2848" spans="1:4" x14ac:dyDescent="0.25">
      <c r="A2848" t="s">
        <v>2405</v>
      </c>
      <c r="B2848" t="str">
        <f>MID(tbl_lock[[#This Row],[PACE Job Number]],3,3)</f>
        <v>NTX</v>
      </c>
      <c r="C2848" t="s">
        <v>18</v>
      </c>
      <c r="D2848" s="1">
        <v>43418</v>
      </c>
    </row>
    <row r="2849" spans="1:4" x14ac:dyDescent="0.25">
      <c r="A2849" t="s">
        <v>1043</v>
      </c>
      <c r="B2849" t="str">
        <f>MID(tbl_lock[[#This Row],[PACE Job Number]],3,3)</f>
        <v>NTX</v>
      </c>
      <c r="C2849" t="s">
        <v>18</v>
      </c>
      <c r="D2849" s="1">
        <v>43434</v>
      </c>
    </row>
    <row r="2850" spans="1:4" x14ac:dyDescent="0.25">
      <c r="A2850" t="s">
        <v>4384</v>
      </c>
      <c r="B2850" t="str">
        <f>MID(tbl_lock[[#This Row],[PACE Job Number]],3,3)</f>
        <v>NTX</v>
      </c>
      <c r="C2850" t="s">
        <v>18</v>
      </c>
      <c r="D2850" s="1">
        <v>43426</v>
      </c>
    </row>
    <row r="2851" spans="1:4" x14ac:dyDescent="0.25">
      <c r="A2851" t="s">
        <v>4385</v>
      </c>
      <c r="B2851" t="str">
        <f>MID(tbl_lock[[#This Row],[PACE Job Number]],3,3)</f>
        <v>NTX</v>
      </c>
      <c r="C2851" t="s">
        <v>18</v>
      </c>
      <c r="D2851" s="1">
        <v>43421</v>
      </c>
    </row>
    <row r="2852" spans="1:4" x14ac:dyDescent="0.25">
      <c r="A2852" t="s">
        <v>590</v>
      </c>
      <c r="B2852" t="str">
        <f>MID(tbl_lock[[#This Row],[PACE Job Number]],3,3)</f>
        <v>NTX</v>
      </c>
      <c r="C2852" t="s">
        <v>18</v>
      </c>
      <c r="D2852" s="1">
        <v>43426</v>
      </c>
    </row>
    <row r="2853" spans="1:4" x14ac:dyDescent="0.25">
      <c r="A2853" t="s">
        <v>4386</v>
      </c>
      <c r="B2853" t="str">
        <f>MID(tbl_lock[[#This Row],[PACE Job Number]],3,3)</f>
        <v>NTX</v>
      </c>
      <c r="C2853" t="s">
        <v>18</v>
      </c>
      <c r="D2853" s="1">
        <v>43418</v>
      </c>
    </row>
    <row r="2854" spans="1:4" x14ac:dyDescent="0.25">
      <c r="A2854" t="s">
        <v>4387</v>
      </c>
      <c r="B2854" t="str">
        <f>MID(tbl_lock[[#This Row],[PACE Job Number]],3,3)</f>
        <v>NTX</v>
      </c>
      <c r="C2854" t="s">
        <v>18</v>
      </c>
      <c r="D2854" s="1">
        <v>43426</v>
      </c>
    </row>
    <row r="2855" spans="1:4" x14ac:dyDescent="0.25">
      <c r="A2855" t="s">
        <v>2280</v>
      </c>
      <c r="B2855" t="str">
        <f>MID(tbl_lock[[#This Row],[PACE Job Number]],3,3)</f>
        <v>NTX</v>
      </c>
      <c r="C2855" t="s">
        <v>18</v>
      </c>
      <c r="D2855" s="1">
        <v>43415</v>
      </c>
    </row>
    <row r="2856" spans="1:4" x14ac:dyDescent="0.25">
      <c r="A2856" t="s">
        <v>155</v>
      </c>
      <c r="B2856" t="str">
        <f>MID(tbl_lock[[#This Row],[PACE Job Number]],3,3)</f>
        <v>NTX</v>
      </c>
      <c r="C2856" t="s">
        <v>18</v>
      </c>
      <c r="D2856" s="1">
        <v>43419</v>
      </c>
    </row>
    <row r="2857" spans="1:4" x14ac:dyDescent="0.25">
      <c r="A2857" t="s">
        <v>788</v>
      </c>
      <c r="B2857" t="str">
        <f>MID(tbl_lock[[#This Row],[PACE Job Number]],3,3)</f>
        <v>NTX</v>
      </c>
      <c r="C2857" t="s">
        <v>18</v>
      </c>
      <c r="D2857" s="1">
        <v>43426</v>
      </c>
    </row>
    <row r="2858" spans="1:4" x14ac:dyDescent="0.25">
      <c r="A2858" t="s">
        <v>437</v>
      </c>
      <c r="B2858" t="str">
        <f>MID(tbl_lock[[#This Row],[PACE Job Number]],3,3)</f>
        <v>ANM</v>
      </c>
      <c r="C2858" t="s">
        <v>18</v>
      </c>
      <c r="D2858" s="1">
        <v>43434</v>
      </c>
    </row>
    <row r="2859" spans="1:4" x14ac:dyDescent="0.25">
      <c r="A2859" t="s">
        <v>5529</v>
      </c>
      <c r="B2859" t="str">
        <f>MID(tbl_lock[[#This Row],[PACE Job Number]],3,3)</f>
        <v>ANM</v>
      </c>
      <c r="C2859" t="s">
        <v>18</v>
      </c>
      <c r="D2859" s="1">
        <v>43434</v>
      </c>
    </row>
    <row r="2860" spans="1:4" x14ac:dyDescent="0.25">
      <c r="A2860" t="s">
        <v>4388</v>
      </c>
      <c r="B2860" t="str">
        <f>MID(tbl_lock[[#This Row],[PACE Job Number]],3,3)</f>
        <v>NTX</v>
      </c>
      <c r="C2860" t="s">
        <v>18</v>
      </c>
      <c r="D2860" s="1">
        <v>43426</v>
      </c>
    </row>
    <row r="2861" spans="1:4" x14ac:dyDescent="0.25">
      <c r="A2861" t="s">
        <v>2409</v>
      </c>
      <c r="B2861" t="str">
        <f>MID(tbl_lock[[#This Row],[PACE Job Number]],3,3)</f>
        <v>NTX</v>
      </c>
      <c r="C2861" t="s">
        <v>18</v>
      </c>
      <c r="D2861" s="1">
        <v>43418</v>
      </c>
    </row>
    <row r="2862" spans="1:4" x14ac:dyDescent="0.25">
      <c r="A2862" t="s">
        <v>4389</v>
      </c>
      <c r="B2862" t="str">
        <f>MID(tbl_lock[[#This Row],[PACE Job Number]],3,3)</f>
        <v>NTX</v>
      </c>
      <c r="C2862" t="s">
        <v>18</v>
      </c>
      <c r="D2862" s="1">
        <v>43422</v>
      </c>
    </row>
    <row r="2863" spans="1:4" x14ac:dyDescent="0.25">
      <c r="A2863" t="s">
        <v>3369</v>
      </c>
      <c r="B2863" t="str">
        <f>MID(tbl_lock[[#This Row],[PACE Job Number]],3,3)</f>
        <v>NTX</v>
      </c>
      <c r="C2863" t="s">
        <v>18</v>
      </c>
      <c r="D2863" s="1">
        <v>43412</v>
      </c>
    </row>
    <row r="2864" spans="1:4" x14ac:dyDescent="0.25">
      <c r="A2864" t="s">
        <v>2132</v>
      </c>
      <c r="B2864" t="str">
        <f>MID(tbl_lock[[#This Row],[PACE Job Number]],3,3)</f>
        <v>NTX</v>
      </c>
      <c r="C2864" t="s">
        <v>18</v>
      </c>
      <c r="D2864" s="1">
        <v>43432</v>
      </c>
    </row>
    <row r="2865" spans="1:4" x14ac:dyDescent="0.25">
      <c r="A2865" t="s">
        <v>3933</v>
      </c>
      <c r="B2865" t="str">
        <f>MID(tbl_lock[[#This Row],[PACE Job Number]],3,3)</f>
        <v>STX</v>
      </c>
      <c r="C2865" t="s">
        <v>18</v>
      </c>
      <c r="D2865" s="1">
        <v>43434</v>
      </c>
    </row>
    <row r="2866" spans="1:4" x14ac:dyDescent="0.25">
      <c r="A2866" t="s">
        <v>3443</v>
      </c>
      <c r="B2866" t="str">
        <f>MID(tbl_lock[[#This Row],[PACE Job Number]],3,3)</f>
        <v>STX</v>
      </c>
      <c r="C2866" t="s">
        <v>18</v>
      </c>
      <c r="D2866" s="1">
        <v>43434</v>
      </c>
    </row>
    <row r="2867" spans="1:4" x14ac:dyDescent="0.25">
      <c r="A2867" t="s">
        <v>3934</v>
      </c>
      <c r="B2867" t="str">
        <f>MID(tbl_lock[[#This Row],[PACE Job Number]],3,3)</f>
        <v>STX</v>
      </c>
      <c r="C2867" t="s">
        <v>18</v>
      </c>
      <c r="D2867" s="1">
        <v>43434</v>
      </c>
    </row>
    <row r="2868" spans="1:4" x14ac:dyDescent="0.25">
      <c r="A2868" t="s">
        <v>2514</v>
      </c>
      <c r="B2868" t="str">
        <f>MID(tbl_lock[[#This Row],[PACE Job Number]],3,3)</f>
        <v>STX</v>
      </c>
      <c r="C2868" t="s">
        <v>18</v>
      </c>
      <c r="D2868" s="1">
        <v>43434</v>
      </c>
    </row>
    <row r="2869" spans="1:4" x14ac:dyDescent="0.25">
      <c r="A2869" t="s">
        <v>2518</v>
      </c>
      <c r="B2869" t="str">
        <f>MID(tbl_lock[[#This Row],[PACE Job Number]],3,3)</f>
        <v>STX</v>
      </c>
      <c r="C2869" t="s">
        <v>18</v>
      </c>
      <c r="D2869" s="1">
        <v>43434</v>
      </c>
    </row>
    <row r="2870" spans="1:4" x14ac:dyDescent="0.25">
      <c r="A2870" t="s">
        <v>4390</v>
      </c>
      <c r="B2870" t="str">
        <f>MID(tbl_lock[[#This Row],[PACE Job Number]],3,3)</f>
        <v>STX</v>
      </c>
      <c r="C2870" t="s">
        <v>18</v>
      </c>
      <c r="D2870" s="1">
        <v>43432</v>
      </c>
    </row>
    <row r="2871" spans="1:4" x14ac:dyDescent="0.25">
      <c r="A2871" t="s">
        <v>578</v>
      </c>
      <c r="B2871" t="str">
        <f>MID(tbl_lock[[#This Row],[PACE Job Number]],3,3)</f>
        <v>STX</v>
      </c>
      <c r="C2871" t="s">
        <v>18</v>
      </c>
      <c r="D2871" s="1">
        <v>43434</v>
      </c>
    </row>
    <row r="2872" spans="1:4" x14ac:dyDescent="0.25">
      <c r="A2872" t="s">
        <v>1476</v>
      </c>
      <c r="B2872" t="str">
        <f>MID(tbl_lock[[#This Row],[PACE Job Number]],3,3)</f>
        <v>ANM</v>
      </c>
      <c r="C2872" t="s">
        <v>18</v>
      </c>
      <c r="D2872" s="1">
        <v>43434</v>
      </c>
    </row>
    <row r="2873" spans="1:4" x14ac:dyDescent="0.25">
      <c r="A2873" t="s">
        <v>1376</v>
      </c>
      <c r="B2873" t="str">
        <f>MID(tbl_lock[[#This Row],[PACE Job Number]],3,3)</f>
        <v>ANM</v>
      </c>
      <c r="C2873" t="s">
        <v>18</v>
      </c>
      <c r="D2873" s="1">
        <v>43434</v>
      </c>
    </row>
    <row r="2874" spans="1:4" x14ac:dyDescent="0.25">
      <c r="A2874" t="s">
        <v>1599</v>
      </c>
      <c r="B2874" t="str">
        <f>MID(tbl_lock[[#This Row],[PACE Job Number]],3,3)</f>
        <v>NTX</v>
      </c>
      <c r="C2874" t="s">
        <v>18</v>
      </c>
      <c r="D2874" s="1">
        <v>43419</v>
      </c>
    </row>
    <row r="2875" spans="1:4" x14ac:dyDescent="0.25">
      <c r="A2875" t="s">
        <v>308</v>
      </c>
      <c r="B2875" t="str">
        <f>MID(tbl_lock[[#This Row],[PACE Job Number]],3,3)</f>
        <v>NTX</v>
      </c>
      <c r="C2875" t="s">
        <v>18</v>
      </c>
      <c r="D2875" s="1">
        <v>43420</v>
      </c>
    </row>
    <row r="2876" spans="1:4" x14ac:dyDescent="0.25">
      <c r="A2876" t="s">
        <v>1793</v>
      </c>
      <c r="B2876" t="str">
        <f>MID(tbl_lock[[#This Row],[PACE Job Number]],3,3)</f>
        <v>NTX</v>
      </c>
      <c r="C2876" t="s">
        <v>18</v>
      </c>
      <c r="D2876" s="1">
        <v>43430</v>
      </c>
    </row>
    <row r="2877" spans="1:4" x14ac:dyDescent="0.25">
      <c r="A2877" t="s">
        <v>855</v>
      </c>
      <c r="B2877" t="str">
        <f>MID(tbl_lock[[#This Row],[PACE Job Number]],3,3)</f>
        <v>NTX</v>
      </c>
      <c r="C2877" t="s">
        <v>18</v>
      </c>
      <c r="D2877" s="1">
        <v>43426</v>
      </c>
    </row>
    <row r="2878" spans="1:4" x14ac:dyDescent="0.25">
      <c r="A2878" t="s">
        <v>3483</v>
      </c>
      <c r="B2878" t="str">
        <f>MID(tbl_lock[[#This Row],[PACE Job Number]],3,3)</f>
        <v>NTX</v>
      </c>
      <c r="C2878" t="s">
        <v>18</v>
      </c>
      <c r="D2878" s="1">
        <v>43417</v>
      </c>
    </row>
    <row r="2879" spans="1:4" x14ac:dyDescent="0.25">
      <c r="A2879" t="s">
        <v>3845</v>
      </c>
      <c r="B2879" t="str">
        <f>MID(tbl_lock[[#This Row],[PACE Job Number]],3,3)</f>
        <v>NTX</v>
      </c>
      <c r="C2879" t="s">
        <v>18</v>
      </c>
      <c r="D2879" s="1">
        <v>43430</v>
      </c>
    </row>
    <row r="2880" spans="1:4" x14ac:dyDescent="0.25">
      <c r="A2880" t="s">
        <v>2114</v>
      </c>
      <c r="B2880" t="str">
        <f>MID(tbl_lock[[#This Row],[PACE Job Number]],3,3)</f>
        <v>NTX</v>
      </c>
      <c r="C2880" t="s">
        <v>18</v>
      </c>
      <c r="D2880" s="1">
        <v>43418</v>
      </c>
    </row>
    <row r="2881" spans="1:4" x14ac:dyDescent="0.25">
      <c r="A2881" t="s">
        <v>3470</v>
      </c>
      <c r="B2881" t="str">
        <f>MID(tbl_lock[[#This Row],[PACE Job Number]],3,3)</f>
        <v>NTX</v>
      </c>
      <c r="C2881" t="s">
        <v>18</v>
      </c>
      <c r="D2881" s="1">
        <v>43417</v>
      </c>
    </row>
    <row r="2882" spans="1:4" x14ac:dyDescent="0.25">
      <c r="A2882" t="s">
        <v>4195</v>
      </c>
      <c r="B2882" t="str">
        <f>MID(tbl_lock[[#This Row],[PACE Job Number]],3,3)</f>
        <v>NTX</v>
      </c>
      <c r="C2882" t="s">
        <v>18</v>
      </c>
      <c r="D2882" s="1">
        <v>43430</v>
      </c>
    </row>
    <row r="2883" spans="1:4" x14ac:dyDescent="0.25">
      <c r="A2883" t="s">
        <v>1799</v>
      </c>
      <c r="B2883" t="str">
        <f>MID(tbl_lock[[#This Row],[PACE Job Number]],3,3)</f>
        <v>NTX</v>
      </c>
      <c r="C2883" t="s">
        <v>18</v>
      </c>
      <c r="D2883" s="1">
        <v>43417</v>
      </c>
    </row>
    <row r="2884" spans="1:4" x14ac:dyDescent="0.25">
      <c r="A2884" t="s">
        <v>272</v>
      </c>
      <c r="B2884" t="str">
        <f>MID(tbl_lock[[#This Row],[PACE Job Number]],3,3)</f>
        <v>NTX</v>
      </c>
      <c r="C2884" t="s">
        <v>18</v>
      </c>
      <c r="D2884" s="1">
        <v>43426</v>
      </c>
    </row>
    <row r="2885" spans="1:4" x14ac:dyDescent="0.25">
      <c r="A2885" t="s">
        <v>2700</v>
      </c>
      <c r="B2885" t="str">
        <f>MID(tbl_lock[[#This Row],[PACE Job Number]],3,3)</f>
        <v>STX</v>
      </c>
      <c r="C2885" t="s">
        <v>18</v>
      </c>
      <c r="D2885" s="1">
        <v>43434</v>
      </c>
    </row>
    <row r="2886" spans="1:4" x14ac:dyDescent="0.25">
      <c r="A2886" t="s">
        <v>728</v>
      </c>
      <c r="B2886" t="str">
        <f>MID(tbl_lock[[#This Row],[PACE Job Number]],3,3)</f>
        <v>STX</v>
      </c>
      <c r="C2886" t="s">
        <v>18</v>
      </c>
      <c r="D2886" s="1">
        <v>43434</v>
      </c>
    </row>
    <row r="2887" spans="1:4" x14ac:dyDescent="0.25">
      <c r="A2887" t="s">
        <v>3361</v>
      </c>
      <c r="B2887" t="str">
        <f>MID(tbl_lock[[#This Row],[PACE Job Number]],3,3)</f>
        <v>STX</v>
      </c>
      <c r="C2887" t="s">
        <v>18</v>
      </c>
      <c r="D2887" s="1">
        <v>43432</v>
      </c>
    </row>
    <row r="2888" spans="1:4" x14ac:dyDescent="0.25">
      <c r="A2888" t="s">
        <v>4397</v>
      </c>
      <c r="B2888" t="str">
        <f>MID(tbl_lock[[#This Row],[PACE Job Number]],3,3)</f>
        <v>STX</v>
      </c>
      <c r="C2888" t="s">
        <v>18</v>
      </c>
      <c r="D2888" s="1">
        <v>43432</v>
      </c>
    </row>
    <row r="2889" spans="1:4" x14ac:dyDescent="0.25">
      <c r="A2889" t="s">
        <v>5530</v>
      </c>
      <c r="B2889" t="str">
        <f>MID(tbl_lock[[#This Row],[PACE Job Number]],3,3)</f>
        <v>WSH</v>
      </c>
      <c r="C2889" t="s">
        <v>18</v>
      </c>
      <c r="D2889" s="1">
        <v>43434</v>
      </c>
    </row>
    <row r="2890" spans="1:4" x14ac:dyDescent="0.25">
      <c r="A2890" t="s">
        <v>3911</v>
      </c>
      <c r="B2890" t="str">
        <f>MID(tbl_lock[[#This Row],[PACE Job Number]],3,3)</f>
        <v>WSH</v>
      </c>
      <c r="C2890" t="s">
        <v>18</v>
      </c>
      <c r="D2890" s="1">
        <v>43434</v>
      </c>
    </row>
    <row r="2891" spans="1:4" x14ac:dyDescent="0.25">
      <c r="A2891" t="s">
        <v>4210</v>
      </c>
      <c r="B2891" t="str">
        <f>MID(tbl_lock[[#This Row],[PACE Job Number]],3,3)</f>
        <v>WSH</v>
      </c>
      <c r="C2891" t="s">
        <v>18</v>
      </c>
      <c r="D2891" s="1">
        <v>43434</v>
      </c>
    </row>
    <row r="2892" spans="1:4" x14ac:dyDescent="0.25">
      <c r="A2892" t="s">
        <v>5468</v>
      </c>
      <c r="B2892" t="str">
        <f>MID(tbl_lock[[#This Row],[PACE Job Number]],3,3)</f>
        <v>WSH</v>
      </c>
      <c r="C2892" t="s">
        <v>18</v>
      </c>
      <c r="D2892" s="1">
        <v>43434</v>
      </c>
    </row>
    <row r="2893" spans="1:4" x14ac:dyDescent="0.25">
      <c r="A2893" t="s">
        <v>5210</v>
      </c>
      <c r="B2893" t="str">
        <f>MID(tbl_lock[[#This Row],[PACE Job Number]],3,3)</f>
        <v>WSH</v>
      </c>
      <c r="C2893" t="s">
        <v>18</v>
      </c>
      <c r="D2893" s="1">
        <v>43434</v>
      </c>
    </row>
    <row r="2894" spans="1:4" x14ac:dyDescent="0.25">
      <c r="A2894" t="s">
        <v>3393</v>
      </c>
      <c r="B2894" t="str">
        <f>MID(tbl_lock[[#This Row],[PACE Job Number]],3,3)</f>
        <v>WSH</v>
      </c>
      <c r="C2894" t="s">
        <v>18</v>
      </c>
      <c r="D2894" s="1">
        <v>43434</v>
      </c>
    </row>
    <row r="2895" spans="1:4" x14ac:dyDescent="0.25">
      <c r="A2895" t="s">
        <v>5212</v>
      </c>
      <c r="B2895" t="str">
        <f>MID(tbl_lock[[#This Row],[PACE Job Number]],3,3)</f>
        <v>WSH</v>
      </c>
      <c r="C2895" t="s">
        <v>18</v>
      </c>
      <c r="D2895" s="1">
        <v>43434</v>
      </c>
    </row>
    <row r="2896" spans="1:4" x14ac:dyDescent="0.25">
      <c r="A2896" t="s">
        <v>3821</v>
      </c>
      <c r="B2896" t="str">
        <f>MID(tbl_lock[[#This Row],[PACE Job Number]],3,3)</f>
        <v>WSH</v>
      </c>
      <c r="C2896" t="s">
        <v>18</v>
      </c>
      <c r="D2896" s="1">
        <v>43434</v>
      </c>
    </row>
    <row r="2897" spans="1:4" x14ac:dyDescent="0.25">
      <c r="A2897" t="s">
        <v>3383</v>
      </c>
      <c r="B2897" t="str">
        <f>MID(tbl_lock[[#This Row],[PACE Job Number]],3,3)</f>
        <v>WSH</v>
      </c>
      <c r="C2897" t="s">
        <v>18</v>
      </c>
      <c r="D2897" s="1">
        <v>43434</v>
      </c>
    </row>
    <row r="2898" spans="1:4" x14ac:dyDescent="0.25">
      <c r="A2898" t="s">
        <v>4337</v>
      </c>
      <c r="B2898" t="str">
        <f>MID(tbl_lock[[#This Row],[PACE Job Number]],3,3)</f>
        <v>NTX</v>
      </c>
      <c r="C2898" t="s">
        <v>18</v>
      </c>
      <c r="D2898" s="1">
        <v>43430</v>
      </c>
    </row>
    <row r="2899" spans="1:4" x14ac:dyDescent="0.25">
      <c r="A2899" t="s">
        <v>4521</v>
      </c>
      <c r="B2899" t="str">
        <f>MID(tbl_lock[[#This Row],[PACE Job Number]],3,3)</f>
        <v>NTX</v>
      </c>
      <c r="C2899" t="s">
        <v>18</v>
      </c>
      <c r="D2899" s="1">
        <v>43415</v>
      </c>
    </row>
    <row r="2900" spans="1:4" x14ac:dyDescent="0.25">
      <c r="A2900" t="s">
        <v>1808</v>
      </c>
      <c r="B2900" t="str">
        <f>MID(tbl_lock[[#This Row],[PACE Job Number]],3,3)</f>
        <v>NTX</v>
      </c>
      <c r="C2900" t="s">
        <v>18</v>
      </c>
      <c r="D2900" s="1">
        <v>43417</v>
      </c>
    </row>
    <row r="2901" spans="1:4" x14ac:dyDescent="0.25">
      <c r="A2901" t="s">
        <v>5531</v>
      </c>
      <c r="B2901" t="str">
        <f>MID(tbl_lock[[#This Row],[PACE Job Number]],3,3)</f>
        <v>NTX</v>
      </c>
      <c r="C2901" t="s">
        <v>18</v>
      </c>
      <c r="D2901" s="1">
        <v>43434</v>
      </c>
    </row>
    <row r="2902" spans="1:4" x14ac:dyDescent="0.25">
      <c r="A2902" t="s">
        <v>5345</v>
      </c>
      <c r="B2902" t="str">
        <f>MID(tbl_lock[[#This Row],[PACE Job Number]],3,3)</f>
        <v>STX</v>
      </c>
      <c r="C2902" t="s">
        <v>18</v>
      </c>
      <c r="D2902" s="1">
        <v>43434</v>
      </c>
    </row>
    <row r="2903" spans="1:4" x14ac:dyDescent="0.25">
      <c r="A2903" t="s">
        <v>3822</v>
      </c>
      <c r="B2903" t="str">
        <f>MID(tbl_lock[[#This Row],[PACE Job Number]],3,3)</f>
        <v>WSH</v>
      </c>
      <c r="C2903" t="s">
        <v>18</v>
      </c>
      <c r="D2903" s="1">
        <v>43434</v>
      </c>
    </row>
    <row r="2904" spans="1:4" x14ac:dyDescent="0.25">
      <c r="A2904" t="s">
        <v>3823</v>
      </c>
      <c r="B2904" t="str">
        <f>MID(tbl_lock[[#This Row],[PACE Job Number]],3,3)</f>
        <v>WSH</v>
      </c>
      <c r="C2904" t="s">
        <v>18</v>
      </c>
      <c r="D2904" s="1">
        <v>43434</v>
      </c>
    </row>
    <row r="2905" spans="1:4" x14ac:dyDescent="0.25">
      <c r="A2905" t="s">
        <v>5214</v>
      </c>
      <c r="B2905" t="str">
        <f>MID(tbl_lock[[#This Row],[PACE Job Number]],3,3)</f>
        <v>WSH</v>
      </c>
      <c r="C2905" t="s">
        <v>18</v>
      </c>
      <c r="D2905" s="1">
        <v>43434</v>
      </c>
    </row>
    <row r="2906" spans="1:4" x14ac:dyDescent="0.25">
      <c r="A2906" t="s">
        <v>37</v>
      </c>
      <c r="B2906" t="str">
        <f>MID(tbl_lock[[#This Row],[PACE Job Number]],3,3)</f>
        <v>WSH</v>
      </c>
      <c r="C2906" t="s">
        <v>18</v>
      </c>
      <c r="D2906" s="1">
        <v>43434</v>
      </c>
    </row>
    <row r="2907" spans="1:4" x14ac:dyDescent="0.25">
      <c r="A2907" t="s">
        <v>5215</v>
      </c>
      <c r="B2907" t="str">
        <f>MID(tbl_lock[[#This Row],[PACE Job Number]],3,3)</f>
        <v>WSH</v>
      </c>
      <c r="C2907" t="s">
        <v>18</v>
      </c>
      <c r="D2907" s="1">
        <v>43434</v>
      </c>
    </row>
    <row r="2908" spans="1:4" x14ac:dyDescent="0.25">
      <c r="A2908" t="s">
        <v>3824</v>
      </c>
      <c r="B2908" t="str">
        <f>MID(tbl_lock[[#This Row],[PACE Job Number]],3,3)</f>
        <v>WSH</v>
      </c>
      <c r="C2908" t="s">
        <v>18</v>
      </c>
      <c r="D2908" s="1">
        <v>43434</v>
      </c>
    </row>
    <row r="2909" spans="1:4" x14ac:dyDescent="0.25">
      <c r="A2909" t="s">
        <v>5216</v>
      </c>
      <c r="B2909" t="str">
        <f>MID(tbl_lock[[#This Row],[PACE Job Number]],3,3)</f>
        <v>WSH</v>
      </c>
      <c r="C2909" t="s">
        <v>18</v>
      </c>
      <c r="D2909" s="1">
        <v>43434</v>
      </c>
    </row>
    <row r="2910" spans="1:4" x14ac:dyDescent="0.25">
      <c r="A2910" t="s">
        <v>4242</v>
      </c>
      <c r="B2910" t="str">
        <f>MID(tbl_lock[[#This Row],[PACE Job Number]],3,3)</f>
        <v>WSH</v>
      </c>
      <c r="C2910" t="s">
        <v>18</v>
      </c>
      <c r="D2910" s="1">
        <v>43434</v>
      </c>
    </row>
    <row r="2911" spans="1:4" x14ac:dyDescent="0.25">
      <c r="A2911" t="s">
        <v>3828</v>
      </c>
      <c r="B2911" t="str">
        <f>MID(tbl_lock[[#This Row],[PACE Job Number]],3,3)</f>
        <v>WSH</v>
      </c>
      <c r="C2911" t="s">
        <v>18</v>
      </c>
      <c r="D2911" s="1">
        <v>43434</v>
      </c>
    </row>
    <row r="2912" spans="1:4" x14ac:dyDescent="0.25">
      <c r="A2912" t="s">
        <v>5217</v>
      </c>
      <c r="B2912" t="str">
        <f>MID(tbl_lock[[#This Row],[PACE Job Number]],3,3)</f>
        <v>WSH</v>
      </c>
      <c r="C2912" t="s">
        <v>18</v>
      </c>
      <c r="D2912" s="1">
        <v>43434</v>
      </c>
    </row>
    <row r="2913" spans="1:4" x14ac:dyDescent="0.25">
      <c r="A2913" t="s">
        <v>4243</v>
      </c>
      <c r="B2913" t="str">
        <f>MID(tbl_lock[[#This Row],[PACE Job Number]],3,3)</f>
        <v>WSH</v>
      </c>
      <c r="C2913" t="s">
        <v>18</v>
      </c>
      <c r="D2913" s="1">
        <v>43434</v>
      </c>
    </row>
    <row r="2914" spans="1:4" x14ac:dyDescent="0.25">
      <c r="A2914" t="s">
        <v>5471</v>
      </c>
      <c r="B2914" t="str">
        <f>MID(tbl_lock[[#This Row],[PACE Job Number]],3,3)</f>
        <v>WSH</v>
      </c>
      <c r="C2914" t="s">
        <v>18</v>
      </c>
      <c r="D2914" s="1">
        <v>43434</v>
      </c>
    </row>
    <row r="2915" spans="1:4" x14ac:dyDescent="0.25">
      <c r="A2915" t="s">
        <v>4245</v>
      </c>
      <c r="B2915" t="str">
        <f>MID(tbl_lock[[#This Row],[PACE Job Number]],3,3)</f>
        <v>WSH</v>
      </c>
      <c r="C2915" t="s">
        <v>18</v>
      </c>
      <c r="D2915" s="1">
        <v>43434</v>
      </c>
    </row>
    <row r="2916" spans="1:4" x14ac:dyDescent="0.25">
      <c r="A2916" t="s">
        <v>3830</v>
      </c>
      <c r="B2916" t="str">
        <f>MID(tbl_lock[[#This Row],[PACE Job Number]],3,3)</f>
        <v>WSH</v>
      </c>
      <c r="C2916" t="s">
        <v>18</v>
      </c>
      <c r="D2916" s="1">
        <v>43434</v>
      </c>
    </row>
    <row r="2917" spans="1:4" x14ac:dyDescent="0.25">
      <c r="A2917" t="s">
        <v>5219</v>
      </c>
      <c r="B2917" t="str">
        <f>MID(tbl_lock[[#This Row],[PACE Job Number]],3,3)</f>
        <v>WSH</v>
      </c>
      <c r="C2917" t="s">
        <v>18</v>
      </c>
      <c r="D2917" s="1">
        <v>43434</v>
      </c>
    </row>
    <row r="2918" spans="1:4" x14ac:dyDescent="0.25">
      <c r="A2918" t="s">
        <v>5220</v>
      </c>
      <c r="B2918" t="str">
        <f>MID(tbl_lock[[#This Row],[PACE Job Number]],3,3)</f>
        <v>WSH</v>
      </c>
      <c r="C2918" t="s">
        <v>18</v>
      </c>
      <c r="D2918" s="1">
        <v>43434</v>
      </c>
    </row>
    <row r="2919" spans="1:4" x14ac:dyDescent="0.25">
      <c r="A2919" t="s">
        <v>3921</v>
      </c>
      <c r="B2919" t="str">
        <f>MID(tbl_lock[[#This Row],[PACE Job Number]],3,3)</f>
        <v>WSH</v>
      </c>
      <c r="C2919" t="s">
        <v>18</v>
      </c>
      <c r="D2919" s="1">
        <v>43434</v>
      </c>
    </row>
    <row r="2920" spans="1:4" x14ac:dyDescent="0.25">
      <c r="A2920" t="s">
        <v>5532</v>
      </c>
      <c r="B2920" t="str">
        <f>MID(tbl_lock[[#This Row],[PACE Job Number]],3,3)</f>
        <v>STX</v>
      </c>
      <c r="C2920" t="s">
        <v>18</v>
      </c>
      <c r="D2920" s="1">
        <v>43434</v>
      </c>
    </row>
    <row r="2921" spans="1:4" x14ac:dyDescent="0.25">
      <c r="A2921" t="s">
        <v>5533</v>
      </c>
      <c r="B2921" t="str">
        <f>MID(tbl_lock[[#This Row],[PACE Job Number]],3,3)</f>
        <v>STX</v>
      </c>
      <c r="C2921" t="s">
        <v>18</v>
      </c>
      <c r="D2921" s="1">
        <v>43419</v>
      </c>
    </row>
    <row r="2922" spans="1:4" x14ac:dyDescent="0.25">
      <c r="A2922" t="s">
        <v>5350</v>
      </c>
      <c r="B2922" t="str">
        <f>MID(tbl_lock[[#This Row],[PACE Job Number]],3,3)</f>
        <v>STX</v>
      </c>
      <c r="C2922" t="s">
        <v>18</v>
      </c>
      <c r="D2922" s="1">
        <v>43434</v>
      </c>
    </row>
    <row r="2923" spans="1:4" x14ac:dyDescent="0.25">
      <c r="A2923" t="s">
        <v>3293</v>
      </c>
      <c r="B2923" t="str">
        <f>MID(tbl_lock[[#This Row],[PACE Job Number]],3,3)</f>
        <v>STX</v>
      </c>
      <c r="C2923" t="s">
        <v>18</v>
      </c>
      <c r="D2923" s="1">
        <v>43432</v>
      </c>
    </row>
    <row r="2924" spans="1:4" x14ac:dyDescent="0.25">
      <c r="A2924" t="s">
        <v>1702</v>
      </c>
      <c r="B2924" t="str">
        <f>MID(tbl_lock[[#This Row],[PACE Job Number]],3,3)</f>
        <v>STX</v>
      </c>
      <c r="C2924" t="s">
        <v>18</v>
      </c>
      <c r="D2924" s="1">
        <v>43434</v>
      </c>
    </row>
    <row r="2925" spans="1:4" x14ac:dyDescent="0.25">
      <c r="A2925" t="s">
        <v>4341</v>
      </c>
      <c r="B2925" t="str">
        <f>MID(tbl_lock[[#This Row],[PACE Job Number]],3,3)</f>
        <v>STX</v>
      </c>
      <c r="C2925" t="s">
        <v>18</v>
      </c>
      <c r="D2925" s="1">
        <v>43434</v>
      </c>
    </row>
    <row r="2926" spans="1:4" x14ac:dyDescent="0.25">
      <c r="A2926" t="s">
        <v>4342</v>
      </c>
      <c r="B2926" t="str">
        <f>MID(tbl_lock[[#This Row],[PACE Job Number]],3,3)</f>
        <v>STX</v>
      </c>
      <c r="C2926" t="s">
        <v>18</v>
      </c>
      <c r="D2926" s="1">
        <v>43432</v>
      </c>
    </row>
    <row r="2927" spans="1:4" x14ac:dyDescent="0.25">
      <c r="A2927" t="s">
        <v>611</v>
      </c>
      <c r="B2927" t="str">
        <f>MID(tbl_lock[[#This Row],[PACE Job Number]],3,3)</f>
        <v>STX</v>
      </c>
      <c r="C2927" t="s">
        <v>18</v>
      </c>
      <c r="D2927" s="1">
        <v>43434</v>
      </c>
    </row>
    <row r="2928" spans="1:4" x14ac:dyDescent="0.25">
      <c r="A2928" t="s">
        <v>4343</v>
      </c>
      <c r="B2928" t="str">
        <f>MID(tbl_lock[[#This Row],[PACE Job Number]],3,3)</f>
        <v>STX</v>
      </c>
      <c r="C2928" t="s">
        <v>18</v>
      </c>
      <c r="D2928" s="1">
        <v>43432</v>
      </c>
    </row>
    <row r="2929" spans="1:4" x14ac:dyDescent="0.25">
      <c r="A2929" t="s">
        <v>3236</v>
      </c>
      <c r="B2929" t="str">
        <f>MID(tbl_lock[[#This Row],[PACE Job Number]],3,3)</f>
        <v>STX</v>
      </c>
      <c r="C2929" t="s">
        <v>18</v>
      </c>
      <c r="D2929" s="1">
        <v>43434</v>
      </c>
    </row>
    <row r="2930" spans="1:4" x14ac:dyDescent="0.25">
      <c r="A2930" t="s">
        <v>3235</v>
      </c>
      <c r="B2930" t="str">
        <f>MID(tbl_lock[[#This Row],[PACE Job Number]],3,3)</f>
        <v>STX</v>
      </c>
      <c r="C2930" t="s">
        <v>18</v>
      </c>
      <c r="D2930" s="1">
        <v>43434</v>
      </c>
    </row>
    <row r="2931" spans="1:4" x14ac:dyDescent="0.25">
      <c r="A2931" t="s">
        <v>5534</v>
      </c>
      <c r="B2931" t="str">
        <f>MID(tbl_lock[[#This Row],[PACE Job Number]],3,3)</f>
        <v>STX</v>
      </c>
      <c r="C2931" t="s">
        <v>18</v>
      </c>
      <c r="D2931" s="1">
        <v>43419</v>
      </c>
    </row>
    <row r="2932" spans="1:4" x14ac:dyDescent="0.25">
      <c r="A2932" t="s">
        <v>65</v>
      </c>
      <c r="B2932" t="str">
        <f>MID(tbl_lock[[#This Row],[PACE Job Number]],3,3)</f>
        <v>STX</v>
      </c>
      <c r="C2932" t="s">
        <v>18</v>
      </c>
      <c r="D2932" s="1">
        <v>43434</v>
      </c>
    </row>
    <row r="2933" spans="1:4" x14ac:dyDescent="0.25">
      <c r="A2933" t="s">
        <v>4345</v>
      </c>
      <c r="B2933" t="str">
        <f>MID(tbl_lock[[#This Row],[PACE Job Number]],3,3)</f>
        <v>STX</v>
      </c>
      <c r="C2933" t="s">
        <v>18</v>
      </c>
      <c r="D2933" s="1">
        <v>43432</v>
      </c>
    </row>
    <row r="2934" spans="1:4" x14ac:dyDescent="0.25">
      <c r="A2934" t="s">
        <v>4134</v>
      </c>
      <c r="B2934" t="str">
        <f>MID(tbl_lock[[#This Row],[PACE Job Number]],3,3)</f>
        <v>STX</v>
      </c>
      <c r="C2934" t="s">
        <v>18</v>
      </c>
      <c r="D2934" s="1">
        <v>43434</v>
      </c>
    </row>
    <row r="2935" spans="1:4" x14ac:dyDescent="0.25">
      <c r="A2935" t="s">
        <v>3212</v>
      </c>
      <c r="B2935" t="str">
        <f>MID(tbl_lock[[#This Row],[PACE Job Number]],3,3)</f>
        <v>STX</v>
      </c>
      <c r="C2935" t="s">
        <v>18</v>
      </c>
      <c r="D2935" s="1">
        <v>43419</v>
      </c>
    </row>
    <row r="2936" spans="1:4" x14ac:dyDescent="0.25">
      <c r="A2936" t="s">
        <v>3339</v>
      </c>
      <c r="B2936" t="str">
        <f>MID(tbl_lock[[#This Row],[PACE Job Number]],3,3)</f>
        <v>STX</v>
      </c>
      <c r="C2936" t="s">
        <v>18</v>
      </c>
      <c r="D2936" s="1">
        <v>43434</v>
      </c>
    </row>
    <row r="2937" spans="1:4" x14ac:dyDescent="0.25">
      <c r="A2937" t="s">
        <v>468</v>
      </c>
      <c r="B2937" t="str">
        <f>MID(tbl_lock[[#This Row],[PACE Job Number]],3,3)</f>
        <v>STX</v>
      </c>
      <c r="C2937" t="s">
        <v>18</v>
      </c>
      <c r="D2937" s="1">
        <v>43432</v>
      </c>
    </row>
    <row r="2938" spans="1:4" x14ac:dyDescent="0.25">
      <c r="A2938" t="s">
        <v>4346</v>
      </c>
      <c r="B2938" t="str">
        <f>MID(tbl_lock[[#This Row],[PACE Job Number]],3,3)</f>
        <v>STX</v>
      </c>
      <c r="C2938" t="s">
        <v>18</v>
      </c>
      <c r="D2938" s="1">
        <v>43432</v>
      </c>
    </row>
    <row r="2939" spans="1:4" x14ac:dyDescent="0.25">
      <c r="A2939" t="s">
        <v>286</v>
      </c>
      <c r="B2939" t="str">
        <f>MID(tbl_lock[[#This Row],[PACE Job Number]],3,3)</f>
        <v>STX</v>
      </c>
      <c r="C2939" t="s">
        <v>18</v>
      </c>
      <c r="D2939" s="1">
        <v>43432</v>
      </c>
    </row>
    <row r="2940" spans="1:4" x14ac:dyDescent="0.25">
      <c r="A2940" t="s">
        <v>2623</v>
      </c>
      <c r="B2940" t="str">
        <f>MID(tbl_lock[[#This Row],[PACE Job Number]],3,3)</f>
        <v>STX</v>
      </c>
      <c r="C2940" t="s">
        <v>18</v>
      </c>
      <c r="D2940" s="1">
        <v>43432</v>
      </c>
    </row>
    <row r="2941" spans="1:4" x14ac:dyDescent="0.25">
      <c r="A2941" t="s">
        <v>466</v>
      </c>
      <c r="B2941" t="str">
        <f>MID(tbl_lock[[#This Row],[PACE Job Number]],3,3)</f>
        <v>STX</v>
      </c>
      <c r="C2941" t="s">
        <v>18</v>
      </c>
      <c r="D2941" s="1">
        <v>43432</v>
      </c>
    </row>
    <row r="2942" spans="1:4" x14ac:dyDescent="0.25">
      <c r="A2942" t="s">
        <v>3118</v>
      </c>
      <c r="B2942" t="str">
        <f>MID(tbl_lock[[#This Row],[PACE Job Number]],3,3)</f>
        <v>STX</v>
      </c>
      <c r="C2942" t="s">
        <v>18</v>
      </c>
      <c r="D2942" s="1">
        <v>43434</v>
      </c>
    </row>
    <row r="2943" spans="1:4" x14ac:dyDescent="0.25">
      <c r="A2943" t="s">
        <v>2092</v>
      </c>
      <c r="B2943" t="str">
        <f>MID(tbl_lock[[#This Row],[PACE Job Number]],3,3)</f>
        <v>NTX</v>
      </c>
      <c r="C2943" t="s">
        <v>18</v>
      </c>
      <c r="D2943" s="1">
        <v>43418</v>
      </c>
    </row>
    <row r="2944" spans="1:4" x14ac:dyDescent="0.25">
      <c r="A2944" t="s">
        <v>4555</v>
      </c>
      <c r="B2944" t="str">
        <f>MID(tbl_lock[[#This Row],[PACE Job Number]],3,3)</f>
        <v>NTX</v>
      </c>
      <c r="C2944" t="s">
        <v>18</v>
      </c>
      <c r="D2944" s="1">
        <v>43412</v>
      </c>
    </row>
    <row r="2945" spans="1:4" x14ac:dyDescent="0.25">
      <c r="A2945" t="s">
        <v>354</v>
      </c>
      <c r="B2945" t="str">
        <f>MID(tbl_lock[[#This Row],[PACE Job Number]],3,3)</f>
        <v>NTX</v>
      </c>
      <c r="C2945" t="s">
        <v>18</v>
      </c>
      <c r="D2945" s="1">
        <v>43426</v>
      </c>
    </row>
    <row r="2946" spans="1:4" x14ac:dyDescent="0.25">
      <c r="A2946" t="s">
        <v>3428</v>
      </c>
      <c r="B2946" t="str">
        <f>MID(tbl_lock[[#This Row],[PACE Job Number]],3,3)</f>
        <v>NTX</v>
      </c>
      <c r="C2946" t="s">
        <v>18</v>
      </c>
      <c r="D2946" s="1">
        <v>43430</v>
      </c>
    </row>
    <row r="2947" spans="1:4" x14ac:dyDescent="0.25">
      <c r="A2947" t="s">
        <v>1737</v>
      </c>
      <c r="B2947" t="str">
        <f>MID(tbl_lock[[#This Row],[PACE Job Number]],3,3)</f>
        <v>NTX</v>
      </c>
      <c r="C2947" t="s">
        <v>18</v>
      </c>
      <c r="D2947" s="1">
        <v>43416</v>
      </c>
    </row>
    <row r="2948" spans="1:4" x14ac:dyDescent="0.25">
      <c r="A2948" t="s">
        <v>4475</v>
      </c>
      <c r="B2948" t="str">
        <f>MID(tbl_lock[[#This Row],[PACE Job Number]],3,3)</f>
        <v>NTX</v>
      </c>
      <c r="C2948" t="s">
        <v>18</v>
      </c>
      <c r="D2948" s="1">
        <v>43430</v>
      </c>
    </row>
    <row r="2949" spans="1:4" x14ac:dyDescent="0.25">
      <c r="A2949" t="s">
        <v>1744</v>
      </c>
      <c r="B2949" t="str">
        <f>MID(tbl_lock[[#This Row],[PACE Job Number]],3,3)</f>
        <v>NTX</v>
      </c>
      <c r="C2949" t="s">
        <v>18</v>
      </c>
      <c r="D2949" s="1">
        <v>43417</v>
      </c>
    </row>
    <row r="2950" spans="1:4" x14ac:dyDescent="0.25">
      <c r="A2950" t="s">
        <v>1089</v>
      </c>
      <c r="B2950" t="str">
        <f>MID(tbl_lock[[#This Row],[PACE Job Number]],3,3)</f>
        <v>NTX</v>
      </c>
      <c r="C2950" t="s">
        <v>18</v>
      </c>
      <c r="D2950" s="1">
        <v>43430</v>
      </c>
    </row>
    <row r="2951" spans="1:4" x14ac:dyDescent="0.25">
      <c r="A2951" t="s">
        <v>404</v>
      </c>
      <c r="B2951" t="str">
        <f>MID(tbl_lock[[#This Row],[PACE Job Number]],3,3)</f>
        <v>NTX</v>
      </c>
      <c r="C2951" t="s">
        <v>18</v>
      </c>
      <c r="D2951" s="1">
        <v>43434</v>
      </c>
    </row>
    <row r="2952" spans="1:4" x14ac:dyDescent="0.25">
      <c r="A2952" t="s">
        <v>2153</v>
      </c>
      <c r="B2952" t="str">
        <f>MID(tbl_lock[[#This Row],[PACE Job Number]],3,3)</f>
        <v>NTX</v>
      </c>
      <c r="C2952" t="s">
        <v>18</v>
      </c>
      <c r="D2952" s="1">
        <v>43434</v>
      </c>
    </row>
    <row r="2953" spans="1:4" x14ac:dyDescent="0.25">
      <c r="A2953" t="s">
        <v>4547</v>
      </c>
      <c r="B2953" t="str">
        <f>MID(tbl_lock[[#This Row],[PACE Job Number]],3,3)</f>
        <v>NTX</v>
      </c>
      <c r="C2953" t="s">
        <v>18</v>
      </c>
      <c r="D2953" s="1">
        <v>43415</v>
      </c>
    </row>
    <row r="2954" spans="1:4" x14ac:dyDescent="0.25">
      <c r="A2954" t="s">
        <v>4420</v>
      </c>
      <c r="B2954" t="str">
        <f>MID(tbl_lock[[#This Row],[PACE Job Number]],3,3)</f>
        <v>NTX</v>
      </c>
      <c r="C2954" t="s">
        <v>18</v>
      </c>
      <c r="D2954" s="1">
        <v>43418</v>
      </c>
    </row>
    <row r="2955" spans="1:4" x14ac:dyDescent="0.25">
      <c r="A2955" t="s">
        <v>4421</v>
      </c>
      <c r="B2955" t="str">
        <f>MID(tbl_lock[[#This Row],[PACE Job Number]],3,3)</f>
        <v>NTX</v>
      </c>
      <c r="C2955" t="s">
        <v>18</v>
      </c>
      <c r="D2955" s="1">
        <v>43426</v>
      </c>
    </row>
    <row r="2956" spans="1:4" x14ac:dyDescent="0.25">
      <c r="A2956" t="s">
        <v>2427</v>
      </c>
      <c r="B2956" t="str">
        <f>MID(tbl_lock[[#This Row],[PACE Job Number]],3,3)</f>
        <v>NTX</v>
      </c>
      <c r="C2956" t="s">
        <v>18</v>
      </c>
      <c r="D2956" s="1">
        <v>43418</v>
      </c>
    </row>
    <row r="2957" spans="1:4" x14ac:dyDescent="0.25">
      <c r="A2957" t="s">
        <v>4549</v>
      </c>
      <c r="B2957" t="str">
        <f>MID(tbl_lock[[#This Row],[PACE Job Number]],3,3)</f>
        <v>NTX</v>
      </c>
      <c r="C2957" t="s">
        <v>18</v>
      </c>
      <c r="D2957" s="1">
        <v>43434</v>
      </c>
    </row>
    <row r="2958" spans="1:4" x14ac:dyDescent="0.25">
      <c r="A2958" t="s">
        <v>647</v>
      </c>
      <c r="B2958" t="str">
        <f>MID(tbl_lock[[#This Row],[PACE Job Number]],3,3)</f>
        <v>NTX</v>
      </c>
      <c r="C2958" t="s">
        <v>18</v>
      </c>
      <c r="D2958" s="1">
        <v>43426</v>
      </c>
    </row>
    <row r="2959" spans="1:4" x14ac:dyDescent="0.25">
      <c r="A2959" t="s">
        <v>4422</v>
      </c>
      <c r="B2959" t="str">
        <f>MID(tbl_lock[[#This Row],[PACE Job Number]],3,3)</f>
        <v>NTX</v>
      </c>
      <c r="C2959" t="s">
        <v>18</v>
      </c>
      <c r="D2959" s="1">
        <v>43421</v>
      </c>
    </row>
    <row r="2960" spans="1:4" x14ac:dyDescent="0.25">
      <c r="A2960" t="s">
        <v>3403</v>
      </c>
      <c r="B2960" t="str">
        <f>MID(tbl_lock[[#This Row],[PACE Job Number]],3,3)</f>
        <v>NTX</v>
      </c>
      <c r="C2960" t="s">
        <v>18</v>
      </c>
      <c r="D2960" s="1">
        <v>43412</v>
      </c>
    </row>
    <row r="2961" spans="1:4" x14ac:dyDescent="0.25">
      <c r="A2961" t="s">
        <v>241</v>
      </c>
      <c r="B2961" t="str">
        <f>MID(tbl_lock[[#This Row],[PACE Job Number]],3,3)</f>
        <v>NTX</v>
      </c>
      <c r="C2961" t="s">
        <v>18</v>
      </c>
      <c r="D2961" s="1">
        <v>43419</v>
      </c>
    </row>
    <row r="2962" spans="1:4" x14ac:dyDescent="0.25">
      <c r="A2962" t="s">
        <v>3971</v>
      </c>
      <c r="B2962" t="str">
        <f>MID(tbl_lock[[#This Row],[PACE Job Number]],3,3)</f>
        <v>NTX</v>
      </c>
      <c r="C2962" t="s">
        <v>18</v>
      </c>
      <c r="D2962" s="1">
        <v>43421</v>
      </c>
    </row>
    <row r="2963" spans="1:4" x14ac:dyDescent="0.25">
      <c r="A2963" t="s">
        <v>3972</v>
      </c>
      <c r="B2963" t="str">
        <f>MID(tbl_lock[[#This Row],[PACE Job Number]],3,3)</f>
        <v>NTX</v>
      </c>
      <c r="C2963" t="s">
        <v>18</v>
      </c>
      <c r="D2963" s="1">
        <v>43421</v>
      </c>
    </row>
    <row r="2964" spans="1:4" x14ac:dyDescent="0.25">
      <c r="A2964" t="s">
        <v>3973</v>
      </c>
      <c r="B2964" t="str">
        <f>MID(tbl_lock[[#This Row],[PACE Job Number]],3,3)</f>
        <v>NTX</v>
      </c>
      <c r="C2964" t="s">
        <v>18</v>
      </c>
      <c r="D2964" s="1">
        <v>43421</v>
      </c>
    </row>
    <row r="2965" spans="1:4" x14ac:dyDescent="0.25">
      <c r="A2965" t="s">
        <v>1874</v>
      </c>
      <c r="B2965" t="str">
        <f>MID(tbl_lock[[#This Row],[PACE Job Number]],3,3)</f>
        <v>NTX</v>
      </c>
      <c r="C2965" t="s">
        <v>18</v>
      </c>
      <c r="D2965" s="1">
        <v>43426</v>
      </c>
    </row>
    <row r="2966" spans="1:4" x14ac:dyDescent="0.25">
      <c r="A2966" t="s">
        <v>4570</v>
      </c>
      <c r="B2966" t="str">
        <f>MID(tbl_lock[[#This Row],[PACE Job Number]],3,3)</f>
        <v>WSH</v>
      </c>
      <c r="C2966" t="s">
        <v>18</v>
      </c>
      <c r="D2966" s="1">
        <v>43434</v>
      </c>
    </row>
    <row r="2967" spans="1:4" x14ac:dyDescent="0.25">
      <c r="A2967" t="s">
        <v>91</v>
      </c>
      <c r="B2967" t="str">
        <f>MID(tbl_lock[[#This Row],[PACE Job Number]],3,3)</f>
        <v>WSH</v>
      </c>
      <c r="C2967" t="s">
        <v>18</v>
      </c>
      <c r="D2967" s="1">
        <v>43434</v>
      </c>
    </row>
    <row r="2968" spans="1:4" x14ac:dyDescent="0.25">
      <c r="A2968" t="s">
        <v>4194</v>
      </c>
      <c r="B2968" t="str">
        <f>MID(tbl_lock[[#This Row],[PACE Job Number]],3,3)</f>
        <v>WSH</v>
      </c>
      <c r="C2968" t="s">
        <v>18</v>
      </c>
      <c r="D2968" s="1">
        <v>43434</v>
      </c>
    </row>
    <row r="2969" spans="1:4" x14ac:dyDescent="0.25">
      <c r="A2969" t="s">
        <v>5535</v>
      </c>
      <c r="B2969" t="str">
        <f>MID(tbl_lock[[#This Row],[PACE Job Number]],3,3)</f>
        <v>ANM</v>
      </c>
      <c r="C2969" t="s">
        <v>18</v>
      </c>
      <c r="D2969" s="1">
        <v>43434</v>
      </c>
    </row>
    <row r="2970" spans="1:4" x14ac:dyDescent="0.25">
      <c r="A2970" t="s">
        <v>1455</v>
      </c>
      <c r="B2970" t="str">
        <f>MID(tbl_lock[[#This Row],[PACE Job Number]],3,3)</f>
        <v>ANM</v>
      </c>
      <c r="C2970" t="s">
        <v>18</v>
      </c>
      <c r="D2970" s="1">
        <v>43434</v>
      </c>
    </row>
    <row r="2971" spans="1:4" x14ac:dyDescent="0.25">
      <c r="A2971" t="s">
        <v>839</v>
      </c>
      <c r="B2971" t="str">
        <f>MID(tbl_lock[[#This Row],[PACE Job Number]],3,3)</f>
        <v>ANM</v>
      </c>
      <c r="C2971" t="s">
        <v>18</v>
      </c>
      <c r="D2971" s="1">
        <v>43434</v>
      </c>
    </row>
    <row r="2972" spans="1:4" x14ac:dyDescent="0.25">
      <c r="A2972" t="s">
        <v>1513</v>
      </c>
      <c r="B2972" t="str">
        <f>MID(tbl_lock[[#This Row],[PACE Job Number]],3,3)</f>
        <v>ANM</v>
      </c>
      <c r="C2972" t="s">
        <v>18</v>
      </c>
      <c r="D2972" s="1">
        <v>43405</v>
      </c>
    </row>
    <row r="2973" spans="1:4" x14ac:dyDescent="0.25">
      <c r="A2973" t="s">
        <v>273</v>
      </c>
      <c r="B2973" t="str">
        <f>MID(tbl_lock[[#This Row],[PACE Job Number]],3,3)</f>
        <v>ANM</v>
      </c>
      <c r="C2973" t="s">
        <v>18</v>
      </c>
      <c r="D2973" s="1">
        <v>43434</v>
      </c>
    </row>
    <row r="2974" spans="1:4" x14ac:dyDescent="0.25">
      <c r="A2974" t="s">
        <v>5536</v>
      </c>
      <c r="B2974" t="str">
        <f>MID(tbl_lock[[#This Row],[PACE Job Number]],3,3)</f>
        <v>ANM</v>
      </c>
      <c r="C2974" t="s">
        <v>18</v>
      </c>
      <c r="D2974" s="1">
        <v>43405</v>
      </c>
    </row>
    <row r="2975" spans="1:4" x14ac:dyDescent="0.25">
      <c r="A2975" t="s">
        <v>1427</v>
      </c>
      <c r="B2975" t="str">
        <f>MID(tbl_lock[[#This Row],[PACE Job Number]],3,3)</f>
        <v>ANM</v>
      </c>
      <c r="C2975" t="s">
        <v>18</v>
      </c>
      <c r="D2975" s="1">
        <v>43434</v>
      </c>
    </row>
    <row r="2976" spans="1:4" x14ac:dyDescent="0.25">
      <c r="A2976" t="s">
        <v>4212</v>
      </c>
      <c r="B2976" t="str">
        <f>MID(tbl_lock[[#This Row],[PACE Job Number]],3,3)</f>
        <v>ANM</v>
      </c>
      <c r="C2976" t="s">
        <v>18</v>
      </c>
      <c r="D2976" s="1">
        <v>43434</v>
      </c>
    </row>
    <row r="2977" spans="1:4" x14ac:dyDescent="0.25">
      <c r="A2977" t="s">
        <v>4572</v>
      </c>
      <c r="B2977" t="str">
        <f>MID(tbl_lock[[#This Row],[PACE Job Number]],3,3)</f>
        <v>ANM</v>
      </c>
      <c r="C2977" t="s">
        <v>18</v>
      </c>
      <c r="D2977" s="1">
        <v>43434</v>
      </c>
    </row>
    <row r="2978" spans="1:4" x14ac:dyDescent="0.25">
      <c r="A2978" t="s">
        <v>4213</v>
      </c>
      <c r="B2978" t="str">
        <f>MID(tbl_lock[[#This Row],[PACE Job Number]],3,3)</f>
        <v>ANM</v>
      </c>
      <c r="C2978" t="s">
        <v>18</v>
      </c>
      <c r="D2978" s="1">
        <v>43434</v>
      </c>
    </row>
    <row r="2979" spans="1:4" x14ac:dyDescent="0.25">
      <c r="A2979" t="s">
        <v>1460</v>
      </c>
      <c r="B2979" t="str">
        <f>MID(tbl_lock[[#This Row],[PACE Job Number]],3,3)</f>
        <v>ANM</v>
      </c>
      <c r="C2979" t="s">
        <v>18</v>
      </c>
      <c r="D2979" s="1">
        <v>43434</v>
      </c>
    </row>
    <row r="2980" spans="1:4" x14ac:dyDescent="0.25">
      <c r="A2980" t="s">
        <v>4214</v>
      </c>
      <c r="B2980" t="str">
        <f>MID(tbl_lock[[#This Row],[PACE Job Number]],3,3)</f>
        <v>ANM</v>
      </c>
      <c r="C2980" t="s">
        <v>18</v>
      </c>
      <c r="D2980" s="1">
        <v>43405</v>
      </c>
    </row>
    <row r="2981" spans="1:4" x14ac:dyDescent="0.25">
      <c r="A2981" t="s">
        <v>5537</v>
      </c>
      <c r="B2981" t="str">
        <f>MID(tbl_lock[[#This Row],[PACE Job Number]],3,3)</f>
        <v>ANM</v>
      </c>
      <c r="C2981" t="s">
        <v>18</v>
      </c>
      <c r="D2981" s="1">
        <v>43405</v>
      </c>
    </row>
    <row r="2982" spans="1:4" x14ac:dyDescent="0.25">
      <c r="A2982" t="s">
        <v>489</v>
      </c>
      <c r="B2982" t="str">
        <f>MID(tbl_lock[[#This Row],[PACE Job Number]],3,3)</f>
        <v>ANM</v>
      </c>
      <c r="C2982" t="s">
        <v>18</v>
      </c>
      <c r="D2982" s="1">
        <v>43434</v>
      </c>
    </row>
    <row r="2983" spans="1:4" x14ac:dyDescent="0.25">
      <c r="A2983" t="s">
        <v>43</v>
      </c>
      <c r="B2983" t="str">
        <f>MID(tbl_lock[[#This Row],[PACE Job Number]],3,3)</f>
        <v>ANM</v>
      </c>
      <c r="C2983" t="s">
        <v>18</v>
      </c>
      <c r="D2983" s="1">
        <v>43434</v>
      </c>
    </row>
    <row r="2984" spans="1:4" x14ac:dyDescent="0.25">
      <c r="A2984" t="s">
        <v>1508</v>
      </c>
      <c r="B2984" t="str">
        <f>MID(tbl_lock[[#This Row],[PACE Job Number]],3,3)</f>
        <v>ANM</v>
      </c>
      <c r="C2984" t="s">
        <v>18</v>
      </c>
      <c r="D2984" s="1">
        <v>43405</v>
      </c>
    </row>
    <row r="2985" spans="1:4" x14ac:dyDescent="0.25">
      <c r="A2985" t="s">
        <v>1505</v>
      </c>
      <c r="B2985" t="str">
        <f>MID(tbl_lock[[#This Row],[PACE Job Number]],3,3)</f>
        <v>ANM</v>
      </c>
      <c r="C2985" t="s">
        <v>18</v>
      </c>
      <c r="D2985" s="1">
        <v>43405</v>
      </c>
    </row>
    <row r="2986" spans="1:4" x14ac:dyDescent="0.25">
      <c r="A2986" t="s">
        <v>3974</v>
      </c>
      <c r="B2986" t="str">
        <f>MID(tbl_lock[[#This Row],[PACE Job Number]],3,3)</f>
        <v>NTX</v>
      </c>
      <c r="C2986" t="s">
        <v>18</v>
      </c>
      <c r="D2986" s="1">
        <v>43430</v>
      </c>
    </row>
    <row r="2987" spans="1:4" x14ac:dyDescent="0.25">
      <c r="A2987" t="s">
        <v>3975</v>
      </c>
      <c r="B2987" t="str">
        <f>MID(tbl_lock[[#This Row],[PACE Job Number]],3,3)</f>
        <v>NTX</v>
      </c>
      <c r="C2987" t="s">
        <v>18</v>
      </c>
      <c r="D2987" s="1">
        <v>43421</v>
      </c>
    </row>
    <row r="2988" spans="1:4" x14ac:dyDescent="0.25">
      <c r="A2988" t="s">
        <v>4415</v>
      </c>
      <c r="B2988" t="str">
        <f>MID(tbl_lock[[#This Row],[PACE Job Number]],3,3)</f>
        <v>STX</v>
      </c>
      <c r="C2988" t="s">
        <v>18</v>
      </c>
      <c r="D2988" s="1">
        <v>43432</v>
      </c>
    </row>
    <row r="2989" spans="1:4" x14ac:dyDescent="0.25">
      <c r="A2989" t="s">
        <v>5357</v>
      </c>
      <c r="B2989" t="str">
        <f>MID(tbl_lock[[#This Row],[PACE Job Number]],3,3)</f>
        <v>STX</v>
      </c>
      <c r="C2989" t="s">
        <v>18</v>
      </c>
      <c r="D2989" s="1">
        <v>43434</v>
      </c>
    </row>
    <row r="2990" spans="1:4" x14ac:dyDescent="0.25">
      <c r="A2990" t="s">
        <v>5358</v>
      </c>
      <c r="B2990" t="str">
        <f>MID(tbl_lock[[#This Row],[PACE Job Number]],3,3)</f>
        <v>STX</v>
      </c>
      <c r="C2990" t="s">
        <v>18</v>
      </c>
      <c r="D2990" s="1">
        <v>43434</v>
      </c>
    </row>
    <row r="2991" spans="1:4" x14ac:dyDescent="0.25">
      <c r="A2991" t="s">
        <v>5359</v>
      </c>
      <c r="B2991" t="str">
        <f>MID(tbl_lock[[#This Row],[PACE Job Number]],3,3)</f>
        <v>STX</v>
      </c>
      <c r="C2991" t="s">
        <v>18</v>
      </c>
      <c r="D2991" s="1">
        <v>43434</v>
      </c>
    </row>
    <row r="2992" spans="1:4" x14ac:dyDescent="0.25">
      <c r="A2992" t="s">
        <v>40</v>
      </c>
      <c r="B2992" t="str">
        <f>MID(tbl_lock[[#This Row],[PACE Job Number]],3,3)</f>
        <v>STX</v>
      </c>
      <c r="C2992" t="s">
        <v>18</v>
      </c>
      <c r="D2992" s="1">
        <v>43434</v>
      </c>
    </row>
    <row r="2993" spans="1:4" x14ac:dyDescent="0.25">
      <c r="A2993" t="s">
        <v>82</v>
      </c>
      <c r="B2993" t="str">
        <f>MID(tbl_lock[[#This Row],[PACE Job Number]],3,3)</f>
        <v>STX</v>
      </c>
      <c r="C2993" t="s">
        <v>18</v>
      </c>
      <c r="D2993" s="1">
        <v>43434</v>
      </c>
    </row>
    <row r="2994" spans="1:4" x14ac:dyDescent="0.25">
      <c r="A2994" t="s">
        <v>4426</v>
      </c>
      <c r="B2994" t="str">
        <f>MID(tbl_lock[[#This Row],[PACE Job Number]],3,3)</f>
        <v>STX</v>
      </c>
      <c r="C2994" t="s">
        <v>18</v>
      </c>
      <c r="D2994" s="1">
        <v>43434</v>
      </c>
    </row>
    <row r="2995" spans="1:4" x14ac:dyDescent="0.25">
      <c r="A2995" t="s">
        <v>4428</v>
      </c>
      <c r="B2995" t="str">
        <f>MID(tbl_lock[[#This Row],[PACE Job Number]],3,3)</f>
        <v>STX</v>
      </c>
      <c r="C2995" t="s">
        <v>18</v>
      </c>
      <c r="D2995" s="1">
        <v>43419</v>
      </c>
    </row>
    <row r="2996" spans="1:4" x14ac:dyDescent="0.25">
      <c r="A2996" t="s">
        <v>4215</v>
      </c>
      <c r="B2996" t="str">
        <f>MID(tbl_lock[[#This Row],[PACE Job Number]],3,3)</f>
        <v>ANM</v>
      </c>
      <c r="C2996" t="s">
        <v>18</v>
      </c>
      <c r="D2996" s="1">
        <v>43434</v>
      </c>
    </row>
    <row r="2997" spans="1:4" x14ac:dyDescent="0.25">
      <c r="A2997" t="s">
        <v>5538</v>
      </c>
      <c r="B2997" t="str">
        <f>MID(tbl_lock[[#This Row],[PACE Job Number]],3,3)</f>
        <v>ANM</v>
      </c>
      <c r="C2997" t="s">
        <v>18</v>
      </c>
      <c r="D2997" s="1">
        <v>43434</v>
      </c>
    </row>
    <row r="2998" spans="1:4" x14ac:dyDescent="0.25">
      <c r="A2998" t="s">
        <v>5539</v>
      </c>
      <c r="B2998" t="str">
        <f>MID(tbl_lock[[#This Row],[PACE Job Number]],3,3)</f>
        <v>ANM</v>
      </c>
      <c r="C2998" t="s">
        <v>18</v>
      </c>
      <c r="D2998" s="1">
        <v>43405</v>
      </c>
    </row>
    <row r="2999" spans="1:4" x14ac:dyDescent="0.25">
      <c r="A2999" t="s">
        <v>1467</v>
      </c>
      <c r="B2999" t="str">
        <f>MID(tbl_lock[[#This Row],[PACE Job Number]],3,3)</f>
        <v>ANM</v>
      </c>
      <c r="C2999" t="s">
        <v>18</v>
      </c>
      <c r="D2999" s="1">
        <v>43405</v>
      </c>
    </row>
    <row r="3000" spans="1:4" x14ac:dyDescent="0.25">
      <c r="A3000" t="s">
        <v>378</v>
      </c>
      <c r="B3000" t="str">
        <f>MID(tbl_lock[[#This Row],[PACE Job Number]],3,3)</f>
        <v>ANM</v>
      </c>
      <c r="C3000" t="s">
        <v>18</v>
      </c>
      <c r="D3000" s="1">
        <v>43434</v>
      </c>
    </row>
    <row r="3001" spans="1:4" x14ac:dyDescent="0.25">
      <c r="A3001" t="s">
        <v>1504</v>
      </c>
      <c r="B3001" t="str">
        <f>MID(tbl_lock[[#This Row],[PACE Job Number]],3,3)</f>
        <v>ANM</v>
      </c>
      <c r="C3001" t="s">
        <v>18</v>
      </c>
      <c r="D3001" s="1">
        <v>43434</v>
      </c>
    </row>
    <row r="3002" spans="1:4" x14ac:dyDescent="0.25">
      <c r="A3002" t="s">
        <v>4573</v>
      </c>
      <c r="B3002" t="str">
        <f>MID(tbl_lock[[#This Row],[PACE Job Number]],3,3)</f>
        <v>ANM</v>
      </c>
      <c r="C3002" t="s">
        <v>18</v>
      </c>
      <c r="D3002" s="1">
        <v>43405</v>
      </c>
    </row>
    <row r="3003" spans="1:4" x14ac:dyDescent="0.25">
      <c r="A3003" t="s">
        <v>1434</v>
      </c>
      <c r="B3003" t="str">
        <f>MID(tbl_lock[[#This Row],[PACE Job Number]],3,3)</f>
        <v>ANM</v>
      </c>
      <c r="C3003" t="s">
        <v>18</v>
      </c>
      <c r="D3003" s="1">
        <v>43405</v>
      </c>
    </row>
    <row r="3004" spans="1:4" x14ac:dyDescent="0.25">
      <c r="A3004" t="s">
        <v>1380</v>
      </c>
      <c r="B3004" t="str">
        <f>MID(tbl_lock[[#This Row],[PACE Job Number]],3,3)</f>
        <v>ANM</v>
      </c>
      <c r="C3004" t="s">
        <v>18</v>
      </c>
      <c r="D3004" s="1">
        <v>43434</v>
      </c>
    </row>
    <row r="3005" spans="1:4" x14ac:dyDescent="0.25">
      <c r="A3005" t="s">
        <v>387</v>
      </c>
      <c r="B3005" t="str">
        <f>MID(tbl_lock[[#This Row],[PACE Job Number]],3,3)</f>
        <v>ANM</v>
      </c>
      <c r="C3005" t="s">
        <v>18</v>
      </c>
      <c r="D3005" s="1">
        <v>43434</v>
      </c>
    </row>
    <row r="3006" spans="1:4" x14ac:dyDescent="0.25">
      <c r="A3006" t="s">
        <v>4222</v>
      </c>
      <c r="B3006" t="str">
        <f>MID(tbl_lock[[#This Row],[PACE Job Number]],3,3)</f>
        <v>ANM</v>
      </c>
      <c r="C3006" t="s">
        <v>18</v>
      </c>
      <c r="D3006" s="1">
        <v>43434</v>
      </c>
    </row>
    <row r="3007" spans="1:4" x14ac:dyDescent="0.25">
      <c r="A3007" t="s">
        <v>4223</v>
      </c>
      <c r="B3007" t="str">
        <f>MID(tbl_lock[[#This Row],[PACE Job Number]],3,3)</f>
        <v>ANM</v>
      </c>
      <c r="C3007" t="s">
        <v>18</v>
      </c>
      <c r="D3007" s="1">
        <v>43434</v>
      </c>
    </row>
    <row r="3008" spans="1:4" x14ac:dyDescent="0.25">
      <c r="A3008" t="s">
        <v>4574</v>
      </c>
      <c r="B3008" t="str">
        <f>MID(tbl_lock[[#This Row],[PACE Job Number]],3,3)</f>
        <v>NTX</v>
      </c>
      <c r="C3008" t="s">
        <v>18</v>
      </c>
      <c r="D3008" s="1">
        <v>43434</v>
      </c>
    </row>
    <row r="3009" spans="1:4" x14ac:dyDescent="0.25">
      <c r="A3009" t="s">
        <v>4575</v>
      </c>
      <c r="B3009" t="str">
        <f>MID(tbl_lock[[#This Row],[PACE Job Number]],3,3)</f>
        <v>NTX</v>
      </c>
      <c r="C3009" t="s">
        <v>18</v>
      </c>
      <c r="D3009" s="1">
        <v>43434</v>
      </c>
    </row>
    <row r="3010" spans="1:4" x14ac:dyDescent="0.25">
      <c r="A3010" t="s">
        <v>4338</v>
      </c>
      <c r="B3010" t="str">
        <f>MID(tbl_lock[[#This Row],[PACE Job Number]],3,3)</f>
        <v>NTX</v>
      </c>
      <c r="C3010" t="s">
        <v>18</v>
      </c>
      <c r="D3010" s="1">
        <v>43433</v>
      </c>
    </row>
    <row r="3011" spans="1:4" x14ac:dyDescent="0.25">
      <c r="A3011" t="s">
        <v>4339</v>
      </c>
      <c r="B3011" t="str">
        <f>MID(tbl_lock[[#This Row],[PACE Job Number]],3,3)</f>
        <v>NTX</v>
      </c>
      <c r="C3011" t="s">
        <v>18</v>
      </c>
      <c r="D3011" s="1">
        <v>43423</v>
      </c>
    </row>
    <row r="3012" spans="1:4" x14ac:dyDescent="0.25">
      <c r="A3012" t="s">
        <v>621</v>
      </c>
      <c r="B3012" t="str">
        <f>MID(tbl_lock[[#This Row],[PACE Job Number]],3,3)</f>
        <v>NTX</v>
      </c>
      <c r="C3012" t="s">
        <v>18</v>
      </c>
      <c r="D3012" s="1">
        <v>43425</v>
      </c>
    </row>
    <row r="3013" spans="1:4" x14ac:dyDescent="0.25">
      <c r="A3013" t="s">
        <v>127</v>
      </c>
      <c r="B3013" t="str">
        <f>MID(tbl_lock[[#This Row],[PACE Job Number]],3,3)</f>
        <v>NTX</v>
      </c>
      <c r="C3013" t="s">
        <v>18</v>
      </c>
      <c r="D3013" s="1">
        <v>43431</v>
      </c>
    </row>
    <row r="3014" spans="1:4" x14ac:dyDescent="0.25">
      <c r="A3014" t="s">
        <v>4524</v>
      </c>
      <c r="B3014" t="str">
        <f>MID(tbl_lock[[#This Row],[PACE Job Number]],3,3)</f>
        <v>NTX</v>
      </c>
      <c r="C3014" t="s">
        <v>18</v>
      </c>
      <c r="D3014" s="1">
        <v>43418</v>
      </c>
    </row>
    <row r="3015" spans="1:4" x14ac:dyDescent="0.25">
      <c r="A3015" t="s">
        <v>1814</v>
      </c>
      <c r="B3015" t="str">
        <f>MID(tbl_lock[[#This Row],[PACE Job Number]],3,3)</f>
        <v>NTX</v>
      </c>
      <c r="C3015" t="s">
        <v>18</v>
      </c>
      <c r="D3015" s="1">
        <v>43417</v>
      </c>
    </row>
    <row r="3016" spans="1:4" x14ac:dyDescent="0.25">
      <c r="A3016" t="s">
        <v>2717</v>
      </c>
      <c r="B3016" t="str">
        <f>MID(tbl_lock[[#This Row],[PACE Job Number]],3,3)</f>
        <v>STX</v>
      </c>
      <c r="C3016" t="s">
        <v>18</v>
      </c>
      <c r="D3016" s="1">
        <v>43432</v>
      </c>
    </row>
    <row r="3017" spans="1:4" x14ac:dyDescent="0.25">
      <c r="A3017" t="s">
        <v>5363</v>
      </c>
      <c r="B3017" t="str">
        <f>MID(tbl_lock[[#This Row],[PACE Job Number]],3,3)</f>
        <v>STX</v>
      </c>
      <c r="C3017" t="s">
        <v>18</v>
      </c>
      <c r="D3017" s="1">
        <v>43434</v>
      </c>
    </row>
    <row r="3018" spans="1:4" x14ac:dyDescent="0.25">
      <c r="A3018" t="s">
        <v>5540</v>
      </c>
      <c r="B3018" t="str">
        <f>MID(tbl_lock[[#This Row],[PACE Job Number]],3,3)</f>
        <v>STX</v>
      </c>
      <c r="C3018" t="s">
        <v>18</v>
      </c>
      <c r="D3018" s="1">
        <v>43432</v>
      </c>
    </row>
    <row r="3019" spans="1:4" x14ac:dyDescent="0.25">
      <c r="A3019" t="s">
        <v>5364</v>
      </c>
      <c r="B3019" t="str">
        <f>MID(tbl_lock[[#This Row],[PACE Job Number]],3,3)</f>
        <v>STX</v>
      </c>
      <c r="C3019" t="s">
        <v>18</v>
      </c>
      <c r="D3019" s="1">
        <v>43434</v>
      </c>
    </row>
    <row r="3020" spans="1:4" x14ac:dyDescent="0.25">
      <c r="A3020" t="s">
        <v>5541</v>
      </c>
      <c r="B3020" t="str">
        <f>MID(tbl_lock[[#This Row],[PACE Job Number]],3,3)</f>
        <v>STX</v>
      </c>
      <c r="C3020" t="s">
        <v>18</v>
      </c>
      <c r="D3020" s="1">
        <v>43432</v>
      </c>
    </row>
    <row r="3021" spans="1:4" x14ac:dyDescent="0.25">
      <c r="A3021" t="s">
        <v>3269</v>
      </c>
      <c r="B3021" t="str">
        <f>MID(tbl_lock[[#This Row],[PACE Job Number]],3,3)</f>
        <v>STX</v>
      </c>
      <c r="C3021" t="s">
        <v>18</v>
      </c>
      <c r="D3021" s="1">
        <v>43432</v>
      </c>
    </row>
    <row r="3022" spans="1:4" x14ac:dyDescent="0.25">
      <c r="A3022" t="s">
        <v>5228</v>
      </c>
      <c r="B3022" t="str">
        <f>MID(tbl_lock[[#This Row],[PACE Job Number]],3,3)</f>
        <v>WSH</v>
      </c>
      <c r="C3022" t="s">
        <v>18</v>
      </c>
      <c r="D3022" s="1">
        <v>43434</v>
      </c>
    </row>
    <row r="3023" spans="1:4" x14ac:dyDescent="0.25">
      <c r="A3023" t="s">
        <v>5231</v>
      </c>
      <c r="B3023" t="str">
        <f>MID(tbl_lock[[#This Row],[PACE Job Number]],3,3)</f>
        <v>WSH</v>
      </c>
      <c r="C3023" t="s">
        <v>18</v>
      </c>
      <c r="D3023" s="1">
        <v>43434</v>
      </c>
    </row>
    <row r="3024" spans="1:4" x14ac:dyDescent="0.25">
      <c r="A3024" t="s">
        <v>4259</v>
      </c>
      <c r="B3024" t="str">
        <f>MID(tbl_lock[[#This Row],[PACE Job Number]],3,3)</f>
        <v>WSH</v>
      </c>
      <c r="C3024" t="s">
        <v>18</v>
      </c>
      <c r="D3024" s="1">
        <v>43434</v>
      </c>
    </row>
    <row r="3025" spans="1:4" x14ac:dyDescent="0.25">
      <c r="A3025" t="s">
        <v>4260</v>
      </c>
      <c r="B3025" t="str">
        <f>MID(tbl_lock[[#This Row],[PACE Job Number]],3,3)</f>
        <v>WSH</v>
      </c>
      <c r="C3025" t="s">
        <v>18</v>
      </c>
      <c r="D3025" s="1">
        <v>43434</v>
      </c>
    </row>
    <row r="3026" spans="1:4" x14ac:dyDescent="0.25">
      <c r="A3026" t="s">
        <v>4261</v>
      </c>
      <c r="B3026" t="str">
        <f>MID(tbl_lock[[#This Row],[PACE Job Number]],3,3)</f>
        <v>WSH</v>
      </c>
      <c r="C3026" t="s">
        <v>18</v>
      </c>
      <c r="D3026" s="1">
        <v>43434</v>
      </c>
    </row>
    <row r="3027" spans="1:4" x14ac:dyDescent="0.25">
      <c r="A3027" t="s">
        <v>157</v>
      </c>
      <c r="B3027" t="str">
        <f>MID(tbl_lock[[#This Row],[PACE Job Number]],3,3)</f>
        <v>WSH</v>
      </c>
      <c r="C3027" t="s">
        <v>18</v>
      </c>
      <c r="D3027" s="1">
        <v>43434</v>
      </c>
    </row>
    <row r="3028" spans="1:4" x14ac:dyDescent="0.25">
      <c r="A3028" t="s">
        <v>4580</v>
      </c>
      <c r="B3028" t="str">
        <f>MID(tbl_lock[[#This Row],[PACE Job Number]],3,3)</f>
        <v>WSH</v>
      </c>
      <c r="C3028" t="s">
        <v>18</v>
      </c>
      <c r="D3028" s="1">
        <v>43434</v>
      </c>
    </row>
    <row r="3029" spans="1:4" x14ac:dyDescent="0.25">
      <c r="A3029" t="s">
        <v>4581</v>
      </c>
      <c r="B3029" t="str">
        <f>MID(tbl_lock[[#This Row],[PACE Job Number]],3,3)</f>
        <v>WSH</v>
      </c>
      <c r="C3029" t="s">
        <v>18</v>
      </c>
      <c r="D3029" s="1">
        <v>43434</v>
      </c>
    </row>
    <row r="3030" spans="1:4" x14ac:dyDescent="0.25">
      <c r="A3030" t="s">
        <v>5232</v>
      </c>
      <c r="B3030" t="str">
        <f>MID(tbl_lock[[#This Row],[PACE Job Number]],3,3)</f>
        <v>WSH</v>
      </c>
      <c r="C3030" t="s">
        <v>18</v>
      </c>
      <c r="D3030" s="1">
        <v>43434</v>
      </c>
    </row>
    <row r="3031" spans="1:4" x14ac:dyDescent="0.25">
      <c r="A3031" t="s">
        <v>323</v>
      </c>
      <c r="B3031" t="str">
        <f>MID(tbl_lock[[#This Row],[PACE Job Number]],3,3)</f>
        <v>WSH</v>
      </c>
      <c r="C3031" t="s">
        <v>18</v>
      </c>
      <c r="D3031" s="1">
        <v>43434</v>
      </c>
    </row>
    <row r="3032" spans="1:4" x14ac:dyDescent="0.25">
      <c r="A3032" t="s">
        <v>5233</v>
      </c>
      <c r="B3032" t="str">
        <f>MID(tbl_lock[[#This Row],[PACE Job Number]],3,3)</f>
        <v>WSH</v>
      </c>
      <c r="C3032" t="s">
        <v>18</v>
      </c>
      <c r="D3032" s="1">
        <v>43434</v>
      </c>
    </row>
    <row r="3033" spans="1:4" x14ac:dyDescent="0.25">
      <c r="A3033" t="s">
        <v>3928</v>
      </c>
      <c r="B3033" t="str">
        <f>MID(tbl_lock[[#This Row],[PACE Job Number]],3,3)</f>
        <v>WSH</v>
      </c>
      <c r="C3033" t="s">
        <v>18</v>
      </c>
      <c r="D3033" s="1">
        <v>43434</v>
      </c>
    </row>
    <row r="3034" spans="1:4" x14ac:dyDescent="0.25">
      <c r="A3034" t="s">
        <v>2211</v>
      </c>
      <c r="B3034" t="str">
        <f>MID(tbl_lock[[#This Row],[PACE Job Number]],3,3)</f>
        <v>NTX</v>
      </c>
      <c r="C3034" t="s">
        <v>18</v>
      </c>
      <c r="D3034" s="1">
        <v>43422</v>
      </c>
    </row>
    <row r="3035" spans="1:4" x14ac:dyDescent="0.25">
      <c r="A3035" t="s">
        <v>5542</v>
      </c>
      <c r="B3035" t="str">
        <f>MID(tbl_lock[[#This Row],[PACE Job Number]],3,3)</f>
        <v>NTX</v>
      </c>
      <c r="C3035" t="s">
        <v>18</v>
      </c>
      <c r="D3035" s="1">
        <v>43434</v>
      </c>
    </row>
    <row r="3036" spans="1:4" x14ac:dyDescent="0.25">
      <c r="A3036" t="s">
        <v>4348</v>
      </c>
      <c r="B3036" t="str">
        <f>MID(tbl_lock[[#This Row],[PACE Job Number]],3,3)</f>
        <v>NTX</v>
      </c>
      <c r="C3036" t="s">
        <v>18</v>
      </c>
      <c r="D3036" s="1">
        <v>43433</v>
      </c>
    </row>
    <row r="3037" spans="1:4" x14ac:dyDescent="0.25">
      <c r="A3037" t="s">
        <v>3930</v>
      </c>
      <c r="B3037" t="str">
        <f>MID(tbl_lock[[#This Row],[PACE Job Number]],3,3)</f>
        <v>NTX</v>
      </c>
      <c r="C3037" t="s">
        <v>18</v>
      </c>
      <c r="D3037" s="1">
        <v>43434</v>
      </c>
    </row>
    <row r="3038" spans="1:4" x14ac:dyDescent="0.25">
      <c r="A3038" t="s">
        <v>2124</v>
      </c>
      <c r="B3038" t="str">
        <f>MID(tbl_lock[[#This Row],[PACE Job Number]],3,3)</f>
        <v>NTX</v>
      </c>
      <c r="C3038" t="s">
        <v>18</v>
      </c>
      <c r="D3038" s="1">
        <v>43418</v>
      </c>
    </row>
    <row r="3039" spans="1:4" x14ac:dyDescent="0.25">
      <c r="A3039" t="s">
        <v>1815</v>
      </c>
      <c r="B3039" t="str">
        <f>MID(tbl_lock[[#This Row],[PACE Job Number]],3,3)</f>
        <v>NTX</v>
      </c>
      <c r="C3039" t="s">
        <v>18</v>
      </c>
      <c r="D3039" s="1">
        <v>43433</v>
      </c>
    </row>
    <row r="3040" spans="1:4" x14ac:dyDescent="0.25">
      <c r="A3040" t="s">
        <v>1816</v>
      </c>
      <c r="B3040" t="str">
        <f>MID(tbl_lock[[#This Row],[PACE Job Number]],3,3)</f>
        <v>NTX</v>
      </c>
      <c r="C3040" t="s">
        <v>18</v>
      </c>
      <c r="D3040" s="1">
        <v>43433</v>
      </c>
    </row>
    <row r="3041" spans="1:4" x14ac:dyDescent="0.25">
      <c r="A3041" t="s">
        <v>2374</v>
      </c>
      <c r="B3041" t="str">
        <f>MID(tbl_lock[[#This Row],[PACE Job Number]],3,3)</f>
        <v>NTX</v>
      </c>
      <c r="C3041" t="s">
        <v>18</v>
      </c>
      <c r="D3041" s="1">
        <v>43427</v>
      </c>
    </row>
    <row r="3042" spans="1:4" x14ac:dyDescent="0.25">
      <c r="A3042" t="s">
        <v>4349</v>
      </c>
      <c r="B3042" t="str">
        <f>MID(tbl_lock[[#This Row],[PACE Job Number]],3,3)</f>
        <v>NTX</v>
      </c>
      <c r="C3042" t="s">
        <v>18</v>
      </c>
      <c r="D3042" s="1">
        <v>43432</v>
      </c>
    </row>
    <row r="3043" spans="1:4" x14ac:dyDescent="0.25">
      <c r="A3043" t="s">
        <v>2375</v>
      </c>
      <c r="B3043" t="str">
        <f>MID(tbl_lock[[#This Row],[PACE Job Number]],3,3)</f>
        <v>NTX</v>
      </c>
      <c r="C3043" t="s">
        <v>18</v>
      </c>
      <c r="D3043" s="1">
        <v>43428</v>
      </c>
    </row>
    <row r="3044" spans="1:4" x14ac:dyDescent="0.25">
      <c r="A3044" t="s">
        <v>3839</v>
      </c>
      <c r="B3044" t="str">
        <f>MID(tbl_lock[[#This Row],[PACE Job Number]],3,3)</f>
        <v>NTX</v>
      </c>
      <c r="C3044" t="s">
        <v>18</v>
      </c>
      <c r="D3044" s="1">
        <v>43429</v>
      </c>
    </row>
    <row r="3045" spans="1:4" x14ac:dyDescent="0.25">
      <c r="A3045" t="s">
        <v>1202</v>
      </c>
      <c r="B3045" t="str">
        <f>MID(tbl_lock[[#This Row],[PACE Job Number]],3,3)</f>
        <v>NTX</v>
      </c>
      <c r="C3045" t="s">
        <v>18</v>
      </c>
      <c r="D3045" s="1">
        <v>43434</v>
      </c>
    </row>
    <row r="3046" spans="1:4" x14ac:dyDescent="0.25">
      <c r="A3046" t="s">
        <v>4350</v>
      </c>
      <c r="B3046" t="str">
        <f>MID(tbl_lock[[#This Row],[PACE Job Number]],3,3)</f>
        <v>NTX</v>
      </c>
      <c r="C3046" t="s">
        <v>18</v>
      </c>
      <c r="D3046" s="1">
        <v>43432</v>
      </c>
    </row>
    <row r="3047" spans="1:4" x14ac:dyDescent="0.25">
      <c r="A3047" t="s">
        <v>4351</v>
      </c>
      <c r="B3047" t="str">
        <f>MID(tbl_lock[[#This Row],[PACE Job Number]],3,3)</f>
        <v>NTX</v>
      </c>
      <c r="C3047" t="s">
        <v>18</v>
      </c>
      <c r="D3047" s="1">
        <v>43427</v>
      </c>
    </row>
    <row r="3048" spans="1:4" x14ac:dyDescent="0.25">
      <c r="A3048" t="s">
        <v>3931</v>
      </c>
      <c r="B3048" t="str">
        <f>MID(tbl_lock[[#This Row],[PACE Job Number]],3,3)</f>
        <v>NTX</v>
      </c>
      <c r="C3048" t="s">
        <v>18</v>
      </c>
      <c r="D3048" s="1">
        <v>43430</v>
      </c>
    </row>
    <row r="3049" spans="1:4" x14ac:dyDescent="0.25">
      <c r="A3049" t="s">
        <v>4352</v>
      </c>
      <c r="B3049" t="str">
        <f>MID(tbl_lock[[#This Row],[PACE Job Number]],3,3)</f>
        <v>NTX</v>
      </c>
      <c r="C3049" t="s">
        <v>18</v>
      </c>
      <c r="D3049" s="1">
        <v>43427</v>
      </c>
    </row>
    <row r="3050" spans="1:4" x14ac:dyDescent="0.25">
      <c r="A3050" t="s">
        <v>2625</v>
      </c>
      <c r="B3050" t="str">
        <f>MID(tbl_lock[[#This Row],[PACE Job Number]],3,3)</f>
        <v>STX</v>
      </c>
      <c r="C3050" t="s">
        <v>18</v>
      </c>
      <c r="D3050" s="1">
        <v>43434</v>
      </c>
    </row>
    <row r="3051" spans="1:4" x14ac:dyDescent="0.25">
      <c r="A3051" t="s">
        <v>4347</v>
      </c>
      <c r="B3051" t="str">
        <f>MID(tbl_lock[[#This Row],[PACE Job Number]],3,3)</f>
        <v>STX</v>
      </c>
      <c r="C3051" t="s">
        <v>18</v>
      </c>
      <c r="D3051" s="1">
        <v>43434</v>
      </c>
    </row>
    <row r="3052" spans="1:4" x14ac:dyDescent="0.25">
      <c r="A3052" t="s">
        <v>4135</v>
      </c>
      <c r="B3052" t="str">
        <f>MID(tbl_lock[[#This Row],[PACE Job Number]],3,3)</f>
        <v>STX</v>
      </c>
      <c r="C3052" t="s">
        <v>18</v>
      </c>
      <c r="D3052" s="1">
        <v>43434</v>
      </c>
    </row>
    <row r="3053" spans="1:4" x14ac:dyDescent="0.25">
      <c r="A3053" t="s">
        <v>4136</v>
      </c>
      <c r="B3053" t="str">
        <f>MID(tbl_lock[[#This Row],[PACE Job Number]],3,3)</f>
        <v>STX</v>
      </c>
      <c r="C3053" t="s">
        <v>18</v>
      </c>
      <c r="D3053" s="1">
        <v>43434</v>
      </c>
    </row>
    <row r="3054" spans="1:4" x14ac:dyDescent="0.25">
      <c r="A3054" t="s">
        <v>566</v>
      </c>
      <c r="B3054" t="str">
        <f>MID(tbl_lock[[#This Row],[PACE Job Number]],3,3)</f>
        <v>STX</v>
      </c>
      <c r="C3054" t="s">
        <v>18</v>
      </c>
      <c r="D3054" s="1">
        <v>43434</v>
      </c>
    </row>
    <row r="3055" spans="1:4" x14ac:dyDescent="0.25">
      <c r="A3055" t="s">
        <v>5234</v>
      </c>
      <c r="B3055" t="str">
        <f>MID(tbl_lock[[#This Row],[PACE Job Number]],3,3)</f>
        <v>WSH</v>
      </c>
      <c r="C3055" t="s">
        <v>18</v>
      </c>
      <c r="D3055" s="1">
        <v>43434</v>
      </c>
    </row>
    <row r="3056" spans="1:4" x14ac:dyDescent="0.25">
      <c r="A3056" t="s">
        <v>5235</v>
      </c>
      <c r="B3056" t="str">
        <f>MID(tbl_lock[[#This Row],[PACE Job Number]],3,3)</f>
        <v>WSH</v>
      </c>
      <c r="C3056" t="s">
        <v>18</v>
      </c>
      <c r="D3056" s="1">
        <v>43434</v>
      </c>
    </row>
    <row r="3057" spans="1:4" x14ac:dyDescent="0.25">
      <c r="A3057" t="s">
        <v>3929</v>
      </c>
      <c r="B3057" t="str">
        <f>MID(tbl_lock[[#This Row],[PACE Job Number]],3,3)</f>
        <v>WSH</v>
      </c>
      <c r="C3057" t="s">
        <v>18</v>
      </c>
      <c r="D3057" s="1">
        <v>43434</v>
      </c>
    </row>
    <row r="3058" spans="1:4" x14ac:dyDescent="0.25">
      <c r="A3058" t="s">
        <v>5237</v>
      </c>
      <c r="B3058" t="str">
        <f>MID(tbl_lock[[#This Row],[PACE Job Number]],3,3)</f>
        <v>WSH</v>
      </c>
      <c r="C3058" t="s">
        <v>18</v>
      </c>
      <c r="D3058" s="1">
        <v>43434</v>
      </c>
    </row>
    <row r="3059" spans="1:4" x14ac:dyDescent="0.25">
      <c r="A3059" t="s">
        <v>3848</v>
      </c>
      <c r="B3059" t="str">
        <f>MID(tbl_lock[[#This Row],[PACE Job Number]],3,3)</f>
        <v>WSH</v>
      </c>
      <c r="C3059" t="s">
        <v>18</v>
      </c>
      <c r="D3059" s="1">
        <v>43434</v>
      </c>
    </row>
    <row r="3060" spans="1:4" x14ac:dyDescent="0.25">
      <c r="A3060" t="s">
        <v>3849</v>
      </c>
      <c r="B3060" t="str">
        <f>MID(tbl_lock[[#This Row],[PACE Job Number]],3,3)</f>
        <v>WSH</v>
      </c>
      <c r="C3060" t="s">
        <v>18</v>
      </c>
      <c r="D3060" s="1">
        <v>43434</v>
      </c>
    </row>
    <row r="3061" spans="1:4" x14ac:dyDescent="0.25">
      <c r="A3061" t="s">
        <v>255</v>
      </c>
      <c r="B3061" t="str">
        <f>MID(tbl_lock[[#This Row],[PACE Job Number]],3,3)</f>
        <v>WSH</v>
      </c>
      <c r="C3061" t="s">
        <v>18</v>
      </c>
      <c r="D3061" s="1">
        <v>43434</v>
      </c>
    </row>
    <row r="3062" spans="1:4" x14ac:dyDescent="0.25">
      <c r="A3062" t="s">
        <v>5243</v>
      </c>
      <c r="B3062" t="str">
        <f>MID(tbl_lock[[#This Row],[PACE Job Number]],3,3)</f>
        <v>WSH</v>
      </c>
      <c r="C3062" t="s">
        <v>18</v>
      </c>
      <c r="D3062" s="1">
        <v>43434</v>
      </c>
    </row>
    <row r="3063" spans="1:4" x14ac:dyDescent="0.25">
      <c r="A3063" t="s">
        <v>5485</v>
      </c>
      <c r="B3063" t="str">
        <f>MID(tbl_lock[[#This Row],[PACE Job Number]],3,3)</f>
        <v>WSH</v>
      </c>
      <c r="C3063" t="s">
        <v>18</v>
      </c>
      <c r="D3063" s="1">
        <v>43434</v>
      </c>
    </row>
    <row r="3064" spans="1:4" x14ac:dyDescent="0.25">
      <c r="A3064" t="s">
        <v>3851</v>
      </c>
      <c r="B3064" t="str">
        <f>MID(tbl_lock[[#This Row],[PACE Job Number]],3,3)</f>
        <v>WSH</v>
      </c>
      <c r="C3064" t="s">
        <v>18</v>
      </c>
      <c r="D3064" s="1">
        <v>43434</v>
      </c>
    </row>
    <row r="3065" spans="1:4" x14ac:dyDescent="0.25">
      <c r="A3065" t="s">
        <v>5245</v>
      </c>
      <c r="B3065" t="str">
        <f>MID(tbl_lock[[#This Row],[PACE Job Number]],3,3)</f>
        <v>WSH</v>
      </c>
      <c r="C3065" t="s">
        <v>18</v>
      </c>
      <c r="D3065" s="1">
        <v>43434</v>
      </c>
    </row>
    <row r="3066" spans="1:4" x14ac:dyDescent="0.25">
      <c r="A3066" t="s">
        <v>3853</v>
      </c>
      <c r="B3066" t="str">
        <f>MID(tbl_lock[[#This Row],[PACE Job Number]],3,3)</f>
        <v>WSH</v>
      </c>
      <c r="C3066" t="s">
        <v>18</v>
      </c>
      <c r="D3066" s="1">
        <v>43434</v>
      </c>
    </row>
    <row r="3067" spans="1:4" x14ac:dyDescent="0.25">
      <c r="A3067" t="s">
        <v>3854</v>
      </c>
      <c r="B3067" t="str">
        <f>MID(tbl_lock[[#This Row],[PACE Job Number]],3,3)</f>
        <v>WSH</v>
      </c>
      <c r="C3067" t="s">
        <v>18</v>
      </c>
      <c r="D3067" s="1">
        <v>43434</v>
      </c>
    </row>
    <row r="3068" spans="1:4" x14ac:dyDescent="0.25">
      <c r="A3068" t="s">
        <v>5486</v>
      </c>
      <c r="B3068" t="str">
        <f>MID(tbl_lock[[#This Row],[PACE Job Number]],3,3)</f>
        <v>WSH</v>
      </c>
      <c r="C3068" t="s">
        <v>18</v>
      </c>
      <c r="D3068" s="1">
        <v>43434</v>
      </c>
    </row>
    <row r="3069" spans="1:4" x14ac:dyDescent="0.25">
      <c r="A3069" t="s">
        <v>3776</v>
      </c>
      <c r="B3069" t="str">
        <f>MID(tbl_lock[[#This Row],[PACE Job Number]],3,3)</f>
        <v>WSH</v>
      </c>
      <c r="C3069" t="s">
        <v>18</v>
      </c>
      <c r="D3069" s="1">
        <v>43434</v>
      </c>
    </row>
    <row r="3070" spans="1:4" x14ac:dyDescent="0.25">
      <c r="A3070" t="s">
        <v>5246</v>
      </c>
      <c r="B3070" t="str">
        <f>MID(tbl_lock[[#This Row],[PACE Job Number]],3,3)</f>
        <v>WSH</v>
      </c>
      <c r="C3070" t="s">
        <v>18</v>
      </c>
      <c r="D3070" s="1">
        <v>43434</v>
      </c>
    </row>
    <row r="3071" spans="1:4" x14ac:dyDescent="0.25">
      <c r="A3071" t="s">
        <v>3856</v>
      </c>
      <c r="B3071" t="str">
        <f>MID(tbl_lock[[#This Row],[PACE Job Number]],3,3)</f>
        <v>WSH</v>
      </c>
      <c r="C3071" t="s">
        <v>18</v>
      </c>
      <c r="D3071" s="1">
        <v>43434</v>
      </c>
    </row>
    <row r="3072" spans="1:4" x14ac:dyDescent="0.25">
      <c r="A3072" t="s">
        <v>3857</v>
      </c>
      <c r="B3072" t="str">
        <f>MID(tbl_lock[[#This Row],[PACE Job Number]],3,3)</f>
        <v>WSH</v>
      </c>
      <c r="C3072" t="s">
        <v>18</v>
      </c>
      <c r="D3072" s="1">
        <v>43434</v>
      </c>
    </row>
    <row r="3073" spans="1:4" x14ac:dyDescent="0.25">
      <c r="A3073" t="s">
        <v>143</v>
      </c>
      <c r="B3073" t="str">
        <f>MID(tbl_lock[[#This Row],[PACE Job Number]],3,3)</f>
        <v>WSH</v>
      </c>
      <c r="C3073" t="s">
        <v>18</v>
      </c>
      <c r="D3073" s="1">
        <v>43434</v>
      </c>
    </row>
    <row r="3074" spans="1:4" x14ac:dyDescent="0.25">
      <c r="A3074" t="s">
        <v>3777</v>
      </c>
      <c r="B3074" t="str">
        <f>MID(tbl_lock[[#This Row],[PACE Job Number]],3,3)</f>
        <v>WSH</v>
      </c>
      <c r="C3074" t="s">
        <v>18</v>
      </c>
      <c r="D3074" s="1">
        <v>43434</v>
      </c>
    </row>
    <row r="3075" spans="1:4" x14ac:dyDescent="0.25">
      <c r="A3075" t="s">
        <v>3858</v>
      </c>
      <c r="B3075" t="str">
        <f>MID(tbl_lock[[#This Row],[PACE Job Number]],3,3)</f>
        <v>WSH</v>
      </c>
      <c r="C3075" t="s">
        <v>18</v>
      </c>
      <c r="D3075" s="1">
        <v>43434</v>
      </c>
    </row>
    <row r="3076" spans="1:4" x14ac:dyDescent="0.25">
      <c r="A3076" t="s">
        <v>3859</v>
      </c>
      <c r="B3076" t="str">
        <f>MID(tbl_lock[[#This Row],[PACE Job Number]],3,3)</f>
        <v>WSH</v>
      </c>
      <c r="C3076" t="s">
        <v>18</v>
      </c>
      <c r="D3076" s="1">
        <v>43434</v>
      </c>
    </row>
    <row r="3077" spans="1:4" x14ac:dyDescent="0.25">
      <c r="A3077" t="s">
        <v>3861</v>
      </c>
      <c r="B3077" t="str">
        <f>MID(tbl_lock[[#This Row],[PACE Job Number]],3,3)</f>
        <v>WSH</v>
      </c>
      <c r="C3077" t="s">
        <v>18</v>
      </c>
      <c r="D3077" s="1">
        <v>43434</v>
      </c>
    </row>
    <row r="3078" spans="1:4" x14ac:dyDescent="0.25">
      <c r="A3078" t="s">
        <v>3778</v>
      </c>
      <c r="B3078" t="str">
        <f>MID(tbl_lock[[#This Row],[PACE Job Number]],3,3)</f>
        <v>WSH</v>
      </c>
      <c r="C3078" t="s">
        <v>18</v>
      </c>
      <c r="D3078" s="1">
        <v>43434</v>
      </c>
    </row>
    <row r="3079" spans="1:4" x14ac:dyDescent="0.25">
      <c r="A3079" t="s">
        <v>3862</v>
      </c>
      <c r="B3079" t="str">
        <f>MID(tbl_lock[[#This Row],[PACE Job Number]],3,3)</f>
        <v>WSH</v>
      </c>
      <c r="C3079" t="s">
        <v>18</v>
      </c>
      <c r="D3079" s="1">
        <v>43434</v>
      </c>
    </row>
    <row r="3080" spans="1:4" x14ac:dyDescent="0.25">
      <c r="A3080" t="s">
        <v>4061</v>
      </c>
      <c r="B3080" t="str">
        <f>MID(tbl_lock[[#This Row],[PACE Job Number]],3,3)</f>
        <v>NTX</v>
      </c>
      <c r="C3080" t="s">
        <v>18</v>
      </c>
      <c r="D3080" s="1">
        <v>43434</v>
      </c>
    </row>
    <row r="3081" spans="1:4" x14ac:dyDescent="0.25">
      <c r="A3081" t="s">
        <v>4290</v>
      </c>
      <c r="B3081" t="str">
        <f>MID(tbl_lock[[#This Row],[PACE Job Number]],3,3)</f>
        <v>NTX</v>
      </c>
      <c r="C3081" t="s">
        <v>18</v>
      </c>
      <c r="D3081" s="1">
        <v>43430</v>
      </c>
    </row>
    <row r="3082" spans="1:4" x14ac:dyDescent="0.25">
      <c r="A3082" t="s">
        <v>268</v>
      </c>
      <c r="B3082" t="str">
        <f>MID(tbl_lock[[#This Row],[PACE Job Number]],3,3)</f>
        <v>ANM</v>
      </c>
      <c r="C3082" t="s">
        <v>18</v>
      </c>
      <c r="D3082" s="1">
        <v>43434</v>
      </c>
    </row>
    <row r="3083" spans="1:4" x14ac:dyDescent="0.25">
      <c r="A3083" t="s">
        <v>5543</v>
      </c>
      <c r="B3083" t="str">
        <f>MID(tbl_lock[[#This Row],[PACE Job Number]],3,3)</f>
        <v>STX</v>
      </c>
      <c r="C3083" t="s">
        <v>18</v>
      </c>
      <c r="D3083" s="1">
        <v>43419</v>
      </c>
    </row>
    <row r="3084" spans="1:4" x14ac:dyDescent="0.25">
      <c r="A3084" t="s">
        <v>5544</v>
      </c>
      <c r="B3084" t="str">
        <f>MID(tbl_lock[[#This Row],[PACE Job Number]],3,3)</f>
        <v>STX</v>
      </c>
      <c r="C3084" t="s">
        <v>18</v>
      </c>
      <c r="D3084" s="1">
        <v>43419</v>
      </c>
    </row>
    <row r="3085" spans="1:4" x14ac:dyDescent="0.25">
      <c r="A3085" t="s">
        <v>33</v>
      </c>
      <c r="B3085" t="str">
        <f>MID(tbl_lock[[#This Row],[PACE Job Number]],3,3)</f>
        <v>STX</v>
      </c>
      <c r="C3085" t="s">
        <v>18</v>
      </c>
      <c r="D3085" s="1">
        <v>43432</v>
      </c>
    </row>
    <row r="3086" spans="1:4" x14ac:dyDescent="0.25">
      <c r="A3086" t="s">
        <v>30</v>
      </c>
      <c r="B3086" t="str">
        <f>MID(tbl_lock[[#This Row],[PACE Job Number]],3,3)</f>
        <v>STX</v>
      </c>
      <c r="C3086" t="s">
        <v>18</v>
      </c>
      <c r="D3086" s="1">
        <v>43432</v>
      </c>
    </row>
    <row r="3087" spans="1:4" x14ac:dyDescent="0.25">
      <c r="A3087" t="s">
        <v>253</v>
      </c>
      <c r="B3087" t="str">
        <f>MID(tbl_lock[[#This Row],[PACE Job Number]],3,3)</f>
        <v>STX</v>
      </c>
      <c r="C3087" t="s">
        <v>18</v>
      </c>
      <c r="D3087" s="1">
        <v>43434</v>
      </c>
    </row>
    <row r="3088" spans="1:4" x14ac:dyDescent="0.25">
      <c r="A3088" t="s">
        <v>4354</v>
      </c>
      <c r="B3088" t="str">
        <f>MID(tbl_lock[[#This Row],[PACE Job Number]],3,3)</f>
        <v>STX</v>
      </c>
      <c r="C3088" t="s">
        <v>18</v>
      </c>
      <c r="D3088" s="1">
        <v>43432</v>
      </c>
    </row>
    <row r="3089" spans="1:4" x14ac:dyDescent="0.25">
      <c r="A3089" t="s">
        <v>573</v>
      </c>
      <c r="B3089" t="str">
        <f>MID(tbl_lock[[#This Row],[PACE Job Number]],3,3)</f>
        <v>STX</v>
      </c>
      <c r="C3089" t="s">
        <v>18</v>
      </c>
      <c r="D3089" s="1">
        <v>43434</v>
      </c>
    </row>
    <row r="3090" spans="1:4" x14ac:dyDescent="0.25">
      <c r="A3090" t="s">
        <v>3114</v>
      </c>
      <c r="B3090" t="str">
        <f>MID(tbl_lock[[#This Row],[PACE Job Number]],3,3)</f>
        <v>STX</v>
      </c>
      <c r="C3090" t="s">
        <v>18</v>
      </c>
      <c r="D3090" s="1">
        <v>43434</v>
      </c>
    </row>
    <row r="3091" spans="1:4" x14ac:dyDescent="0.25">
      <c r="A3091" t="s">
        <v>723</v>
      </c>
      <c r="B3091" t="str">
        <f>MID(tbl_lock[[#This Row],[PACE Job Number]],3,3)</f>
        <v>STX</v>
      </c>
      <c r="C3091" t="s">
        <v>18</v>
      </c>
      <c r="D3091" s="1">
        <v>43434</v>
      </c>
    </row>
    <row r="3092" spans="1:4" x14ac:dyDescent="0.25">
      <c r="A3092" t="s">
        <v>3104</v>
      </c>
      <c r="B3092" t="str">
        <f>MID(tbl_lock[[#This Row],[PACE Job Number]],3,3)</f>
        <v>STX</v>
      </c>
      <c r="C3092" t="s">
        <v>18</v>
      </c>
      <c r="D3092" s="1">
        <v>43434</v>
      </c>
    </row>
    <row r="3093" spans="1:4" x14ac:dyDescent="0.25">
      <c r="A3093" t="s">
        <v>1705</v>
      </c>
      <c r="B3093" t="str">
        <f>MID(tbl_lock[[#This Row],[PACE Job Number]],3,3)</f>
        <v>STX</v>
      </c>
      <c r="C3093" t="s">
        <v>18</v>
      </c>
      <c r="D3093" s="1">
        <v>43434</v>
      </c>
    </row>
    <row r="3094" spans="1:4" x14ac:dyDescent="0.25">
      <c r="A3094" t="s">
        <v>5366</v>
      </c>
      <c r="B3094" t="str">
        <f>MID(tbl_lock[[#This Row],[PACE Job Number]],3,3)</f>
        <v>STX</v>
      </c>
      <c r="C3094" t="s">
        <v>18</v>
      </c>
      <c r="D3094" s="1">
        <v>43432</v>
      </c>
    </row>
    <row r="3095" spans="1:4" x14ac:dyDescent="0.25">
      <c r="A3095" t="s">
        <v>5545</v>
      </c>
      <c r="B3095" t="str">
        <f>MID(tbl_lock[[#This Row],[PACE Job Number]],3,3)</f>
        <v>STX</v>
      </c>
      <c r="C3095" t="s">
        <v>18</v>
      </c>
      <c r="D3095" s="1">
        <v>43434</v>
      </c>
    </row>
    <row r="3096" spans="1:4" x14ac:dyDescent="0.25">
      <c r="A3096" t="s">
        <v>4356</v>
      </c>
      <c r="B3096" t="str">
        <f>MID(tbl_lock[[#This Row],[PACE Job Number]],3,3)</f>
        <v>STX</v>
      </c>
      <c r="C3096" t="s">
        <v>18</v>
      </c>
      <c r="D3096" s="1">
        <v>43432</v>
      </c>
    </row>
    <row r="3097" spans="1:4" x14ac:dyDescent="0.25">
      <c r="A3097" t="s">
        <v>4357</v>
      </c>
      <c r="B3097" t="str">
        <f>MID(tbl_lock[[#This Row],[PACE Job Number]],3,3)</f>
        <v>STX</v>
      </c>
      <c r="C3097" t="s">
        <v>18</v>
      </c>
      <c r="D3097" s="1">
        <v>43434</v>
      </c>
    </row>
    <row r="3098" spans="1:4" x14ac:dyDescent="0.25">
      <c r="A3098" t="s">
        <v>312</v>
      </c>
      <c r="B3098" t="str">
        <f>MID(tbl_lock[[#This Row],[PACE Job Number]],3,3)</f>
        <v>STX</v>
      </c>
      <c r="C3098" t="s">
        <v>18</v>
      </c>
      <c r="D3098" s="1">
        <v>43434</v>
      </c>
    </row>
    <row r="3099" spans="1:4" x14ac:dyDescent="0.25">
      <c r="A3099" t="s">
        <v>287</v>
      </c>
      <c r="B3099" t="str">
        <f>MID(tbl_lock[[#This Row],[PACE Job Number]],3,3)</f>
        <v>WSH</v>
      </c>
      <c r="C3099" t="s">
        <v>18</v>
      </c>
      <c r="D3099" s="1">
        <v>43434</v>
      </c>
    </row>
    <row r="3100" spans="1:4" x14ac:dyDescent="0.25">
      <c r="A3100" t="s">
        <v>4563</v>
      </c>
      <c r="B3100" t="str">
        <f>MID(tbl_lock[[#This Row],[PACE Job Number]],3,3)</f>
        <v>NTX</v>
      </c>
      <c r="C3100" t="s">
        <v>18</v>
      </c>
      <c r="D3100" s="1">
        <v>43434</v>
      </c>
    </row>
    <row r="3101" spans="1:4" x14ac:dyDescent="0.25">
      <c r="A3101" t="s">
        <v>1611</v>
      </c>
      <c r="B3101" t="str">
        <f>MID(tbl_lock[[#This Row],[PACE Job Number]],3,3)</f>
        <v>NTX</v>
      </c>
      <c r="C3101" t="s">
        <v>18</v>
      </c>
      <c r="D3101" s="1">
        <v>43434</v>
      </c>
    </row>
    <row r="3102" spans="1:4" x14ac:dyDescent="0.25">
      <c r="A3102" t="s">
        <v>3422</v>
      </c>
      <c r="B3102" t="str">
        <f>MID(tbl_lock[[#This Row],[PACE Job Number]],3,3)</f>
        <v>NTX</v>
      </c>
      <c r="C3102" t="s">
        <v>18</v>
      </c>
      <c r="D3102" s="1">
        <v>43421</v>
      </c>
    </row>
    <row r="3103" spans="1:4" x14ac:dyDescent="0.25">
      <c r="A3103" t="s">
        <v>3498</v>
      </c>
      <c r="B3103" t="str">
        <f>MID(tbl_lock[[#This Row],[PACE Job Number]],3,3)</f>
        <v>NTX</v>
      </c>
      <c r="C3103" t="s">
        <v>18</v>
      </c>
      <c r="D3103" s="1">
        <v>43423</v>
      </c>
    </row>
    <row r="3104" spans="1:4" x14ac:dyDescent="0.25">
      <c r="A3104" t="s">
        <v>2347</v>
      </c>
      <c r="B3104" t="str">
        <f>MID(tbl_lock[[#This Row],[PACE Job Number]],3,3)</f>
        <v>NTX</v>
      </c>
      <c r="C3104" t="s">
        <v>18</v>
      </c>
      <c r="D3104" s="1">
        <v>43430</v>
      </c>
    </row>
    <row r="3105" spans="1:4" x14ac:dyDescent="0.25">
      <c r="A3105" t="s">
        <v>516</v>
      </c>
      <c r="B3105" t="str">
        <f>MID(tbl_lock[[#This Row],[PACE Job Number]],3,3)</f>
        <v>NTX</v>
      </c>
      <c r="C3105" t="s">
        <v>18</v>
      </c>
      <c r="D3105" s="1">
        <v>43416</v>
      </c>
    </row>
    <row r="3106" spans="1:4" x14ac:dyDescent="0.25">
      <c r="A3106" t="s">
        <v>781</v>
      </c>
      <c r="B3106" t="str">
        <f>MID(tbl_lock[[#This Row],[PACE Job Number]],3,3)</f>
        <v>NTX</v>
      </c>
      <c r="C3106" t="s">
        <v>18</v>
      </c>
      <c r="D3106" s="1">
        <v>43430</v>
      </c>
    </row>
    <row r="3107" spans="1:4" x14ac:dyDescent="0.25">
      <c r="A3107" t="s">
        <v>4296</v>
      </c>
      <c r="B3107" t="str">
        <f>MID(tbl_lock[[#This Row],[PACE Job Number]],3,3)</f>
        <v>NTX</v>
      </c>
      <c r="C3107" t="s">
        <v>18</v>
      </c>
      <c r="D3107" s="1">
        <v>43424</v>
      </c>
    </row>
    <row r="3108" spans="1:4" x14ac:dyDescent="0.25">
      <c r="A3108" t="s">
        <v>1757</v>
      </c>
      <c r="B3108" t="str">
        <f>MID(tbl_lock[[#This Row],[PACE Job Number]],3,3)</f>
        <v>NTX</v>
      </c>
      <c r="C3108" t="s">
        <v>18</v>
      </c>
      <c r="D3108" s="1">
        <v>43434</v>
      </c>
    </row>
    <row r="3109" spans="1:4" x14ac:dyDescent="0.25">
      <c r="A3109" t="s">
        <v>530</v>
      </c>
      <c r="B3109" t="str">
        <f>MID(tbl_lock[[#This Row],[PACE Job Number]],3,3)</f>
        <v>NTX</v>
      </c>
      <c r="C3109" t="s">
        <v>18</v>
      </c>
      <c r="D3109" s="1">
        <v>43430</v>
      </c>
    </row>
    <row r="3110" spans="1:4" x14ac:dyDescent="0.25">
      <c r="A3110" t="s">
        <v>4189</v>
      </c>
      <c r="B3110" t="str">
        <f>MID(tbl_lock[[#This Row],[PACE Job Number]],3,3)</f>
        <v>NTX</v>
      </c>
      <c r="C3110" t="s">
        <v>18</v>
      </c>
      <c r="D3110" s="1">
        <v>43430</v>
      </c>
    </row>
    <row r="3111" spans="1:4" x14ac:dyDescent="0.25">
      <c r="A3111" t="s">
        <v>2152</v>
      </c>
      <c r="B3111" t="str">
        <f>MID(tbl_lock[[#This Row],[PACE Job Number]],3,3)</f>
        <v>NTX</v>
      </c>
      <c r="C3111" t="s">
        <v>18</v>
      </c>
      <c r="D3111" s="1">
        <v>43418</v>
      </c>
    </row>
    <row r="3112" spans="1:4" x14ac:dyDescent="0.25">
      <c r="A3112" t="s">
        <v>572</v>
      </c>
      <c r="B3112" t="str">
        <f>MID(tbl_lock[[#This Row],[PACE Job Number]],3,3)</f>
        <v>NTX</v>
      </c>
      <c r="C3112" t="s">
        <v>18</v>
      </c>
      <c r="D3112" s="1">
        <v>43431</v>
      </c>
    </row>
    <row r="3113" spans="1:4" x14ac:dyDescent="0.25">
      <c r="A3113" t="s">
        <v>3434</v>
      </c>
      <c r="B3113" t="str">
        <f>MID(tbl_lock[[#This Row],[PACE Job Number]],3,3)</f>
        <v>NTX</v>
      </c>
      <c r="C3113" t="s">
        <v>18</v>
      </c>
      <c r="D3113" s="1">
        <v>43421</v>
      </c>
    </row>
    <row r="3114" spans="1:4" x14ac:dyDescent="0.25">
      <c r="A3114" t="s">
        <v>3480</v>
      </c>
      <c r="B3114" t="str">
        <f>MID(tbl_lock[[#This Row],[PACE Job Number]],3,3)</f>
        <v>NTX</v>
      </c>
      <c r="C3114" t="s">
        <v>18</v>
      </c>
      <c r="D3114" s="1">
        <v>43417</v>
      </c>
    </row>
    <row r="3115" spans="1:4" x14ac:dyDescent="0.25">
      <c r="A3115" t="s">
        <v>1879</v>
      </c>
      <c r="B3115" t="str">
        <f>MID(tbl_lock[[#This Row],[PACE Job Number]],3,3)</f>
        <v>NTX</v>
      </c>
      <c r="C3115" t="s">
        <v>18</v>
      </c>
      <c r="D3115" s="1">
        <v>43426</v>
      </c>
    </row>
    <row r="3116" spans="1:4" x14ac:dyDescent="0.25">
      <c r="A3116" t="s">
        <v>4423</v>
      </c>
      <c r="B3116" t="str">
        <f>MID(tbl_lock[[#This Row],[PACE Job Number]],3,3)</f>
        <v>NTX</v>
      </c>
      <c r="C3116" t="s">
        <v>18</v>
      </c>
      <c r="D3116" s="1">
        <v>43429</v>
      </c>
    </row>
    <row r="3117" spans="1:4" x14ac:dyDescent="0.25">
      <c r="A3117" t="s">
        <v>2494</v>
      </c>
      <c r="B3117" t="str">
        <f>MID(tbl_lock[[#This Row],[PACE Job Number]],3,3)</f>
        <v>NTX</v>
      </c>
      <c r="C3117" t="s">
        <v>18</v>
      </c>
      <c r="D3117" s="1">
        <v>43433</v>
      </c>
    </row>
    <row r="3118" spans="1:4" x14ac:dyDescent="0.25">
      <c r="A3118" t="s">
        <v>446</v>
      </c>
      <c r="B3118" t="str">
        <f>MID(tbl_lock[[#This Row],[PACE Job Number]],3,3)</f>
        <v>NTX</v>
      </c>
      <c r="C3118" t="s">
        <v>18</v>
      </c>
      <c r="D3118" s="1">
        <v>43428</v>
      </c>
    </row>
    <row r="3119" spans="1:4" x14ac:dyDescent="0.25">
      <c r="A3119" t="s">
        <v>4441</v>
      </c>
      <c r="B3119" t="str">
        <f>MID(tbl_lock[[#This Row],[PACE Job Number]],3,3)</f>
        <v>NTX</v>
      </c>
      <c r="C3119" t="s">
        <v>18</v>
      </c>
      <c r="D3119" s="1">
        <v>43430</v>
      </c>
    </row>
    <row r="3120" spans="1:4" x14ac:dyDescent="0.25">
      <c r="A3120" t="s">
        <v>4442</v>
      </c>
      <c r="B3120" t="str">
        <f>MID(tbl_lock[[#This Row],[PACE Job Number]],3,3)</f>
        <v>NTX</v>
      </c>
      <c r="C3120" t="s">
        <v>18</v>
      </c>
      <c r="D3120" s="1">
        <v>43426</v>
      </c>
    </row>
    <row r="3121" spans="1:4" x14ac:dyDescent="0.25">
      <c r="A3121" t="s">
        <v>4443</v>
      </c>
      <c r="B3121" t="str">
        <f>MID(tbl_lock[[#This Row],[PACE Job Number]],3,3)</f>
        <v>NTX</v>
      </c>
      <c r="C3121" t="s">
        <v>18</v>
      </c>
      <c r="D3121" s="1">
        <v>43430</v>
      </c>
    </row>
    <row r="3122" spans="1:4" x14ac:dyDescent="0.25">
      <c r="A3122" t="s">
        <v>4444</v>
      </c>
      <c r="B3122" t="str">
        <f>MID(tbl_lock[[#This Row],[PACE Job Number]],3,3)</f>
        <v>NTX</v>
      </c>
      <c r="C3122" t="s">
        <v>18</v>
      </c>
      <c r="D3122" s="1">
        <v>43427</v>
      </c>
    </row>
    <row r="3123" spans="1:4" x14ac:dyDescent="0.25">
      <c r="A3123" t="s">
        <v>2437</v>
      </c>
      <c r="B3123" t="str">
        <f>MID(tbl_lock[[#This Row],[PACE Job Number]],3,3)</f>
        <v>NTX</v>
      </c>
      <c r="C3123" t="s">
        <v>18</v>
      </c>
      <c r="D3123" s="1">
        <v>43433</v>
      </c>
    </row>
    <row r="3124" spans="1:4" x14ac:dyDescent="0.25">
      <c r="A3124" t="s">
        <v>4445</v>
      </c>
      <c r="B3124" t="str">
        <f>MID(tbl_lock[[#This Row],[PACE Job Number]],3,3)</f>
        <v>NTX</v>
      </c>
      <c r="C3124" t="s">
        <v>18</v>
      </c>
      <c r="D3124" s="1">
        <v>43428</v>
      </c>
    </row>
    <row r="3125" spans="1:4" x14ac:dyDescent="0.25">
      <c r="A3125" t="s">
        <v>4446</v>
      </c>
      <c r="B3125" t="str">
        <f>MID(tbl_lock[[#This Row],[PACE Job Number]],3,3)</f>
        <v>NTX</v>
      </c>
      <c r="C3125" t="s">
        <v>18</v>
      </c>
      <c r="D3125" s="1">
        <v>43430</v>
      </c>
    </row>
    <row r="3126" spans="1:4" x14ac:dyDescent="0.25">
      <c r="A3126" t="s">
        <v>783</v>
      </c>
      <c r="B3126" t="str">
        <f>MID(tbl_lock[[#This Row],[PACE Job Number]],3,3)</f>
        <v>NTX</v>
      </c>
      <c r="C3126" t="s">
        <v>18</v>
      </c>
      <c r="D3126" s="1">
        <v>43429</v>
      </c>
    </row>
    <row r="3127" spans="1:4" x14ac:dyDescent="0.25">
      <c r="A3127" t="s">
        <v>4448</v>
      </c>
      <c r="B3127" t="str">
        <f>MID(tbl_lock[[#This Row],[PACE Job Number]],3,3)</f>
        <v>NTX</v>
      </c>
      <c r="C3127" t="s">
        <v>18</v>
      </c>
      <c r="D3127" s="1">
        <v>43430</v>
      </c>
    </row>
    <row r="3128" spans="1:4" x14ac:dyDescent="0.25">
      <c r="A3128" t="s">
        <v>4449</v>
      </c>
      <c r="B3128" t="str">
        <f>MID(tbl_lock[[#This Row],[PACE Job Number]],3,3)</f>
        <v>NTX</v>
      </c>
      <c r="C3128" t="s">
        <v>18</v>
      </c>
      <c r="D3128" s="1">
        <v>43426</v>
      </c>
    </row>
    <row r="3129" spans="1:4" x14ac:dyDescent="0.25">
      <c r="A3129" t="s">
        <v>4451</v>
      </c>
      <c r="B3129" t="str">
        <f>MID(tbl_lock[[#This Row],[PACE Job Number]],3,3)</f>
        <v>NTX</v>
      </c>
      <c r="C3129" t="s">
        <v>18</v>
      </c>
      <c r="D3129" s="1">
        <v>43430</v>
      </c>
    </row>
    <row r="3130" spans="1:4" x14ac:dyDescent="0.25">
      <c r="A3130" t="s">
        <v>5374</v>
      </c>
      <c r="B3130" t="str">
        <f>MID(tbl_lock[[#This Row],[PACE Job Number]],3,3)</f>
        <v>NTX</v>
      </c>
      <c r="C3130" t="s">
        <v>18</v>
      </c>
      <c r="D3130" s="1">
        <v>43433</v>
      </c>
    </row>
    <row r="3131" spans="1:4" x14ac:dyDescent="0.25">
      <c r="A3131" t="s">
        <v>230</v>
      </c>
      <c r="B3131" t="str">
        <f>MID(tbl_lock[[#This Row],[PACE Job Number]],3,3)</f>
        <v>NTX</v>
      </c>
      <c r="C3131" t="s">
        <v>18</v>
      </c>
      <c r="D3131" s="1">
        <v>43418</v>
      </c>
    </row>
    <row r="3132" spans="1:4" x14ac:dyDescent="0.25">
      <c r="A3132" t="s">
        <v>4276</v>
      </c>
      <c r="B3132" t="str">
        <f>MID(tbl_lock[[#This Row],[PACE Job Number]],3,3)</f>
        <v>NTX</v>
      </c>
      <c r="C3132" t="s">
        <v>18</v>
      </c>
      <c r="D3132" s="1">
        <v>43427</v>
      </c>
    </row>
    <row r="3133" spans="1:4" x14ac:dyDescent="0.25">
      <c r="A3133" t="s">
        <v>5490</v>
      </c>
      <c r="B3133" t="str">
        <f>MID(tbl_lock[[#This Row],[PACE Job Number]],3,3)</f>
        <v>NTX</v>
      </c>
      <c r="C3133" t="s">
        <v>18</v>
      </c>
      <c r="D3133" s="1">
        <v>43433</v>
      </c>
    </row>
    <row r="3134" spans="1:4" x14ac:dyDescent="0.25">
      <c r="A3134" t="s">
        <v>5375</v>
      </c>
      <c r="B3134" t="str">
        <f>MID(tbl_lock[[#This Row],[PACE Job Number]],3,3)</f>
        <v>NTX</v>
      </c>
      <c r="C3134" t="s">
        <v>18</v>
      </c>
      <c r="D3134" s="1">
        <v>43433</v>
      </c>
    </row>
    <row r="3135" spans="1:4" x14ac:dyDescent="0.25">
      <c r="A3135" t="s">
        <v>4587</v>
      </c>
      <c r="B3135" t="str">
        <f>MID(tbl_lock[[#This Row],[PACE Job Number]],3,3)</f>
        <v>NTX</v>
      </c>
      <c r="C3135" t="s">
        <v>18</v>
      </c>
      <c r="D3135" s="1">
        <v>43434</v>
      </c>
    </row>
    <row r="3136" spans="1:4" x14ac:dyDescent="0.25">
      <c r="A3136" t="s">
        <v>392</v>
      </c>
      <c r="B3136" t="str">
        <f>MID(tbl_lock[[#This Row],[PACE Job Number]],3,3)</f>
        <v>NTX</v>
      </c>
      <c r="C3136" t="s">
        <v>18</v>
      </c>
      <c r="D3136" s="1">
        <v>43414</v>
      </c>
    </row>
    <row r="3137" spans="1:4" x14ac:dyDescent="0.25">
      <c r="A3137" t="s">
        <v>5376</v>
      </c>
      <c r="B3137" t="str">
        <f>MID(tbl_lock[[#This Row],[PACE Job Number]],3,3)</f>
        <v>NTX</v>
      </c>
      <c r="C3137" t="s">
        <v>18</v>
      </c>
      <c r="D3137" s="1">
        <v>43433</v>
      </c>
    </row>
    <row r="3138" spans="1:4" x14ac:dyDescent="0.25">
      <c r="A3138" t="s">
        <v>4588</v>
      </c>
      <c r="B3138" t="str">
        <f>MID(tbl_lock[[#This Row],[PACE Job Number]],3,3)</f>
        <v>NTX</v>
      </c>
      <c r="C3138" t="s">
        <v>18</v>
      </c>
      <c r="D3138" s="1">
        <v>43434</v>
      </c>
    </row>
    <row r="3139" spans="1:4" x14ac:dyDescent="0.25">
      <c r="A3139" t="s">
        <v>5492</v>
      </c>
      <c r="B3139" t="str">
        <f>MID(tbl_lock[[#This Row],[PACE Job Number]],3,3)</f>
        <v>NTX</v>
      </c>
      <c r="C3139" t="s">
        <v>18</v>
      </c>
      <c r="D3139" s="1">
        <v>43433</v>
      </c>
    </row>
    <row r="3140" spans="1:4" x14ac:dyDescent="0.25">
      <c r="A3140" t="s">
        <v>4277</v>
      </c>
      <c r="B3140" t="str">
        <f>MID(tbl_lock[[#This Row],[PACE Job Number]],3,3)</f>
        <v>NTX</v>
      </c>
      <c r="C3140" t="s">
        <v>18</v>
      </c>
      <c r="D3140" s="1">
        <v>43427</v>
      </c>
    </row>
    <row r="3141" spans="1:4" x14ac:dyDescent="0.25">
      <c r="A3141" t="s">
        <v>4452</v>
      </c>
      <c r="B3141" t="str">
        <f>MID(tbl_lock[[#This Row],[PACE Job Number]],3,3)</f>
        <v>NTX</v>
      </c>
      <c r="C3141" t="s">
        <v>18</v>
      </c>
      <c r="D3141" s="1">
        <v>43433</v>
      </c>
    </row>
    <row r="3142" spans="1:4" x14ac:dyDescent="0.25">
      <c r="A3142" t="s">
        <v>5378</v>
      </c>
      <c r="B3142" t="str">
        <f>MID(tbl_lock[[#This Row],[PACE Job Number]],3,3)</f>
        <v>NTX</v>
      </c>
      <c r="C3142" t="s">
        <v>18</v>
      </c>
      <c r="D3142" s="1">
        <v>43433</v>
      </c>
    </row>
    <row r="3143" spans="1:4" x14ac:dyDescent="0.25">
      <c r="A3143" t="s">
        <v>4453</v>
      </c>
      <c r="B3143" t="str">
        <f>MID(tbl_lock[[#This Row],[PACE Job Number]],3,3)</f>
        <v>NTX</v>
      </c>
      <c r="C3143" t="s">
        <v>18</v>
      </c>
      <c r="D3143" s="1">
        <v>43430</v>
      </c>
    </row>
    <row r="3144" spans="1:4" x14ac:dyDescent="0.25">
      <c r="A3144" t="s">
        <v>4454</v>
      </c>
      <c r="B3144" t="str">
        <f>MID(tbl_lock[[#This Row],[PACE Job Number]],3,3)</f>
        <v>NTX</v>
      </c>
      <c r="C3144" t="s">
        <v>18</v>
      </c>
      <c r="D3144" s="1">
        <v>43427</v>
      </c>
    </row>
    <row r="3145" spans="1:4" x14ac:dyDescent="0.25">
      <c r="A3145" t="s">
        <v>3896</v>
      </c>
      <c r="B3145" t="str">
        <f>MID(tbl_lock[[#This Row],[PACE Job Number]],3,3)</f>
        <v>NTX</v>
      </c>
      <c r="C3145" t="s">
        <v>18</v>
      </c>
      <c r="D3145" s="1">
        <v>43434</v>
      </c>
    </row>
    <row r="3146" spans="1:4" x14ac:dyDescent="0.25">
      <c r="A3146" t="s">
        <v>4455</v>
      </c>
      <c r="B3146" t="str">
        <f>MID(tbl_lock[[#This Row],[PACE Job Number]],3,3)</f>
        <v>NTX</v>
      </c>
      <c r="C3146" t="s">
        <v>18</v>
      </c>
      <c r="D3146" s="1">
        <v>43433</v>
      </c>
    </row>
    <row r="3147" spans="1:4" x14ac:dyDescent="0.25">
      <c r="A3147" t="s">
        <v>435</v>
      </c>
      <c r="B3147" t="str">
        <f>MID(tbl_lock[[#This Row],[PACE Job Number]],3,3)</f>
        <v>NTX</v>
      </c>
      <c r="C3147" t="s">
        <v>18</v>
      </c>
      <c r="D3147" s="1">
        <v>43414</v>
      </c>
    </row>
    <row r="3148" spans="1:4" x14ac:dyDescent="0.25">
      <c r="A3148" t="s">
        <v>4456</v>
      </c>
      <c r="B3148" t="str">
        <f>MID(tbl_lock[[#This Row],[PACE Job Number]],3,3)</f>
        <v>NTX</v>
      </c>
      <c r="C3148" t="s">
        <v>18</v>
      </c>
      <c r="D3148" s="1">
        <v>43427</v>
      </c>
    </row>
    <row r="3149" spans="1:4" x14ac:dyDescent="0.25">
      <c r="A3149" t="s">
        <v>5384</v>
      </c>
      <c r="B3149" t="str">
        <f>MID(tbl_lock[[#This Row],[PACE Job Number]],3,3)</f>
        <v>NTX</v>
      </c>
      <c r="C3149" t="s">
        <v>18</v>
      </c>
      <c r="D3149" s="1">
        <v>43433</v>
      </c>
    </row>
    <row r="3150" spans="1:4" x14ac:dyDescent="0.25">
      <c r="A3150" t="s">
        <v>3459</v>
      </c>
      <c r="B3150" t="str">
        <f>MID(tbl_lock[[#This Row],[PACE Job Number]],3,3)</f>
        <v>NTX</v>
      </c>
      <c r="C3150" t="s">
        <v>18</v>
      </c>
      <c r="D3150" s="1">
        <v>43414</v>
      </c>
    </row>
    <row r="3151" spans="1:4" x14ac:dyDescent="0.25">
      <c r="A3151" t="s">
        <v>3473</v>
      </c>
      <c r="B3151" t="str">
        <f>MID(tbl_lock[[#This Row],[PACE Job Number]],3,3)</f>
        <v>NTX</v>
      </c>
      <c r="C3151" t="s">
        <v>18</v>
      </c>
      <c r="D3151" s="1">
        <v>43431</v>
      </c>
    </row>
    <row r="3152" spans="1:4" x14ac:dyDescent="0.25">
      <c r="A3152" t="s">
        <v>4457</v>
      </c>
      <c r="B3152" t="str">
        <f>MID(tbl_lock[[#This Row],[PACE Job Number]],3,3)</f>
        <v>NTX</v>
      </c>
      <c r="C3152" t="s">
        <v>18</v>
      </c>
      <c r="D3152" s="1">
        <v>43427</v>
      </c>
    </row>
    <row r="3153" spans="1:4" x14ac:dyDescent="0.25">
      <c r="A3153" t="s">
        <v>3897</v>
      </c>
      <c r="B3153" t="str">
        <f>MID(tbl_lock[[#This Row],[PACE Job Number]],3,3)</f>
        <v>NTX</v>
      </c>
      <c r="C3153" t="s">
        <v>18</v>
      </c>
      <c r="D3153" s="1">
        <v>43426</v>
      </c>
    </row>
    <row r="3154" spans="1:4" x14ac:dyDescent="0.25">
      <c r="A3154" t="s">
        <v>4458</v>
      </c>
      <c r="B3154" t="str">
        <f>MID(tbl_lock[[#This Row],[PACE Job Number]],3,3)</f>
        <v>NTX</v>
      </c>
      <c r="C3154" t="s">
        <v>18</v>
      </c>
      <c r="D3154" s="1">
        <v>43432</v>
      </c>
    </row>
    <row r="3155" spans="1:4" x14ac:dyDescent="0.25">
      <c r="A3155" t="s">
        <v>4459</v>
      </c>
      <c r="B3155" t="str">
        <f>MID(tbl_lock[[#This Row],[PACE Job Number]],3,3)</f>
        <v>NTX</v>
      </c>
      <c r="C3155" t="s">
        <v>18</v>
      </c>
      <c r="D3155" s="1">
        <v>43426</v>
      </c>
    </row>
    <row r="3156" spans="1:4" x14ac:dyDescent="0.25">
      <c r="A3156" t="s">
        <v>3375</v>
      </c>
      <c r="B3156" t="str">
        <f>MID(tbl_lock[[#This Row],[PACE Job Number]],3,3)</f>
        <v>NTX</v>
      </c>
      <c r="C3156" t="s">
        <v>18</v>
      </c>
      <c r="D3156" s="1">
        <v>43416</v>
      </c>
    </row>
    <row r="3157" spans="1:4" x14ac:dyDescent="0.25">
      <c r="A3157" t="s">
        <v>338</v>
      </c>
      <c r="B3157" t="str">
        <f>MID(tbl_lock[[#This Row],[PACE Job Number]],3,3)</f>
        <v>NTX</v>
      </c>
      <c r="C3157" t="s">
        <v>18</v>
      </c>
      <c r="D3157" s="1">
        <v>43429</v>
      </c>
    </row>
    <row r="3158" spans="1:4" x14ac:dyDescent="0.25">
      <c r="A3158" t="s">
        <v>4461</v>
      </c>
      <c r="B3158" t="str">
        <f>MID(tbl_lock[[#This Row],[PACE Job Number]],3,3)</f>
        <v>NTX</v>
      </c>
      <c r="C3158" t="s">
        <v>18</v>
      </c>
      <c r="D3158" s="1">
        <v>43426</v>
      </c>
    </row>
    <row r="3159" spans="1:4" x14ac:dyDescent="0.25">
      <c r="A3159" t="s">
        <v>342</v>
      </c>
      <c r="B3159" t="str">
        <f>MID(tbl_lock[[#This Row],[PACE Job Number]],3,3)</f>
        <v>NTX</v>
      </c>
      <c r="C3159" t="s">
        <v>18</v>
      </c>
      <c r="D3159" s="1">
        <v>43430</v>
      </c>
    </row>
    <row r="3160" spans="1:4" x14ac:dyDescent="0.25">
      <c r="A3160" t="s">
        <v>4168</v>
      </c>
      <c r="B3160" t="str">
        <f>MID(tbl_lock[[#This Row],[PACE Job Number]],3,3)</f>
        <v>NTX</v>
      </c>
      <c r="C3160" t="s">
        <v>18</v>
      </c>
      <c r="D3160" s="1">
        <v>43433</v>
      </c>
    </row>
    <row r="3161" spans="1:4" x14ac:dyDescent="0.25">
      <c r="A3161" t="s">
        <v>2448</v>
      </c>
      <c r="B3161" t="str">
        <f>MID(tbl_lock[[#This Row],[PACE Job Number]],3,3)</f>
        <v>NTX</v>
      </c>
      <c r="C3161" t="s">
        <v>18</v>
      </c>
      <c r="D3161" s="1">
        <v>43426</v>
      </c>
    </row>
    <row r="3162" spans="1:4" x14ac:dyDescent="0.25">
      <c r="A3162" t="s">
        <v>471</v>
      </c>
      <c r="B3162" t="str">
        <f>MID(tbl_lock[[#This Row],[PACE Job Number]],3,3)</f>
        <v>NTX</v>
      </c>
      <c r="C3162" t="s">
        <v>18</v>
      </c>
      <c r="D3162" s="1">
        <v>43430</v>
      </c>
    </row>
    <row r="3163" spans="1:4" x14ac:dyDescent="0.25">
      <c r="A3163" t="s">
        <v>4418</v>
      </c>
      <c r="B3163" t="str">
        <f>MID(tbl_lock[[#This Row],[PACE Job Number]],3,3)</f>
        <v>NTX</v>
      </c>
      <c r="C3163" t="s">
        <v>18</v>
      </c>
      <c r="D3163" s="1">
        <v>43434</v>
      </c>
    </row>
    <row r="3164" spans="1:4" x14ac:dyDescent="0.25">
      <c r="A3164" t="s">
        <v>768</v>
      </c>
      <c r="B3164" t="str">
        <f>MID(tbl_lock[[#This Row],[PACE Job Number]],3,3)</f>
        <v>NTX</v>
      </c>
      <c r="C3164" t="s">
        <v>18</v>
      </c>
      <c r="D3164" s="1">
        <v>43434</v>
      </c>
    </row>
    <row r="3165" spans="1:4" x14ac:dyDescent="0.25">
      <c r="A3165" t="s">
        <v>5389</v>
      </c>
      <c r="B3165" t="str">
        <f>MID(tbl_lock[[#This Row],[PACE Job Number]],3,3)</f>
        <v>NTX</v>
      </c>
      <c r="C3165" t="s">
        <v>18</v>
      </c>
      <c r="D3165" s="1">
        <v>43433</v>
      </c>
    </row>
    <row r="3166" spans="1:4" x14ac:dyDescent="0.25">
      <c r="A3166" t="s">
        <v>4419</v>
      </c>
      <c r="B3166" t="str">
        <f>MID(tbl_lock[[#This Row],[PACE Job Number]],3,3)</f>
        <v>NTX</v>
      </c>
      <c r="C3166" t="s">
        <v>18</v>
      </c>
      <c r="D3166" s="1">
        <v>43427</v>
      </c>
    </row>
    <row r="3167" spans="1:4" x14ac:dyDescent="0.25">
      <c r="A3167" t="s">
        <v>3969</v>
      </c>
      <c r="B3167" t="str">
        <f>MID(tbl_lock[[#This Row],[PACE Job Number]],3,3)</f>
        <v>NTX</v>
      </c>
      <c r="C3167" t="s">
        <v>18</v>
      </c>
      <c r="D3167" s="1">
        <v>43426</v>
      </c>
    </row>
    <row r="3168" spans="1:4" x14ac:dyDescent="0.25">
      <c r="A3168" t="s">
        <v>1891</v>
      </c>
      <c r="B3168" t="str">
        <f>MID(tbl_lock[[#This Row],[PACE Job Number]],3,3)</f>
        <v>NTX</v>
      </c>
      <c r="C3168" t="s">
        <v>18</v>
      </c>
      <c r="D3168" s="1">
        <v>43428</v>
      </c>
    </row>
    <row r="3169" spans="1:4" x14ac:dyDescent="0.25">
      <c r="A3169" t="s">
        <v>3506</v>
      </c>
      <c r="B3169" t="str">
        <f>MID(tbl_lock[[#This Row],[PACE Job Number]],3,3)</f>
        <v>NTX</v>
      </c>
      <c r="C3169" t="s">
        <v>18</v>
      </c>
      <c r="D3169" s="1">
        <v>43431</v>
      </c>
    </row>
    <row r="3170" spans="1:4" x14ac:dyDescent="0.25">
      <c r="A3170" t="s">
        <v>4433</v>
      </c>
      <c r="B3170" t="str">
        <f>MID(tbl_lock[[#This Row],[PACE Job Number]],3,3)</f>
        <v>NTX</v>
      </c>
      <c r="C3170" t="s">
        <v>18</v>
      </c>
      <c r="D3170" s="1">
        <v>43418</v>
      </c>
    </row>
    <row r="3171" spans="1:4" x14ac:dyDescent="0.25">
      <c r="A3171" t="s">
        <v>2146</v>
      </c>
      <c r="B3171" t="str">
        <f>MID(tbl_lock[[#This Row],[PACE Job Number]],3,3)</f>
        <v>NTX</v>
      </c>
      <c r="C3171" t="s">
        <v>18</v>
      </c>
      <c r="D3171" s="1">
        <v>43426</v>
      </c>
    </row>
    <row r="3172" spans="1:4" x14ac:dyDescent="0.25">
      <c r="A3172" t="s">
        <v>3886</v>
      </c>
      <c r="B3172" t="str">
        <f>MID(tbl_lock[[#This Row],[PACE Job Number]],3,3)</f>
        <v>NTX</v>
      </c>
      <c r="C3172" t="s">
        <v>18</v>
      </c>
      <c r="D3172" s="1">
        <v>43415</v>
      </c>
    </row>
    <row r="3173" spans="1:4" x14ac:dyDescent="0.25">
      <c r="A3173" t="s">
        <v>4434</v>
      </c>
      <c r="B3173" t="str">
        <f>MID(tbl_lock[[#This Row],[PACE Job Number]],3,3)</f>
        <v>NTX</v>
      </c>
      <c r="C3173" t="s">
        <v>18</v>
      </c>
      <c r="D3173" s="1">
        <v>43418</v>
      </c>
    </row>
    <row r="3174" spans="1:4" x14ac:dyDescent="0.25">
      <c r="A3174" t="s">
        <v>3376</v>
      </c>
      <c r="B3174" t="str">
        <f>MID(tbl_lock[[#This Row],[PACE Job Number]],3,3)</f>
        <v>NTX</v>
      </c>
      <c r="C3174" t="s">
        <v>18</v>
      </c>
      <c r="D3174" s="1">
        <v>43426</v>
      </c>
    </row>
    <row r="3175" spans="1:4" x14ac:dyDescent="0.25">
      <c r="A3175" t="s">
        <v>2147</v>
      </c>
      <c r="B3175" t="str">
        <f>MID(tbl_lock[[#This Row],[PACE Job Number]],3,3)</f>
        <v>NTX</v>
      </c>
      <c r="C3175" t="s">
        <v>18</v>
      </c>
      <c r="D3175" s="1">
        <v>43427</v>
      </c>
    </row>
    <row r="3176" spans="1:4" x14ac:dyDescent="0.25">
      <c r="A3176" t="s">
        <v>231</v>
      </c>
      <c r="B3176" t="str">
        <f>MID(tbl_lock[[#This Row],[PACE Job Number]],3,3)</f>
        <v>NTX</v>
      </c>
      <c r="C3176" t="s">
        <v>18</v>
      </c>
      <c r="D3176" s="1">
        <v>43412</v>
      </c>
    </row>
    <row r="3177" spans="1:4" x14ac:dyDescent="0.25">
      <c r="A3177" t="s">
        <v>3378</v>
      </c>
      <c r="B3177" t="str">
        <f>MID(tbl_lock[[#This Row],[PACE Job Number]],3,3)</f>
        <v>NTX</v>
      </c>
      <c r="C3177" t="s">
        <v>18</v>
      </c>
      <c r="D3177" s="1">
        <v>43426</v>
      </c>
    </row>
    <row r="3178" spans="1:4" x14ac:dyDescent="0.25">
      <c r="A3178" t="s">
        <v>4435</v>
      </c>
      <c r="B3178" t="str">
        <f>MID(tbl_lock[[#This Row],[PACE Job Number]],3,3)</f>
        <v>NTX</v>
      </c>
      <c r="C3178" t="s">
        <v>18</v>
      </c>
      <c r="D3178" s="1">
        <v>43426</v>
      </c>
    </row>
    <row r="3179" spans="1:4" x14ac:dyDescent="0.25">
      <c r="A3179" t="s">
        <v>3486</v>
      </c>
      <c r="B3179" t="str">
        <f>MID(tbl_lock[[#This Row],[PACE Job Number]],3,3)</f>
        <v>NTX</v>
      </c>
      <c r="C3179" t="s">
        <v>18</v>
      </c>
      <c r="D3179" s="1">
        <v>43412</v>
      </c>
    </row>
    <row r="3180" spans="1:4" x14ac:dyDescent="0.25">
      <c r="A3180" t="s">
        <v>4551</v>
      </c>
      <c r="B3180" t="str">
        <f>MID(tbl_lock[[#This Row],[PACE Job Number]],3,3)</f>
        <v>NTX</v>
      </c>
      <c r="C3180" t="s">
        <v>18</v>
      </c>
      <c r="D3180" s="1">
        <v>43416</v>
      </c>
    </row>
    <row r="3181" spans="1:4" x14ac:dyDescent="0.25">
      <c r="A3181" t="s">
        <v>3970</v>
      </c>
      <c r="B3181" t="str">
        <f>MID(tbl_lock[[#This Row],[PACE Job Number]],3,3)</f>
        <v>NTX</v>
      </c>
      <c r="C3181" t="s">
        <v>18</v>
      </c>
      <c r="D3181" s="1">
        <v>43427</v>
      </c>
    </row>
    <row r="3182" spans="1:4" x14ac:dyDescent="0.25">
      <c r="A3182" t="s">
        <v>4436</v>
      </c>
      <c r="B3182" t="str">
        <f>MID(tbl_lock[[#This Row],[PACE Job Number]],3,3)</f>
        <v>NTX</v>
      </c>
      <c r="C3182" t="s">
        <v>18</v>
      </c>
      <c r="D3182" s="1">
        <v>43433</v>
      </c>
    </row>
    <row r="3183" spans="1:4" x14ac:dyDescent="0.25">
      <c r="A3183" t="s">
        <v>132</v>
      </c>
      <c r="B3183" t="str">
        <f>MID(tbl_lock[[#This Row],[PACE Job Number]],3,3)</f>
        <v>NTX</v>
      </c>
      <c r="C3183" t="s">
        <v>18</v>
      </c>
      <c r="D3183" s="1">
        <v>43428</v>
      </c>
    </row>
    <row r="3184" spans="1:4" x14ac:dyDescent="0.25">
      <c r="A3184" t="s">
        <v>2148</v>
      </c>
      <c r="B3184" t="str">
        <f>MID(tbl_lock[[#This Row],[PACE Job Number]],3,3)</f>
        <v>NTX</v>
      </c>
      <c r="C3184" t="s">
        <v>18</v>
      </c>
      <c r="D3184" s="1">
        <v>43426</v>
      </c>
    </row>
    <row r="3185" spans="1:4" x14ac:dyDescent="0.25">
      <c r="A3185" t="s">
        <v>3503</v>
      </c>
      <c r="B3185" t="str">
        <f>MID(tbl_lock[[#This Row],[PACE Job Number]],3,3)</f>
        <v>NTX</v>
      </c>
      <c r="C3185" t="s">
        <v>18</v>
      </c>
      <c r="D3185" s="1">
        <v>43426</v>
      </c>
    </row>
    <row r="3186" spans="1:4" x14ac:dyDescent="0.25">
      <c r="A3186" t="s">
        <v>1892</v>
      </c>
      <c r="B3186" t="str">
        <f>MID(tbl_lock[[#This Row],[PACE Job Number]],3,3)</f>
        <v>NTX</v>
      </c>
      <c r="C3186" t="s">
        <v>18</v>
      </c>
      <c r="D3186" s="1">
        <v>43428</v>
      </c>
    </row>
    <row r="3187" spans="1:4" x14ac:dyDescent="0.25">
      <c r="A3187" t="s">
        <v>3501</v>
      </c>
      <c r="B3187" t="str">
        <f>MID(tbl_lock[[#This Row],[PACE Job Number]],3,3)</f>
        <v>NTX</v>
      </c>
      <c r="C3187" t="s">
        <v>18</v>
      </c>
      <c r="D3187" s="1">
        <v>43426</v>
      </c>
    </row>
    <row r="3188" spans="1:4" x14ac:dyDescent="0.25">
      <c r="A3188" t="s">
        <v>3481</v>
      </c>
      <c r="B3188" t="str">
        <f>MID(tbl_lock[[#This Row],[PACE Job Number]],3,3)</f>
        <v>NTX</v>
      </c>
      <c r="C3188" t="s">
        <v>18</v>
      </c>
      <c r="D3188" s="1">
        <v>43426</v>
      </c>
    </row>
    <row r="3189" spans="1:4" x14ac:dyDescent="0.25">
      <c r="A3189" t="s">
        <v>4437</v>
      </c>
      <c r="B3189" t="str">
        <f>MID(tbl_lock[[#This Row],[PACE Job Number]],3,3)</f>
        <v>NTX</v>
      </c>
      <c r="C3189" t="s">
        <v>18</v>
      </c>
      <c r="D3189" s="1">
        <v>43426</v>
      </c>
    </row>
    <row r="3190" spans="1:4" x14ac:dyDescent="0.25">
      <c r="A3190" t="s">
        <v>3489</v>
      </c>
      <c r="B3190" t="str">
        <f>MID(tbl_lock[[#This Row],[PACE Job Number]],3,3)</f>
        <v>NTX</v>
      </c>
      <c r="C3190" t="s">
        <v>18</v>
      </c>
      <c r="D3190" s="1">
        <v>43412</v>
      </c>
    </row>
    <row r="3191" spans="1:4" x14ac:dyDescent="0.25">
      <c r="A3191" t="s">
        <v>4438</v>
      </c>
      <c r="B3191" t="str">
        <f>MID(tbl_lock[[#This Row],[PACE Job Number]],3,3)</f>
        <v>NTX</v>
      </c>
      <c r="C3191" t="s">
        <v>18</v>
      </c>
      <c r="D3191" s="1">
        <v>43426</v>
      </c>
    </row>
    <row r="3192" spans="1:4" x14ac:dyDescent="0.25">
      <c r="A3192" t="s">
        <v>4439</v>
      </c>
      <c r="B3192" t="str">
        <f>MID(tbl_lock[[#This Row],[PACE Job Number]],3,3)</f>
        <v>NTX</v>
      </c>
      <c r="C3192" t="s">
        <v>18</v>
      </c>
      <c r="D3192" s="1">
        <v>43423</v>
      </c>
    </row>
    <row r="3193" spans="1:4" x14ac:dyDescent="0.25">
      <c r="A3193" t="s">
        <v>124</v>
      </c>
      <c r="B3193" t="str">
        <f>MID(tbl_lock[[#This Row],[PACE Job Number]],3,3)</f>
        <v>NTX</v>
      </c>
      <c r="C3193" t="s">
        <v>18</v>
      </c>
      <c r="D3193" s="1">
        <v>43430</v>
      </c>
    </row>
    <row r="3194" spans="1:4" x14ac:dyDescent="0.25">
      <c r="A3194" t="s">
        <v>3451</v>
      </c>
      <c r="B3194" t="str">
        <f>MID(tbl_lock[[#This Row],[PACE Job Number]],3,3)</f>
        <v>NTX</v>
      </c>
      <c r="C3194" t="s">
        <v>18</v>
      </c>
      <c r="D3194" s="1">
        <v>43421</v>
      </c>
    </row>
    <row r="3195" spans="1:4" x14ac:dyDescent="0.25">
      <c r="A3195" t="s">
        <v>3892</v>
      </c>
      <c r="B3195" t="str">
        <f>MID(tbl_lock[[#This Row],[PACE Job Number]],3,3)</f>
        <v>NTX</v>
      </c>
      <c r="C3195" t="s">
        <v>18</v>
      </c>
      <c r="D3195" s="1">
        <v>43415</v>
      </c>
    </row>
    <row r="3196" spans="1:4" x14ac:dyDescent="0.25">
      <c r="A3196" t="s">
        <v>281</v>
      </c>
      <c r="B3196" t="str">
        <f>MID(tbl_lock[[#This Row],[PACE Job Number]],3,3)</f>
        <v>NTX</v>
      </c>
      <c r="C3196" t="s">
        <v>18</v>
      </c>
      <c r="D3196" s="1">
        <v>43412</v>
      </c>
    </row>
    <row r="3197" spans="1:4" x14ac:dyDescent="0.25">
      <c r="A3197" t="s">
        <v>1731</v>
      </c>
      <c r="B3197" t="str">
        <f>MID(tbl_lock[[#This Row],[PACE Job Number]],3,3)</f>
        <v>NTX</v>
      </c>
      <c r="C3197" t="s">
        <v>18</v>
      </c>
      <c r="D3197" s="1">
        <v>43432</v>
      </c>
    </row>
    <row r="3198" spans="1:4" x14ac:dyDescent="0.25">
      <c r="A3198" t="s">
        <v>3499</v>
      </c>
      <c r="B3198" t="str">
        <f>MID(tbl_lock[[#This Row],[PACE Job Number]],3,3)</f>
        <v>NTX</v>
      </c>
      <c r="C3198" t="s">
        <v>18</v>
      </c>
      <c r="D3198" s="1">
        <v>43426</v>
      </c>
    </row>
    <row r="3199" spans="1:4" x14ac:dyDescent="0.25">
      <c r="A3199" t="s">
        <v>3389</v>
      </c>
      <c r="B3199" t="str">
        <f>MID(tbl_lock[[#This Row],[PACE Job Number]],3,3)</f>
        <v>NTX</v>
      </c>
      <c r="C3199" t="s">
        <v>18</v>
      </c>
      <c r="D3199" s="1">
        <v>43426</v>
      </c>
    </row>
    <row r="3200" spans="1:4" x14ac:dyDescent="0.25">
      <c r="A3200" t="s">
        <v>1893</v>
      </c>
      <c r="B3200" t="str">
        <f>MID(tbl_lock[[#This Row],[PACE Job Number]],3,3)</f>
        <v>NTX</v>
      </c>
      <c r="C3200" t="s">
        <v>18</v>
      </c>
      <c r="D3200" s="1">
        <v>43428</v>
      </c>
    </row>
    <row r="3201" spans="1:4" x14ac:dyDescent="0.25">
      <c r="A3201" t="s">
        <v>1894</v>
      </c>
      <c r="B3201" t="str">
        <f>MID(tbl_lock[[#This Row],[PACE Job Number]],3,3)</f>
        <v>NTX</v>
      </c>
      <c r="C3201" t="s">
        <v>18</v>
      </c>
      <c r="D3201" s="1">
        <v>43428</v>
      </c>
    </row>
    <row r="3202" spans="1:4" x14ac:dyDescent="0.25">
      <c r="A3202" t="s">
        <v>4440</v>
      </c>
      <c r="B3202" t="str">
        <f>MID(tbl_lock[[#This Row],[PACE Job Number]],3,3)</f>
        <v>NTX</v>
      </c>
      <c r="C3202" t="s">
        <v>18</v>
      </c>
      <c r="D3202" s="1">
        <v>43426</v>
      </c>
    </row>
    <row r="3203" spans="1:4" x14ac:dyDescent="0.25">
      <c r="A3203" t="s">
        <v>5399</v>
      </c>
      <c r="B3203" t="str">
        <f>MID(tbl_lock[[#This Row],[PACE Job Number]],3,3)</f>
        <v>NTX</v>
      </c>
      <c r="C3203" t="s">
        <v>18</v>
      </c>
      <c r="D3203" s="1">
        <v>43433</v>
      </c>
    </row>
    <row r="3204" spans="1:4" x14ac:dyDescent="0.25">
      <c r="A3204" t="s">
        <v>2150</v>
      </c>
      <c r="B3204" t="str">
        <f>MID(tbl_lock[[#This Row],[PACE Job Number]],3,3)</f>
        <v>NTX</v>
      </c>
      <c r="C3204" t="s">
        <v>18</v>
      </c>
      <c r="D3204" s="1">
        <v>43422</v>
      </c>
    </row>
    <row r="3205" spans="1:4" x14ac:dyDescent="0.25">
      <c r="A3205" t="s">
        <v>2151</v>
      </c>
      <c r="B3205" t="str">
        <f>MID(tbl_lock[[#This Row],[PACE Job Number]],3,3)</f>
        <v>NTX</v>
      </c>
      <c r="C3205" t="s">
        <v>18</v>
      </c>
      <c r="D3205" s="1">
        <v>43422</v>
      </c>
    </row>
    <row r="3206" spans="1:4" x14ac:dyDescent="0.25">
      <c r="A3206" t="s">
        <v>47</v>
      </c>
      <c r="B3206" t="str">
        <f>MID(tbl_lock[[#This Row],[PACE Job Number]],3,3)</f>
        <v>NTX</v>
      </c>
      <c r="C3206" t="s">
        <v>18</v>
      </c>
      <c r="D3206" s="1">
        <v>43414</v>
      </c>
    </row>
    <row r="3207" spans="1:4" x14ac:dyDescent="0.25">
      <c r="A3207" t="s">
        <v>3497</v>
      </c>
      <c r="B3207" t="str">
        <f>MID(tbl_lock[[#This Row],[PACE Job Number]],3,3)</f>
        <v>NTX</v>
      </c>
      <c r="C3207" t="s">
        <v>18</v>
      </c>
      <c r="D3207" s="1">
        <v>43426</v>
      </c>
    </row>
    <row r="3208" spans="1:4" x14ac:dyDescent="0.25">
      <c r="A3208" t="s">
        <v>3507</v>
      </c>
      <c r="B3208" t="str">
        <f>MID(tbl_lock[[#This Row],[PACE Job Number]],3,3)</f>
        <v>NTX</v>
      </c>
      <c r="C3208" t="s">
        <v>18</v>
      </c>
      <c r="D3208" s="1">
        <v>43426</v>
      </c>
    </row>
    <row r="3209" spans="1:4" x14ac:dyDescent="0.25">
      <c r="A3209" t="s">
        <v>3893</v>
      </c>
      <c r="B3209" t="str">
        <f>MID(tbl_lock[[#This Row],[PACE Job Number]],3,3)</f>
        <v>NTX</v>
      </c>
      <c r="C3209" t="s">
        <v>18</v>
      </c>
      <c r="D3209" s="1">
        <v>43415</v>
      </c>
    </row>
    <row r="3210" spans="1:4" x14ac:dyDescent="0.25">
      <c r="A3210" t="s">
        <v>229</v>
      </c>
      <c r="B3210" t="str">
        <f>MID(tbl_lock[[#This Row],[PACE Job Number]],3,3)</f>
        <v>NTX</v>
      </c>
      <c r="C3210" t="s">
        <v>18</v>
      </c>
      <c r="D3210" s="1">
        <v>43414</v>
      </c>
    </row>
    <row r="3211" spans="1:4" x14ac:dyDescent="0.25">
      <c r="A3211" t="s">
        <v>1903</v>
      </c>
      <c r="B3211" t="str">
        <f>MID(tbl_lock[[#This Row],[PACE Job Number]],3,3)</f>
        <v>NTX</v>
      </c>
      <c r="C3211" t="s">
        <v>18</v>
      </c>
      <c r="D3211" s="1">
        <v>43434</v>
      </c>
    </row>
    <row r="3212" spans="1:4" x14ac:dyDescent="0.25">
      <c r="A3212" t="s">
        <v>2413</v>
      </c>
      <c r="B3212" t="str">
        <f>MID(tbl_lock[[#This Row],[PACE Job Number]],3,3)</f>
        <v>NTX</v>
      </c>
      <c r="C3212" t="s">
        <v>18</v>
      </c>
      <c r="D3212" s="1">
        <v>43418</v>
      </c>
    </row>
    <row r="3213" spans="1:4" x14ac:dyDescent="0.25">
      <c r="A3213" t="s">
        <v>2281</v>
      </c>
      <c r="B3213" t="str">
        <f>MID(tbl_lock[[#This Row],[PACE Job Number]],3,3)</f>
        <v>NTX</v>
      </c>
      <c r="C3213" t="s">
        <v>18</v>
      </c>
      <c r="D3213" s="1">
        <v>43415</v>
      </c>
    </row>
    <row r="3214" spans="1:4" x14ac:dyDescent="0.25">
      <c r="A3214" t="s">
        <v>4402</v>
      </c>
      <c r="B3214" t="str">
        <f>MID(tbl_lock[[#This Row],[PACE Job Number]],3,3)</f>
        <v>NTX</v>
      </c>
      <c r="C3214" t="s">
        <v>18</v>
      </c>
      <c r="D3214" s="1">
        <v>43418</v>
      </c>
    </row>
    <row r="3215" spans="1:4" x14ac:dyDescent="0.25">
      <c r="A3215" t="s">
        <v>4403</v>
      </c>
      <c r="B3215" t="str">
        <f>MID(tbl_lock[[#This Row],[PACE Job Number]],3,3)</f>
        <v>NTX</v>
      </c>
      <c r="C3215" t="s">
        <v>18</v>
      </c>
      <c r="D3215" s="1">
        <v>43426</v>
      </c>
    </row>
    <row r="3216" spans="1:4" x14ac:dyDescent="0.25">
      <c r="A3216" t="s">
        <v>619</v>
      </c>
      <c r="B3216" t="str">
        <f>MID(tbl_lock[[#This Row],[PACE Job Number]],3,3)</f>
        <v>NTX</v>
      </c>
      <c r="C3216" t="s">
        <v>18</v>
      </c>
      <c r="D3216" s="1">
        <v>43425</v>
      </c>
    </row>
    <row r="3217" spans="1:4" x14ac:dyDescent="0.25">
      <c r="A3217" t="s">
        <v>164</v>
      </c>
      <c r="B3217" t="str">
        <f>MID(tbl_lock[[#This Row],[PACE Job Number]],3,3)</f>
        <v>NTX</v>
      </c>
      <c r="C3217" t="s">
        <v>18</v>
      </c>
      <c r="D3217" s="1">
        <v>43430</v>
      </c>
    </row>
    <row r="3218" spans="1:4" x14ac:dyDescent="0.25">
      <c r="A3218" t="s">
        <v>400</v>
      </c>
      <c r="B3218" t="str">
        <f>MID(tbl_lock[[#This Row],[PACE Job Number]],3,3)</f>
        <v>NTX</v>
      </c>
      <c r="C3218" t="s">
        <v>18</v>
      </c>
      <c r="D3218" s="1">
        <v>43434</v>
      </c>
    </row>
    <row r="3219" spans="1:4" x14ac:dyDescent="0.25">
      <c r="A3219" t="s">
        <v>1904</v>
      </c>
      <c r="B3219" t="str">
        <f>MID(tbl_lock[[#This Row],[PACE Job Number]],3,3)</f>
        <v>NTX</v>
      </c>
      <c r="C3219" t="s">
        <v>18</v>
      </c>
      <c r="D3219" s="1">
        <v>43434</v>
      </c>
    </row>
    <row r="3220" spans="1:4" x14ac:dyDescent="0.25">
      <c r="A3220" t="s">
        <v>4264</v>
      </c>
      <c r="B3220" t="str">
        <f>MID(tbl_lock[[#This Row],[PACE Job Number]],3,3)</f>
        <v>NTX</v>
      </c>
      <c r="C3220" t="s">
        <v>18</v>
      </c>
      <c r="D3220" s="1">
        <v>43434</v>
      </c>
    </row>
    <row r="3221" spans="1:4" x14ac:dyDescent="0.25">
      <c r="A3221" t="s">
        <v>4265</v>
      </c>
      <c r="B3221" t="str">
        <f>MID(tbl_lock[[#This Row],[PACE Job Number]],3,3)</f>
        <v>NTX</v>
      </c>
      <c r="C3221" t="s">
        <v>18</v>
      </c>
      <c r="D3221" s="1">
        <v>43434</v>
      </c>
    </row>
    <row r="3222" spans="1:4" x14ac:dyDescent="0.25">
      <c r="A3222" t="s">
        <v>4404</v>
      </c>
      <c r="B3222" t="str">
        <f>MID(tbl_lock[[#This Row],[PACE Job Number]],3,3)</f>
        <v>NTX</v>
      </c>
      <c r="C3222" t="s">
        <v>18</v>
      </c>
      <c r="D3222" s="1">
        <v>43421</v>
      </c>
    </row>
    <row r="3223" spans="1:4" x14ac:dyDescent="0.25">
      <c r="A3223" t="s">
        <v>3386</v>
      </c>
      <c r="B3223" t="str">
        <f>MID(tbl_lock[[#This Row],[PACE Job Number]],3,3)</f>
        <v>NTX</v>
      </c>
      <c r="C3223" t="s">
        <v>18</v>
      </c>
      <c r="D3223" s="1">
        <v>43412</v>
      </c>
    </row>
    <row r="3224" spans="1:4" x14ac:dyDescent="0.25">
      <c r="A3224" t="s">
        <v>1905</v>
      </c>
      <c r="B3224" t="str">
        <f>MID(tbl_lock[[#This Row],[PACE Job Number]],3,3)</f>
        <v>NTX</v>
      </c>
      <c r="C3224" t="s">
        <v>18</v>
      </c>
      <c r="D3224" s="1">
        <v>43434</v>
      </c>
    </row>
    <row r="3225" spans="1:4" x14ac:dyDescent="0.25">
      <c r="A3225" t="s">
        <v>2283</v>
      </c>
      <c r="B3225" t="str">
        <f>MID(tbl_lock[[#This Row],[PACE Job Number]],3,3)</f>
        <v>NTX</v>
      </c>
      <c r="C3225" t="s">
        <v>18</v>
      </c>
      <c r="D3225" s="1">
        <v>43415</v>
      </c>
    </row>
    <row r="3226" spans="1:4" x14ac:dyDescent="0.25">
      <c r="A3226" t="s">
        <v>136</v>
      </c>
      <c r="B3226" t="str">
        <f>MID(tbl_lock[[#This Row],[PACE Job Number]],3,3)</f>
        <v>WSH</v>
      </c>
      <c r="C3226" t="s">
        <v>18</v>
      </c>
      <c r="D3226" s="1">
        <v>43434</v>
      </c>
    </row>
    <row r="3227" spans="1:4" x14ac:dyDescent="0.25">
      <c r="A3227" t="s">
        <v>3889</v>
      </c>
      <c r="B3227" t="str">
        <f>MID(tbl_lock[[#This Row],[PACE Job Number]],3,3)</f>
        <v>WSH</v>
      </c>
      <c r="C3227" t="s">
        <v>18</v>
      </c>
      <c r="D3227" s="1">
        <v>43434</v>
      </c>
    </row>
    <row r="3228" spans="1:4" x14ac:dyDescent="0.25">
      <c r="A3228" t="s">
        <v>3890</v>
      </c>
      <c r="B3228" t="str">
        <f>MID(tbl_lock[[#This Row],[PACE Job Number]],3,3)</f>
        <v>WSH</v>
      </c>
      <c r="C3228" t="s">
        <v>18</v>
      </c>
      <c r="D3228" s="1">
        <v>43434</v>
      </c>
    </row>
    <row r="3229" spans="1:4" x14ac:dyDescent="0.25">
      <c r="A3229" t="s">
        <v>5404</v>
      </c>
      <c r="B3229" t="str">
        <f>MID(tbl_lock[[#This Row],[PACE Job Number]],3,3)</f>
        <v>WSH</v>
      </c>
      <c r="C3229" t="s">
        <v>18</v>
      </c>
      <c r="D3229" s="1">
        <v>43434</v>
      </c>
    </row>
    <row r="3230" spans="1:4" x14ac:dyDescent="0.25">
      <c r="A3230" t="s">
        <v>5252</v>
      </c>
      <c r="B3230" t="str">
        <f>MID(tbl_lock[[#This Row],[PACE Job Number]],3,3)</f>
        <v>WSH</v>
      </c>
      <c r="C3230" t="s">
        <v>18</v>
      </c>
      <c r="D3230" s="1">
        <v>43434</v>
      </c>
    </row>
    <row r="3231" spans="1:4" x14ac:dyDescent="0.25">
      <c r="A3231" t="s">
        <v>62</v>
      </c>
      <c r="B3231" t="str">
        <f>MID(tbl_lock[[#This Row],[PACE Job Number]],3,3)</f>
        <v>WSH</v>
      </c>
      <c r="C3231" t="s">
        <v>18</v>
      </c>
      <c r="D3231" s="1">
        <v>43434</v>
      </c>
    </row>
    <row r="3232" spans="1:4" x14ac:dyDescent="0.25">
      <c r="A3232" t="s">
        <v>3799</v>
      </c>
      <c r="B3232" t="str">
        <f>MID(tbl_lock[[#This Row],[PACE Job Number]],3,3)</f>
        <v>WSH</v>
      </c>
      <c r="C3232" t="s">
        <v>18</v>
      </c>
      <c r="D3232" s="1">
        <v>43434</v>
      </c>
    </row>
    <row r="3233" spans="1:4" x14ac:dyDescent="0.25">
      <c r="A3233" t="s">
        <v>4464</v>
      </c>
      <c r="B3233" t="str">
        <f>MID(tbl_lock[[#This Row],[PACE Job Number]],3,3)</f>
        <v>STX</v>
      </c>
      <c r="C3233" t="s">
        <v>18</v>
      </c>
      <c r="D3233" s="1">
        <v>43432</v>
      </c>
    </row>
    <row r="3234" spans="1:4" x14ac:dyDescent="0.25">
      <c r="A3234" t="s">
        <v>4465</v>
      </c>
      <c r="B3234" t="str">
        <f>MID(tbl_lock[[#This Row],[PACE Job Number]],3,3)</f>
        <v>STX</v>
      </c>
      <c r="C3234" t="s">
        <v>18</v>
      </c>
      <c r="D3234" s="1">
        <v>43432</v>
      </c>
    </row>
    <row r="3235" spans="1:4" x14ac:dyDescent="0.25">
      <c r="A3235" t="s">
        <v>3259</v>
      </c>
      <c r="B3235" t="str">
        <f>MID(tbl_lock[[#This Row],[PACE Job Number]],3,3)</f>
        <v>STX</v>
      </c>
      <c r="C3235" t="s">
        <v>18</v>
      </c>
      <c r="D3235" s="1">
        <v>43432</v>
      </c>
    </row>
    <row r="3236" spans="1:4" x14ac:dyDescent="0.25">
      <c r="A3236" t="s">
        <v>1205</v>
      </c>
      <c r="B3236" t="str">
        <f>MID(tbl_lock[[#This Row],[PACE Job Number]],3,3)</f>
        <v>STX</v>
      </c>
      <c r="C3236" t="s">
        <v>18</v>
      </c>
      <c r="D3236" s="1">
        <v>43432</v>
      </c>
    </row>
    <row r="3237" spans="1:4" x14ac:dyDescent="0.25">
      <c r="A3237" t="s">
        <v>4467</v>
      </c>
      <c r="B3237" t="str">
        <f>MID(tbl_lock[[#This Row],[PACE Job Number]],3,3)</f>
        <v>STX</v>
      </c>
      <c r="C3237" t="s">
        <v>18</v>
      </c>
      <c r="D3237" s="1">
        <v>43434</v>
      </c>
    </row>
    <row r="3238" spans="1:4" x14ac:dyDescent="0.25">
      <c r="A3238" t="s">
        <v>4468</v>
      </c>
      <c r="B3238" t="str">
        <f>MID(tbl_lock[[#This Row],[PACE Job Number]],3,3)</f>
        <v>STX</v>
      </c>
      <c r="C3238" t="s">
        <v>18</v>
      </c>
      <c r="D3238" s="1">
        <v>43434</v>
      </c>
    </row>
    <row r="3239" spans="1:4" x14ac:dyDescent="0.25">
      <c r="A3239" t="s">
        <v>4469</v>
      </c>
      <c r="B3239" t="str">
        <f>MID(tbl_lock[[#This Row],[PACE Job Number]],3,3)</f>
        <v>STX</v>
      </c>
      <c r="C3239" t="s">
        <v>18</v>
      </c>
      <c r="D3239" s="1">
        <v>43434</v>
      </c>
    </row>
    <row r="3240" spans="1:4" x14ac:dyDescent="0.25">
      <c r="A3240" t="s">
        <v>3294</v>
      </c>
      <c r="B3240" t="str">
        <f>MID(tbl_lock[[#This Row],[PACE Job Number]],3,3)</f>
        <v>STX</v>
      </c>
      <c r="C3240" t="s">
        <v>18</v>
      </c>
      <c r="D3240" s="1">
        <v>43432</v>
      </c>
    </row>
    <row r="3241" spans="1:4" x14ac:dyDescent="0.25">
      <c r="A3241" t="s">
        <v>2726</v>
      </c>
      <c r="B3241" t="str">
        <f>MID(tbl_lock[[#This Row],[PACE Job Number]],3,3)</f>
        <v>STX</v>
      </c>
      <c r="C3241" t="s">
        <v>18</v>
      </c>
      <c r="D3241" s="1">
        <v>43434</v>
      </c>
    </row>
    <row r="3242" spans="1:4" x14ac:dyDescent="0.25">
      <c r="A3242" t="s">
        <v>2731</v>
      </c>
      <c r="B3242" t="str">
        <f>MID(tbl_lock[[#This Row],[PACE Job Number]],3,3)</f>
        <v>STX</v>
      </c>
      <c r="C3242" t="s">
        <v>18</v>
      </c>
      <c r="D3242" s="1">
        <v>43434</v>
      </c>
    </row>
    <row r="3243" spans="1:4" x14ac:dyDescent="0.25">
      <c r="A3243" t="s">
        <v>2729</v>
      </c>
      <c r="B3243" t="str">
        <f>MID(tbl_lock[[#This Row],[PACE Job Number]],3,3)</f>
        <v>STX</v>
      </c>
      <c r="C3243" t="s">
        <v>18</v>
      </c>
      <c r="D3243" s="1">
        <v>43434</v>
      </c>
    </row>
    <row r="3244" spans="1:4" x14ac:dyDescent="0.25">
      <c r="A3244" t="s">
        <v>3128</v>
      </c>
      <c r="B3244" t="str">
        <f>MID(tbl_lock[[#This Row],[PACE Job Number]],3,3)</f>
        <v>STX</v>
      </c>
      <c r="C3244" t="s">
        <v>18</v>
      </c>
      <c r="D3244" s="1">
        <v>43432</v>
      </c>
    </row>
    <row r="3245" spans="1:4" x14ac:dyDescent="0.25">
      <c r="A3245" t="s">
        <v>2739</v>
      </c>
      <c r="B3245" t="str">
        <f>MID(tbl_lock[[#This Row],[PACE Job Number]],3,3)</f>
        <v>STX</v>
      </c>
      <c r="C3245" t="s">
        <v>18</v>
      </c>
      <c r="D3245" s="1">
        <v>43434</v>
      </c>
    </row>
    <row r="3246" spans="1:4" x14ac:dyDescent="0.25">
      <c r="A3246" t="s">
        <v>5405</v>
      </c>
      <c r="B3246" t="str">
        <f>MID(tbl_lock[[#This Row],[PACE Job Number]],3,3)</f>
        <v>STX</v>
      </c>
      <c r="C3246" t="s">
        <v>18</v>
      </c>
      <c r="D3246" s="1">
        <v>43434</v>
      </c>
    </row>
    <row r="3247" spans="1:4" x14ac:dyDescent="0.25">
      <c r="A3247" t="s">
        <v>4279</v>
      </c>
      <c r="B3247" t="str">
        <f>MID(tbl_lock[[#This Row],[PACE Job Number]],3,3)</f>
        <v>STX</v>
      </c>
      <c r="C3247" t="s">
        <v>18</v>
      </c>
      <c r="D3247" s="1">
        <v>43432</v>
      </c>
    </row>
    <row r="3248" spans="1:4" x14ac:dyDescent="0.25">
      <c r="A3248" t="s">
        <v>1270</v>
      </c>
      <c r="B3248" t="str">
        <f>MID(tbl_lock[[#This Row],[PACE Job Number]],3,3)</f>
        <v>STX</v>
      </c>
      <c r="C3248" t="s">
        <v>18</v>
      </c>
      <c r="D3248" s="1">
        <v>43432</v>
      </c>
    </row>
    <row r="3249" spans="1:4" x14ac:dyDescent="0.25">
      <c r="A3249" t="s">
        <v>584</v>
      </c>
      <c r="B3249" t="str">
        <f>MID(tbl_lock[[#This Row],[PACE Job Number]],3,3)</f>
        <v>NTX</v>
      </c>
      <c r="C3249" t="s">
        <v>18</v>
      </c>
      <c r="D3249" s="1">
        <v>43425</v>
      </c>
    </row>
    <row r="3250" spans="1:4" x14ac:dyDescent="0.25">
      <c r="A3250" t="s">
        <v>4405</v>
      </c>
      <c r="B3250" t="str">
        <f>MID(tbl_lock[[#This Row],[PACE Job Number]],3,3)</f>
        <v>NTX</v>
      </c>
      <c r="C3250" t="s">
        <v>18</v>
      </c>
      <c r="D3250" s="1">
        <v>43418</v>
      </c>
    </row>
    <row r="3251" spans="1:4" x14ac:dyDescent="0.25">
      <c r="A3251" t="s">
        <v>3371</v>
      </c>
      <c r="B3251" t="str">
        <f>MID(tbl_lock[[#This Row],[PACE Job Number]],3,3)</f>
        <v>NTX</v>
      </c>
      <c r="C3251" t="s">
        <v>18</v>
      </c>
      <c r="D3251" s="1">
        <v>43412</v>
      </c>
    </row>
    <row r="3252" spans="1:4" x14ac:dyDescent="0.25">
      <c r="A3252" t="s">
        <v>235</v>
      </c>
      <c r="B3252" t="str">
        <f>MID(tbl_lock[[#This Row],[PACE Job Number]],3,3)</f>
        <v>NTX</v>
      </c>
      <c r="C3252" t="s">
        <v>18</v>
      </c>
      <c r="D3252" s="1">
        <v>43419</v>
      </c>
    </row>
    <row r="3253" spans="1:4" x14ac:dyDescent="0.25">
      <c r="A3253" t="s">
        <v>677</v>
      </c>
      <c r="B3253" t="str">
        <f>MID(tbl_lock[[#This Row],[PACE Job Number]],3,3)</f>
        <v>STX</v>
      </c>
      <c r="C3253" t="s">
        <v>18</v>
      </c>
      <c r="D3253" s="1">
        <v>43434</v>
      </c>
    </row>
    <row r="3254" spans="1:4" x14ac:dyDescent="0.25">
      <c r="A3254" t="s">
        <v>3472</v>
      </c>
      <c r="B3254" t="str">
        <f>MID(tbl_lock[[#This Row],[PACE Job Number]],3,3)</f>
        <v>STX</v>
      </c>
      <c r="C3254" t="s">
        <v>18</v>
      </c>
      <c r="D3254" s="1">
        <v>43413</v>
      </c>
    </row>
    <row r="3255" spans="1:4" x14ac:dyDescent="0.25">
      <c r="A3255" t="s">
        <v>261</v>
      </c>
      <c r="B3255" t="str">
        <f>MID(tbl_lock[[#This Row],[PACE Job Number]],3,3)</f>
        <v>STX</v>
      </c>
      <c r="C3255" t="s">
        <v>18</v>
      </c>
      <c r="D3255" s="1">
        <v>43434</v>
      </c>
    </row>
    <row r="3256" spans="1:4" x14ac:dyDescent="0.25">
      <c r="A3256" t="s">
        <v>53</v>
      </c>
      <c r="B3256" t="str">
        <f>MID(tbl_lock[[#This Row],[PACE Job Number]],3,3)</f>
        <v>STX</v>
      </c>
      <c r="C3256" t="s">
        <v>18</v>
      </c>
      <c r="D3256" s="1">
        <v>43434</v>
      </c>
    </row>
    <row r="3257" spans="1:4" x14ac:dyDescent="0.25">
      <c r="A3257" t="s">
        <v>5407</v>
      </c>
      <c r="B3257" t="str">
        <f>MID(tbl_lock[[#This Row],[PACE Job Number]],3,3)</f>
        <v>STX</v>
      </c>
      <c r="C3257" t="s">
        <v>18</v>
      </c>
      <c r="D3257" s="1">
        <v>43434</v>
      </c>
    </row>
    <row r="3258" spans="1:4" x14ac:dyDescent="0.25">
      <c r="A3258" t="s">
        <v>1612</v>
      </c>
      <c r="B3258" t="str">
        <f>MID(tbl_lock[[#This Row],[PACE Job Number]],3,3)</f>
        <v>STX</v>
      </c>
      <c r="C3258" t="s">
        <v>18</v>
      </c>
      <c r="D3258" s="1">
        <v>43434</v>
      </c>
    </row>
    <row r="3259" spans="1:4" x14ac:dyDescent="0.25">
      <c r="A3259" t="s">
        <v>1594</v>
      </c>
      <c r="B3259" t="str">
        <f>MID(tbl_lock[[#This Row],[PACE Job Number]],3,3)</f>
        <v>NTX</v>
      </c>
      <c r="C3259" t="s">
        <v>18</v>
      </c>
      <c r="D3259" s="1">
        <v>43419</v>
      </c>
    </row>
    <row r="3260" spans="1:4" x14ac:dyDescent="0.25">
      <c r="A3260" t="s">
        <v>3958</v>
      </c>
      <c r="B3260" t="str">
        <f>MID(tbl_lock[[#This Row],[PACE Job Number]],3,3)</f>
        <v>NTX</v>
      </c>
      <c r="C3260" t="s">
        <v>18</v>
      </c>
      <c r="D3260" s="1">
        <v>43432</v>
      </c>
    </row>
    <row r="3261" spans="1:4" x14ac:dyDescent="0.25">
      <c r="A3261" t="s">
        <v>4382</v>
      </c>
      <c r="B3261" t="str">
        <f>MID(tbl_lock[[#This Row],[PACE Job Number]],3,3)</f>
        <v>NTX</v>
      </c>
      <c r="C3261" t="s">
        <v>18</v>
      </c>
      <c r="D3261" s="1">
        <v>43430</v>
      </c>
    </row>
    <row r="3262" spans="1:4" x14ac:dyDescent="0.25">
      <c r="A3262" t="s">
        <v>369</v>
      </c>
      <c r="B3262" t="str">
        <f>MID(tbl_lock[[#This Row],[PACE Job Number]],3,3)</f>
        <v>NTX</v>
      </c>
      <c r="C3262" t="s">
        <v>18</v>
      </c>
      <c r="D3262" s="1">
        <v>43426</v>
      </c>
    </row>
    <row r="3263" spans="1:4" x14ac:dyDescent="0.25">
      <c r="A3263" t="s">
        <v>4200</v>
      </c>
      <c r="B3263" t="str">
        <f>MID(tbl_lock[[#This Row],[PACE Job Number]],3,3)</f>
        <v>NTX</v>
      </c>
      <c r="C3263" t="s">
        <v>18</v>
      </c>
      <c r="D3263" s="1">
        <v>43430</v>
      </c>
    </row>
    <row r="3264" spans="1:4" x14ac:dyDescent="0.25">
      <c r="A3264" t="s">
        <v>3420</v>
      </c>
      <c r="B3264" t="str">
        <f>MID(tbl_lock[[#This Row],[PACE Job Number]],3,3)</f>
        <v>NTX</v>
      </c>
      <c r="C3264" t="s">
        <v>18</v>
      </c>
      <c r="D3264" s="1">
        <v>43421</v>
      </c>
    </row>
    <row r="3265" spans="1:4" x14ac:dyDescent="0.25">
      <c r="A3265" t="s">
        <v>1821</v>
      </c>
      <c r="B3265" t="str">
        <f>MID(tbl_lock[[#This Row],[PACE Job Number]],3,3)</f>
        <v>NTX</v>
      </c>
      <c r="C3265" t="s">
        <v>18</v>
      </c>
      <c r="D3265" s="1">
        <v>43417</v>
      </c>
    </row>
    <row r="3266" spans="1:4" x14ac:dyDescent="0.25">
      <c r="A3266" t="s">
        <v>3373</v>
      </c>
      <c r="B3266" t="str">
        <f>MID(tbl_lock[[#This Row],[PACE Job Number]],3,3)</f>
        <v>NTX</v>
      </c>
      <c r="C3266" t="s">
        <v>18</v>
      </c>
      <c r="D3266" s="1">
        <v>43418</v>
      </c>
    </row>
    <row r="3267" spans="1:4" x14ac:dyDescent="0.25">
      <c r="A3267" t="s">
        <v>1826</v>
      </c>
      <c r="B3267" t="str">
        <f>MID(tbl_lock[[#This Row],[PACE Job Number]],3,3)</f>
        <v>NTX</v>
      </c>
      <c r="C3267" t="s">
        <v>18</v>
      </c>
      <c r="D3267" s="1">
        <v>43416</v>
      </c>
    </row>
    <row r="3268" spans="1:4" x14ac:dyDescent="0.25">
      <c r="A3268" t="s">
        <v>583</v>
      </c>
      <c r="B3268" t="str">
        <f>MID(tbl_lock[[#This Row],[PACE Job Number]],3,3)</f>
        <v>NTX</v>
      </c>
      <c r="C3268" t="s">
        <v>18</v>
      </c>
      <c r="D3268" s="1">
        <v>43416</v>
      </c>
    </row>
    <row r="3269" spans="1:4" x14ac:dyDescent="0.25">
      <c r="A3269" t="s">
        <v>1013</v>
      </c>
      <c r="B3269" t="str">
        <f>MID(tbl_lock[[#This Row],[PACE Job Number]],3,3)</f>
        <v>NTX</v>
      </c>
      <c r="C3269" t="s">
        <v>18</v>
      </c>
      <c r="D3269" s="1">
        <v>43432</v>
      </c>
    </row>
    <row r="3270" spans="1:4" x14ac:dyDescent="0.25">
      <c r="A3270" t="s">
        <v>5502</v>
      </c>
      <c r="B3270" t="str">
        <f>MID(tbl_lock[[#This Row],[PACE Job Number]],3,3)</f>
        <v>WSH</v>
      </c>
      <c r="C3270" t="s">
        <v>18</v>
      </c>
      <c r="D3270" s="1">
        <v>43434</v>
      </c>
    </row>
    <row r="3271" spans="1:4" x14ac:dyDescent="0.25">
      <c r="A3271" t="s">
        <v>242</v>
      </c>
      <c r="B3271" t="str">
        <f>MID(tbl_lock[[#This Row],[PACE Job Number]],3,3)</f>
        <v>WSH</v>
      </c>
      <c r="C3271" t="s">
        <v>18</v>
      </c>
      <c r="D3271" s="1">
        <v>43434</v>
      </c>
    </row>
    <row r="3272" spans="1:4" x14ac:dyDescent="0.25">
      <c r="A3272" t="s">
        <v>3863</v>
      </c>
      <c r="B3272" t="str">
        <f>MID(tbl_lock[[#This Row],[PACE Job Number]],3,3)</f>
        <v>WSH</v>
      </c>
      <c r="C3272" t="s">
        <v>18</v>
      </c>
      <c r="D3272" s="1">
        <v>43434</v>
      </c>
    </row>
    <row r="3273" spans="1:4" x14ac:dyDescent="0.25">
      <c r="A3273" t="s">
        <v>5259</v>
      </c>
      <c r="B3273" t="str">
        <f>MID(tbl_lock[[#This Row],[PACE Job Number]],3,3)</f>
        <v>WSH</v>
      </c>
      <c r="C3273" t="s">
        <v>18</v>
      </c>
      <c r="D3273" s="1">
        <v>43434</v>
      </c>
    </row>
    <row r="3274" spans="1:4" x14ac:dyDescent="0.25">
      <c r="A3274" t="s">
        <v>3416</v>
      </c>
      <c r="B3274" t="str">
        <f>MID(tbl_lock[[#This Row],[PACE Job Number]],3,3)</f>
        <v>WSH</v>
      </c>
      <c r="C3274" t="s">
        <v>18</v>
      </c>
      <c r="D3274" s="1">
        <v>43434</v>
      </c>
    </row>
    <row r="3275" spans="1:4" x14ac:dyDescent="0.25">
      <c r="A3275" t="s">
        <v>121</v>
      </c>
      <c r="B3275" t="str">
        <f>MID(tbl_lock[[#This Row],[PACE Job Number]],3,3)</f>
        <v>WSH</v>
      </c>
      <c r="C3275" t="s">
        <v>18</v>
      </c>
      <c r="D3275" s="1">
        <v>43434</v>
      </c>
    </row>
    <row r="3276" spans="1:4" x14ac:dyDescent="0.25">
      <c r="A3276" t="s">
        <v>5503</v>
      </c>
      <c r="B3276" t="str">
        <f>MID(tbl_lock[[#This Row],[PACE Job Number]],3,3)</f>
        <v>WSH</v>
      </c>
      <c r="C3276" t="s">
        <v>18</v>
      </c>
      <c r="D3276" s="1">
        <v>43434</v>
      </c>
    </row>
    <row r="3277" spans="1:4" x14ac:dyDescent="0.25">
      <c r="A3277" t="s">
        <v>5261</v>
      </c>
      <c r="B3277" t="str">
        <f>MID(tbl_lock[[#This Row],[PACE Job Number]],3,3)</f>
        <v>WSH</v>
      </c>
      <c r="C3277" t="s">
        <v>18</v>
      </c>
      <c r="D3277" s="1">
        <v>43434</v>
      </c>
    </row>
    <row r="3278" spans="1:4" x14ac:dyDescent="0.25">
      <c r="A3278" t="s">
        <v>4269</v>
      </c>
      <c r="B3278" t="str">
        <f>MID(tbl_lock[[#This Row],[PACE Job Number]],3,3)</f>
        <v>WSH</v>
      </c>
      <c r="C3278" t="s">
        <v>18</v>
      </c>
      <c r="D3278" s="1">
        <v>43434</v>
      </c>
    </row>
    <row r="3279" spans="1:4" x14ac:dyDescent="0.25">
      <c r="A3279" t="s">
        <v>5504</v>
      </c>
      <c r="B3279" t="str">
        <f>MID(tbl_lock[[#This Row],[PACE Job Number]],3,3)</f>
        <v>WSH</v>
      </c>
      <c r="C3279" t="s">
        <v>18</v>
      </c>
      <c r="D3279" s="1">
        <v>43434</v>
      </c>
    </row>
    <row r="3280" spans="1:4" x14ac:dyDescent="0.25">
      <c r="A3280" t="s">
        <v>153</v>
      </c>
      <c r="B3280" t="str">
        <f>MID(tbl_lock[[#This Row],[PACE Job Number]],3,3)</f>
        <v>WSH</v>
      </c>
      <c r="C3280" t="s">
        <v>18</v>
      </c>
      <c r="D3280" s="1">
        <v>43434</v>
      </c>
    </row>
    <row r="3281" spans="1:4" x14ac:dyDescent="0.25">
      <c r="A3281" t="s">
        <v>5505</v>
      </c>
      <c r="B3281" t="str">
        <f>MID(tbl_lock[[#This Row],[PACE Job Number]],3,3)</f>
        <v>WSH</v>
      </c>
      <c r="C3281" t="s">
        <v>18</v>
      </c>
      <c r="D3281" s="1">
        <v>43434</v>
      </c>
    </row>
    <row r="3282" spans="1:4" x14ac:dyDescent="0.25">
      <c r="A3282" t="s">
        <v>3865</v>
      </c>
      <c r="B3282" t="str">
        <f>MID(tbl_lock[[#This Row],[PACE Job Number]],3,3)</f>
        <v>WSH</v>
      </c>
      <c r="C3282" t="s">
        <v>18</v>
      </c>
      <c r="D3282" s="1">
        <v>43434</v>
      </c>
    </row>
    <row r="3283" spans="1:4" x14ac:dyDescent="0.25">
      <c r="A3283" t="s">
        <v>5506</v>
      </c>
      <c r="B3283" t="str">
        <f>MID(tbl_lock[[#This Row],[PACE Job Number]],3,3)</f>
        <v>WSH</v>
      </c>
      <c r="C3283" t="s">
        <v>18</v>
      </c>
      <c r="D3283" s="1">
        <v>43434</v>
      </c>
    </row>
    <row r="3284" spans="1:4" x14ac:dyDescent="0.25">
      <c r="A3284" t="s">
        <v>5507</v>
      </c>
      <c r="B3284" t="str">
        <f>MID(tbl_lock[[#This Row],[PACE Job Number]],3,3)</f>
        <v>WSH</v>
      </c>
      <c r="C3284" t="s">
        <v>18</v>
      </c>
      <c r="D3284" s="1">
        <v>43434</v>
      </c>
    </row>
    <row r="3285" spans="1:4" x14ac:dyDescent="0.25">
      <c r="A3285" t="s">
        <v>5264</v>
      </c>
      <c r="B3285" t="str">
        <f>MID(tbl_lock[[#This Row],[PACE Job Number]],3,3)</f>
        <v>WSH</v>
      </c>
      <c r="C3285" t="s">
        <v>18</v>
      </c>
      <c r="D3285" s="1">
        <v>43434</v>
      </c>
    </row>
    <row r="3286" spans="1:4" x14ac:dyDescent="0.25">
      <c r="A3286" t="s">
        <v>5265</v>
      </c>
      <c r="B3286" t="str">
        <f>MID(tbl_lock[[#This Row],[PACE Job Number]],3,3)</f>
        <v>WSH</v>
      </c>
      <c r="C3286" t="s">
        <v>18</v>
      </c>
      <c r="D3286" s="1">
        <v>43434</v>
      </c>
    </row>
    <row r="3287" spans="1:4" x14ac:dyDescent="0.25">
      <c r="A3287" t="s">
        <v>3868</v>
      </c>
      <c r="B3287" t="str">
        <f>MID(tbl_lock[[#This Row],[PACE Job Number]],3,3)</f>
        <v>WSH</v>
      </c>
      <c r="C3287" t="s">
        <v>18</v>
      </c>
      <c r="D3287" s="1">
        <v>43434</v>
      </c>
    </row>
    <row r="3288" spans="1:4" x14ac:dyDescent="0.25">
      <c r="A3288" t="s">
        <v>3869</v>
      </c>
      <c r="B3288" t="str">
        <f>MID(tbl_lock[[#This Row],[PACE Job Number]],3,3)</f>
        <v>WSH</v>
      </c>
      <c r="C3288" t="s">
        <v>18</v>
      </c>
      <c r="D3288" s="1">
        <v>43434</v>
      </c>
    </row>
    <row r="3289" spans="1:4" x14ac:dyDescent="0.25">
      <c r="A3289" t="s">
        <v>3871</v>
      </c>
      <c r="B3289" t="str">
        <f>MID(tbl_lock[[#This Row],[PACE Job Number]],3,3)</f>
        <v>WSH</v>
      </c>
      <c r="C3289" t="s">
        <v>18</v>
      </c>
      <c r="D3289" s="1">
        <v>43434</v>
      </c>
    </row>
    <row r="3290" spans="1:4" x14ac:dyDescent="0.25">
      <c r="A3290" t="s">
        <v>5269</v>
      </c>
      <c r="B3290" t="str">
        <f>MID(tbl_lock[[#This Row],[PACE Job Number]],3,3)</f>
        <v>WSH</v>
      </c>
      <c r="C3290" t="s">
        <v>18</v>
      </c>
      <c r="D3290" s="1">
        <v>43434</v>
      </c>
    </row>
    <row r="3291" spans="1:4" x14ac:dyDescent="0.25">
      <c r="A3291" t="s">
        <v>4413</v>
      </c>
      <c r="B3291" t="str">
        <f>MID(tbl_lock[[#This Row],[PACE Job Number]],3,3)</f>
        <v>STX</v>
      </c>
      <c r="C3291" t="s">
        <v>18</v>
      </c>
      <c r="D3291" s="1">
        <v>43434</v>
      </c>
    </row>
    <row r="3292" spans="1:4" x14ac:dyDescent="0.25">
      <c r="A3292" t="s">
        <v>5546</v>
      </c>
      <c r="B3292" t="str">
        <f>MID(tbl_lock[[#This Row],[PACE Job Number]],3,3)</f>
        <v>STX</v>
      </c>
      <c r="C3292" t="s">
        <v>18</v>
      </c>
      <c r="D3292" s="1">
        <v>43434</v>
      </c>
    </row>
    <row r="3293" spans="1:4" x14ac:dyDescent="0.25">
      <c r="A3293" t="s">
        <v>2694</v>
      </c>
      <c r="B3293" t="str">
        <f>MID(tbl_lock[[#This Row],[PACE Job Number]],3,3)</f>
        <v>STX</v>
      </c>
      <c r="C3293" t="s">
        <v>18</v>
      </c>
      <c r="D3293" s="1">
        <v>43434</v>
      </c>
    </row>
    <row r="3294" spans="1:4" x14ac:dyDescent="0.25">
      <c r="A3294" t="s">
        <v>3510</v>
      </c>
      <c r="B3294" t="str">
        <f>MID(tbl_lock[[#This Row],[PACE Job Number]],3,3)</f>
        <v>STX</v>
      </c>
      <c r="C3294" t="s">
        <v>18</v>
      </c>
      <c r="D3294" s="1">
        <v>43432</v>
      </c>
    </row>
    <row r="3295" spans="1:4" x14ac:dyDescent="0.25">
      <c r="A3295" t="s">
        <v>5410</v>
      </c>
      <c r="B3295" t="str">
        <f>MID(tbl_lock[[#This Row],[PACE Job Number]],3,3)</f>
        <v>STX</v>
      </c>
      <c r="C3295" t="s">
        <v>18</v>
      </c>
      <c r="D3295" s="1">
        <v>43434</v>
      </c>
    </row>
    <row r="3296" spans="1:4" x14ac:dyDescent="0.25">
      <c r="A3296" t="s">
        <v>3831</v>
      </c>
      <c r="B3296" t="str">
        <f>MID(tbl_lock[[#This Row],[PACE Job Number]],3,3)</f>
        <v>WSH</v>
      </c>
      <c r="C3296" t="s">
        <v>18</v>
      </c>
      <c r="D3296" s="1">
        <v>43434</v>
      </c>
    </row>
    <row r="3297" spans="1:4" x14ac:dyDescent="0.25">
      <c r="A3297" t="s">
        <v>4247</v>
      </c>
      <c r="B3297" t="str">
        <f>MID(tbl_lock[[#This Row],[PACE Job Number]],3,3)</f>
        <v>WSH</v>
      </c>
      <c r="C3297" t="s">
        <v>18</v>
      </c>
      <c r="D3297" s="1">
        <v>43434</v>
      </c>
    </row>
    <row r="3298" spans="1:4" x14ac:dyDescent="0.25">
      <c r="A3298" t="s">
        <v>4535</v>
      </c>
      <c r="B3298" t="str">
        <f>MID(tbl_lock[[#This Row],[PACE Job Number]],3,3)</f>
        <v>WSH</v>
      </c>
      <c r="C3298" t="s">
        <v>18</v>
      </c>
      <c r="D3298" s="1">
        <v>43434</v>
      </c>
    </row>
    <row r="3299" spans="1:4" x14ac:dyDescent="0.25">
      <c r="A3299" t="s">
        <v>4248</v>
      </c>
      <c r="B3299" t="str">
        <f>MID(tbl_lock[[#This Row],[PACE Job Number]],3,3)</f>
        <v>WSH</v>
      </c>
      <c r="C3299" t="s">
        <v>18</v>
      </c>
      <c r="D3299" s="1">
        <v>43434</v>
      </c>
    </row>
    <row r="3300" spans="1:4" x14ac:dyDescent="0.25">
      <c r="A3300" t="s">
        <v>4249</v>
      </c>
      <c r="B3300" t="str">
        <f>MID(tbl_lock[[#This Row],[PACE Job Number]],3,3)</f>
        <v>WSH</v>
      </c>
      <c r="C3300" t="s">
        <v>18</v>
      </c>
      <c r="D3300" s="1">
        <v>43434</v>
      </c>
    </row>
    <row r="3301" spans="1:4" x14ac:dyDescent="0.25">
      <c r="A3301" t="s">
        <v>361</v>
      </c>
      <c r="B3301" t="str">
        <f>MID(tbl_lock[[#This Row],[PACE Job Number]],3,3)</f>
        <v>WSH</v>
      </c>
      <c r="C3301" t="s">
        <v>18</v>
      </c>
      <c r="D3301" s="1">
        <v>43434</v>
      </c>
    </row>
    <row r="3302" spans="1:4" x14ac:dyDescent="0.25">
      <c r="A3302" t="s">
        <v>3922</v>
      </c>
      <c r="B3302" t="str">
        <f>MID(tbl_lock[[#This Row],[PACE Job Number]],3,3)</f>
        <v>WSH</v>
      </c>
      <c r="C3302" t="s">
        <v>18</v>
      </c>
      <c r="D3302" s="1">
        <v>43434</v>
      </c>
    </row>
    <row r="3303" spans="1:4" x14ac:dyDescent="0.25">
      <c r="A3303" t="s">
        <v>177</v>
      </c>
      <c r="B3303" t="str">
        <f>MID(tbl_lock[[#This Row],[PACE Job Number]],3,3)</f>
        <v>WSH</v>
      </c>
      <c r="C3303" t="s">
        <v>18</v>
      </c>
      <c r="D3303" s="1">
        <v>43434</v>
      </c>
    </row>
    <row r="3304" spans="1:4" x14ac:dyDescent="0.25">
      <c r="A3304" t="s">
        <v>3833</v>
      </c>
      <c r="B3304" t="str">
        <f>MID(tbl_lock[[#This Row],[PACE Job Number]],3,3)</f>
        <v>WSH</v>
      </c>
      <c r="C3304" t="s">
        <v>18</v>
      </c>
      <c r="D3304" s="1">
        <v>43434</v>
      </c>
    </row>
    <row r="3305" spans="1:4" x14ac:dyDescent="0.25">
      <c r="A3305" t="s">
        <v>4359</v>
      </c>
      <c r="B3305" t="str">
        <f>MID(tbl_lock[[#This Row],[PACE Job Number]],3,3)</f>
        <v>NTX</v>
      </c>
      <c r="C3305" t="s">
        <v>18</v>
      </c>
      <c r="D3305" s="1">
        <v>43423</v>
      </c>
    </row>
    <row r="3306" spans="1:4" x14ac:dyDescent="0.25">
      <c r="A3306" t="s">
        <v>4360</v>
      </c>
      <c r="B3306" t="str">
        <f>MID(tbl_lock[[#This Row],[PACE Job Number]],3,3)</f>
        <v>NTX</v>
      </c>
      <c r="C3306" t="s">
        <v>18</v>
      </c>
      <c r="D3306" s="1">
        <v>43415</v>
      </c>
    </row>
    <row r="3307" spans="1:4" x14ac:dyDescent="0.25">
      <c r="A3307" t="s">
        <v>4141</v>
      </c>
      <c r="B3307" t="str">
        <f>MID(tbl_lock[[#This Row],[PACE Job Number]],3,3)</f>
        <v>NTX</v>
      </c>
      <c r="C3307" t="s">
        <v>18</v>
      </c>
      <c r="D3307" s="1">
        <v>43427</v>
      </c>
    </row>
    <row r="3308" spans="1:4" x14ac:dyDescent="0.25">
      <c r="A3308" t="s">
        <v>3502</v>
      </c>
      <c r="B3308" t="str">
        <f>MID(tbl_lock[[#This Row],[PACE Job Number]],3,3)</f>
        <v>NTX</v>
      </c>
      <c r="C3308" t="s">
        <v>18</v>
      </c>
      <c r="D3308" s="1">
        <v>43418</v>
      </c>
    </row>
    <row r="3309" spans="1:4" x14ac:dyDescent="0.25">
      <c r="A3309" t="s">
        <v>4361</v>
      </c>
      <c r="B3309" t="str">
        <f>MID(tbl_lock[[#This Row],[PACE Job Number]],3,3)</f>
        <v>NTX</v>
      </c>
      <c r="C3309" t="s">
        <v>18</v>
      </c>
      <c r="D3309" s="1">
        <v>43431</v>
      </c>
    </row>
    <row r="3310" spans="1:4" x14ac:dyDescent="0.25">
      <c r="A3310" t="s">
        <v>4142</v>
      </c>
      <c r="B3310" t="str">
        <f>MID(tbl_lock[[#This Row],[PACE Job Number]],3,3)</f>
        <v>NTX</v>
      </c>
      <c r="C3310" t="s">
        <v>18</v>
      </c>
      <c r="D3310" s="1">
        <v>43427</v>
      </c>
    </row>
    <row r="3311" spans="1:4" x14ac:dyDescent="0.25">
      <c r="A3311" t="s">
        <v>3881</v>
      </c>
      <c r="B3311" t="str">
        <f>MID(tbl_lock[[#This Row],[PACE Job Number]],3,3)</f>
        <v>NTX</v>
      </c>
      <c r="C3311" t="s">
        <v>18</v>
      </c>
      <c r="D3311" s="1">
        <v>43416</v>
      </c>
    </row>
    <row r="3312" spans="1:4" x14ac:dyDescent="0.25">
      <c r="A3312" t="s">
        <v>1096</v>
      </c>
      <c r="B3312" t="str">
        <f>MID(tbl_lock[[#This Row],[PACE Job Number]],3,3)</f>
        <v>NTX</v>
      </c>
      <c r="C3312" t="s">
        <v>18</v>
      </c>
      <c r="D3312" s="1">
        <v>43431</v>
      </c>
    </row>
    <row r="3313" spans="1:4" x14ac:dyDescent="0.25">
      <c r="A3313" t="s">
        <v>3464</v>
      </c>
      <c r="B3313" t="str">
        <f>MID(tbl_lock[[#This Row],[PACE Job Number]],3,3)</f>
        <v>NTX</v>
      </c>
      <c r="C3313" t="s">
        <v>18</v>
      </c>
      <c r="D3313" s="1">
        <v>43418</v>
      </c>
    </row>
    <row r="3314" spans="1:4" x14ac:dyDescent="0.25">
      <c r="A3314" t="s">
        <v>3477</v>
      </c>
      <c r="B3314" t="str">
        <f>MID(tbl_lock[[#This Row],[PACE Job Number]],3,3)</f>
        <v>NTX</v>
      </c>
      <c r="C3314" t="s">
        <v>18</v>
      </c>
      <c r="D3314" s="1">
        <v>43434</v>
      </c>
    </row>
    <row r="3315" spans="1:4" x14ac:dyDescent="0.25">
      <c r="A3315" t="s">
        <v>3304</v>
      </c>
      <c r="B3315" t="str">
        <f>MID(tbl_lock[[#This Row],[PACE Job Number]],3,3)</f>
        <v>STX</v>
      </c>
      <c r="C3315" t="s">
        <v>18</v>
      </c>
      <c r="D3315" s="1">
        <v>43434</v>
      </c>
    </row>
    <row r="3316" spans="1:4" x14ac:dyDescent="0.25">
      <c r="A3316" t="s">
        <v>5414</v>
      </c>
      <c r="B3316" t="str">
        <f>MID(tbl_lock[[#This Row],[PACE Job Number]],3,3)</f>
        <v>STX</v>
      </c>
      <c r="C3316" t="s">
        <v>18</v>
      </c>
      <c r="D3316" s="1">
        <v>43434</v>
      </c>
    </row>
    <row r="3317" spans="1:4" x14ac:dyDescent="0.25">
      <c r="A3317" t="s">
        <v>4364</v>
      </c>
      <c r="B3317" t="str">
        <f>MID(tbl_lock[[#This Row],[PACE Job Number]],3,3)</f>
        <v>STX</v>
      </c>
      <c r="C3317" t="s">
        <v>18</v>
      </c>
      <c r="D3317" s="1">
        <v>43434</v>
      </c>
    </row>
    <row r="3318" spans="1:4" x14ac:dyDescent="0.25">
      <c r="A3318" t="s">
        <v>4365</v>
      </c>
      <c r="B3318" t="str">
        <f>MID(tbl_lock[[#This Row],[PACE Job Number]],3,3)</f>
        <v>STX</v>
      </c>
      <c r="C3318" t="s">
        <v>18</v>
      </c>
      <c r="D3318" s="1">
        <v>43434</v>
      </c>
    </row>
    <row r="3319" spans="1:4" x14ac:dyDescent="0.25">
      <c r="A3319" t="s">
        <v>3784</v>
      </c>
      <c r="B3319" t="str">
        <f>MID(tbl_lock[[#This Row],[PACE Job Number]],3,3)</f>
        <v>WSH</v>
      </c>
      <c r="C3319" t="s">
        <v>18</v>
      </c>
      <c r="D3319" s="1">
        <v>43434</v>
      </c>
    </row>
    <row r="3320" spans="1:4" x14ac:dyDescent="0.25">
      <c r="A3320" t="s">
        <v>3785</v>
      </c>
      <c r="B3320" t="str">
        <f>MID(tbl_lock[[#This Row],[PACE Job Number]],3,3)</f>
        <v>WSH</v>
      </c>
      <c r="C3320" t="s">
        <v>18</v>
      </c>
      <c r="D3320" s="1">
        <v>43434</v>
      </c>
    </row>
    <row r="3321" spans="1:4" x14ac:dyDescent="0.25">
      <c r="A3321" t="s">
        <v>314</v>
      </c>
      <c r="B3321" t="str">
        <f>MID(tbl_lock[[#This Row],[PACE Job Number]],3,3)</f>
        <v>WSH</v>
      </c>
      <c r="C3321" t="s">
        <v>18</v>
      </c>
      <c r="D3321" s="1">
        <v>43434</v>
      </c>
    </row>
    <row r="3322" spans="1:4" x14ac:dyDescent="0.25">
      <c r="A3322" t="s">
        <v>93</v>
      </c>
      <c r="B3322" t="str">
        <f>MID(tbl_lock[[#This Row],[PACE Job Number]],3,3)</f>
        <v>WSH</v>
      </c>
      <c r="C3322" t="s">
        <v>18</v>
      </c>
      <c r="D3322" s="1">
        <v>43434</v>
      </c>
    </row>
    <row r="3323" spans="1:4" x14ac:dyDescent="0.25">
      <c r="A3323" t="s">
        <v>306</v>
      </c>
      <c r="B3323" t="str">
        <f>MID(tbl_lock[[#This Row],[PACE Job Number]],3,3)</f>
        <v>WSH</v>
      </c>
      <c r="C3323" t="s">
        <v>18</v>
      </c>
      <c r="D3323" s="1">
        <v>43434</v>
      </c>
    </row>
    <row r="3324" spans="1:4" x14ac:dyDescent="0.25">
      <c r="A3324" t="s">
        <v>298</v>
      </c>
      <c r="B3324" t="str">
        <f>MID(tbl_lock[[#This Row],[PACE Job Number]],3,3)</f>
        <v>WSH</v>
      </c>
      <c r="C3324" t="s">
        <v>18</v>
      </c>
      <c r="D3324" s="1">
        <v>43434</v>
      </c>
    </row>
    <row r="3325" spans="1:4" x14ac:dyDescent="0.25">
      <c r="A3325" t="s">
        <v>160</v>
      </c>
      <c r="B3325" t="str">
        <f>MID(tbl_lock[[#This Row],[PACE Job Number]],3,3)</f>
        <v>WSH</v>
      </c>
      <c r="C3325" t="s">
        <v>18</v>
      </c>
      <c r="D3325" s="1">
        <v>43434</v>
      </c>
    </row>
    <row r="3326" spans="1:4" x14ac:dyDescent="0.25">
      <c r="A3326" t="s">
        <v>5274</v>
      </c>
      <c r="B3326" t="str">
        <f>MID(tbl_lock[[#This Row],[PACE Job Number]],3,3)</f>
        <v>WSH</v>
      </c>
      <c r="C3326" t="s">
        <v>18</v>
      </c>
      <c r="D3326" s="1">
        <v>43434</v>
      </c>
    </row>
    <row r="3327" spans="1:4" x14ac:dyDescent="0.25">
      <c r="A3327" t="s">
        <v>123</v>
      </c>
      <c r="B3327" t="str">
        <f>MID(tbl_lock[[#This Row],[PACE Job Number]],3,3)</f>
        <v>WSH</v>
      </c>
      <c r="C3327" t="s">
        <v>18</v>
      </c>
      <c r="D3327" s="1">
        <v>43434</v>
      </c>
    </row>
    <row r="3328" spans="1:4" x14ac:dyDescent="0.25">
      <c r="A3328" t="s">
        <v>4273</v>
      </c>
      <c r="B3328" t="str">
        <f>MID(tbl_lock[[#This Row],[PACE Job Number]],3,3)</f>
        <v>WSH</v>
      </c>
      <c r="C3328" t="s">
        <v>18</v>
      </c>
      <c r="D3328" s="1">
        <v>43434</v>
      </c>
    </row>
    <row r="3329" spans="1:4" x14ac:dyDescent="0.25">
      <c r="A3329" t="s">
        <v>215</v>
      </c>
      <c r="B3329" t="str">
        <f>MID(tbl_lock[[#This Row],[PACE Job Number]],3,3)</f>
        <v>WSH</v>
      </c>
      <c r="C3329" t="s">
        <v>18</v>
      </c>
      <c r="D3329" s="1">
        <v>43434</v>
      </c>
    </row>
    <row r="3330" spans="1:4" x14ac:dyDescent="0.25">
      <c r="A3330" t="s">
        <v>5547</v>
      </c>
      <c r="B3330" t="str">
        <f>MID(tbl_lock[[#This Row],[PACE Job Number]],3,3)</f>
        <v>NTX</v>
      </c>
      <c r="C3330" t="s">
        <v>18</v>
      </c>
      <c r="D3330" s="1">
        <v>43417</v>
      </c>
    </row>
    <row r="3331" spans="1:4" x14ac:dyDescent="0.25">
      <c r="A3331" t="s">
        <v>2316</v>
      </c>
      <c r="B3331" t="str">
        <f>MID(tbl_lock[[#This Row],[PACE Job Number]],3,3)</f>
        <v>NTX</v>
      </c>
      <c r="C3331" t="s">
        <v>18</v>
      </c>
      <c r="D3331" s="1">
        <v>43430</v>
      </c>
    </row>
    <row r="3332" spans="1:4" x14ac:dyDescent="0.25">
      <c r="A3332" t="s">
        <v>3914</v>
      </c>
      <c r="B3332" t="str">
        <f>MID(tbl_lock[[#This Row],[PACE Job Number]],3,3)</f>
        <v>NTX</v>
      </c>
      <c r="C3332" t="s">
        <v>18</v>
      </c>
      <c r="D3332" s="1">
        <v>43430</v>
      </c>
    </row>
    <row r="3333" spans="1:4" x14ac:dyDescent="0.25">
      <c r="A3333" t="s">
        <v>4502</v>
      </c>
      <c r="B3333" t="str">
        <f>MID(tbl_lock[[#This Row],[PACE Job Number]],3,3)</f>
        <v>NTX</v>
      </c>
      <c r="C3333" t="s">
        <v>18</v>
      </c>
      <c r="D3333" s="1">
        <v>43428</v>
      </c>
    </row>
    <row r="3334" spans="1:4" x14ac:dyDescent="0.25">
      <c r="A3334" t="s">
        <v>5275</v>
      </c>
      <c r="B3334" t="str">
        <f>MID(tbl_lock[[#This Row],[PACE Job Number]],3,3)</f>
        <v>WSH</v>
      </c>
      <c r="C3334" t="s">
        <v>18</v>
      </c>
      <c r="D3334" s="1">
        <v>43434</v>
      </c>
    </row>
    <row r="3335" spans="1:4" x14ac:dyDescent="0.25">
      <c r="A3335" t="s">
        <v>5276</v>
      </c>
      <c r="B3335" t="str">
        <f>MID(tbl_lock[[#This Row],[PACE Job Number]],3,3)</f>
        <v>WSH</v>
      </c>
      <c r="C3335" t="s">
        <v>18</v>
      </c>
      <c r="D3335" s="1">
        <v>43434</v>
      </c>
    </row>
    <row r="3336" spans="1:4" x14ac:dyDescent="0.25">
      <c r="A3336" t="s">
        <v>3834</v>
      </c>
      <c r="B3336" t="str">
        <f>MID(tbl_lock[[#This Row],[PACE Job Number]],3,3)</f>
        <v>WSH</v>
      </c>
      <c r="C3336" t="s">
        <v>18</v>
      </c>
      <c r="D3336" s="1">
        <v>43434</v>
      </c>
    </row>
    <row r="3337" spans="1:4" x14ac:dyDescent="0.25">
      <c r="A3337" t="s">
        <v>5277</v>
      </c>
      <c r="B3337" t="str">
        <f>MID(tbl_lock[[#This Row],[PACE Job Number]],3,3)</f>
        <v>WSH</v>
      </c>
      <c r="C3337" t="s">
        <v>18</v>
      </c>
      <c r="D3337" s="1">
        <v>43434</v>
      </c>
    </row>
    <row r="3338" spans="1:4" x14ac:dyDescent="0.25">
      <c r="A3338" t="s">
        <v>3456</v>
      </c>
      <c r="B3338" t="str">
        <f>MID(tbl_lock[[#This Row],[PACE Job Number]],3,3)</f>
        <v>WSH</v>
      </c>
      <c r="C3338" t="s">
        <v>18</v>
      </c>
      <c r="D3338" s="1">
        <v>43434</v>
      </c>
    </row>
    <row r="3339" spans="1:4" x14ac:dyDescent="0.25">
      <c r="A3339" t="s">
        <v>366</v>
      </c>
      <c r="B3339" t="str">
        <f>MID(tbl_lock[[#This Row],[PACE Job Number]],3,3)</f>
        <v>WSH</v>
      </c>
      <c r="C3339" t="s">
        <v>18</v>
      </c>
      <c r="D3339" s="1">
        <v>43434</v>
      </c>
    </row>
    <row r="3340" spans="1:4" x14ac:dyDescent="0.25">
      <c r="A3340" t="s">
        <v>270</v>
      </c>
      <c r="B3340" t="str">
        <f>MID(tbl_lock[[#This Row],[PACE Job Number]],3,3)</f>
        <v>WSH</v>
      </c>
      <c r="C3340" t="s">
        <v>18</v>
      </c>
      <c r="D3340" s="1">
        <v>43434</v>
      </c>
    </row>
    <row r="3341" spans="1:4" x14ac:dyDescent="0.25">
      <c r="A3341" t="s">
        <v>5417</v>
      </c>
      <c r="B3341" t="str">
        <f>MID(tbl_lock[[#This Row],[PACE Job Number]],3,3)</f>
        <v>WSH</v>
      </c>
      <c r="C3341" t="s">
        <v>18</v>
      </c>
      <c r="D3341" s="1">
        <v>43434</v>
      </c>
    </row>
    <row r="3342" spans="1:4" x14ac:dyDescent="0.25">
      <c r="A3342" t="s">
        <v>3837</v>
      </c>
      <c r="B3342" t="str">
        <f>MID(tbl_lock[[#This Row],[PACE Job Number]],3,3)</f>
        <v>WSH</v>
      </c>
      <c r="C3342" t="s">
        <v>18</v>
      </c>
      <c r="D3342" s="1">
        <v>43434</v>
      </c>
    </row>
    <row r="3343" spans="1:4" x14ac:dyDescent="0.25">
      <c r="A3343" t="s">
        <v>4252</v>
      </c>
      <c r="B3343" t="str">
        <f>MID(tbl_lock[[#This Row],[PACE Job Number]],3,3)</f>
        <v>WSH</v>
      </c>
      <c r="C3343" t="s">
        <v>18</v>
      </c>
      <c r="D3343" s="1">
        <v>43434</v>
      </c>
    </row>
    <row r="3344" spans="1:4" x14ac:dyDescent="0.25">
      <c r="A3344" t="s">
        <v>5509</v>
      </c>
      <c r="B3344" t="str">
        <f>MID(tbl_lock[[#This Row],[PACE Job Number]],3,3)</f>
        <v>WSH</v>
      </c>
      <c r="C3344" t="s">
        <v>18</v>
      </c>
      <c r="D3344" s="1">
        <v>43434</v>
      </c>
    </row>
    <row r="3345" spans="1:4" x14ac:dyDescent="0.25">
      <c r="A3345" t="s">
        <v>5418</v>
      </c>
      <c r="B3345" t="str">
        <f>MID(tbl_lock[[#This Row],[PACE Job Number]],3,3)</f>
        <v>WSH</v>
      </c>
      <c r="C3345" t="s">
        <v>18</v>
      </c>
      <c r="D3345" s="1">
        <v>43434</v>
      </c>
    </row>
    <row r="3346" spans="1:4" x14ac:dyDescent="0.25">
      <c r="A3346" t="s">
        <v>4253</v>
      </c>
      <c r="B3346" t="str">
        <f>MID(tbl_lock[[#This Row],[PACE Job Number]],3,3)</f>
        <v>WSH</v>
      </c>
      <c r="C3346" t="s">
        <v>18</v>
      </c>
      <c r="D3346" s="1">
        <v>43434</v>
      </c>
    </row>
    <row r="3347" spans="1:4" x14ac:dyDescent="0.25">
      <c r="A3347" t="s">
        <v>4254</v>
      </c>
      <c r="B3347" t="str">
        <f>MID(tbl_lock[[#This Row],[PACE Job Number]],3,3)</f>
        <v>WSH</v>
      </c>
      <c r="C3347" t="s">
        <v>18</v>
      </c>
      <c r="D3347" s="1">
        <v>43434</v>
      </c>
    </row>
    <row r="3348" spans="1:4" x14ac:dyDescent="0.25">
      <c r="A3348" t="s">
        <v>5282</v>
      </c>
      <c r="B3348" t="str">
        <f>MID(tbl_lock[[#This Row],[PACE Job Number]],3,3)</f>
        <v>WSH</v>
      </c>
      <c r="C3348" t="s">
        <v>18</v>
      </c>
      <c r="D3348" s="1">
        <v>43434</v>
      </c>
    </row>
    <row r="3349" spans="1:4" x14ac:dyDescent="0.25">
      <c r="A3349" t="s">
        <v>4255</v>
      </c>
      <c r="B3349" t="str">
        <f>MID(tbl_lock[[#This Row],[PACE Job Number]],3,3)</f>
        <v>WSH</v>
      </c>
      <c r="C3349" t="s">
        <v>18</v>
      </c>
      <c r="D3349" s="1">
        <v>43434</v>
      </c>
    </row>
    <row r="3350" spans="1:4" x14ac:dyDescent="0.25">
      <c r="A3350" t="s">
        <v>5283</v>
      </c>
      <c r="B3350" t="str">
        <f>MID(tbl_lock[[#This Row],[PACE Job Number]],3,3)</f>
        <v>WSH</v>
      </c>
      <c r="C3350" t="s">
        <v>18</v>
      </c>
      <c r="D3350" s="1">
        <v>43434</v>
      </c>
    </row>
    <row r="3351" spans="1:4" x14ac:dyDescent="0.25">
      <c r="A3351" t="s">
        <v>4256</v>
      </c>
      <c r="B3351" t="str">
        <f>MID(tbl_lock[[#This Row],[PACE Job Number]],3,3)</f>
        <v>WSH</v>
      </c>
      <c r="C3351" t="s">
        <v>18</v>
      </c>
      <c r="D3351" s="1">
        <v>43434</v>
      </c>
    </row>
    <row r="3352" spans="1:4" x14ac:dyDescent="0.25">
      <c r="A3352" t="s">
        <v>4257</v>
      </c>
      <c r="B3352" t="str">
        <f>MID(tbl_lock[[#This Row],[PACE Job Number]],3,3)</f>
        <v>WSH</v>
      </c>
      <c r="C3352" t="s">
        <v>18</v>
      </c>
      <c r="D3352" s="1">
        <v>43434</v>
      </c>
    </row>
    <row r="3353" spans="1:4" x14ac:dyDescent="0.25">
      <c r="A3353" t="s">
        <v>4258</v>
      </c>
      <c r="B3353" t="str">
        <f>MID(tbl_lock[[#This Row],[PACE Job Number]],3,3)</f>
        <v>WSH</v>
      </c>
      <c r="C3353" t="s">
        <v>18</v>
      </c>
      <c r="D3353" s="1">
        <v>43434</v>
      </c>
    </row>
    <row r="3354" spans="1:4" x14ac:dyDescent="0.25">
      <c r="A3354" t="s">
        <v>317</v>
      </c>
      <c r="B3354" t="str">
        <f>MID(tbl_lock[[#This Row],[PACE Job Number]],3,3)</f>
        <v>STX</v>
      </c>
      <c r="C3354" t="s">
        <v>18</v>
      </c>
      <c r="D3354" s="1">
        <v>43434</v>
      </c>
    </row>
    <row r="3355" spans="1:4" x14ac:dyDescent="0.25">
      <c r="A3355" t="s">
        <v>689</v>
      </c>
      <c r="B3355" t="str">
        <f>MID(tbl_lock[[#This Row],[PACE Job Number]],3,3)</f>
        <v>STX</v>
      </c>
      <c r="C3355" t="s">
        <v>18</v>
      </c>
      <c r="D3355" s="1">
        <v>43432</v>
      </c>
    </row>
    <row r="3356" spans="1:4" x14ac:dyDescent="0.25">
      <c r="A3356" t="s">
        <v>3344</v>
      </c>
      <c r="B3356" t="str">
        <f>MID(tbl_lock[[#This Row],[PACE Job Number]],3,3)</f>
        <v>STX</v>
      </c>
      <c r="C3356" t="s">
        <v>18</v>
      </c>
      <c r="D3356" s="1">
        <v>43434</v>
      </c>
    </row>
    <row r="3357" spans="1:4" x14ac:dyDescent="0.25">
      <c r="A3357" t="s">
        <v>5548</v>
      </c>
      <c r="B3357" t="str">
        <f>MID(tbl_lock[[#This Row],[PACE Job Number]],3,3)</f>
        <v>STX</v>
      </c>
      <c r="C3357" t="s">
        <v>18</v>
      </c>
      <c r="D3357" s="1">
        <v>43419</v>
      </c>
    </row>
    <row r="3358" spans="1:4" x14ac:dyDescent="0.25">
      <c r="A3358" t="s">
        <v>181</v>
      </c>
      <c r="B3358" t="str">
        <f>MID(tbl_lock[[#This Row],[PACE Job Number]],3,3)</f>
        <v>STX</v>
      </c>
      <c r="C3358" t="s">
        <v>18</v>
      </c>
      <c r="D3358" s="1">
        <v>43434</v>
      </c>
    </row>
    <row r="3359" spans="1:4" x14ac:dyDescent="0.25">
      <c r="A3359" t="s">
        <v>1706</v>
      </c>
      <c r="B3359" t="str">
        <f>MID(tbl_lock[[#This Row],[PACE Job Number]],3,3)</f>
        <v>STX</v>
      </c>
      <c r="C3359" t="s">
        <v>18</v>
      </c>
      <c r="D3359" s="1">
        <v>43434</v>
      </c>
    </row>
    <row r="3360" spans="1:4" x14ac:dyDescent="0.25">
      <c r="A3360" t="s">
        <v>5419</v>
      </c>
      <c r="B3360" t="str">
        <f>MID(tbl_lock[[#This Row],[PACE Job Number]],3,3)</f>
        <v>STX</v>
      </c>
      <c r="C3360" t="s">
        <v>18</v>
      </c>
      <c r="D3360" s="1">
        <v>43434</v>
      </c>
    </row>
    <row r="3361" spans="1:4" x14ac:dyDescent="0.25">
      <c r="A3361" t="s">
        <v>5420</v>
      </c>
      <c r="B3361" t="str">
        <f>MID(tbl_lock[[#This Row],[PACE Job Number]],3,3)</f>
        <v>STX</v>
      </c>
      <c r="C3361" t="s">
        <v>18</v>
      </c>
      <c r="D3361" s="1">
        <v>43434</v>
      </c>
    </row>
    <row r="3362" spans="1:4" x14ac:dyDescent="0.25">
      <c r="A3362" t="s">
        <v>4143</v>
      </c>
      <c r="B3362" t="str">
        <f>MID(tbl_lock[[#This Row],[PACE Job Number]],3,3)</f>
        <v>STX</v>
      </c>
      <c r="C3362" t="s">
        <v>18</v>
      </c>
      <c r="D3362" s="1">
        <v>43434</v>
      </c>
    </row>
    <row r="3363" spans="1:4" x14ac:dyDescent="0.25">
      <c r="A3363" t="s">
        <v>659</v>
      </c>
      <c r="B3363" t="str">
        <f>MID(tbl_lock[[#This Row],[PACE Job Number]],3,3)</f>
        <v>STX</v>
      </c>
      <c r="C3363" t="s">
        <v>18</v>
      </c>
      <c r="D3363" s="1">
        <v>43434</v>
      </c>
    </row>
    <row r="3364" spans="1:4" x14ac:dyDescent="0.25">
      <c r="A3364" t="s">
        <v>5549</v>
      </c>
      <c r="B3364" t="str">
        <f>MID(tbl_lock[[#This Row],[PACE Job Number]],3,3)</f>
        <v>STX</v>
      </c>
      <c r="C3364" t="s">
        <v>18</v>
      </c>
      <c r="D3364" s="1">
        <v>43434</v>
      </c>
    </row>
    <row r="3365" spans="1:4" x14ac:dyDescent="0.25">
      <c r="A3365" t="s">
        <v>319</v>
      </c>
      <c r="B3365" t="str">
        <f>MID(tbl_lock[[#This Row],[PACE Job Number]],3,3)</f>
        <v>STX</v>
      </c>
      <c r="C3365" t="s">
        <v>18</v>
      </c>
      <c r="D3365" s="1">
        <v>43434</v>
      </c>
    </row>
    <row r="3366" spans="1:4" x14ac:dyDescent="0.25">
      <c r="A3366" t="s">
        <v>3401</v>
      </c>
      <c r="B3366" t="str">
        <f>MID(tbl_lock[[#This Row],[PACE Job Number]],3,3)</f>
        <v>WSH</v>
      </c>
      <c r="C3366" t="s">
        <v>18</v>
      </c>
      <c r="D3366" s="1">
        <v>43434</v>
      </c>
    </row>
    <row r="3367" spans="1:4" x14ac:dyDescent="0.25">
      <c r="A3367" t="s">
        <v>1768</v>
      </c>
      <c r="B3367" t="str">
        <f>MID(tbl_lock[[#This Row],[PACE Job Number]],3,3)</f>
        <v>NTX</v>
      </c>
      <c r="C3367" t="s">
        <v>18</v>
      </c>
      <c r="D3367" s="1">
        <v>43416</v>
      </c>
    </row>
    <row r="3368" spans="1:4" x14ac:dyDescent="0.25">
      <c r="A3368" t="s">
        <v>168</v>
      </c>
      <c r="B3368" t="str">
        <f>MID(tbl_lock[[#This Row],[PACE Job Number]],3,3)</f>
        <v>NTX</v>
      </c>
      <c r="C3368" t="s">
        <v>18</v>
      </c>
      <c r="D3368" s="1">
        <v>43426</v>
      </c>
    </row>
    <row r="3369" spans="1:4" x14ac:dyDescent="0.25">
      <c r="A3369" t="s">
        <v>653</v>
      </c>
      <c r="B3369" t="str">
        <f>MID(tbl_lock[[#This Row],[PACE Job Number]],3,3)</f>
        <v>NTX</v>
      </c>
      <c r="C3369" t="s">
        <v>18</v>
      </c>
      <c r="D3369" s="1">
        <v>43421</v>
      </c>
    </row>
    <row r="3370" spans="1:4" x14ac:dyDescent="0.25">
      <c r="A3370" t="s">
        <v>472</v>
      </c>
      <c r="B3370" t="str">
        <f>MID(tbl_lock[[#This Row],[PACE Job Number]],3,3)</f>
        <v>NTX</v>
      </c>
      <c r="C3370" t="s">
        <v>18</v>
      </c>
      <c r="D3370" s="1">
        <v>43430</v>
      </c>
    </row>
    <row r="3371" spans="1:4" x14ac:dyDescent="0.25">
      <c r="A3371" t="s">
        <v>1773</v>
      </c>
      <c r="B3371" t="str">
        <f>MID(tbl_lock[[#This Row],[PACE Job Number]],3,3)</f>
        <v>NTX</v>
      </c>
      <c r="C3371" t="s">
        <v>18</v>
      </c>
      <c r="D3371" s="1">
        <v>43434</v>
      </c>
    </row>
    <row r="3372" spans="1:4" x14ac:dyDescent="0.25">
      <c r="A3372" t="s">
        <v>309</v>
      </c>
      <c r="B3372" t="str">
        <f>MID(tbl_lock[[#This Row],[PACE Job Number]],3,3)</f>
        <v>NTX</v>
      </c>
      <c r="C3372" t="s">
        <v>18</v>
      </c>
      <c r="D3372" s="1">
        <v>43420</v>
      </c>
    </row>
    <row r="3373" spans="1:4" x14ac:dyDescent="0.25">
      <c r="A3373" t="s">
        <v>1776</v>
      </c>
      <c r="B3373" t="str">
        <f>MID(tbl_lock[[#This Row],[PACE Job Number]],3,3)</f>
        <v>NTX</v>
      </c>
      <c r="C3373" t="s">
        <v>18</v>
      </c>
      <c r="D3373" s="1">
        <v>43432</v>
      </c>
    </row>
    <row r="3374" spans="1:4" x14ac:dyDescent="0.25">
      <c r="A3374" t="s">
        <v>4554</v>
      </c>
      <c r="B3374" t="str">
        <f>MID(tbl_lock[[#This Row],[PACE Job Number]],3,3)</f>
        <v>NTX</v>
      </c>
      <c r="C3374" t="s">
        <v>18</v>
      </c>
      <c r="D3374" s="1">
        <v>43416</v>
      </c>
    </row>
    <row r="3375" spans="1:4" x14ac:dyDescent="0.25">
      <c r="A3375" t="s">
        <v>4589</v>
      </c>
      <c r="B3375" t="str">
        <f>MID(tbl_lock[[#This Row],[PACE Job Number]],3,3)</f>
        <v>NTX</v>
      </c>
      <c r="C3375" t="s">
        <v>18</v>
      </c>
      <c r="D3375" s="1">
        <v>43434</v>
      </c>
    </row>
    <row r="3376" spans="1:4" x14ac:dyDescent="0.25">
      <c r="A3376" t="s">
        <v>4590</v>
      </c>
      <c r="B3376" t="str">
        <f>MID(tbl_lock[[#This Row],[PACE Job Number]],3,3)</f>
        <v>NTX</v>
      </c>
      <c r="C3376" t="s">
        <v>18</v>
      </c>
      <c r="D3376" s="1">
        <v>43434</v>
      </c>
    </row>
    <row r="3377" spans="1:4" x14ac:dyDescent="0.25">
      <c r="A3377" t="s">
        <v>1126</v>
      </c>
      <c r="B3377" t="str">
        <f>MID(tbl_lock[[#This Row],[PACE Job Number]],3,3)</f>
        <v>NTX</v>
      </c>
      <c r="C3377" t="s">
        <v>18</v>
      </c>
      <c r="D3377" s="1">
        <v>43434</v>
      </c>
    </row>
    <row r="3378" spans="1:4" x14ac:dyDescent="0.25">
      <c r="A3378" t="s">
        <v>3535</v>
      </c>
      <c r="B3378" t="str">
        <f>MID(tbl_lock[[#This Row],[PACE Job Number]],3,3)</f>
        <v>NTX</v>
      </c>
      <c r="C3378" t="s">
        <v>18</v>
      </c>
      <c r="D3378" s="1">
        <v>43434</v>
      </c>
    </row>
    <row r="3379" spans="1:4" x14ac:dyDescent="0.25">
      <c r="A3379" t="s">
        <v>4462</v>
      </c>
      <c r="B3379" t="str">
        <f>MID(tbl_lock[[#This Row],[PACE Job Number]],3,3)</f>
        <v>NTX</v>
      </c>
      <c r="C3379" t="s">
        <v>18</v>
      </c>
      <c r="D3379" s="1">
        <v>43427</v>
      </c>
    </row>
    <row r="3380" spans="1:4" x14ac:dyDescent="0.25">
      <c r="A3380" t="s">
        <v>4463</v>
      </c>
      <c r="B3380" t="str">
        <f>MID(tbl_lock[[#This Row],[PACE Job Number]],3,3)</f>
        <v>NTX</v>
      </c>
      <c r="C3380" t="s">
        <v>18</v>
      </c>
      <c r="D3380" s="1">
        <v>43433</v>
      </c>
    </row>
    <row r="3381" spans="1:4" x14ac:dyDescent="0.25">
      <c r="A3381" t="s">
        <v>3482</v>
      </c>
      <c r="B3381" t="str">
        <f>MID(tbl_lock[[#This Row],[PACE Job Number]],3,3)</f>
        <v>NTX</v>
      </c>
      <c r="C3381" t="s">
        <v>18</v>
      </c>
      <c r="D3381" s="1">
        <v>43412</v>
      </c>
    </row>
    <row r="3382" spans="1:4" x14ac:dyDescent="0.25">
      <c r="A3382" t="s">
        <v>4476</v>
      </c>
      <c r="B3382" t="str">
        <f>MID(tbl_lock[[#This Row],[PACE Job Number]],3,3)</f>
        <v>NTX</v>
      </c>
      <c r="C3382" t="s">
        <v>18</v>
      </c>
      <c r="D3382" s="1">
        <v>43426</v>
      </c>
    </row>
    <row r="3383" spans="1:4" x14ac:dyDescent="0.25">
      <c r="A3383" t="s">
        <v>4477</v>
      </c>
      <c r="B3383" t="str">
        <f>MID(tbl_lock[[#This Row],[PACE Job Number]],3,3)</f>
        <v>NTX</v>
      </c>
      <c r="C3383" t="s">
        <v>18</v>
      </c>
      <c r="D3383" s="1">
        <v>43423</v>
      </c>
    </row>
    <row r="3384" spans="1:4" x14ac:dyDescent="0.25">
      <c r="A3384" t="s">
        <v>4478</v>
      </c>
      <c r="B3384" t="str">
        <f>MID(tbl_lock[[#This Row],[PACE Job Number]],3,3)</f>
        <v>NTX</v>
      </c>
      <c r="C3384" t="s">
        <v>18</v>
      </c>
      <c r="D3384" s="1">
        <v>43429</v>
      </c>
    </row>
    <row r="3385" spans="1:4" x14ac:dyDescent="0.25">
      <c r="A3385" t="s">
        <v>2299</v>
      </c>
      <c r="B3385" t="str">
        <f>MID(tbl_lock[[#This Row],[PACE Job Number]],3,3)</f>
        <v>NTX</v>
      </c>
      <c r="C3385" t="s">
        <v>18</v>
      </c>
      <c r="D3385" s="1">
        <v>43415</v>
      </c>
    </row>
    <row r="3386" spans="1:4" x14ac:dyDescent="0.25">
      <c r="A3386" t="s">
        <v>4479</v>
      </c>
      <c r="B3386" t="str">
        <f>MID(tbl_lock[[#This Row],[PACE Job Number]],3,3)</f>
        <v>NTX</v>
      </c>
      <c r="C3386" t="s">
        <v>18</v>
      </c>
      <c r="D3386" s="1">
        <v>43423</v>
      </c>
    </row>
    <row r="3387" spans="1:4" x14ac:dyDescent="0.25">
      <c r="A3387" t="s">
        <v>4591</v>
      </c>
      <c r="B3387" t="str">
        <f>MID(tbl_lock[[#This Row],[PACE Job Number]],3,3)</f>
        <v>NTX</v>
      </c>
      <c r="C3387" t="s">
        <v>18</v>
      </c>
      <c r="D3387" s="1">
        <v>43434</v>
      </c>
    </row>
    <row r="3388" spans="1:4" x14ac:dyDescent="0.25">
      <c r="A3388" t="s">
        <v>4592</v>
      </c>
      <c r="B3388" t="str">
        <f>MID(tbl_lock[[#This Row],[PACE Job Number]],3,3)</f>
        <v>NTX</v>
      </c>
      <c r="C3388" t="s">
        <v>18</v>
      </c>
      <c r="D3388" s="1">
        <v>43434</v>
      </c>
    </row>
    <row r="3389" spans="1:4" x14ac:dyDescent="0.25">
      <c r="A3389" t="s">
        <v>56</v>
      </c>
      <c r="B3389" t="str">
        <f>MID(tbl_lock[[#This Row],[PACE Job Number]],3,3)</f>
        <v>NTX</v>
      </c>
      <c r="C3389" t="s">
        <v>18</v>
      </c>
      <c r="D3389" s="1">
        <v>43428</v>
      </c>
    </row>
    <row r="3390" spans="1:4" x14ac:dyDescent="0.25">
      <c r="A3390" t="s">
        <v>3978</v>
      </c>
      <c r="B3390" t="str">
        <f>MID(tbl_lock[[#This Row],[PACE Job Number]],3,3)</f>
        <v>NTX</v>
      </c>
      <c r="C3390" t="s">
        <v>18</v>
      </c>
      <c r="D3390" s="1">
        <v>43434</v>
      </c>
    </row>
    <row r="3391" spans="1:4" x14ac:dyDescent="0.25">
      <c r="A3391" t="s">
        <v>2160</v>
      </c>
      <c r="B3391" t="str">
        <f>MID(tbl_lock[[#This Row],[PACE Job Number]],3,3)</f>
        <v>NTX</v>
      </c>
      <c r="C3391" t="s">
        <v>18</v>
      </c>
      <c r="D3391" s="1">
        <v>43422</v>
      </c>
    </row>
    <row r="3392" spans="1:4" x14ac:dyDescent="0.25">
      <c r="A3392" t="s">
        <v>337</v>
      </c>
      <c r="B3392" t="str">
        <f>MID(tbl_lock[[#This Row],[PACE Job Number]],3,3)</f>
        <v>NTX</v>
      </c>
      <c r="C3392" t="s">
        <v>18</v>
      </c>
      <c r="D3392" s="1">
        <v>43414</v>
      </c>
    </row>
    <row r="3393" spans="1:4" x14ac:dyDescent="0.25">
      <c r="A3393" t="s">
        <v>226</v>
      </c>
      <c r="B3393" t="str">
        <f>MID(tbl_lock[[#This Row],[PACE Job Number]],3,3)</f>
        <v>NTX</v>
      </c>
      <c r="C3393" t="s">
        <v>18</v>
      </c>
      <c r="D3393" s="1">
        <v>43414</v>
      </c>
    </row>
    <row r="3394" spans="1:4" x14ac:dyDescent="0.25">
      <c r="A3394" t="s">
        <v>2161</v>
      </c>
      <c r="B3394" t="str">
        <f>MID(tbl_lock[[#This Row],[PACE Job Number]],3,3)</f>
        <v>NTX</v>
      </c>
      <c r="C3394" t="s">
        <v>18</v>
      </c>
      <c r="D3394" s="1">
        <v>43422</v>
      </c>
    </row>
    <row r="3395" spans="1:4" x14ac:dyDescent="0.25">
      <c r="A3395" t="s">
        <v>4593</v>
      </c>
      <c r="B3395" t="str">
        <f>MID(tbl_lock[[#This Row],[PACE Job Number]],3,3)</f>
        <v>NTX</v>
      </c>
      <c r="C3395" t="s">
        <v>18</v>
      </c>
      <c r="D3395" s="1">
        <v>43434</v>
      </c>
    </row>
    <row r="3396" spans="1:4" x14ac:dyDescent="0.25">
      <c r="A3396" t="s">
        <v>917</v>
      </c>
      <c r="B3396" t="str">
        <f>MID(tbl_lock[[#This Row],[PACE Job Number]],3,3)</f>
        <v>NTX</v>
      </c>
      <c r="C3396" t="s">
        <v>18</v>
      </c>
      <c r="D3396" s="1">
        <v>43420</v>
      </c>
    </row>
    <row r="3397" spans="1:4" x14ac:dyDescent="0.25">
      <c r="A3397" t="s">
        <v>4480</v>
      </c>
      <c r="B3397" t="str">
        <f>MID(tbl_lock[[#This Row],[PACE Job Number]],3,3)</f>
        <v>NTX</v>
      </c>
      <c r="C3397" t="s">
        <v>18</v>
      </c>
      <c r="D3397" s="1">
        <v>43427</v>
      </c>
    </row>
    <row r="3398" spans="1:4" x14ac:dyDescent="0.25">
      <c r="A3398" t="s">
        <v>878</v>
      </c>
      <c r="B3398" t="str">
        <f>MID(tbl_lock[[#This Row],[PACE Job Number]],3,3)</f>
        <v>NTX</v>
      </c>
      <c r="C3398" t="s">
        <v>18</v>
      </c>
      <c r="D3398" s="1">
        <v>43427</v>
      </c>
    </row>
    <row r="3399" spans="1:4" x14ac:dyDescent="0.25">
      <c r="A3399" t="s">
        <v>4481</v>
      </c>
      <c r="B3399" t="str">
        <f>MID(tbl_lock[[#This Row],[PACE Job Number]],3,3)</f>
        <v>NTX</v>
      </c>
      <c r="C3399" t="s">
        <v>18</v>
      </c>
      <c r="D3399" s="1">
        <v>43427</v>
      </c>
    </row>
    <row r="3400" spans="1:4" x14ac:dyDescent="0.25">
      <c r="A3400" t="s">
        <v>824</v>
      </c>
      <c r="B3400" t="str">
        <f>MID(tbl_lock[[#This Row],[PACE Job Number]],3,3)</f>
        <v>NTX</v>
      </c>
      <c r="C3400" t="s">
        <v>18</v>
      </c>
      <c r="D3400" s="1">
        <v>43427</v>
      </c>
    </row>
    <row r="3401" spans="1:4" x14ac:dyDescent="0.25">
      <c r="A3401" t="s">
        <v>916</v>
      </c>
      <c r="B3401" t="str">
        <f>MID(tbl_lock[[#This Row],[PACE Job Number]],3,3)</f>
        <v>NTX</v>
      </c>
      <c r="C3401" t="s">
        <v>18</v>
      </c>
      <c r="D3401" s="1">
        <v>43419</v>
      </c>
    </row>
    <row r="3402" spans="1:4" x14ac:dyDescent="0.25">
      <c r="A3402" t="s">
        <v>4482</v>
      </c>
      <c r="B3402" t="str">
        <f>MID(tbl_lock[[#This Row],[PACE Job Number]],3,3)</f>
        <v>NTX</v>
      </c>
      <c r="C3402" t="s">
        <v>18</v>
      </c>
      <c r="D3402" s="1">
        <v>43429</v>
      </c>
    </row>
    <row r="3403" spans="1:4" x14ac:dyDescent="0.25">
      <c r="A3403" t="s">
        <v>959</v>
      </c>
      <c r="B3403" t="str">
        <f>MID(tbl_lock[[#This Row],[PACE Job Number]],3,3)</f>
        <v>NTX</v>
      </c>
      <c r="C3403" t="s">
        <v>18</v>
      </c>
      <c r="D3403" s="1">
        <v>43434</v>
      </c>
    </row>
    <row r="3404" spans="1:4" x14ac:dyDescent="0.25">
      <c r="A3404" t="s">
        <v>4483</v>
      </c>
      <c r="B3404" t="str">
        <f>MID(tbl_lock[[#This Row],[PACE Job Number]],3,3)</f>
        <v>NTX</v>
      </c>
      <c r="C3404" t="s">
        <v>18</v>
      </c>
      <c r="D3404" s="1">
        <v>43427</v>
      </c>
    </row>
    <row r="3405" spans="1:4" x14ac:dyDescent="0.25">
      <c r="A3405" t="s">
        <v>1135</v>
      </c>
      <c r="B3405" t="str">
        <f>MID(tbl_lock[[#This Row],[PACE Job Number]],3,3)</f>
        <v>NTX</v>
      </c>
      <c r="C3405" t="s">
        <v>18</v>
      </c>
      <c r="D3405" s="1">
        <v>43434</v>
      </c>
    </row>
    <row r="3406" spans="1:4" x14ac:dyDescent="0.25">
      <c r="A3406" t="s">
        <v>4034</v>
      </c>
      <c r="B3406" t="str">
        <f>MID(tbl_lock[[#This Row],[PACE Job Number]],3,3)</f>
        <v>NTX</v>
      </c>
      <c r="C3406" t="s">
        <v>18</v>
      </c>
      <c r="D3406" s="1">
        <v>43429</v>
      </c>
    </row>
    <row r="3407" spans="1:4" x14ac:dyDescent="0.25">
      <c r="A3407" t="s">
        <v>4484</v>
      </c>
      <c r="B3407" t="str">
        <f>MID(tbl_lock[[#This Row],[PACE Job Number]],3,3)</f>
        <v>NTX</v>
      </c>
      <c r="C3407" t="s">
        <v>18</v>
      </c>
      <c r="D3407" s="1">
        <v>43427</v>
      </c>
    </row>
    <row r="3408" spans="1:4" x14ac:dyDescent="0.25">
      <c r="A3408" t="s">
        <v>3512</v>
      </c>
      <c r="B3408" t="str">
        <f>MID(tbl_lock[[#This Row],[PACE Job Number]],3,3)</f>
        <v>NTX</v>
      </c>
      <c r="C3408" t="s">
        <v>18</v>
      </c>
      <c r="D3408" s="1">
        <v>43426</v>
      </c>
    </row>
    <row r="3409" spans="1:4" x14ac:dyDescent="0.25">
      <c r="A3409" t="s">
        <v>3381</v>
      </c>
      <c r="B3409" t="str">
        <f>MID(tbl_lock[[#This Row],[PACE Job Number]],3,3)</f>
        <v>NTX</v>
      </c>
      <c r="C3409" t="s">
        <v>18</v>
      </c>
      <c r="D3409" s="1">
        <v>43426</v>
      </c>
    </row>
    <row r="3410" spans="1:4" x14ac:dyDescent="0.25">
      <c r="A3410" t="s">
        <v>4294</v>
      </c>
      <c r="B3410" t="str">
        <f>MID(tbl_lock[[#This Row],[PACE Job Number]],3,3)</f>
        <v>NTX</v>
      </c>
      <c r="C3410" t="s">
        <v>18</v>
      </c>
      <c r="D3410" s="1">
        <v>43434</v>
      </c>
    </row>
    <row r="3411" spans="1:4" x14ac:dyDescent="0.25">
      <c r="A3411" t="s">
        <v>3466</v>
      </c>
      <c r="B3411" t="str">
        <f>MID(tbl_lock[[#This Row],[PACE Job Number]],3,3)</f>
        <v>NTX</v>
      </c>
      <c r="C3411" t="s">
        <v>18</v>
      </c>
      <c r="D3411" s="1">
        <v>43415</v>
      </c>
    </row>
    <row r="3412" spans="1:4" x14ac:dyDescent="0.25">
      <c r="A3412" t="s">
        <v>3427</v>
      </c>
      <c r="B3412" t="str">
        <f>MID(tbl_lock[[#This Row],[PACE Job Number]],3,3)</f>
        <v>NTX</v>
      </c>
      <c r="C3412" t="s">
        <v>18</v>
      </c>
      <c r="D3412" s="1">
        <v>43421</v>
      </c>
    </row>
    <row r="3413" spans="1:4" x14ac:dyDescent="0.25">
      <c r="A3413" t="s">
        <v>262</v>
      </c>
      <c r="B3413" t="str">
        <f>MID(tbl_lock[[#This Row],[PACE Job Number]],3,3)</f>
        <v>NTX</v>
      </c>
      <c r="C3413" t="s">
        <v>18</v>
      </c>
      <c r="D3413" s="1">
        <v>43429</v>
      </c>
    </row>
    <row r="3414" spans="1:4" x14ac:dyDescent="0.25">
      <c r="A3414" t="s">
        <v>494</v>
      </c>
      <c r="B3414" t="str">
        <f>MID(tbl_lock[[#This Row],[PACE Job Number]],3,3)</f>
        <v>NTX</v>
      </c>
      <c r="C3414" t="s">
        <v>18</v>
      </c>
      <c r="D3414" s="1">
        <v>43428</v>
      </c>
    </row>
    <row r="3415" spans="1:4" x14ac:dyDescent="0.25">
      <c r="A3415" t="s">
        <v>88</v>
      </c>
      <c r="B3415" t="str">
        <f>MID(tbl_lock[[#This Row],[PACE Job Number]],3,3)</f>
        <v>NTX</v>
      </c>
      <c r="C3415" t="s">
        <v>18</v>
      </c>
      <c r="D3415" s="1">
        <v>43429</v>
      </c>
    </row>
    <row r="3416" spans="1:4" x14ac:dyDescent="0.25">
      <c r="A3416" t="s">
        <v>3494</v>
      </c>
      <c r="B3416" t="str">
        <f>MID(tbl_lock[[#This Row],[PACE Job Number]],3,3)</f>
        <v>NTX</v>
      </c>
      <c r="C3416" t="s">
        <v>18</v>
      </c>
      <c r="D3416" s="1">
        <v>43426</v>
      </c>
    </row>
    <row r="3417" spans="1:4" x14ac:dyDescent="0.25">
      <c r="A3417" t="s">
        <v>5433</v>
      </c>
      <c r="B3417" t="str">
        <f>MID(tbl_lock[[#This Row],[PACE Job Number]],3,3)</f>
        <v>NTX</v>
      </c>
      <c r="C3417" t="s">
        <v>18</v>
      </c>
      <c r="D3417" s="1">
        <v>43433</v>
      </c>
    </row>
    <row r="3418" spans="1:4" x14ac:dyDescent="0.25">
      <c r="A3418" t="s">
        <v>3905</v>
      </c>
      <c r="B3418" t="str">
        <f>MID(tbl_lock[[#This Row],[PACE Job Number]],3,3)</f>
        <v>NTX</v>
      </c>
      <c r="C3418" t="s">
        <v>18</v>
      </c>
      <c r="D3418" s="1">
        <v>43418</v>
      </c>
    </row>
    <row r="3419" spans="1:4" x14ac:dyDescent="0.25">
      <c r="A3419" t="s">
        <v>4466</v>
      </c>
      <c r="B3419" t="str">
        <f>MID(tbl_lock[[#This Row],[PACE Job Number]],3,3)</f>
        <v>STX</v>
      </c>
      <c r="C3419" t="s">
        <v>18</v>
      </c>
      <c r="D3419" s="1">
        <v>43434</v>
      </c>
    </row>
    <row r="3420" spans="1:4" x14ac:dyDescent="0.25">
      <c r="A3420" t="s">
        <v>141</v>
      </c>
      <c r="B3420" t="str">
        <f>MID(tbl_lock[[#This Row],[PACE Job Number]],3,3)</f>
        <v>STX</v>
      </c>
      <c r="C3420" t="s">
        <v>18</v>
      </c>
      <c r="D3420" s="1">
        <v>43434</v>
      </c>
    </row>
    <row r="3421" spans="1:4" x14ac:dyDescent="0.25">
      <c r="A3421" t="s">
        <v>3967</v>
      </c>
      <c r="B3421" t="str">
        <f>MID(tbl_lock[[#This Row],[PACE Job Number]],3,3)</f>
        <v>STX</v>
      </c>
      <c r="C3421" t="s">
        <v>18</v>
      </c>
      <c r="D3421" s="1">
        <v>43434</v>
      </c>
    </row>
    <row r="3422" spans="1:4" x14ac:dyDescent="0.25">
      <c r="A3422" t="s">
        <v>3439</v>
      </c>
      <c r="B3422" t="str">
        <f>MID(tbl_lock[[#This Row],[PACE Job Number]],3,3)</f>
        <v>NTX</v>
      </c>
      <c r="C3422" t="s">
        <v>18</v>
      </c>
      <c r="D3422" s="1">
        <v>43421</v>
      </c>
    </row>
    <row r="3423" spans="1:4" x14ac:dyDescent="0.25">
      <c r="A3423" t="s">
        <v>1783</v>
      </c>
      <c r="B3423" t="str">
        <f>MID(tbl_lock[[#This Row],[PACE Job Number]],3,3)</f>
        <v>NTX</v>
      </c>
      <c r="C3423" t="s">
        <v>18</v>
      </c>
      <c r="D3423" s="1">
        <v>43412</v>
      </c>
    </row>
    <row r="3424" spans="1:4" x14ac:dyDescent="0.25">
      <c r="A3424" t="s">
        <v>1028</v>
      </c>
      <c r="B3424" t="str">
        <f>MID(tbl_lock[[#This Row],[PACE Job Number]],3,3)</f>
        <v>NTX</v>
      </c>
      <c r="C3424" t="s">
        <v>18</v>
      </c>
      <c r="D3424" s="1">
        <v>43434</v>
      </c>
    </row>
    <row r="3425" spans="1:4" x14ac:dyDescent="0.25">
      <c r="A3425" t="s">
        <v>3987</v>
      </c>
      <c r="B3425" t="str">
        <f>MID(tbl_lock[[#This Row],[PACE Job Number]],3,3)</f>
        <v>NTX</v>
      </c>
      <c r="C3425" t="s">
        <v>18</v>
      </c>
      <c r="D3425" s="1">
        <v>43434</v>
      </c>
    </row>
    <row r="3426" spans="1:4" x14ac:dyDescent="0.25">
      <c r="A3426" t="s">
        <v>3923</v>
      </c>
      <c r="B3426" t="str">
        <f>MID(tbl_lock[[#This Row],[PACE Job Number]],3,3)</f>
        <v>NTX</v>
      </c>
      <c r="C3426" t="s">
        <v>18</v>
      </c>
      <c r="D3426" s="1">
        <v>43414</v>
      </c>
    </row>
    <row r="3427" spans="1:4" x14ac:dyDescent="0.25">
      <c r="A3427" t="s">
        <v>4323</v>
      </c>
      <c r="B3427" t="str">
        <f>MID(tbl_lock[[#This Row],[PACE Job Number]],3,3)</f>
        <v>NTX</v>
      </c>
      <c r="C3427" t="s">
        <v>18</v>
      </c>
      <c r="D3427" s="1">
        <v>43431</v>
      </c>
    </row>
    <row r="3428" spans="1:4" x14ac:dyDescent="0.25">
      <c r="A3428" t="s">
        <v>4192</v>
      </c>
      <c r="B3428" t="str">
        <f>MID(tbl_lock[[#This Row],[PACE Job Number]],3,3)</f>
        <v>NTX</v>
      </c>
      <c r="C3428" t="s">
        <v>18</v>
      </c>
      <c r="D3428" s="1">
        <v>43434</v>
      </c>
    </row>
    <row r="3429" spans="1:4" x14ac:dyDescent="0.25">
      <c r="A3429" t="s">
        <v>3461</v>
      </c>
      <c r="B3429" t="str">
        <f>MID(tbl_lock[[#This Row],[PACE Job Number]],3,3)</f>
        <v>NTX</v>
      </c>
      <c r="C3429" t="s">
        <v>18</v>
      </c>
      <c r="D3429" s="1">
        <v>43421</v>
      </c>
    </row>
    <row r="3430" spans="1:4" x14ac:dyDescent="0.25">
      <c r="A3430" t="s">
        <v>4516</v>
      </c>
      <c r="B3430" t="str">
        <f>MID(tbl_lock[[#This Row],[PACE Job Number]],3,3)</f>
        <v>NTX</v>
      </c>
      <c r="C3430" t="s">
        <v>18</v>
      </c>
      <c r="D3430" s="1">
        <v>43418</v>
      </c>
    </row>
    <row r="3431" spans="1:4" x14ac:dyDescent="0.25">
      <c r="A3431" t="s">
        <v>4324</v>
      </c>
      <c r="B3431" t="str">
        <f>MID(tbl_lock[[#This Row],[PACE Job Number]],3,3)</f>
        <v>NTX</v>
      </c>
      <c r="C3431" t="s">
        <v>18</v>
      </c>
      <c r="D3431" s="1">
        <v>43429</v>
      </c>
    </row>
    <row r="3432" spans="1:4" x14ac:dyDescent="0.25">
      <c r="A3432" t="s">
        <v>1784</v>
      </c>
      <c r="B3432" t="str">
        <f>MID(tbl_lock[[#This Row],[PACE Job Number]],3,3)</f>
        <v>NTX</v>
      </c>
      <c r="C3432" t="s">
        <v>18</v>
      </c>
      <c r="D3432" s="1">
        <v>43430</v>
      </c>
    </row>
    <row r="3433" spans="1:4" x14ac:dyDescent="0.25">
      <c r="A3433" t="s">
        <v>4517</v>
      </c>
      <c r="B3433" t="str">
        <f>MID(tbl_lock[[#This Row],[PACE Job Number]],3,3)</f>
        <v>NTX</v>
      </c>
      <c r="C3433" t="s">
        <v>18</v>
      </c>
      <c r="D3433" s="1">
        <v>43418</v>
      </c>
    </row>
    <row r="3434" spans="1:4" x14ac:dyDescent="0.25">
      <c r="A3434" t="s">
        <v>5550</v>
      </c>
      <c r="B3434" t="str">
        <f>MID(tbl_lock[[#This Row],[PACE Job Number]],3,3)</f>
        <v>NTX</v>
      </c>
      <c r="C3434" t="s">
        <v>18</v>
      </c>
      <c r="D3434" s="1">
        <v>43434</v>
      </c>
    </row>
    <row r="3435" spans="1:4" x14ac:dyDescent="0.25">
      <c r="A3435" t="s">
        <v>2362</v>
      </c>
      <c r="B3435" t="str">
        <f>MID(tbl_lock[[#This Row],[PACE Job Number]],3,3)</f>
        <v>NTX</v>
      </c>
      <c r="C3435" t="s">
        <v>18</v>
      </c>
      <c r="D3435" s="1">
        <v>43430</v>
      </c>
    </row>
    <row r="3436" spans="1:4" x14ac:dyDescent="0.25">
      <c r="A3436" t="s">
        <v>3844</v>
      </c>
      <c r="B3436" t="str">
        <f>MID(tbl_lock[[#This Row],[PACE Job Number]],3,3)</f>
        <v>NTX</v>
      </c>
      <c r="C3436" t="s">
        <v>18</v>
      </c>
      <c r="D3436" s="1">
        <v>43430</v>
      </c>
    </row>
    <row r="3437" spans="1:4" x14ac:dyDescent="0.25">
      <c r="A3437" t="s">
        <v>4325</v>
      </c>
      <c r="B3437" t="str">
        <f>MID(tbl_lock[[#This Row],[PACE Job Number]],3,3)</f>
        <v>NTX</v>
      </c>
      <c r="C3437" t="s">
        <v>18</v>
      </c>
      <c r="D3437" s="1">
        <v>43428</v>
      </c>
    </row>
    <row r="3438" spans="1:4" x14ac:dyDescent="0.25">
      <c r="A3438" t="s">
        <v>667</v>
      </c>
      <c r="B3438" t="str">
        <f>MID(tbl_lock[[#This Row],[PACE Job Number]],3,3)</f>
        <v>NTX</v>
      </c>
      <c r="C3438" t="s">
        <v>18</v>
      </c>
      <c r="D3438" s="1">
        <v>43416</v>
      </c>
    </row>
    <row r="3439" spans="1:4" x14ac:dyDescent="0.25">
      <c r="A3439" t="s">
        <v>1076</v>
      </c>
      <c r="B3439" t="str">
        <f>MID(tbl_lock[[#This Row],[PACE Job Number]],3,3)</f>
        <v>NTX</v>
      </c>
      <c r="C3439" t="s">
        <v>18</v>
      </c>
      <c r="D3439" s="1">
        <v>43426</v>
      </c>
    </row>
    <row r="3440" spans="1:4" x14ac:dyDescent="0.25">
      <c r="A3440" t="s">
        <v>4326</v>
      </c>
      <c r="B3440" t="str">
        <f>MID(tbl_lock[[#This Row],[PACE Job Number]],3,3)</f>
        <v>NTX</v>
      </c>
      <c r="C3440" t="s">
        <v>18</v>
      </c>
      <c r="D3440" s="1">
        <v>43433</v>
      </c>
    </row>
    <row r="3441" spans="1:4" x14ac:dyDescent="0.25">
      <c r="A3441" t="s">
        <v>2363</v>
      </c>
      <c r="B3441" t="str">
        <f>MID(tbl_lock[[#This Row],[PACE Job Number]],3,3)</f>
        <v>NTX</v>
      </c>
      <c r="C3441" t="s">
        <v>18</v>
      </c>
      <c r="D3441" s="1">
        <v>43430</v>
      </c>
    </row>
    <row r="3442" spans="1:4" x14ac:dyDescent="0.25">
      <c r="A3442" t="s">
        <v>2483</v>
      </c>
      <c r="B3442" t="str">
        <f>MID(tbl_lock[[#This Row],[PACE Job Number]],3,3)</f>
        <v>NTX</v>
      </c>
      <c r="C3442" t="s">
        <v>18</v>
      </c>
      <c r="D3442" s="1">
        <v>43433</v>
      </c>
    </row>
    <row r="3443" spans="1:4" x14ac:dyDescent="0.25">
      <c r="A3443" t="s">
        <v>2496</v>
      </c>
      <c r="B3443" t="str">
        <f>MID(tbl_lock[[#This Row],[PACE Job Number]],3,3)</f>
        <v>NTX</v>
      </c>
      <c r="C3443" t="s">
        <v>18</v>
      </c>
      <c r="D3443" s="1">
        <v>43433</v>
      </c>
    </row>
    <row r="3444" spans="1:4" x14ac:dyDescent="0.25">
      <c r="A3444" t="s">
        <v>4311</v>
      </c>
      <c r="B3444" t="str">
        <f>MID(tbl_lock[[#This Row],[PACE Job Number]],3,3)</f>
        <v>NTX</v>
      </c>
      <c r="C3444" t="s">
        <v>18</v>
      </c>
      <c r="D3444" s="1">
        <v>43430</v>
      </c>
    </row>
    <row r="3445" spans="1:4" x14ac:dyDescent="0.25">
      <c r="A3445" t="s">
        <v>3417</v>
      </c>
      <c r="B3445" t="str">
        <f>MID(tbl_lock[[#This Row],[PACE Job Number]],3,3)</f>
        <v>NTX</v>
      </c>
      <c r="C3445" t="s">
        <v>18</v>
      </c>
      <c r="D3445" s="1">
        <v>43417</v>
      </c>
    </row>
    <row r="3446" spans="1:4" x14ac:dyDescent="0.25">
      <c r="A3446" t="s">
        <v>76</v>
      </c>
      <c r="B3446" t="str">
        <f>MID(tbl_lock[[#This Row],[PACE Job Number]],3,3)</f>
        <v>WSH</v>
      </c>
      <c r="C3446" t="s">
        <v>18</v>
      </c>
      <c r="D3446" s="1">
        <v>43434</v>
      </c>
    </row>
    <row r="3447" spans="1:4" x14ac:dyDescent="0.25">
      <c r="A3447" t="s">
        <v>701</v>
      </c>
      <c r="B3447" t="str">
        <f>MID(tbl_lock[[#This Row],[PACE Job Number]],3,3)</f>
        <v>WSH</v>
      </c>
      <c r="C3447" t="s">
        <v>18</v>
      </c>
      <c r="D3447" s="1">
        <v>43434</v>
      </c>
    </row>
    <row r="3448" spans="1:4" x14ac:dyDescent="0.25">
      <c r="A3448" t="s">
        <v>5437</v>
      </c>
      <c r="B3448" t="str">
        <f>MID(tbl_lock[[#This Row],[PACE Job Number]],3,3)</f>
        <v>WSH</v>
      </c>
      <c r="C3448" t="s">
        <v>18</v>
      </c>
      <c r="D3448" s="1">
        <v>43434</v>
      </c>
    </row>
    <row r="3449" spans="1:4" x14ac:dyDescent="0.25">
      <c r="A3449" t="s">
        <v>5438</v>
      </c>
      <c r="B3449" t="str">
        <f>MID(tbl_lock[[#This Row],[PACE Job Number]],3,3)</f>
        <v>WSH</v>
      </c>
      <c r="C3449" t="s">
        <v>18</v>
      </c>
      <c r="D3449" s="1">
        <v>43434</v>
      </c>
    </row>
    <row r="3450" spans="1:4" x14ac:dyDescent="0.25">
      <c r="A3450" t="s">
        <v>5285</v>
      </c>
      <c r="B3450" t="str">
        <f>MID(tbl_lock[[#This Row],[PACE Job Number]],3,3)</f>
        <v>WSH</v>
      </c>
      <c r="C3450" t="s">
        <v>18</v>
      </c>
      <c r="D3450" s="1">
        <v>43434</v>
      </c>
    </row>
    <row r="3451" spans="1:4" x14ac:dyDescent="0.25">
      <c r="A3451" t="s">
        <v>5514</v>
      </c>
      <c r="B3451" t="str">
        <f>MID(tbl_lock[[#This Row],[PACE Job Number]],3,3)</f>
        <v>WSH</v>
      </c>
      <c r="C3451" t="s">
        <v>18</v>
      </c>
      <c r="D3451" s="1">
        <v>43434</v>
      </c>
    </row>
    <row r="3452" spans="1:4" x14ac:dyDescent="0.25">
      <c r="A3452" t="s">
        <v>4199</v>
      </c>
      <c r="B3452" t="str">
        <f>MID(tbl_lock[[#This Row],[PACE Job Number]],3,3)</f>
        <v>WSH</v>
      </c>
      <c r="C3452" t="s">
        <v>18</v>
      </c>
      <c r="D3452" s="1">
        <v>43434</v>
      </c>
    </row>
    <row r="3453" spans="1:4" x14ac:dyDescent="0.25">
      <c r="A3453" t="s">
        <v>3800</v>
      </c>
      <c r="B3453" t="str">
        <f>MID(tbl_lock[[#This Row],[PACE Job Number]],3,3)</f>
        <v>WSH</v>
      </c>
      <c r="C3453" t="s">
        <v>18</v>
      </c>
      <c r="D3453" s="1">
        <v>43434</v>
      </c>
    </row>
    <row r="3454" spans="1:4" x14ac:dyDescent="0.25">
      <c r="A3454" t="s">
        <v>311</v>
      </c>
      <c r="B3454" t="str">
        <f>MID(tbl_lock[[#This Row],[PACE Job Number]],3,3)</f>
        <v>WSH</v>
      </c>
      <c r="C3454" t="s">
        <v>18</v>
      </c>
      <c r="D3454" s="1">
        <v>43434</v>
      </c>
    </row>
    <row r="3455" spans="1:4" x14ac:dyDescent="0.25">
      <c r="A3455" t="s">
        <v>152</v>
      </c>
      <c r="B3455" t="str">
        <f>MID(tbl_lock[[#This Row],[PACE Job Number]],3,3)</f>
        <v>WSH</v>
      </c>
      <c r="C3455" t="s">
        <v>18</v>
      </c>
      <c r="D3455" s="1">
        <v>43434</v>
      </c>
    </row>
    <row r="3456" spans="1:4" x14ac:dyDescent="0.25">
      <c r="A3456" t="s">
        <v>5286</v>
      </c>
      <c r="B3456" t="str">
        <f>MID(tbl_lock[[#This Row],[PACE Job Number]],3,3)</f>
        <v>WSH</v>
      </c>
      <c r="C3456" t="s">
        <v>18</v>
      </c>
      <c r="D3456" s="1">
        <v>43434</v>
      </c>
    </row>
    <row r="3457" spans="1:4" x14ac:dyDescent="0.25">
      <c r="A3457" t="s">
        <v>513</v>
      </c>
      <c r="B3457" t="str">
        <f>MID(tbl_lock[[#This Row],[PACE Job Number]],3,3)</f>
        <v>WSH</v>
      </c>
      <c r="C3457" t="s">
        <v>18</v>
      </c>
      <c r="D3457" s="1">
        <v>43434</v>
      </c>
    </row>
    <row r="3458" spans="1:4" x14ac:dyDescent="0.25">
      <c r="A3458" t="s">
        <v>5288</v>
      </c>
      <c r="B3458" t="str">
        <f>MID(tbl_lock[[#This Row],[PACE Job Number]],3,3)</f>
        <v>WSH</v>
      </c>
      <c r="C3458" t="s">
        <v>18</v>
      </c>
      <c r="D3458" s="1">
        <v>43434</v>
      </c>
    </row>
    <row r="3459" spans="1:4" x14ac:dyDescent="0.25">
      <c r="A3459" t="s">
        <v>3801</v>
      </c>
      <c r="B3459" t="str">
        <f>MID(tbl_lock[[#This Row],[PACE Job Number]],3,3)</f>
        <v>WSH</v>
      </c>
      <c r="C3459" t="s">
        <v>18</v>
      </c>
      <c r="D3459" s="1">
        <v>43434</v>
      </c>
    </row>
    <row r="3460" spans="1:4" x14ac:dyDescent="0.25">
      <c r="A3460" t="s">
        <v>5289</v>
      </c>
      <c r="B3460" t="str">
        <f>MID(tbl_lock[[#This Row],[PACE Job Number]],3,3)</f>
        <v>WSH</v>
      </c>
      <c r="C3460" t="s">
        <v>18</v>
      </c>
      <c r="D3460" s="1">
        <v>43434</v>
      </c>
    </row>
    <row r="3461" spans="1:4" x14ac:dyDescent="0.25">
      <c r="A3461" t="s">
        <v>5291</v>
      </c>
      <c r="B3461" t="str">
        <f>MID(tbl_lock[[#This Row],[PACE Job Number]],3,3)</f>
        <v>WSH</v>
      </c>
      <c r="C3461" t="s">
        <v>18</v>
      </c>
      <c r="D3461" s="1">
        <v>43434</v>
      </c>
    </row>
    <row r="3462" spans="1:4" x14ac:dyDescent="0.25">
      <c r="A3462" t="s">
        <v>5292</v>
      </c>
      <c r="B3462" t="str">
        <f>MID(tbl_lock[[#This Row],[PACE Job Number]],3,3)</f>
        <v>WSH</v>
      </c>
      <c r="C3462" t="s">
        <v>18</v>
      </c>
      <c r="D3462" s="1">
        <v>43434</v>
      </c>
    </row>
    <row r="3463" spans="1:4" x14ac:dyDescent="0.25">
      <c r="A3463" t="s">
        <v>5293</v>
      </c>
      <c r="B3463" t="str">
        <f>MID(tbl_lock[[#This Row],[PACE Job Number]],3,3)</f>
        <v>WSH</v>
      </c>
      <c r="C3463" t="s">
        <v>18</v>
      </c>
      <c r="D3463" s="1">
        <v>43434</v>
      </c>
    </row>
    <row r="3464" spans="1:4" x14ac:dyDescent="0.25">
      <c r="A3464" t="s">
        <v>3891</v>
      </c>
      <c r="B3464" t="str">
        <f>MID(tbl_lock[[#This Row],[PACE Job Number]],3,3)</f>
        <v>WSH</v>
      </c>
      <c r="C3464" t="s">
        <v>18</v>
      </c>
      <c r="D3464" s="1">
        <v>43434</v>
      </c>
    </row>
    <row r="3465" spans="1:4" x14ac:dyDescent="0.25">
      <c r="A3465" t="s">
        <v>3808</v>
      </c>
      <c r="B3465" t="str">
        <f>MID(tbl_lock[[#This Row],[PACE Job Number]],3,3)</f>
        <v>WSH</v>
      </c>
      <c r="C3465" t="s">
        <v>18</v>
      </c>
      <c r="D3465" s="1">
        <v>43434</v>
      </c>
    </row>
    <row r="3466" spans="1:4" x14ac:dyDescent="0.25">
      <c r="A3466" t="s">
        <v>5515</v>
      </c>
      <c r="B3466" t="str">
        <f>MID(tbl_lock[[#This Row],[PACE Job Number]],3,3)</f>
        <v>WSH</v>
      </c>
      <c r="C3466" t="s">
        <v>18</v>
      </c>
      <c r="D3466" s="1">
        <v>43434</v>
      </c>
    </row>
    <row r="3467" spans="1:4" x14ac:dyDescent="0.25">
      <c r="A3467" t="s">
        <v>3898</v>
      </c>
      <c r="B3467" t="str">
        <f>MID(tbl_lock[[#This Row],[PACE Job Number]],3,3)</f>
        <v>WSH</v>
      </c>
      <c r="C3467" t="s">
        <v>18</v>
      </c>
      <c r="D3467" s="1">
        <v>43434</v>
      </c>
    </row>
    <row r="3468" spans="1:4" x14ac:dyDescent="0.25">
      <c r="A3468" t="s">
        <v>3809</v>
      </c>
      <c r="B3468" t="str">
        <f>MID(tbl_lock[[#This Row],[PACE Job Number]],3,3)</f>
        <v>WSH</v>
      </c>
      <c r="C3468" t="s">
        <v>18</v>
      </c>
      <c r="D3468" s="1">
        <v>43434</v>
      </c>
    </row>
    <row r="3469" spans="1:4" x14ac:dyDescent="0.25">
      <c r="A3469" t="s">
        <v>5294</v>
      </c>
      <c r="B3469" t="str">
        <f>MID(tbl_lock[[#This Row],[PACE Job Number]],3,3)</f>
        <v>WSH</v>
      </c>
      <c r="C3469" t="s">
        <v>18</v>
      </c>
      <c r="D3469" s="1">
        <v>43434</v>
      </c>
    </row>
    <row r="3470" spans="1:4" x14ac:dyDescent="0.25">
      <c r="A3470" t="s">
        <v>3900</v>
      </c>
      <c r="B3470" t="str">
        <f>MID(tbl_lock[[#This Row],[PACE Job Number]],3,3)</f>
        <v>WSH</v>
      </c>
      <c r="C3470" t="s">
        <v>18</v>
      </c>
      <c r="D3470" s="1">
        <v>43434</v>
      </c>
    </row>
    <row r="3471" spans="1:4" x14ac:dyDescent="0.25">
      <c r="A3471" t="s">
        <v>3901</v>
      </c>
      <c r="B3471" t="str">
        <f>MID(tbl_lock[[#This Row],[PACE Job Number]],3,3)</f>
        <v>WSH</v>
      </c>
      <c r="C3471" t="s">
        <v>18</v>
      </c>
      <c r="D3471" s="1">
        <v>43434</v>
      </c>
    </row>
    <row r="3472" spans="1:4" x14ac:dyDescent="0.25">
      <c r="A3472" t="s">
        <v>3391</v>
      </c>
      <c r="B3472" t="str">
        <f>MID(tbl_lock[[#This Row],[PACE Job Number]],3,3)</f>
        <v>WSH</v>
      </c>
      <c r="C3472" t="s">
        <v>18</v>
      </c>
      <c r="D3472" s="1">
        <v>43434</v>
      </c>
    </row>
    <row r="3473" spans="1:4" x14ac:dyDescent="0.25">
      <c r="A3473" t="s">
        <v>5295</v>
      </c>
      <c r="B3473" t="str">
        <f>MID(tbl_lock[[#This Row],[PACE Job Number]],3,3)</f>
        <v>WSH</v>
      </c>
      <c r="C3473" t="s">
        <v>18</v>
      </c>
      <c r="D3473" s="1">
        <v>43434</v>
      </c>
    </row>
    <row r="3474" spans="1:4" x14ac:dyDescent="0.25">
      <c r="A3474" t="s">
        <v>351</v>
      </c>
      <c r="B3474" t="str">
        <f>MID(tbl_lock[[#This Row],[PACE Job Number]],3,3)</f>
        <v>WSH</v>
      </c>
      <c r="C3474" t="s">
        <v>18</v>
      </c>
      <c r="D3474" s="1">
        <v>43434</v>
      </c>
    </row>
    <row r="3475" spans="1:4" x14ac:dyDescent="0.25">
      <c r="A3475" t="s">
        <v>5439</v>
      </c>
      <c r="B3475" t="str">
        <f>MID(tbl_lock[[#This Row],[PACE Job Number]],3,3)</f>
        <v>WSH</v>
      </c>
      <c r="C3475" t="s">
        <v>18</v>
      </c>
      <c r="D3475" s="1">
        <v>43434</v>
      </c>
    </row>
    <row r="3476" spans="1:4" x14ac:dyDescent="0.25">
      <c r="A3476" t="s">
        <v>5297</v>
      </c>
      <c r="B3476" t="str">
        <f>MID(tbl_lock[[#This Row],[PACE Job Number]],3,3)</f>
        <v>WSH</v>
      </c>
      <c r="C3476" t="s">
        <v>18</v>
      </c>
      <c r="D3476" s="1">
        <v>43434</v>
      </c>
    </row>
    <row r="3477" spans="1:4" x14ac:dyDescent="0.25">
      <c r="A3477" t="s">
        <v>71</v>
      </c>
      <c r="B3477" t="str">
        <f>MID(tbl_lock[[#This Row],[PACE Job Number]],3,3)</f>
        <v>WSH</v>
      </c>
      <c r="C3477" t="s">
        <v>18</v>
      </c>
      <c r="D3477" s="1">
        <v>43434</v>
      </c>
    </row>
    <row r="3478" spans="1:4" x14ac:dyDescent="0.25">
      <c r="A3478" t="s">
        <v>171</v>
      </c>
      <c r="B3478" t="str">
        <f>MID(tbl_lock[[#This Row],[PACE Job Number]],3,3)</f>
        <v>WSH</v>
      </c>
      <c r="C3478" t="s">
        <v>18</v>
      </c>
      <c r="D3478" s="1">
        <v>43434</v>
      </c>
    </row>
    <row r="3479" spans="1:4" x14ac:dyDescent="0.25">
      <c r="A3479" t="s">
        <v>315</v>
      </c>
      <c r="B3479" t="str">
        <f>MID(tbl_lock[[#This Row],[PACE Job Number]],3,3)</f>
        <v>WSH</v>
      </c>
      <c r="C3479" t="s">
        <v>18</v>
      </c>
      <c r="D3479" s="1">
        <v>43434</v>
      </c>
    </row>
    <row r="3480" spans="1:4" x14ac:dyDescent="0.25">
      <c r="A3480" t="s">
        <v>5298</v>
      </c>
      <c r="B3480" t="str">
        <f>MID(tbl_lock[[#This Row],[PACE Job Number]],3,3)</f>
        <v>WSH</v>
      </c>
      <c r="C3480" t="s">
        <v>18</v>
      </c>
      <c r="D3480" s="1">
        <v>43434</v>
      </c>
    </row>
    <row r="3481" spans="1:4" x14ac:dyDescent="0.25">
      <c r="A3481" t="s">
        <v>5516</v>
      </c>
      <c r="B3481" t="str">
        <f>MID(tbl_lock[[#This Row],[PACE Job Number]],3,3)</f>
        <v>WSH</v>
      </c>
      <c r="C3481" t="s">
        <v>18</v>
      </c>
      <c r="D3481" s="1">
        <v>43434</v>
      </c>
    </row>
    <row r="3482" spans="1:4" x14ac:dyDescent="0.25">
      <c r="A3482" t="s">
        <v>4202</v>
      </c>
      <c r="B3482" t="str">
        <f>MID(tbl_lock[[#This Row],[PACE Job Number]],3,3)</f>
        <v>WSH</v>
      </c>
      <c r="C3482" t="s">
        <v>18</v>
      </c>
      <c r="D3482" s="1">
        <v>43434</v>
      </c>
    </row>
    <row r="3483" spans="1:4" x14ac:dyDescent="0.25">
      <c r="A3483" t="s">
        <v>36</v>
      </c>
      <c r="B3483" t="str">
        <f>MID(tbl_lock[[#This Row],[PACE Job Number]],3,3)</f>
        <v>WSH</v>
      </c>
      <c r="C3483" t="s">
        <v>18</v>
      </c>
      <c r="D3483" s="1">
        <v>43434</v>
      </c>
    </row>
    <row r="3484" spans="1:4" x14ac:dyDescent="0.25">
      <c r="A3484" t="s">
        <v>1571</v>
      </c>
      <c r="B3484" t="str">
        <f>MID(tbl_lock[[#This Row],[PACE Job Number]],3,3)</f>
        <v>NTX</v>
      </c>
      <c r="C3484" t="s">
        <v>18</v>
      </c>
      <c r="D3484" s="1">
        <v>43419</v>
      </c>
    </row>
    <row r="3485" spans="1:4" x14ac:dyDescent="0.25">
      <c r="A3485" t="s">
        <v>4489</v>
      </c>
      <c r="B3485" t="str">
        <f>MID(tbl_lock[[#This Row],[PACE Job Number]],3,3)</f>
        <v>STX</v>
      </c>
      <c r="C3485" t="s">
        <v>18</v>
      </c>
      <c r="D3485" s="1">
        <v>43434</v>
      </c>
    </row>
    <row r="3486" spans="1:4" x14ac:dyDescent="0.25">
      <c r="A3486" t="s">
        <v>4558</v>
      </c>
      <c r="B3486" t="str">
        <f>MID(tbl_lock[[#This Row],[PACE Job Number]],3,3)</f>
        <v>STX</v>
      </c>
      <c r="C3486" t="s">
        <v>18</v>
      </c>
      <c r="D3486" s="1">
        <v>43419</v>
      </c>
    </row>
    <row r="3487" spans="1:4" x14ac:dyDescent="0.25">
      <c r="A3487" t="s">
        <v>176</v>
      </c>
      <c r="B3487" t="str">
        <f>MID(tbl_lock[[#This Row],[PACE Job Number]],3,3)</f>
        <v>STX</v>
      </c>
      <c r="C3487" t="s">
        <v>18</v>
      </c>
      <c r="D3487" s="1">
        <v>43434</v>
      </c>
    </row>
    <row r="3488" spans="1:4" x14ac:dyDescent="0.25">
      <c r="A3488" t="s">
        <v>4491</v>
      </c>
      <c r="B3488" t="str">
        <f>MID(tbl_lock[[#This Row],[PACE Job Number]],3,3)</f>
        <v>STX</v>
      </c>
      <c r="C3488" t="s">
        <v>18</v>
      </c>
      <c r="D3488" s="1">
        <v>43434</v>
      </c>
    </row>
    <row r="3489" spans="1:4" x14ac:dyDescent="0.25">
      <c r="A3489" t="s">
        <v>142</v>
      </c>
      <c r="B3489" t="str">
        <f>MID(tbl_lock[[#This Row],[PACE Job Number]],3,3)</f>
        <v>STX</v>
      </c>
      <c r="C3489" t="s">
        <v>18</v>
      </c>
      <c r="D3489" s="1">
        <v>43434</v>
      </c>
    </row>
    <row r="3490" spans="1:4" x14ac:dyDescent="0.25">
      <c r="A3490" t="s">
        <v>5440</v>
      </c>
      <c r="B3490" t="str">
        <f>MID(tbl_lock[[#This Row],[PACE Job Number]],3,3)</f>
        <v>STX</v>
      </c>
      <c r="C3490" t="s">
        <v>18</v>
      </c>
      <c r="D3490" s="1">
        <v>43434</v>
      </c>
    </row>
    <row r="3491" spans="1:4" x14ac:dyDescent="0.25">
      <c r="A3491" t="s">
        <v>4492</v>
      </c>
      <c r="B3491" t="str">
        <f>MID(tbl_lock[[#This Row],[PACE Job Number]],3,3)</f>
        <v>STX</v>
      </c>
      <c r="C3491" t="s">
        <v>18</v>
      </c>
      <c r="D3491" s="1">
        <v>43419</v>
      </c>
    </row>
    <row r="3492" spans="1:4" x14ac:dyDescent="0.25">
      <c r="A3492" t="s">
        <v>4493</v>
      </c>
      <c r="B3492" t="str">
        <f>MID(tbl_lock[[#This Row],[PACE Job Number]],3,3)</f>
        <v>STX</v>
      </c>
      <c r="C3492" t="s">
        <v>18</v>
      </c>
      <c r="D3492" s="1">
        <v>43434</v>
      </c>
    </row>
    <row r="3493" spans="1:4" x14ac:dyDescent="0.25">
      <c r="A3493" t="s">
        <v>3490</v>
      </c>
      <c r="B3493" t="str">
        <f>MID(tbl_lock[[#This Row],[PACE Job Number]],3,3)</f>
        <v>STX</v>
      </c>
      <c r="C3493" t="s">
        <v>18</v>
      </c>
      <c r="D3493" s="1">
        <v>43432</v>
      </c>
    </row>
    <row r="3494" spans="1:4" x14ac:dyDescent="0.25">
      <c r="A3494" t="s">
        <v>5441</v>
      </c>
      <c r="B3494" t="str">
        <f>MID(tbl_lock[[#This Row],[PACE Job Number]],3,3)</f>
        <v>STX</v>
      </c>
      <c r="C3494" t="s">
        <v>18</v>
      </c>
      <c r="D3494" s="1">
        <v>43434</v>
      </c>
    </row>
    <row r="3495" spans="1:4" x14ac:dyDescent="0.25">
      <c r="A3495" t="s">
        <v>5442</v>
      </c>
      <c r="B3495" t="str">
        <f>MID(tbl_lock[[#This Row],[PACE Job Number]],3,3)</f>
        <v>STX</v>
      </c>
      <c r="C3495" t="s">
        <v>18</v>
      </c>
      <c r="D3495" s="1">
        <v>43434</v>
      </c>
    </row>
    <row r="3496" spans="1:4" x14ac:dyDescent="0.25">
      <c r="A3496" t="s">
        <v>722</v>
      </c>
      <c r="B3496" t="str">
        <f>MID(tbl_lock[[#This Row],[PACE Job Number]],3,3)</f>
        <v>STX</v>
      </c>
      <c r="C3496" t="s">
        <v>18</v>
      </c>
      <c r="D3496" s="1">
        <v>43434</v>
      </c>
    </row>
    <row r="3497" spans="1:4" x14ac:dyDescent="0.25">
      <c r="A3497" t="s">
        <v>2538</v>
      </c>
      <c r="B3497" t="str">
        <f>MID(tbl_lock[[#This Row],[PACE Job Number]],3,3)</f>
        <v>STX</v>
      </c>
      <c r="C3497" t="s">
        <v>18</v>
      </c>
      <c r="D3497" s="1">
        <v>43434</v>
      </c>
    </row>
    <row r="3498" spans="1:4" x14ac:dyDescent="0.25">
      <c r="A3498" t="s">
        <v>5443</v>
      </c>
      <c r="B3498" t="str">
        <f>MID(tbl_lock[[#This Row],[PACE Job Number]],3,3)</f>
        <v>STX</v>
      </c>
      <c r="C3498" t="s">
        <v>18</v>
      </c>
      <c r="D3498" s="1">
        <v>43434</v>
      </c>
    </row>
    <row r="3499" spans="1:4" x14ac:dyDescent="0.25">
      <c r="A3499" t="s">
        <v>4495</v>
      </c>
      <c r="B3499" t="str">
        <f>MID(tbl_lock[[#This Row],[PACE Job Number]],3,3)</f>
        <v>STX</v>
      </c>
      <c r="C3499" t="s">
        <v>18</v>
      </c>
      <c r="D3499" s="1">
        <v>43432</v>
      </c>
    </row>
    <row r="3500" spans="1:4" x14ac:dyDescent="0.25">
      <c r="A3500" t="s">
        <v>4496</v>
      </c>
      <c r="B3500" t="str">
        <f>MID(tbl_lock[[#This Row],[PACE Job Number]],3,3)</f>
        <v>STX</v>
      </c>
      <c r="C3500" t="s">
        <v>18</v>
      </c>
      <c r="D3500" s="1">
        <v>43432</v>
      </c>
    </row>
    <row r="3501" spans="1:4" x14ac:dyDescent="0.25">
      <c r="A3501" t="s">
        <v>4497</v>
      </c>
      <c r="B3501" t="str">
        <f>MID(tbl_lock[[#This Row],[PACE Job Number]],3,3)</f>
        <v>STX</v>
      </c>
      <c r="C3501" t="s">
        <v>18</v>
      </c>
      <c r="D3501" s="1">
        <v>43434</v>
      </c>
    </row>
    <row r="3502" spans="1:4" x14ac:dyDescent="0.25">
      <c r="A3502" t="s">
        <v>4498</v>
      </c>
      <c r="B3502" t="str">
        <f>MID(tbl_lock[[#This Row],[PACE Job Number]],3,3)</f>
        <v>STX</v>
      </c>
      <c r="C3502" t="s">
        <v>18</v>
      </c>
      <c r="D3502" s="1">
        <v>43434</v>
      </c>
    </row>
    <row r="3503" spans="1:4" x14ac:dyDescent="0.25">
      <c r="A3503" t="s">
        <v>285</v>
      </c>
      <c r="B3503" t="str">
        <f>MID(tbl_lock[[#This Row],[PACE Job Number]],3,3)</f>
        <v>STX</v>
      </c>
      <c r="C3503" t="s">
        <v>18</v>
      </c>
      <c r="D3503" s="1">
        <v>43434</v>
      </c>
    </row>
    <row r="3504" spans="1:4" x14ac:dyDescent="0.25">
      <c r="A3504" t="s">
        <v>288</v>
      </c>
      <c r="B3504" t="str">
        <f>MID(tbl_lock[[#This Row],[PACE Job Number]],3,3)</f>
        <v>STX</v>
      </c>
      <c r="C3504" t="s">
        <v>18</v>
      </c>
      <c r="D3504" s="1">
        <v>43434</v>
      </c>
    </row>
    <row r="3505" spans="1:4" x14ac:dyDescent="0.25">
      <c r="A3505" t="s">
        <v>5445</v>
      </c>
      <c r="B3505" t="str">
        <f>MID(tbl_lock[[#This Row],[PACE Job Number]],3,3)</f>
        <v>STX</v>
      </c>
      <c r="C3505" t="s">
        <v>18</v>
      </c>
      <c r="D3505" s="1">
        <v>43432</v>
      </c>
    </row>
    <row r="3506" spans="1:4" x14ac:dyDescent="0.25">
      <c r="A3506" t="s">
        <v>5446</v>
      </c>
      <c r="B3506" t="str">
        <f>MID(tbl_lock[[#This Row],[PACE Job Number]],3,3)</f>
        <v>STX</v>
      </c>
      <c r="C3506" t="s">
        <v>18</v>
      </c>
      <c r="D3506" s="1">
        <v>43432</v>
      </c>
    </row>
    <row r="3507" spans="1:4" x14ac:dyDescent="0.25">
      <c r="A3507" t="s">
        <v>5447</v>
      </c>
      <c r="B3507" t="str">
        <f>MID(tbl_lock[[#This Row],[PACE Job Number]],3,3)</f>
        <v>STX</v>
      </c>
      <c r="C3507" t="s">
        <v>18</v>
      </c>
      <c r="D3507" s="1">
        <v>43432</v>
      </c>
    </row>
    <row r="3508" spans="1:4" x14ac:dyDescent="0.25">
      <c r="A3508" t="s">
        <v>5448</v>
      </c>
      <c r="B3508" t="str">
        <f>MID(tbl_lock[[#This Row],[PACE Job Number]],3,3)</f>
        <v>STX</v>
      </c>
      <c r="C3508" t="s">
        <v>18</v>
      </c>
      <c r="D3508" s="1">
        <v>43432</v>
      </c>
    </row>
    <row r="3509" spans="1:4" x14ac:dyDescent="0.25">
      <c r="A3509" t="s">
        <v>1164</v>
      </c>
      <c r="B3509" t="str">
        <f>MID(tbl_lock[[#This Row],[PACE Job Number]],3,3)</f>
        <v>NTX</v>
      </c>
      <c r="C3509" t="s">
        <v>18</v>
      </c>
      <c r="D3509" s="1">
        <v>43434</v>
      </c>
    </row>
    <row r="3510" spans="1:4" x14ac:dyDescent="0.25">
      <c r="A3510" t="s">
        <v>2498</v>
      </c>
      <c r="B3510" t="str">
        <f>MID(tbl_lock[[#This Row],[PACE Job Number]],3,3)</f>
        <v>NTX</v>
      </c>
      <c r="C3510" t="s">
        <v>18</v>
      </c>
      <c r="D3510" s="1">
        <v>43433</v>
      </c>
    </row>
    <row r="3511" spans="1:4" x14ac:dyDescent="0.25">
      <c r="A3511" t="s">
        <v>4312</v>
      </c>
      <c r="B3511" t="str">
        <f>MID(tbl_lock[[#This Row],[PACE Job Number]],3,3)</f>
        <v>NTX</v>
      </c>
      <c r="C3511" t="s">
        <v>18</v>
      </c>
      <c r="D3511" s="1">
        <v>43430</v>
      </c>
    </row>
    <row r="3512" spans="1:4" x14ac:dyDescent="0.25">
      <c r="A3512" t="s">
        <v>4313</v>
      </c>
      <c r="B3512" t="str">
        <f>MID(tbl_lock[[#This Row],[PACE Job Number]],3,3)</f>
        <v>NTX</v>
      </c>
      <c r="C3512" t="s">
        <v>18</v>
      </c>
      <c r="D3512" s="1">
        <v>43417</v>
      </c>
    </row>
    <row r="3513" spans="1:4" x14ac:dyDescent="0.25">
      <c r="A3513" t="s">
        <v>4295</v>
      </c>
      <c r="B3513" t="str">
        <f>MID(tbl_lock[[#This Row],[PACE Job Number]],3,3)</f>
        <v>NTX</v>
      </c>
      <c r="C3513" t="s">
        <v>18</v>
      </c>
      <c r="D3513" s="1">
        <v>43430</v>
      </c>
    </row>
    <row r="3514" spans="1:4" x14ac:dyDescent="0.25">
      <c r="A3514" t="s">
        <v>3826</v>
      </c>
      <c r="B3514" t="str">
        <f>MID(tbl_lock[[#This Row],[PACE Job Number]],3,3)</f>
        <v>NTX</v>
      </c>
      <c r="C3514" t="s">
        <v>18</v>
      </c>
      <c r="D3514" s="1">
        <v>43431</v>
      </c>
    </row>
    <row r="3515" spans="1:4" x14ac:dyDescent="0.25">
      <c r="A3515" t="s">
        <v>4503</v>
      </c>
      <c r="B3515" t="str">
        <f>MID(tbl_lock[[#This Row],[PACE Job Number]],3,3)</f>
        <v>NTX</v>
      </c>
      <c r="C3515" t="s">
        <v>18</v>
      </c>
      <c r="D3515" s="1">
        <v>43426</v>
      </c>
    </row>
    <row r="3516" spans="1:4" x14ac:dyDescent="0.25">
      <c r="A3516" t="s">
        <v>360</v>
      </c>
      <c r="B3516" t="str">
        <f>MID(tbl_lock[[#This Row],[PACE Job Number]],3,3)</f>
        <v>NTX</v>
      </c>
      <c r="C3516" t="s">
        <v>18</v>
      </c>
      <c r="D3516" s="1">
        <v>43426</v>
      </c>
    </row>
    <row r="3517" spans="1:4" x14ac:dyDescent="0.25">
      <c r="A3517" t="s">
        <v>4504</v>
      </c>
      <c r="B3517" t="str">
        <f>MID(tbl_lock[[#This Row],[PACE Job Number]],3,3)</f>
        <v>NTX</v>
      </c>
      <c r="C3517" t="s">
        <v>18</v>
      </c>
      <c r="D3517" s="1">
        <v>43414</v>
      </c>
    </row>
    <row r="3518" spans="1:4" x14ac:dyDescent="0.25">
      <c r="A3518" t="s">
        <v>3827</v>
      </c>
      <c r="B3518" t="str">
        <f>MID(tbl_lock[[#This Row],[PACE Job Number]],3,3)</f>
        <v>NTX</v>
      </c>
      <c r="C3518" t="s">
        <v>18</v>
      </c>
      <c r="D3518" s="1">
        <v>43431</v>
      </c>
    </row>
    <row r="3519" spans="1:4" x14ac:dyDescent="0.25">
      <c r="A3519" t="s">
        <v>4505</v>
      </c>
      <c r="B3519" t="str">
        <f>MID(tbl_lock[[#This Row],[PACE Job Number]],3,3)</f>
        <v>NTX</v>
      </c>
      <c r="C3519" t="s">
        <v>18</v>
      </c>
      <c r="D3519" s="1">
        <v>43419</v>
      </c>
    </row>
    <row r="3520" spans="1:4" x14ac:dyDescent="0.25">
      <c r="A3520" t="s">
        <v>2140</v>
      </c>
      <c r="B3520" t="str">
        <f>MID(tbl_lock[[#This Row],[PACE Job Number]],3,3)</f>
        <v>NTX</v>
      </c>
      <c r="C3520" t="s">
        <v>18</v>
      </c>
      <c r="D3520" s="1">
        <v>43418</v>
      </c>
    </row>
    <row r="3521" spans="1:4" x14ac:dyDescent="0.25">
      <c r="A3521" t="s">
        <v>5452</v>
      </c>
      <c r="B3521" t="str">
        <f>MID(tbl_lock[[#This Row],[PACE Job Number]],3,3)</f>
        <v>NTX</v>
      </c>
      <c r="C3521" t="s">
        <v>18</v>
      </c>
      <c r="D3521" s="1">
        <v>43433</v>
      </c>
    </row>
    <row r="3522" spans="1:4" x14ac:dyDescent="0.25">
      <c r="A3522" t="s">
        <v>4506</v>
      </c>
      <c r="B3522" t="str">
        <f>MID(tbl_lock[[#This Row],[PACE Job Number]],3,3)</f>
        <v>NTX</v>
      </c>
      <c r="C3522" t="s">
        <v>18</v>
      </c>
      <c r="D3522" s="1">
        <v>43426</v>
      </c>
    </row>
    <row r="3523" spans="1:4" x14ac:dyDescent="0.25">
      <c r="A3523" t="s">
        <v>2489</v>
      </c>
      <c r="B3523" t="str">
        <f>MID(tbl_lock[[#This Row],[PACE Job Number]],3,3)</f>
        <v>NTX</v>
      </c>
      <c r="C3523" t="s">
        <v>18</v>
      </c>
      <c r="D3523" s="1">
        <v>43433</v>
      </c>
    </row>
    <row r="3524" spans="1:4" x14ac:dyDescent="0.25">
      <c r="A3524" t="s">
        <v>5517</v>
      </c>
      <c r="B3524" t="str">
        <f>MID(tbl_lock[[#This Row],[PACE Job Number]],3,3)</f>
        <v>NTX</v>
      </c>
      <c r="C3524" t="s">
        <v>18</v>
      </c>
      <c r="D3524" s="1">
        <v>43433</v>
      </c>
    </row>
    <row r="3525" spans="1:4" x14ac:dyDescent="0.25">
      <c r="A3525" t="s">
        <v>4507</v>
      </c>
      <c r="B3525" t="str">
        <f>MID(tbl_lock[[#This Row],[PACE Job Number]],3,3)</f>
        <v>NTX</v>
      </c>
      <c r="C3525" t="s">
        <v>18</v>
      </c>
      <c r="D3525" s="1">
        <v>43433</v>
      </c>
    </row>
    <row r="3526" spans="1:4" x14ac:dyDescent="0.25">
      <c r="A3526" t="s">
        <v>3985</v>
      </c>
      <c r="B3526" t="str">
        <f>MID(tbl_lock[[#This Row],[PACE Job Number]],3,3)</f>
        <v>NTX</v>
      </c>
      <c r="C3526" t="s">
        <v>18</v>
      </c>
      <c r="D3526" s="1">
        <v>43426</v>
      </c>
    </row>
    <row r="3527" spans="1:4" x14ac:dyDescent="0.25">
      <c r="A3527" t="s">
        <v>5518</v>
      </c>
      <c r="B3527" t="str">
        <f>MID(tbl_lock[[#This Row],[PACE Job Number]],3,3)</f>
        <v>NTX</v>
      </c>
      <c r="C3527" t="s">
        <v>18</v>
      </c>
      <c r="D3527" s="1">
        <v>43433</v>
      </c>
    </row>
    <row r="3528" spans="1:4" x14ac:dyDescent="0.25">
      <c r="A3528" t="s">
        <v>2572</v>
      </c>
      <c r="B3528" t="str">
        <f>MID(tbl_lock[[#This Row],[PACE Job Number]],3,3)</f>
        <v>STX</v>
      </c>
      <c r="C3528" t="s">
        <v>18</v>
      </c>
      <c r="D3528" s="1">
        <v>43432</v>
      </c>
    </row>
    <row r="3529" spans="1:4" x14ac:dyDescent="0.25">
      <c r="A3529" t="s">
        <v>5455</v>
      </c>
      <c r="B3529" t="str">
        <f>MID(tbl_lock[[#This Row],[PACE Job Number]],3,3)</f>
        <v>STX</v>
      </c>
      <c r="C3529" t="s">
        <v>18</v>
      </c>
      <c r="D3529" s="1">
        <v>43434</v>
      </c>
    </row>
    <row r="3530" spans="1:4" x14ac:dyDescent="0.25">
      <c r="A3530" t="s">
        <v>5519</v>
      </c>
      <c r="B3530" t="str">
        <f>MID(tbl_lock[[#This Row],[PACE Job Number]],3,3)</f>
        <v>STX</v>
      </c>
      <c r="C3530" t="s">
        <v>18</v>
      </c>
      <c r="D3530" s="1">
        <v>43434</v>
      </c>
    </row>
    <row r="3531" spans="1:4" x14ac:dyDescent="0.25">
      <c r="A3531" t="s">
        <v>5520</v>
      </c>
      <c r="B3531" t="str">
        <f>MID(tbl_lock[[#This Row],[PACE Job Number]],3,3)</f>
        <v>STX</v>
      </c>
      <c r="C3531" t="s">
        <v>18</v>
      </c>
      <c r="D3531" s="1">
        <v>43434</v>
      </c>
    </row>
    <row r="3532" spans="1:4" x14ac:dyDescent="0.25">
      <c r="A3532" t="s">
        <v>3206</v>
      </c>
      <c r="B3532" t="str">
        <f>MID(tbl_lock[[#This Row],[PACE Job Number]],3,3)</f>
        <v>STX</v>
      </c>
      <c r="C3532" t="s">
        <v>18</v>
      </c>
      <c r="D3532" s="1">
        <v>43434</v>
      </c>
    </row>
    <row r="3533" spans="1:4" x14ac:dyDescent="0.25">
      <c r="A3533" t="s">
        <v>5456</v>
      </c>
      <c r="B3533" t="str">
        <f>MID(tbl_lock[[#This Row],[PACE Job Number]],3,3)</f>
        <v>STX</v>
      </c>
      <c r="C3533" t="s">
        <v>18</v>
      </c>
      <c r="D3533" s="1">
        <v>43434</v>
      </c>
    </row>
    <row r="3534" spans="1:4" x14ac:dyDescent="0.25">
      <c r="A3534" t="s">
        <v>4509</v>
      </c>
      <c r="B3534" t="str">
        <f>MID(tbl_lock[[#This Row],[PACE Job Number]],3,3)</f>
        <v>STX</v>
      </c>
      <c r="C3534" t="s">
        <v>18</v>
      </c>
      <c r="D3534" s="1">
        <v>43419</v>
      </c>
    </row>
    <row r="3535" spans="1:4" x14ac:dyDescent="0.25">
      <c r="A3535" t="s">
        <v>4510</v>
      </c>
      <c r="B3535" t="str">
        <f>MID(tbl_lock[[#This Row],[PACE Job Number]],3,3)</f>
        <v>STX</v>
      </c>
      <c r="C3535" t="s">
        <v>18</v>
      </c>
      <c r="D3535" s="1">
        <v>43434</v>
      </c>
    </row>
    <row r="3536" spans="1:4" x14ac:dyDescent="0.25">
      <c r="A3536" t="s">
        <v>297</v>
      </c>
      <c r="B3536" t="str">
        <f>MID(tbl_lock[[#This Row],[PACE Job Number]],3,3)</f>
        <v>STX</v>
      </c>
      <c r="C3536" t="s">
        <v>18</v>
      </c>
      <c r="D3536" s="1">
        <v>43434</v>
      </c>
    </row>
    <row r="3537" spans="1:4" x14ac:dyDescent="0.25">
      <c r="A3537" t="s">
        <v>3358</v>
      </c>
      <c r="B3537" t="str">
        <f>MID(tbl_lock[[#This Row],[PACE Job Number]],3,3)</f>
        <v>STX</v>
      </c>
      <c r="C3537" t="s">
        <v>18</v>
      </c>
      <c r="D3537" s="1">
        <v>43432</v>
      </c>
    </row>
    <row r="3538" spans="1:4" x14ac:dyDescent="0.25">
      <c r="A3538" t="s">
        <v>4595</v>
      </c>
      <c r="B3538" t="str">
        <f>MID(tbl_lock[[#This Row],[PACE Job Number]],3,3)</f>
        <v>STX</v>
      </c>
      <c r="C3538" t="s">
        <v>18</v>
      </c>
      <c r="D3538" s="1">
        <v>43419</v>
      </c>
    </row>
    <row r="3539" spans="1:4" x14ac:dyDescent="0.25">
      <c r="A3539" t="s">
        <v>2560</v>
      </c>
      <c r="B3539" t="str">
        <f>MID(tbl_lock[[#This Row],[PACE Job Number]],3,3)</f>
        <v>STX</v>
      </c>
      <c r="C3539" t="s">
        <v>18</v>
      </c>
      <c r="D3539" s="1">
        <v>43432</v>
      </c>
    </row>
    <row r="3540" spans="1:4" x14ac:dyDescent="0.25">
      <c r="A3540" t="s">
        <v>5457</v>
      </c>
      <c r="B3540" t="str">
        <f>MID(tbl_lock[[#This Row],[PACE Job Number]],3,3)</f>
        <v>STX</v>
      </c>
      <c r="C3540" t="s">
        <v>18</v>
      </c>
      <c r="D3540" s="1">
        <v>43432</v>
      </c>
    </row>
    <row r="3541" spans="1:4" x14ac:dyDescent="0.25">
      <c r="A3541" t="s">
        <v>4400</v>
      </c>
      <c r="B3541" t="str">
        <f>MID(tbl_lock[[#This Row],[PACE Job Number]],3,3)</f>
        <v>NTX</v>
      </c>
      <c r="C3541" t="s">
        <v>18</v>
      </c>
      <c r="D3541" s="1">
        <v>43430</v>
      </c>
    </row>
    <row r="3542" spans="1:4" x14ac:dyDescent="0.25">
      <c r="A3542" t="s">
        <v>4401</v>
      </c>
      <c r="B3542" t="str">
        <f>MID(tbl_lock[[#This Row],[PACE Job Number]],3,3)</f>
        <v>NTX</v>
      </c>
      <c r="C3542" t="s">
        <v>18</v>
      </c>
      <c r="D3542" s="1">
        <v>43423</v>
      </c>
    </row>
    <row r="3543" spans="1:4" x14ac:dyDescent="0.25">
      <c r="A3543" t="s">
        <v>4362</v>
      </c>
      <c r="B3543" t="str">
        <f>MID(tbl_lock[[#This Row],[PACE Job Number]],3,3)</f>
        <v>NTX</v>
      </c>
      <c r="C3543" t="s">
        <v>18</v>
      </c>
      <c r="D3543" s="1">
        <v>43431</v>
      </c>
    </row>
    <row r="3544" spans="1:4" x14ac:dyDescent="0.25">
      <c r="A3544" t="s">
        <v>4363</v>
      </c>
      <c r="B3544" t="str">
        <f>MID(tbl_lock[[#This Row],[PACE Job Number]],3,3)</f>
        <v>NTX</v>
      </c>
      <c r="C3544" t="s">
        <v>18</v>
      </c>
      <c r="D3544" s="1">
        <v>43431</v>
      </c>
    </row>
    <row r="3545" spans="1:4" x14ac:dyDescent="0.25">
      <c r="A3545" t="s">
        <v>3882</v>
      </c>
      <c r="B3545" t="str">
        <f>MID(tbl_lock[[#This Row],[PACE Job Number]],3,3)</f>
        <v>NTX</v>
      </c>
      <c r="C3545" t="s">
        <v>18</v>
      </c>
      <c r="D3545" s="1">
        <v>43418</v>
      </c>
    </row>
    <row r="3546" spans="1:4" x14ac:dyDescent="0.25">
      <c r="A3546" t="s">
        <v>4532</v>
      </c>
      <c r="B3546" t="str">
        <f>MID(tbl_lock[[#This Row],[PACE Job Number]],3,3)</f>
        <v>NTX</v>
      </c>
      <c r="C3546" t="s">
        <v>18</v>
      </c>
      <c r="D3546" s="1">
        <v>43434</v>
      </c>
    </row>
    <row r="3547" spans="1:4" x14ac:dyDescent="0.25">
      <c r="A3547" t="s">
        <v>4369</v>
      </c>
      <c r="B3547" t="str">
        <f>MID(tbl_lock[[#This Row],[PACE Job Number]],3,3)</f>
        <v>NTX</v>
      </c>
      <c r="C3547" t="s">
        <v>18</v>
      </c>
      <c r="D3547" s="1">
        <v>43415</v>
      </c>
    </row>
    <row r="3548" spans="1:4" x14ac:dyDescent="0.25">
      <c r="A3548" t="s">
        <v>3468</v>
      </c>
      <c r="B3548" t="str">
        <f>MID(tbl_lock[[#This Row],[PACE Job Number]],3,3)</f>
        <v>NTX</v>
      </c>
      <c r="C3548" t="s">
        <v>18</v>
      </c>
      <c r="D3548" s="1">
        <v>43434</v>
      </c>
    </row>
    <row r="3549" spans="1:4" x14ac:dyDescent="0.25">
      <c r="A3549" t="s">
        <v>3511</v>
      </c>
      <c r="B3549" t="str">
        <f>MID(tbl_lock[[#This Row],[PACE Job Number]],3,3)</f>
        <v>NTX</v>
      </c>
      <c r="C3549" t="s">
        <v>18</v>
      </c>
      <c r="D3549" s="1">
        <v>43434</v>
      </c>
    </row>
    <row r="3550" spans="1:4" x14ac:dyDescent="0.25">
      <c r="A3550" t="s">
        <v>3509</v>
      </c>
      <c r="B3550" t="str">
        <f>MID(tbl_lock[[#This Row],[PACE Job Number]],3,3)</f>
        <v>NTX</v>
      </c>
      <c r="C3550" t="s">
        <v>18</v>
      </c>
      <c r="D3550" s="1">
        <v>43434</v>
      </c>
    </row>
    <row r="3551" spans="1:4" x14ac:dyDescent="0.25">
      <c r="A3551" t="s">
        <v>3874</v>
      </c>
      <c r="B3551" t="str">
        <f>MID(tbl_lock[[#This Row],[PACE Job Number]],3,3)</f>
        <v>WSH</v>
      </c>
      <c r="C3551" t="s">
        <v>18</v>
      </c>
      <c r="D3551" s="1">
        <v>43434</v>
      </c>
    </row>
    <row r="3552" spans="1:4" x14ac:dyDescent="0.25">
      <c r="A3552" t="s">
        <v>3875</v>
      </c>
      <c r="B3552" t="str">
        <f>MID(tbl_lock[[#This Row],[PACE Job Number]],3,3)</f>
        <v>WSH</v>
      </c>
      <c r="C3552" t="s">
        <v>18</v>
      </c>
      <c r="D3552" s="1">
        <v>43434</v>
      </c>
    </row>
    <row r="3553" spans="1:4" x14ac:dyDescent="0.25">
      <c r="A3553" t="s">
        <v>4274</v>
      </c>
      <c r="B3553" t="str">
        <f>MID(tbl_lock[[#This Row],[PACE Job Number]],3,3)</f>
        <v>WSH</v>
      </c>
      <c r="C3553" t="s">
        <v>18</v>
      </c>
      <c r="D3553" s="1">
        <v>43434</v>
      </c>
    </row>
    <row r="3554" spans="1:4" x14ac:dyDescent="0.25">
      <c r="A3554" t="s">
        <v>4275</v>
      </c>
      <c r="B3554" t="str">
        <f>MID(tbl_lock[[#This Row],[PACE Job Number]],3,3)</f>
        <v>WSH</v>
      </c>
      <c r="C3554" t="s">
        <v>18</v>
      </c>
      <c r="D3554" s="1">
        <v>43434</v>
      </c>
    </row>
    <row r="3555" spans="1:4" x14ac:dyDescent="0.25">
      <c r="A3555" t="s">
        <v>4280</v>
      </c>
      <c r="B3555" t="str">
        <f>MID(tbl_lock[[#This Row],[PACE Job Number]],3,3)</f>
        <v>WSH</v>
      </c>
      <c r="C3555" t="s">
        <v>18</v>
      </c>
      <c r="D3555" s="1">
        <v>43434</v>
      </c>
    </row>
    <row r="3556" spans="1:4" x14ac:dyDescent="0.25">
      <c r="A3556" t="s">
        <v>5522</v>
      </c>
      <c r="B3556" t="str">
        <f>MID(tbl_lock[[#This Row],[PACE Job Number]],3,3)</f>
        <v>WSH</v>
      </c>
      <c r="C3556" t="s">
        <v>18</v>
      </c>
      <c r="D3556" s="1">
        <v>43434</v>
      </c>
    </row>
    <row r="3557" spans="1:4" x14ac:dyDescent="0.25">
      <c r="A3557" t="s">
        <v>4281</v>
      </c>
      <c r="B3557" t="str">
        <f>MID(tbl_lock[[#This Row],[PACE Job Number]],3,3)</f>
        <v>WSH</v>
      </c>
      <c r="C3557" t="s">
        <v>18</v>
      </c>
      <c r="D3557" s="1">
        <v>43434</v>
      </c>
    </row>
    <row r="3558" spans="1:4" x14ac:dyDescent="0.25">
      <c r="A3558" t="s">
        <v>3993</v>
      </c>
      <c r="B3558" t="str">
        <f>MID(tbl_lock[[#This Row],[PACE Job Number]],3,3)</f>
        <v>WSH</v>
      </c>
      <c r="C3558" t="s">
        <v>18</v>
      </c>
      <c r="D3558" s="1">
        <v>43434</v>
      </c>
    </row>
    <row r="3559" spans="1:4" x14ac:dyDescent="0.25">
      <c r="A3559" t="s">
        <v>3877</v>
      </c>
      <c r="B3559" t="str">
        <f>MID(tbl_lock[[#This Row],[PACE Job Number]],3,3)</f>
        <v>WSH</v>
      </c>
      <c r="C3559" t="s">
        <v>18</v>
      </c>
      <c r="D3559" s="1">
        <v>43434</v>
      </c>
    </row>
    <row r="3560" spans="1:4" x14ac:dyDescent="0.25">
      <c r="A3560" t="s">
        <v>5310</v>
      </c>
      <c r="B3560" t="str">
        <f>MID(tbl_lock[[#This Row],[PACE Job Number]],3,3)</f>
        <v>WSH</v>
      </c>
      <c r="C3560" t="s">
        <v>18</v>
      </c>
      <c r="D3560" s="1">
        <v>43434</v>
      </c>
    </row>
    <row r="3561" spans="1:4" x14ac:dyDescent="0.25">
      <c r="A3561" t="s">
        <v>5523</v>
      </c>
      <c r="B3561" t="str">
        <f>MID(tbl_lock[[#This Row],[PACE Job Number]],3,3)</f>
        <v>WSH</v>
      </c>
      <c r="C3561" t="s">
        <v>18</v>
      </c>
      <c r="D3561" s="1">
        <v>43434</v>
      </c>
    </row>
    <row r="3562" spans="1:4" x14ac:dyDescent="0.25">
      <c r="A3562" t="s">
        <v>3878</v>
      </c>
      <c r="B3562" t="str">
        <f>MID(tbl_lock[[#This Row],[PACE Job Number]],3,3)</f>
        <v>WSH</v>
      </c>
      <c r="C3562" t="s">
        <v>18</v>
      </c>
      <c r="D3562" s="1">
        <v>43434</v>
      </c>
    </row>
    <row r="3563" spans="1:4" x14ac:dyDescent="0.25">
      <c r="A3563" t="s">
        <v>4282</v>
      </c>
      <c r="B3563" t="str">
        <f>MID(tbl_lock[[#This Row],[PACE Job Number]],3,3)</f>
        <v>WSH</v>
      </c>
      <c r="C3563" t="s">
        <v>18</v>
      </c>
      <c r="D3563" s="1">
        <v>43434</v>
      </c>
    </row>
    <row r="3564" spans="1:4" x14ac:dyDescent="0.25">
      <c r="A3564" t="s">
        <v>5312</v>
      </c>
      <c r="B3564" t="str">
        <f>MID(tbl_lock[[#This Row],[PACE Job Number]],3,3)</f>
        <v>WSH</v>
      </c>
      <c r="C3564" t="s">
        <v>18</v>
      </c>
      <c r="D3564" s="1">
        <v>43434</v>
      </c>
    </row>
    <row r="3565" spans="1:4" x14ac:dyDescent="0.25">
      <c r="A3565" t="s">
        <v>4283</v>
      </c>
      <c r="B3565" t="str">
        <f>MID(tbl_lock[[#This Row],[PACE Job Number]],3,3)</f>
        <v>WSH</v>
      </c>
      <c r="C3565" t="s">
        <v>18</v>
      </c>
      <c r="D3565" s="1">
        <v>43434</v>
      </c>
    </row>
    <row r="3566" spans="1:4" x14ac:dyDescent="0.25">
      <c r="A3566" t="s">
        <v>4284</v>
      </c>
      <c r="B3566" t="str">
        <f>MID(tbl_lock[[#This Row],[PACE Job Number]],3,3)</f>
        <v>WSH</v>
      </c>
      <c r="C3566" t="s">
        <v>18</v>
      </c>
      <c r="D3566" s="1">
        <v>43434</v>
      </c>
    </row>
    <row r="3567" spans="1:4" x14ac:dyDescent="0.25">
      <c r="A3567" t="s">
        <v>5551</v>
      </c>
      <c r="B3567" t="str">
        <f>MID(tbl_lock[[#This Row],[PACE Job Number]],3,3)</f>
        <v>WSH</v>
      </c>
      <c r="C3567" t="s">
        <v>18</v>
      </c>
      <c r="D3567" s="1">
        <v>43434</v>
      </c>
    </row>
    <row r="3568" spans="1:4" x14ac:dyDescent="0.25">
      <c r="A3568" t="s">
        <v>5315</v>
      </c>
      <c r="B3568" t="str">
        <f>MID(tbl_lock[[#This Row],[PACE Job Number]],3,3)</f>
        <v>WSH</v>
      </c>
      <c r="C3568" t="s">
        <v>18</v>
      </c>
      <c r="D3568" s="1">
        <v>43434</v>
      </c>
    </row>
    <row r="3569" spans="1:4" x14ac:dyDescent="0.25">
      <c r="A3569" t="s">
        <v>5316</v>
      </c>
      <c r="B3569" t="str">
        <f>MID(tbl_lock[[#This Row],[PACE Job Number]],3,3)</f>
        <v>WSH</v>
      </c>
      <c r="C3569" t="s">
        <v>18</v>
      </c>
      <c r="D3569" s="1">
        <v>43434</v>
      </c>
    </row>
    <row r="3570" spans="1:4" x14ac:dyDescent="0.25">
      <c r="A3570" t="s">
        <v>4289</v>
      </c>
      <c r="B3570" t="str">
        <f>MID(tbl_lock[[#This Row],[PACE Job Number]],3,3)</f>
        <v>WSH</v>
      </c>
      <c r="C3570" t="s">
        <v>18</v>
      </c>
      <c r="D3570" s="1">
        <v>43434</v>
      </c>
    </row>
    <row r="3571" spans="1:4" x14ac:dyDescent="0.25">
      <c r="A3571" t="s">
        <v>5524</v>
      </c>
      <c r="B3571" t="str">
        <f>MID(tbl_lock[[#This Row],[PACE Job Number]],3,3)</f>
        <v>WSH</v>
      </c>
      <c r="C3571" t="s">
        <v>18</v>
      </c>
      <c r="D3571" s="1">
        <v>43434</v>
      </c>
    </row>
    <row r="3572" spans="1:4" x14ac:dyDescent="0.25">
      <c r="A3572" t="s">
        <v>5552</v>
      </c>
      <c r="B3572" t="str">
        <f>MID(tbl_lock[[#This Row],[PACE Job Number]],3,3)</f>
        <v>WSH</v>
      </c>
      <c r="C3572" t="s">
        <v>18</v>
      </c>
      <c r="D3572" s="1">
        <v>43434</v>
      </c>
    </row>
    <row r="3573" spans="1:4" x14ac:dyDescent="0.25">
      <c r="A3573" t="s">
        <v>5525</v>
      </c>
      <c r="B3573" t="str">
        <f>MID(tbl_lock[[#This Row],[PACE Job Number]],3,3)</f>
        <v>WSH</v>
      </c>
      <c r="C3573" t="s">
        <v>18</v>
      </c>
      <c r="D3573" s="1">
        <v>43434</v>
      </c>
    </row>
    <row r="3574" spans="1:4" x14ac:dyDescent="0.25">
      <c r="A3574" t="s">
        <v>5461</v>
      </c>
      <c r="B3574" t="str">
        <f>MID(tbl_lock[[#This Row],[PACE Job Number]],3,3)</f>
        <v>STX</v>
      </c>
      <c r="C3574" t="s">
        <v>18</v>
      </c>
      <c r="D3574" s="1">
        <v>43434</v>
      </c>
    </row>
    <row r="3575" spans="1:4" x14ac:dyDescent="0.25">
      <c r="A3575" t="s">
        <v>4370</v>
      </c>
      <c r="B3575" t="str">
        <f>MID(tbl_lock[[#This Row],[PACE Job Number]],3,3)</f>
        <v>NTX</v>
      </c>
      <c r="C3575" t="s">
        <v>18</v>
      </c>
      <c r="D3575" s="1">
        <v>43415</v>
      </c>
    </row>
    <row r="3576" spans="1:4" x14ac:dyDescent="0.25">
      <c r="A3576" t="s">
        <v>3447</v>
      </c>
      <c r="B3576" t="str">
        <f>MID(tbl_lock[[#This Row],[PACE Job Number]],3,3)</f>
        <v>NTX</v>
      </c>
      <c r="C3576" t="s">
        <v>18</v>
      </c>
      <c r="D3576" s="1">
        <v>43418</v>
      </c>
    </row>
    <row r="3577" spans="1:4" x14ac:dyDescent="0.25">
      <c r="A3577" t="s">
        <v>4371</v>
      </c>
      <c r="B3577" t="str">
        <f>MID(tbl_lock[[#This Row],[PACE Job Number]],3,3)</f>
        <v>NTX</v>
      </c>
      <c r="C3577" t="s">
        <v>18</v>
      </c>
      <c r="D3577" s="1">
        <v>43431</v>
      </c>
    </row>
    <row r="3578" spans="1:4" x14ac:dyDescent="0.25">
      <c r="A3578" t="s">
        <v>3500</v>
      </c>
      <c r="B3578" t="str">
        <f>MID(tbl_lock[[#This Row],[PACE Job Number]],3,3)</f>
        <v>NTX</v>
      </c>
      <c r="C3578" t="s">
        <v>18</v>
      </c>
      <c r="D3578" s="1">
        <v>43418</v>
      </c>
    </row>
    <row r="3579" spans="1:4" x14ac:dyDescent="0.25">
      <c r="A3579" t="s">
        <v>248</v>
      </c>
      <c r="B3579" t="str">
        <f>MID(tbl_lock[[#This Row],[PACE Job Number]],3,3)</f>
        <v>NTX</v>
      </c>
      <c r="C3579" t="s">
        <v>18</v>
      </c>
      <c r="D3579" s="1">
        <v>43419</v>
      </c>
    </row>
    <row r="3580" spans="1:4" x14ac:dyDescent="0.25">
      <c r="A3580" t="s">
        <v>2647</v>
      </c>
      <c r="B3580" t="str">
        <f>MID(tbl_lock[[#This Row],[PACE Job Number]],3,3)</f>
        <v>STX</v>
      </c>
      <c r="C3580" t="s">
        <v>18</v>
      </c>
      <c r="D3580" s="1">
        <v>43432</v>
      </c>
    </row>
    <row r="3581" spans="1:4" x14ac:dyDescent="0.25">
      <c r="A3581" t="s">
        <v>2644</v>
      </c>
      <c r="B3581" t="str">
        <f>MID(tbl_lock[[#This Row],[PACE Job Number]],3,3)</f>
        <v>STX</v>
      </c>
      <c r="C3581" t="s">
        <v>18</v>
      </c>
      <c r="D3581" s="1">
        <v>43434</v>
      </c>
    </row>
    <row r="3582" spans="1:4" x14ac:dyDescent="0.25">
      <c r="A3582" t="s">
        <v>3946</v>
      </c>
      <c r="B3582" t="str">
        <f>MID(tbl_lock[[#This Row],[PACE Job Number]],3,3)</f>
        <v>STX</v>
      </c>
      <c r="C3582" t="s">
        <v>18</v>
      </c>
      <c r="D3582" s="1">
        <v>43434</v>
      </c>
    </row>
    <row r="3583" spans="1:4" x14ac:dyDescent="0.25">
      <c r="A3583" t="s">
        <v>2649</v>
      </c>
      <c r="B3583" t="str">
        <f>MID(tbl_lock[[#This Row],[PACE Job Number]],3,3)</f>
        <v>STX</v>
      </c>
      <c r="C3583" t="s">
        <v>18</v>
      </c>
      <c r="D3583" s="1">
        <v>43434</v>
      </c>
    </row>
    <row r="3584" spans="1:4" x14ac:dyDescent="0.25">
      <c r="A3584" t="s">
        <v>2630</v>
      </c>
      <c r="B3584" t="str">
        <f>MID(tbl_lock[[#This Row],[PACE Job Number]],3,3)</f>
        <v>STX</v>
      </c>
      <c r="C3584" t="s">
        <v>18</v>
      </c>
      <c r="D3584" s="1">
        <v>43434</v>
      </c>
    </row>
    <row r="3585" spans="1:4" x14ac:dyDescent="0.25">
      <c r="A3585" t="s">
        <v>2641</v>
      </c>
      <c r="B3585" t="str">
        <f>MID(tbl_lock[[#This Row],[PACE Job Number]],3,3)</f>
        <v>STX</v>
      </c>
      <c r="C3585" t="s">
        <v>18</v>
      </c>
      <c r="D3585" s="1">
        <v>43434</v>
      </c>
    </row>
    <row r="3586" spans="1:4" x14ac:dyDescent="0.25">
      <c r="A3586" t="s">
        <v>5318</v>
      </c>
      <c r="B3586" t="str">
        <f>MID(tbl_lock[[#This Row],[PACE Job Number]],3,3)</f>
        <v>WSH</v>
      </c>
      <c r="C3586" t="s">
        <v>18</v>
      </c>
      <c r="D3586" s="1">
        <v>43434</v>
      </c>
    </row>
    <row r="3587" spans="1:4" x14ac:dyDescent="0.25">
      <c r="A3587" t="s">
        <v>350</v>
      </c>
      <c r="B3587" t="str">
        <f>MID(tbl_lock[[#This Row],[PACE Job Number]],3,3)</f>
        <v>WSH</v>
      </c>
      <c r="C3587" t="s">
        <v>18</v>
      </c>
      <c r="D3587" s="1">
        <v>43434</v>
      </c>
    </row>
    <row r="3588" spans="1:4" x14ac:dyDescent="0.25">
      <c r="A3588" t="s">
        <v>5320</v>
      </c>
      <c r="B3588" t="str">
        <f>MID(tbl_lock[[#This Row],[PACE Job Number]],3,3)</f>
        <v>WSH</v>
      </c>
      <c r="C3588" t="s">
        <v>18</v>
      </c>
      <c r="D3588" s="1">
        <v>43434</v>
      </c>
    </row>
    <row r="3589" spans="1:4" x14ac:dyDescent="0.25">
      <c r="A3589" t="s">
        <v>2303</v>
      </c>
      <c r="B3589" t="str">
        <f>MID(tbl_lock[[#This Row],[PACE Job Number]],3,3)</f>
        <v>NTX</v>
      </c>
      <c r="C3589" t="s">
        <v>18</v>
      </c>
      <c r="D3589" s="1">
        <v>43433</v>
      </c>
    </row>
    <row r="3590" spans="1:4" x14ac:dyDescent="0.25">
      <c r="A3590" t="s">
        <v>450</v>
      </c>
      <c r="B3590" t="str">
        <f>MID(tbl_lock[[#This Row],[PACE Job Number]],3,3)</f>
        <v>NTX</v>
      </c>
      <c r="C3590" t="s">
        <v>18</v>
      </c>
      <c r="D3590" s="1">
        <v>43426</v>
      </c>
    </row>
    <row r="3591" spans="1:4" x14ac:dyDescent="0.25">
      <c r="A3591" t="s">
        <v>4297</v>
      </c>
      <c r="B3591" t="str">
        <f>MID(tbl_lock[[#This Row],[PACE Job Number]],3,3)</f>
        <v>NTX</v>
      </c>
      <c r="C3591" t="s">
        <v>18</v>
      </c>
      <c r="D3591" s="1">
        <v>43427</v>
      </c>
    </row>
    <row r="3592" spans="1:4" x14ac:dyDescent="0.25">
      <c r="A3592" t="s">
        <v>4564</v>
      </c>
      <c r="B3592" t="str">
        <f>MID(tbl_lock[[#This Row],[PACE Job Number]],3,3)</f>
        <v>NTX</v>
      </c>
      <c r="C3592" t="s">
        <v>18</v>
      </c>
      <c r="D3592" s="1">
        <v>43434</v>
      </c>
    </row>
    <row r="3593" spans="1:4" x14ac:dyDescent="0.25">
      <c r="A3593" t="s">
        <v>4299</v>
      </c>
      <c r="B3593" t="str">
        <f>MID(tbl_lock[[#This Row],[PACE Job Number]],3,3)</f>
        <v>NTX</v>
      </c>
      <c r="C3593" t="s">
        <v>18</v>
      </c>
      <c r="D3593" s="1">
        <v>43427</v>
      </c>
    </row>
    <row r="3594" spans="1:4" x14ac:dyDescent="0.25">
      <c r="A3594" t="s">
        <v>2309</v>
      </c>
      <c r="B3594" t="str">
        <f>MID(tbl_lock[[#This Row],[PACE Job Number]],3,3)</f>
        <v>NTX</v>
      </c>
      <c r="C3594" t="s">
        <v>18</v>
      </c>
      <c r="D3594" s="1">
        <v>43433</v>
      </c>
    </row>
    <row r="3595" spans="1:4" x14ac:dyDescent="0.25">
      <c r="A3595" t="s">
        <v>1094</v>
      </c>
      <c r="B3595" t="str">
        <f>MID(tbl_lock[[#This Row],[PACE Job Number]],3,3)</f>
        <v>NTX</v>
      </c>
      <c r="C3595" t="s">
        <v>18</v>
      </c>
      <c r="D3595" s="1">
        <v>43434</v>
      </c>
    </row>
    <row r="3596" spans="1:4" x14ac:dyDescent="0.25">
      <c r="A3596" t="s">
        <v>4300</v>
      </c>
      <c r="B3596" t="str">
        <f>MID(tbl_lock[[#This Row],[PACE Job Number]],3,3)</f>
        <v>NTX</v>
      </c>
      <c r="C3596" t="s">
        <v>18</v>
      </c>
      <c r="D3596" s="1">
        <v>43427</v>
      </c>
    </row>
    <row r="3597" spans="1:4" x14ac:dyDescent="0.25">
      <c r="A3597" t="s">
        <v>395</v>
      </c>
      <c r="B3597" t="str">
        <f>MID(tbl_lock[[#This Row],[PACE Job Number]],3,3)</f>
        <v>NTX</v>
      </c>
      <c r="C3597" t="s">
        <v>18</v>
      </c>
      <c r="D3597" s="1">
        <v>43426</v>
      </c>
    </row>
    <row r="3598" spans="1:4" x14ac:dyDescent="0.25">
      <c r="A3598" t="s">
        <v>4301</v>
      </c>
      <c r="B3598" t="str">
        <f>MID(tbl_lock[[#This Row],[PACE Job Number]],3,3)</f>
        <v>NTX</v>
      </c>
      <c r="C3598" t="s">
        <v>18</v>
      </c>
      <c r="D3598" s="1">
        <v>43427</v>
      </c>
    </row>
    <row r="3599" spans="1:4" x14ac:dyDescent="0.25">
      <c r="A3599" t="s">
        <v>4302</v>
      </c>
      <c r="B3599" t="str">
        <f>MID(tbl_lock[[#This Row],[PACE Job Number]],3,3)</f>
        <v>NTX</v>
      </c>
      <c r="C3599" t="s">
        <v>18</v>
      </c>
      <c r="D3599" s="1">
        <v>43427</v>
      </c>
    </row>
    <row r="3600" spans="1:4" x14ac:dyDescent="0.25">
      <c r="A3600" t="s">
        <v>4603</v>
      </c>
      <c r="B3600" t="str">
        <f>MID(tbl_lock[[#This Row],[PACE Job Number]],3,3)</f>
        <v>ANM</v>
      </c>
      <c r="C3600" t="s">
        <v>13</v>
      </c>
      <c r="D3600" s="1">
        <v>43434</v>
      </c>
    </row>
    <row r="3601" spans="1:4" x14ac:dyDescent="0.25">
      <c r="A3601" t="s">
        <v>4534</v>
      </c>
      <c r="B3601" t="str">
        <f>MID(tbl_lock[[#This Row],[PACE Job Number]],3,3)</f>
        <v>STX</v>
      </c>
      <c r="C3601" t="s">
        <v>13</v>
      </c>
      <c r="D3601" s="1">
        <v>43419</v>
      </c>
    </row>
    <row r="3602" spans="1:4" x14ac:dyDescent="0.25">
      <c r="A3602" t="s">
        <v>2684</v>
      </c>
      <c r="B3602" t="str">
        <f>MID(tbl_lock[[#This Row],[PACE Job Number]],3,3)</f>
        <v>STX</v>
      </c>
      <c r="C3602" t="s">
        <v>13</v>
      </c>
      <c r="D3602" s="1">
        <v>43419</v>
      </c>
    </row>
    <row r="3603" spans="1:4" x14ac:dyDescent="0.25">
      <c r="A3603" t="s">
        <v>3387</v>
      </c>
      <c r="B3603" t="str">
        <f>MID(tbl_lock[[#This Row],[PACE Job Number]],3,3)</f>
        <v>STX</v>
      </c>
      <c r="C3603" t="s">
        <v>13</v>
      </c>
      <c r="D3603" s="1">
        <v>43419</v>
      </c>
    </row>
    <row r="3604" spans="1:4" x14ac:dyDescent="0.25">
      <c r="A3604" t="s">
        <v>2664</v>
      </c>
      <c r="B3604" t="str">
        <f>MID(tbl_lock[[#This Row],[PACE Job Number]],3,3)</f>
        <v>STX</v>
      </c>
      <c r="C3604" t="s">
        <v>13</v>
      </c>
      <c r="D3604" s="1">
        <v>43419</v>
      </c>
    </row>
    <row r="3605" spans="1:4" x14ac:dyDescent="0.25">
      <c r="A3605" t="s">
        <v>4378</v>
      </c>
      <c r="B3605" t="str">
        <f>MID(tbl_lock[[#This Row],[PACE Job Number]],3,3)</f>
        <v>STX</v>
      </c>
      <c r="C3605" t="s">
        <v>13</v>
      </c>
      <c r="D3605" s="1">
        <v>43419</v>
      </c>
    </row>
    <row r="3606" spans="1:4" x14ac:dyDescent="0.25">
      <c r="A3606" t="s">
        <v>3954</v>
      </c>
      <c r="B3606" t="str">
        <f>MID(tbl_lock[[#This Row],[PACE Job Number]],3,3)</f>
        <v>STX</v>
      </c>
      <c r="C3606" t="s">
        <v>13</v>
      </c>
      <c r="D3606" s="1">
        <v>43419</v>
      </c>
    </row>
    <row r="3607" spans="1:4" x14ac:dyDescent="0.25">
      <c r="A3607" t="s">
        <v>4379</v>
      </c>
      <c r="B3607" t="str">
        <f>MID(tbl_lock[[#This Row],[PACE Job Number]],3,3)</f>
        <v>STX</v>
      </c>
      <c r="C3607" t="s">
        <v>13</v>
      </c>
      <c r="D3607" s="1">
        <v>43434</v>
      </c>
    </row>
    <row r="3608" spans="1:4" x14ac:dyDescent="0.25">
      <c r="A3608" t="s">
        <v>5553</v>
      </c>
      <c r="B3608" t="str">
        <f>MID(tbl_lock[[#This Row],[PACE Job Number]],3,3)</f>
        <v>STX</v>
      </c>
      <c r="C3608" t="s">
        <v>13</v>
      </c>
      <c r="D3608" s="1">
        <v>43419</v>
      </c>
    </row>
    <row r="3609" spans="1:4" x14ac:dyDescent="0.25">
      <c r="A3609" t="s">
        <v>4380</v>
      </c>
      <c r="B3609" t="str">
        <f>MID(tbl_lock[[#This Row],[PACE Job Number]],3,3)</f>
        <v>STX</v>
      </c>
      <c r="C3609" t="s">
        <v>13</v>
      </c>
      <c r="D3609" s="1">
        <v>43419</v>
      </c>
    </row>
    <row r="3610" spans="1:4" x14ac:dyDescent="0.25">
      <c r="A3610" t="s">
        <v>3380</v>
      </c>
      <c r="B3610" t="str">
        <f>MID(tbl_lock[[#This Row],[PACE Job Number]],3,3)</f>
        <v>NTX</v>
      </c>
      <c r="C3610" t="s">
        <v>13</v>
      </c>
      <c r="D3610" s="1">
        <v>43424</v>
      </c>
    </row>
    <row r="3611" spans="1:4" x14ac:dyDescent="0.25">
      <c r="A3611" t="s">
        <v>3382</v>
      </c>
      <c r="B3611" t="str">
        <f>MID(tbl_lock[[#This Row],[PACE Job Number]],3,3)</f>
        <v>NTX</v>
      </c>
      <c r="C3611" t="s">
        <v>13</v>
      </c>
      <c r="D3611" s="1">
        <v>43424</v>
      </c>
    </row>
    <row r="3612" spans="1:4" x14ac:dyDescent="0.25">
      <c r="A3612" t="s">
        <v>618</v>
      </c>
      <c r="B3612" t="str">
        <f>MID(tbl_lock[[#This Row],[PACE Job Number]],3,3)</f>
        <v>STX</v>
      </c>
      <c r="C3612" t="s">
        <v>13</v>
      </c>
      <c r="D3612" s="1">
        <v>43419</v>
      </c>
    </row>
    <row r="3613" spans="1:4" x14ac:dyDescent="0.25">
      <c r="A3613" t="s">
        <v>5554</v>
      </c>
      <c r="B3613" t="str">
        <f>MID(tbl_lock[[#This Row],[PACE Job Number]],3,3)</f>
        <v>STX</v>
      </c>
      <c r="C3613" t="s">
        <v>13</v>
      </c>
      <c r="D3613" s="1">
        <v>43407</v>
      </c>
    </row>
    <row r="3614" spans="1:4" x14ac:dyDescent="0.25">
      <c r="A3614" t="s">
        <v>4565</v>
      </c>
      <c r="B3614" t="str">
        <f>MID(tbl_lock[[#This Row],[PACE Job Number]],3,3)</f>
        <v>STX</v>
      </c>
      <c r="C3614" t="s">
        <v>13</v>
      </c>
      <c r="D3614" s="1">
        <v>43434</v>
      </c>
    </row>
    <row r="3615" spans="1:4" x14ac:dyDescent="0.25">
      <c r="A3615" t="s">
        <v>4314</v>
      </c>
      <c r="B3615" t="str">
        <f>MID(tbl_lock[[#This Row],[PACE Job Number]],3,3)</f>
        <v>STX</v>
      </c>
      <c r="C3615" t="s">
        <v>13</v>
      </c>
      <c r="D3615" s="1">
        <v>43419</v>
      </c>
    </row>
    <row r="3616" spans="1:4" x14ac:dyDescent="0.25">
      <c r="A3616" t="s">
        <v>4315</v>
      </c>
      <c r="B3616" t="str">
        <f>MID(tbl_lock[[#This Row],[PACE Job Number]],3,3)</f>
        <v>STX</v>
      </c>
      <c r="C3616" t="s">
        <v>13</v>
      </c>
      <c r="D3616" s="1">
        <v>43419</v>
      </c>
    </row>
    <row r="3617" spans="1:4" x14ac:dyDescent="0.25">
      <c r="A3617" t="s">
        <v>675</v>
      </c>
      <c r="B3617" t="str">
        <f>MID(tbl_lock[[#This Row],[PACE Job Number]],3,3)</f>
        <v>STX</v>
      </c>
      <c r="C3617" t="s">
        <v>13</v>
      </c>
      <c r="D3617" s="1">
        <v>43419</v>
      </c>
    </row>
    <row r="3618" spans="1:4" x14ac:dyDescent="0.25">
      <c r="A3618" t="s">
        <v>767</v>
      </c>
      <c r="B3618" t="str">
        <f>MID(tbl_lock[[#This Row],[PACE Job Number]],3,3)</f>
        <v>STX</v>
      </c>
      <c r="C3618" t="s">
        <v>13</v>
      </c>
      <c r="D3618" s="1">
        <v>43419</v>
      </c>
    </row>
    <row r="3619" spans="1:4" x14ac:dyDescent="0.25">
      <c r="A3619" t="s">
        <v>4317</v>
      </c>
      <c r="B3619" t="str">
        <f>MID(tbl_lock[[#This Row],[PACE Job Number]],3,3)</f>
        <v>STX</v>
      </c>
      <c r="C3619" t="s">
        <v>13</v>
      </c>
      <c r="D3619" s="1">
        <v>43419</v>
      </c>
    </row>
    <row r="3620" spans="1:4" x14ac:dyDescent="0.25">
      <c r="A3620" t="s">
        <v>4318</v>
      </c>
      <c r="B3620" t="str">
        <f>MID(tbl_lock[[#This Row],[PACE Job Number]],3,3)</f>
        <v>STX</v>
      </c>
      <c r="C3620" t="s">
        <v>13</v>
      </c>
      <c r="D3620" s="1">
        <v>43419</v>
      </c>
    </row>
    <row r="3621" spans="1:4" x14ac:dyDescent="0.25">
      <c r="A3621" t="s">
        <v>640</v>
      </c>
      <c r="B3621" t="str">
        <f>MID(tbl_lock[[#This Row],[PACE Job Number]],3,3)</f>
        <v>STX</v>
      </c>
      <c r="C3621" t="s">
        <v>13</v>
      </c>
      <c r="D3621" s="1">
        <v>43419</v>
      </c>
    </row>
    <row r="3622" spans="1:4" x14ac:dyDescent="0.25">
      <c r="A3622" t="s">
        <v>4320</v>
      </c>
      <c r="B3622" t="str">
        <f>MID(tbl_lock[[#This Row],[PACE Job Number]],3,3)</f>
        <v>STX</v>
      </c>
      <c r="C3622" t="s">
        <v>13</v>
      </c>
      <c r="D3622" s="1">
        <v>43419</v>
      </c>
    </row>
    <row r="3623" spans="1:4" x14ac:dyDescent="0.25">
      <c r="A3623" t="s">
        <v>4321</v>
      </c>
      <c r="B3623" t="str">
        <f>MID(tbl_lock[[#This Row],[PACE Job Number]],3,3)</f>
        <v>STX</v>
      </c>
      <c r="C3623" t="s">
        <v>13</v>
      </c>
      <c r="D3623" s="1">
        <v>43419</v>
      </c>
    </row>
    <row r="3624" spans="1:4" x14ac:dyDescent="0.25">
      <c r="A3624" t="s">
        <v>778</v>
      </c>
      <c r="B3624" t="str">
        <f>MID(tbl_lock[[#This Row],[PACE Job Number]],3,3)</f>
        <v>STX</v>
      </c>
      <c r="C3624" t="s">
        <v>13</v>
      </c>
      <c r="D3624" s="1">
        <v>43419</v>
      </c>
    </row>
    <row r="3625" spans="1:4" x14ac:dyDescent="0.25">
      <c r="A3625" t="s">
        <v>4515</v>
      </c>
      <c r="B3625" t="str">
        <f>MID(tbl_lock[[#This Row],[PACE Job Number]],3,3)</f>
        <v>STX</v>
      </c>
      <c r="C3625" t="s">
        <v>13</v>
      </c>
      <c r="D3625" s="1">
        <v>43419</v>
      </c>
    </row>
    <row r="3626" spans="1:4" x14ac:dyDescent="0.25">
      <c r="A3626" t="s">
        <v>4203</v>
      </c>
      <c r="B3626" t="str">
        <f>MID(tbl_lock[[#This Row],[PACE Job Number]],3,3)</f>
        <v>WSH</v>
      </c>
      <c r="C3626" t="s">
        <v>13</v>
      </c>
      <c r="D3626" s="1">
        <v>43434</v>
      </c>
    </row>
    <row r="3627" spans="1:4" x14ac:dyDescent="0.25">
      <c r="A3627" t="s">
        <v>148</v>
      </c>
      <c r="B3627" t="str">
        <f>MID(tbl_lock[[#This Row],[PACE Job Number]],3,3)</f>
        <v>WSH</v>
      </c>
      <c r="C3627" t="s">
        <v>13</v>
      </c>
      <c r="D3627" s="1">
        <v>43434</v>
      </c>
    </row>
    <row r="3628" spans="1:4" x14ac:dyDescent="0.25">
      <c r="A3628" t="s">
        <v>4207</v>
      </c>
      <c r="B3628" t="str">
        <f>MID(tbl_lock[[#This Row],[PACE Job Number]],3,3)</f>
        <v>WSH</v>
      </c>
      <c r="C3628" t="s">
        <v>13</v>
      </c>
      <c r="D3628" s="1">
        <v>43434</v>
      </c>
    </row>
    <row r="3629" spans="1:4" x14ac:dyDescent="0.25">
      <c r="A3629" t="s">
        <v>78</v>
      </c>
      <c r="B3629" t="str">
        <f>MID(tbl_lock[[#This Row],[PACE Job Number]],3,3)</f>
        <v>WSH</v>
      </c>
      <c r="C3629" t="s">
        <v>13</v>
      </c>
      <c r="D3629" s="1">
        <v>43434</v>
      </c>
    </row>
    <row r="3630" spans="1:4" x14ac:dyDescent="0.25">
      <c r="A3630" t="s">
        <v>3429</v>
      </c>
      <c r="B3630" t="str">
        <f>MID(tbl_lock[[#This Row],[PACE Job Number]],3,3)</f>
        <v>WSH</v>
      </c>
      <c r="C3630" t="s">
        <v>13</v>
      </c>
      <c r="D3630" s="1">
        <v>43434</v>
      </c>
    </row>
    <row r="3631" spans="1:4" x14ac:dyDescent="0.25">
      <c r="A3631" t="s">
        <v>3904</v>
      </c>
      <c r="B3631" t="str">
        <f>MID(tbl_lock[[#This Row],[PACE Job Number]],3,3)</f>
        <v>WSH</v>
      </c>
      <c r="C3631" t="s">
        <v>13</v>
      </c>
      <c r="D3631" s="1">
        <v>43406</v>
      </c>
    </row>
    <row r="3632" spans="1:4" x14ac:dyDescent="0.25">
      <c r="A3632" t="s">
        <v>3410</v>
      </c>
      <c r="B3632" t="str">
        <f>MID(tbl_lock[[#This Row],[PACE Job Number]],3,3)</f>
        <v>WSH</v>
      </c>
      <c r="C3632" t="s">
        <v>13</v>
      </c>
      <c r="D3632" s="1">
        <v>43434</v>
      </c>
    </row>
    <row r="3633" spans="1:4" x14ac:dyDescent="0.25">
      <c r="A3633" t="s">
        <v>135</v>
      </c>
      <c r="B3633" t="str">
        <f>MID(tbl_lock[[#This Row],[PACE Job Number]],3,3)</f>
        <v>WSH</v>
      </c>
      <c r="C3633" t="s">
        <v>13</v>
      </c>
      <c r="D3633" s="1">
        <v>43434</v>
      </c>
    </row>
    <row r="3634" spans="1:4" x14ac:dyDescent="0.25">
      <c r="A3634" t="s">
        <v>4002</v>
      </c>
      <c r="B3634" t="str">
        <f>MID(tbl_lock[[#This Row],[PACE Job Number]],3,3)</f>
        <v>WSH</v>
      </c>
      <c r="C3634" t="s">
        <v>13</v>
      </c>
      <c r="D3634" s="1">
        <v>43434</v>
      </c>
    </row>
    <row r="3635" spans="1:4" x14ac:dyDescent="0.25">
      <c r="A3635" t="s">
        <v>42</v>
      </c>
      <c r="B3635" t="str">
        <f>MID(tbl_lock[[#This Row],[PACE Job Number]],3,3)</f>
        <v>WSH</v>
      </c>
      <c r="C3635" t="s">
        <v>13</v>
      </c>
      <c r="D3635" s="1">
        <v>43434</v>
      </c>
    </row>
    <row r="3636" spans="1:4" x14ac:dyDescent="0.25">
      <c r="A3636" t="s">
        <v>3908</v>
      </c>
      <c r="B3636" t="str">
        <f>MID(tbl_lock[[#This Row],[PACE Job Number]],3,3)</f>
        <v>WSH</v>
      </c>
      <c r="C3636" t="s">
        <v>13</v>
      </c>
      <c r="D3636" s="1">
        <v>43434</v>
      </c>
    </row>
    <row r="3637" spans="1:4" x14ac:dyDescent="0.25">
      <c r="A3637" t="s">
        <v>109</v>
      </c>
      <c r="B3637" t="str">
        <f>MID(tbl_lock[[#This Row],[PACE Job Number]],3,3)</f>
        <v>WSH</v>
      </c>
      <c r="C3637" t="s">
        <v>13</v>
      </c>
      <c r="D3637" s="1">
        <v>43434</v>
      </c>
    </row>
    <row r="3638" spans="1:4" x14ac:dyDescent="0.25">
      <c r="A3638" t="s">
        <v>3909</v>
      </c>
      <c r="B3638" t="str">
        <f>MID(tbl_lock[[#This Row],[PACE Job Number]],3,3)</f>
        <v>WSH</v>
      </c>
      <c r="C3638" t="s">
        <v>13</v>
      </c>
      <c r="D3638" s="1">
        <v>43434</v>
      </c>
    </row>
    <row r="3639" spans="1:4" x14ac:dyDescent="0.25">
      <c r="A3639" t="s">
        <v>3379</v>
      </c>
      <c r="B3639" t="str">
        <f>MID(tbl_lock[[#This Row],[PACE Job Number]],3,3)</f>
        <v>STX</v>
      </c>
      <c r="C3639" t="s">
        <v>13</v>
      </c>
      <c r="D3639" s="1">
        <v>43419</v>
      </c>
    </row>
    <row r="3640" spans="1:4" x14ac:dyDescent="0.25">
      <c r="A3640" t="s">
        <v>5555</v>
      </c>
      <c r="B3640" t="str">
        <f>MID(tbl_lock[[#This Row],[PACE Job Number]],3,3)</f>
        <v>STX</v>
      </c>
      <c r="C3640" t="s">
        <v>13</v>
      </c>
      <c r="D3640" s="1">
        <v>43419</v>
      </c>
    </row>
    <row r="3641" spans="1:4" x14ac:dyDescent="0.25">
      <c r="A3641" t="s">
        <v>3341</v>
      </c>
      <c r="B3641" t="str">
        <f>MID(tbl_lock[[#This Row],[PACE Job Number]],3,3)</f>
        <v>STX</v>
      </c>
      <c r="C3641" t="s">
        <v>13</v>
      </c>
      <c r="D3641" s="1">
        <v>43419</v>
      </c>
    </row>
    <row r="3642" spans="1:4" x14ac:dyDescent="0.25">
      <c r="A3642" t="s">
        <v>5556</v>
      </c>
      <c r="B3642" t="str">
        <f>MID(tbl_lock[[#This Row],[PACE Job Number]],3,3)</f>
        <v>STX</v>
      </c>
      <c r="C3642" t="s">
        <v>13</v>
      </c>
      <c r="D3642" s="1">
        <v>43434</v>
      </c>
    </row>
    <row r="3643" spans="1:4" x14ac:dyDescent="0.25">
      <c r="A3643" t="s">
        <v>5557</v>
      </c>
      <c r="B3643" t="str">
        <f>MID(tbl_lock[[#This Row],[PACE Job Number]],3,3)</f>
        <v>STX</v>
      </c>
      <c r="C3643" t="s">
        <v>13</v>
      </c>
      <c r="D3643" s="1">
        <v>43419</v>
      </c>
    </row>
    <row r="3644" spans="1:4" x14ac:dyDescent="0.25">
      <c r="A3644" t="s">
        <v>462</v>
      </c>
      <c r="B3644" t="str">
        <f>MID(tbl_lock[[#This Row],[PACE Job Number]],3,3)</f>
        <v>STX</v>
      </c>
      <c r="C3644" t="s">
        <v>13</v>
      </c>
      <c r="D3644" s="1">
        <v>43419</v>
      </c>
    </row>
    <row r="3645" spans="1:4" x14ac:dyDescent="0.25">
      <c r="A3645" t="s">
        <v>5528</v>
      </c>
      <c r="B3645" t="str">
        <f>MID(tbl_lock[[#This Row],[PACE Job Number]],3,3)</f>
        <v>STX</v>
      </c>
      <c r="C3645" t="s">
        <v>13</v>
      </c>
      <c r="D3645" s="1">
        <v>43434</v>
      </c>
    </row>
    <row r="3646" spans="1:4" x14ac:dyDescent="0.25">
      <c r="A3646" t="s">
        <v>4328</v>
      </c>
      <c r="B3646" t="str">
        <f>MID(tbl_lock[[#This Row],[PACE Job Number]],3,3)</f>
        <v>STX</v>
      </c>
      <c r="C3646" t="s">
        <v>13</v>
      </c>
      <c r="D3646" s="1">
        <v>43419</v>
      </c>
    </row>
    <row r="3647" spans="1:4" x14ac:dyDescent="0.25">
      <c r="A3647" t="s">
        <v>2568</v>
      </c>
      <c r="B3647" t="str">
        <f>MID(tbl_lock[[#This Row],[PACE Job Number]],3,3)</f>
        <v>STX</v>
      </c>
      <c r="C3647" t="s">
        <v>13</v>
      </c>
      <c r="D3647" s="1">
        <v>43419</v>
      </c>
    </row>
    <row r="3648" spans="1:4" x14ac:dyDescent="0.25">
      <c r="A3648" t="s">
        <v>3366</v>
      </c>
      <c r="B3648" t="str">
        <f>MID(tbl_lock[[#This Row],[PACE Job Number]],3,3)</f>
        <v>STX</v>
      </c>
      <c r="C3648" t="s">
        <v>13</v>
      </c>
      <c r="D3648" s="1">
        <v>43419</v>
      </c>
    </row>
    <row r="3649" spans="1:4" x14ac:dyDescent="0.25">
      <c r="A3649" t="s">
        <v>310</v>
      </c>
      <c r="B3649" t="str">
        <f>MID(tbl_lock[[#This Row],[PACE Job Number]],3,3)</f>
        <v>STX</v>
      </c>
      <c r="C3649" t="s">
        <v>13</v>
      </c>
      <c r="D3649" s="1">
        <v>43434</v>
      </c>
    </row>
    <row r="3650" spans="1:4" x14ac:dyDescent="0.25">
      <c r="A3650" t="s">
        <v>292</v>
      </c>
      <c r="B3650" t="str">
        <f>MID(tbl_lock[[#This Row],[PACE Job Number]],3,3)</f>
        <v>STX</v>
      </c>
      <c r="C3650" t="s">
        <v>13</v>
      </c>
      <c r="D3650" s="1">
        <v>43419</v>
      </c>
    </row>
    <row r="3651" spans="1:4" x14ac:dyDescent="0.25">
      <c r="A3651" t="s">
        <v>390</v>
      </c>
      <c r="B3651" t="str">
        <f>MID(tbl_lock[[#This Row],[PACE Job Number]],3,3)</f>
        <v>STX</v>
      </c>
      <c r="C3651" t="s">
        <v>13</v>
      </c>
      <c r="D3651" s="1">
        <v>43434</v>
      </c>
    </row>
    <row r="3652" spans="1:4" x14ac:dyDescent="0.25">
      <c r="A3652" t="s">
        <v>3285</v>
      </c>
      <c r="B3652" t="str">
        <f>MID(tbl_lock[[#This Row],[PACE Job Number]],3,3)</f>
        <v>STX</v>
      </c>
      <c r="C3652" t="s">
        <v>13</v>
      </c>
      <c r="D3652" s="1">
        <v>43419</v>
      </c>
    </row>
    <row r="3653" spans="1:4" x14ac:dyDescent="0.25">
      <c r="A3653" t="s">
        <v>3279</v>
      </c>
      <c r="B3653" t="str">
        <f>MID(tbl_lock[[#This Row],[PACE Job Number]],3,3)</f>
        <v>STX</v>
      </c>
      <c r="C3653" t="s">
        <v>13</v>
      </c>
      <c r="D3653" s="1">
        <v>43419</v>
      </c>
    </row>
    <row r="3654" spans="1:4" x14ac:dyDescent="0.25">
      <c r="A3654" t="s">
        <v>4332</v>
      </c>
      <c r="B3654" t="str">
        <f>MID(tbl_lock[[#This Row],[PACE Job Number]],3,3)</f>
        <v>STX</v>
      </c>
      <c r="C3654" t="s">
        <v>13</v>
      </c>
      <c r="D3654" s="1">
        <v>43434</v>
      </c>
    </row>
    <row r="3655" spans="1:4" x14ac:dyDescent="0.25">
      <c r="A3655" t="s">
        <v>2581</v>
      </c>
      <c r="B3655" t="str">
        <f>MID(tbl_lock[[#This Row],[PACE Job Number]],3,3)</f>
        <v>STX</v>
      </c>
      <c r="C3655" t="s">
        <v>13</v>
      </c>
      <c r="D3655" s="1">
        <v>43419</v>
      </c>
    </row>
    <row r="3656" spans="1:4" x14ac:dyDescent="0.25">
      <c r="A3656" t="s">
        <v>4333</v>
      </c>
      <c r="B3656" t="str">
        <f>MID(tbl_lock[[#This Row],[PACE Job Number]],3,3)</f>
        <v>STX</v>
      </c>
      <c r="C3656" t="s">
        <v>13</v>
      </c>
      <c r="D3656" s="1">
        <v>43434</v>
      </c>
    </row>
    <row r="3657" spans="1:4" x14ac:dyDescent="0.25">
      <c r="A3657" t="s">
        <v>4334</v>
      </c>
      <c r="B3657" t="str">
        <f>MID(tbl_lock[[#This Row],[PACE Job Number]],3,3)</f>
        <v>STX</v>
      </c>
      <c r="C3657" t="s">
        <v>13</v>
      </c>
      <c r="D3657" s="1">
        <v>43419</v>
      </c>
    </row>
    <row r="3658" spans="1:4" x14ac:dyDescent="0.25">
      <c r="A3658" t="s">
        <v>3883</v>
      </c>
      <c r="B3658" t="str">
        <f>MID(tbl_lock[[#This Row],[PACE Job Number]],3,3)</f>
        <v>NTX</v>
      </c>
      <c r="C3658" t="s">
        <v>13</v>
      </c>
      <c r="D3658" s="1">
        <v>43429</v>
      </c>
    </row>
    <row r="3659" spans="1:4" x14ac:dyDescent="0.25">
      <c r="A3659" t="s">
        <v>2405</v>
      </c>
      <c r="B3659" t="str">
        <f>MID(tbl_lock[[#This Row],[PACE Job Number]],3,3)</f>
        <v>NTX</v>
      </c>
      <c r="C3659" t="s">
        <v>13</v>
      </c>
      <c r="D3659" s="1">
        <v>43426</v>
      </c>
    </row>
    <row r="3660" spans="1:4" x14ac:dyDescent="0.25">
      <c r="A3660" t="s">
        <v>4384</v>
      </c>
      <c r="B3660" t="str">
        <f>MID(tbl_lock[[#This Row],[PACE Job Number]],3,3)</f>
        <v>NTX</v>
      </c>
      <c r="C3660" t="s">
        <v>13</v>
      </c>
      <c r="D3660" s="1">
        <v>43426</v>
      </c>
    </row>
    <row r="3661" spans="1:4" x14ac:dyDescent="0.25">
      <c r="A3661" t="s">
        <v>4638</v>
      </c>
      <c r="B3661" t="str">
        <f>MID(tbl_lock[[#This Row],[PACE Job Number]],3,3)</f>
        <v>WSH</v>
      </c>
      <c r="C3661" t="s">
        <v>13</v>
      </c>
      <c r="D3661" s="1">
        <v>43434</v>
      </c>
    </row>
    <row r="3662" spans="1:4" x14ac:dyDescent="0.25">
      <c r="A3662" t="s">
        <v>4606</v>
      </c>
      <c r="B3662" t="str">
        <f>MID(tbl_lock[[#This Row],[PACE Job Number]],3,3)</f>
        <v>ANM</v>
      </c>
      <c r="C3662" t="s">
        <v>13</v>
      </c>
      <c r="D3662" s="1">
        <v>43434</v>
      </c>
    </row>
    <row r="3663" spans="1:4" x14ac:dyDescent="0.25">
      <c r="A3663" t="s">
        <v>4388</v>
      </c>
      <c r="B3663" t="str">
        <f>MID(tbl_lock[[#This Row],[PACE Job Number]],3,3)</f>
        <v>NTX</v>
      </c>
      <c r="C3663" t="s">
        <v>13</v>
      </c>
      <c r="D3663" s="1">
        <v>43426</v>
      </c>
    </row>
    <row r="3664" spans="1:4" x14ac:dyDescent="0.25">
      <c r="A3664" t="s">
        <v>2409</v>
      </c>
      <c r="B3664" t="str">
        <f>MID(tbl_lock[[#This Row],[PACE Job Number]],3,3)</f>
        <v>NTX</v>
      </c>
      <c r="C3664" t="s">
        <v>13</v>
      </c>
      <c r="D3664" s="1">
        <v>43426</v>
      </c>
    </row>
    <row r="3665" spans="1:4" x14ac:dyDescent="0.25">
      <c r="A3665" t="s">
        <v>2410</v>
      </c>
      <c r="B3665" t="str">
        <f>MID(tbl_lock[[#This Row],[PACE Job Number]],3,3)</f>
        <v>NTX</v>
      </c>
      <c r="C3665" t="s">
        <v>13</v>
      </c>
      <c r="D3665" s="1">
        <v>43433</v>
      </c>
    </row>
    <row r="3666" spans="1:4" x14ac:dyDescent="0.25">
      <c r="A3666" t="s">
        <v>3369</v>
      </c>
      <c r="B3666" t="str">
        <f>MID(tbl_lock[[#This Row],[PACE Job Number]],3,3)</f>
        <v>NTX</v>
      </c>
      <c r="C3666" t="s">
        <v>13</v>
      </c>
      <c r="D3666" s="1">
        <v>43426</v>
      </c>
    </row>
    <row r="3667" spans="1:4" x14ac:dyDescent="0.25">
      <c r="A3667" t="s">
        <v>2513</v>
      </c>
      <c r="B3667" t="str">
        <f>MID(tbl_lock[[#This Row],[PACE Job Number]],3,3)</f>
        <v>STX</v>
      </c>
      <c r="C3667" t="s">
        <v>13</v>
      </c>
      <c r="D3667" s="1">
        <v>43419</v>
      </c>
    </row>
    <row r="3668" spans="1:4" x14ac:dyDescent="0.25">
      <c r="A3668" t="s">
        <v>2516</v>
      </c>
      <c r="B3668" t="str">
        <f>MID(tbl_lock[[#This Row],[PACE Job Number]],3,3)</f>
        <v>STX</v>
      </c>
      <c r="C3668" t="s">
        <v>13</v>
      </c>
      <c r="D3668" s="1">
        <v>43419</v>
      </c>
    </row>
    <row r="3669" spans="1:4" x14ac:dyDescent="0.25">
      <c r="A3669" t="s">
        <v>257</v>
      </c>
      <c r="B3669" t="str">
        <f>MID(tbl_lock[[#This Row],[PACE Job Number]],3,3)</f>
        <v>STX</v>
      </c>
      <c r="C3669" t="s">
        <v>13</v>
      </c>
      <c r="D3669" s="1">
        <v>43417</v>
      </c>
    </row>
    <row r="3670" spans="1:4" x14ac:dyDescent="0.25">
      <c r="A3670" t="s">
        <v>3448</v>
      </c>
      <c r="B3670" t="str">
        <f>MID(tbl_lock[[#This Row],[PACE Job Number]],3,3)</f>
        <v>STX</v>
      </c>
      <c r="C3670" t="s">
        <v>13</v>
      </c>
      <c r="D3670" s="1">
        <v>43419</v>
      </c>
    </row>
    <row r="3671" spans="1:4" x14ac:dyDescent="0.25">
      <c r="A3671" t="s">
        <v>726</v>
      </c>
      <c r="B3671" t="str">
        <f>MID(tbl_lock[[#This Row],[PACE Job Number]],3,3)</f>
        <v>STX</v>
      </c>
      <c r="C3671" t="s">
        <v>13</v>
      </c>
      <c r="D3671" s="1">
        <v>43419</v>
      </c>
    </row>
    <row r="3672" spans="1:4" x14ac:dyDescent="0.25">
      <c r="A3672" t="s">
        <v>517</v>
      </c>
      <c r="B3672" t="str">
        <f>MID(tbl_lock[[#This Row],[PACE Job Number]],3,3)</f>
        <v>STX</v>
      </c>
      <c r="C3672" t="s">
        <v>13</v>
      </c>
      <c r="D3672" s="1">
        <v>43419</v>
      </c>
    </row>
    <row r="3673" spans="1:4" x14ac:dyDescent="0.25">
      <c r="A3673" t="s">
        <v>3408</v>
      </c>
      <c r="B3673" t="str">
        <f>MID(tbl_lock[[#This Row],[PACE Job Number]],3,3)</f>
        <v>STX</v>
      </c>
      <c r="C3673" t="s">
        <v>13</v>
      </c>
      <c r="D3673" s="1">
        <v>43419</v>
      </c>
    </row>
    <row r="3674" spans="1:4" x14ac:dyDescent="0.25">
      <c r="A3674" t="s">
        <v>4039</v>
      </c>
      <c r="B3674" t="str">
        <f>MID(tbl_lock[[#This Row],[PACE Job Number]],3,3)</f>
        <v>STX</v>
      </c>
      <c r="C3674" t="s">
        <v>13</v>
      </c>
      <c r="D3674" s="1">
        <v>43419</v>
      </c>
    </row>
    <row r="3675" spans="1:4" x14ac:dyDescent="0.25">
      <c r="A3675" t="s">
        <v>3370</v>
      </c>
      <c r="B3675" t="str">
        <f>MID(tbl_lock[[#This Row],[PACE Job Number]],3,3)</f>
        <v>STX</v>
      </c>
      <c r="C3675" t="s">
        <v>13</v>
      </c>
      <c r="D3675" s="1">
        <v>43419</v>
      </c>
    </row>
    <row r="3676" spans="1:4" x14ac:dyDescent="0.25">
      <c r="A3676" t="s">
        <v>4391</v>
      </c>
      <c r="B3676" t="str">
        <f>MID(tbl_lock[[#This Row],[PACE Job Number]],3,3)</f>
        <v>STX</v>
      </c>
      <c r="C3676" t="s">
        <v>13</v>
      </c>
      <c r="D3676" s="1">
        <v>43419</v>
      </c>
    </row>
    <row r="3677" spans="1:4" x14ac:dyDescent="0.25">
      <c r="A3677" t="s">
        <v>5558</v>
      </c>
      <c r="B3677" t="str">
        <f>MID(tbl_lock[[#This Row],[PACE Job Number]],3,3)</f>
        <v>ANM</v>
      </c>
      <c r="C3677" t="s">
        <v>13</v>
      </c>
      <c r="D3677" s="1">
        <v>43434</v>
      </c>
    </row>
    <row r="3678" spans="1:4" x14ac:dyDescent="0.25">
      <c r="A3678" t="s">
        <v>5559</v>
      </c>
      <c r="B3678" t="str">
        <f>MID(tbl_lock[[#This Row],[PACE Job Number]],3,3)</f>
        <v>ANM</v>
      </c>
      <c r="C3678" t="s">
        <v>13</v>
      </c>
      <c r="D3678" s="1">
        <v>43434</v>
      </c>
    </row>
    <row r="3679" spans="1:4" x14ac:dyDescent="0.25">
      <c r="A3679" t="s">
        <v>308</v>
      </c>
      <c r="B3679" t="str">
        <f>MID(tbl_lock[[#This Row],[PACE Job Number]],3,3)</f>
        <v>NTX</v>
      </c>
      <c r="C3679" t="s">
        <v>13</v>
      </c>
      <c r="D3679" s="1">
        <v>43406</v>
      </c>
    </row>
    <row r="3680" spans="1:4" x14ac:dyDescent="0.25">
      <c r="A3680" t="s">
        <v>4519</v>
      </c>
      <c r="B3680" t="str">
        <f>MID(tbl_lock[[#This Row],[PACE Job Number]],3,3)</f>
        <v>NTX</v>
      </c>
      <c r="C3680" t="s">
        <v>13</v>
      </c>
      <c r="D3680" s="1">
        <v>43417</v>
      </c>
    </row>
    <row r="3681" spans="1:4" x14ac:dyDescent="0.25">
      <c r="A3681" t="s">
        <v>4540</v>
      </c>
      <c r="B3681" t="str">
        <f>MID(tbl_lock[[#This Row],[PACE Job Number]],3,3)</f>
        <v>STX</v>
      </c>
      <c r="C3681" t="s">
        <v>13</v>
      </c>
      <c r="D3681" s="1">
        <v>43419</v>
      </c>
    </row>
    <row r="3682" spans="1:4" x14ac:dyDescent="0.25">
      <c r="A3682" t="s">
        <v>4392</v>
      </c>
      <c r="B3682" t="str">
        <f>MID(tbl_lock[[#This Row],[PACE Job Number]],3,3)</f>
        <v>STX</v>
      </c>
      <c r="C3682" t="s">
        <v>13</v>
      </c>
      <c r="D3682" s="1">
        <v>43419</v>
      </c>
    </row>
    <row r="3683" spans="1:4" x14ac:dyDescent="0.25">
      <c r="A3683" t="s">
        <v>4393</v>
      </c>
      <c r="B3683" t="str">
        <f>MID(tbl_lock[[#This Row],[PACE Job Number]],3,3)</f>
        <v>STX</v>
      </c>
      <c r="C3683" t="s">
        <v>13</v>
      </c>
      <c r="D3683" s="1">
        <v>43419</v>
      </c>
    </row>
    <row r="3684" spans="1:4" x14ac:dyDescent="0.25">
      <c r="A3684" t="s">
        <v>4394</v>
      </c>
      <c r="B3684" t="str">
        <f>MID(tbl_lock[[#This Row],[PACE Job Number]],3,3)</f>
        <v>STX</v>
      </c>
      <c r="C3684" t="s">
        <v>13</v>
      </c>
      <c r="D3684" s="1">
        <v>43419</v>
      </c>
    </row>
    <row r="3685" spans="1:4" x14ac:dyDescent="0.25">
      <c r="A3685" t="s">
        <v>5560</v>
      </c>
      <c r="B3685" t="str">
        <f>MID(tbl_lock[[#This Row],[PACE Job Number]],3,3)</f>
        <v>STX</v>
      </c>
      <c r="C3685" t="s">
        <v>13</v>
      </c>
      <c r="D3685" s="1">
        <v>43419</v>
      </c>
    </row>
    <row r="3686" spans="1:4" x14ac:dyDescent="0.25">
      <c r="A3686" t="s">
        <v>5561</v>
      </c>
      <c r="B3686" t="str">
        <f>MID(tbl_lock[[#This Row],[PACE Job Number]],3,3)</f>
        <v>STX</v>
      </c>
      <c r="C3686" t="s">
        <v>13</v>
      </c>
      <c r="D3686" s="1">
        <v>43419</v>
      </c>
    </row>
    <row r="3687" spans="1:4" x14ac:dyDescent="0.25">
      <c r="A3687" t="s">
        <v>4395</v>
      </c>
      <c r="B3687" t="str">
        <f>MID(tbl_lock[[#This Row],[PACE Job Number]],3,3)</f>
        <v>STX</v>
      </c>
      <c r="C3687" t="s">
        <v>13</v>
      </c>
      <c r="D3687" s="1">
        <v>43419</v>
      </c>
    </row>
    <row r="3688" spans="1:4" x14ac:dyDescent="0.25">
      <c r="A3688" t="s">
        <v>3414</v>
      </c>
      <c r="B3688" t="str">
        <f>MID(tbl_lock[[#This Row],[PACE Job Number]],3,3)</f>
        <v>STX</v>
      </c>
      <c r="C3688" t="s">
        <v>13</v>
      </c>
      <c r="D3688" s="1">
        <v>43419</v>
      </c>
    </row>
    <row r="3689" spans="1:4" x14ac:dyDescent="0.25">
      <c r="A3689" t="s">
        <v>3438</v>
      </c>
      <c r="B3689" t="str">
        <f>MID(tbl_lock[[#This Row],[PACE Job Number]],3,3)</f>
        <v>STX</v>
      </c>
      <c r="C3689" t="s">
        <v>13</v>
      </c>
      <c r="D3689" s="1">
        <v>43419</v>
      </c>
    </row>
    <row r="3690" spans="1:4" x14ac:dyDescent="0.25">
      <c r="A3690" t="s">
        <v>4396</v>
      </c>
      <c r="B3690" t="str">
        <f>MID(tbl_lock[[#This Row],[PACE Job Number]],3,3)</f>
        <v>STX</v>
      </c>
      <c r="C3690" t="s">
        <v>13</v>
      </c>
      <c r="D3690" s="1">
        <v>43419</v>
      </c>
    </row>
    <row r="3691" spans="1:4" x14ac:dyDescent="0.25">
      <c r="A3691" t="s">
        <v>2695</v>
      </c>
      <c r="B3691" t="str">
        <f>MID(tbl_lock[[#This Row],[PACE Job Number]],3,3)</f>
        <v>STX</v>
      </c>
      <c r="C3691" t="s">
        <v>13</v>
      </c>
      <c r="D3691" s="1">
        <v>43434</v>
      </c>
    </row>
    <row r="3692" spans="1:4" x14ac:dyDescent="0.25">
      <c r="A3692" t="s">
        <v>717</v>
      </c>
      <c r="B3692" t="str">
        <f>MID(tbl_lock[[#This Row],[PACE Job Number]],3,3)</f>
        <v>STX</v>
      </c>
      <c r="C3692" t="s">
        <v>13</v>
      </c>
      <c r="D3692" s="1">
        <v>43419</v>
      </c>
    </row>
    <row r="3693" spans="1:4" x14ac:dyDescent="0.25">
      <c r="A3693" t="s">
        <v>4398</v>
      </c>
      <c r="B3693" t="str">
        <f>MID(tbl_lock[[#This Row],[PACE Job Number]],3,3)</f>
        <v>STX</v>
      </c>
      <c r="C3693" t="s">
        <v>13</v>
      </c>
      <c r="D3693" s="1">
        <v>43419</v>
      </c>
    </row>
    <row r="3694" spans="1:4" x14ac:dyDescent="0.25">
      <c r="A3694" t="s">
        <v>5467</v>
      </c>
      <c r="B3694" t="str">
        <f>MID(tbl_lock[[#This Row],[PACE Job Number]],3,3)</f>
        <v>WSH</v>
      </c>
      <c r="C3694" t="s">
        <v>13</v>
      </c>
      <c r="D3694" s="1">
        <v>43434</v>
      </c>
    </row>
    <row r="3695" spans="1:4" x14ac:dyDescent="0.25">
      <c r="A3695" t="s">
        <v>3910</v>
      </c>
      <c r="B3695" t="str">
        <f>MID(tbl_lock[[#This Row],[PACE Job Number]],3,3)</f>
        <v>WSH</v>
      </c>
      <c r="C3695" t="s">
        <v>13</v>
      </c>
      <c r="D3695" s="1">
        <v>43406</v>
      </c>
    </row>
    <row r="3696" spans="1:4" x14ac:dyDescent="0.25">
      <c r="A3696" t="s">
        <v>279</v>
      </c>
      <c r="B3696" t="str">
        <f>MID(tbl_lock[[#This Row],[PACE Job Number]],3,3)</f>
        <v>WSH</v>
      </c>
      <c r="C3696" t="s">
        <v>13</v>
      </c>
      <c r="D3696" s="1">
        <v>43434</v>
      </c>
    </row>
    <row r="3697" spans="1:4" x14ac:dyDescent="0.25">
      <c r="A3697" t="s">
        <v>5468</v>
      </c>
      <c r="B3697" t="str">
        <f>MID(tbl_lock[[#This Row],[PACE Job Number]],3,3)</f>
        <v>WSH</v>
      </c>
      <c r="C3697" t="s">
        <v>13</v>
      </c>
      <c r="D3697" s="1">
        <v>43434</v>
      </c>
    </row>
    <row r="3698" spans="1:4" x14ac:dyDescent="0.25">
      <c r="A3698" t="s">
        <v>90</v>
      </c>
      <c r="B3698" t="str">
        <f>MID(tbl_lock[[#This Row],[PACE Job Number]],3,3)</f>
        <v>WSH</v>
      </c>
      <c r="C3698" t="s">
        <v>13</v>
      </c>
      <c r="D3698" s="1">
        <v>43434</v>
      </c>
    </row>
    <row r="3699" spans="1:4" x14ac:dyDescent="0.25">
      <c r="A3699" t="s">
        <v>39</v>
      </c>
      <c r="B3699" t="str">
        <f>MID(tbl_lock[[#This Row],[PACE Job Number]],3,3)</f>
        <v>NTX</v>
      </c>
      <c r="C3699" t="s">
        <v>13</v>
      </c>
      <c r="D3699" s="1">
        <v>43429</v>
      </c>
    </row>
    <row r="3700" spans="1:4" x14ac:dyDescent="0.25">
      <c r="A3700" t="s">
        <v>4520</v>
      </c>
      <c r="B3700" t="str">
        <f>MID(tbl_lock[[#This Row],[PACE Job Number]],3,3)</f>
        <v>NTX</v>
      </c>
      <c r="C3700" t="s">
        <v>13</v>
      </c>
      <c r="D3700" s="1">
        <v>43426</v>
      </c>
    </row>
    <row r="3701" spans="1:4" x14ac:dyDescent="0.25">
      <c r="A3701" t="s">
        <v>4521</v>
      </c>
      <c r="B3701" t="str">
        <f>MID(tbl_lock[[#This Row],[PACE Job Number]],3,3)</f>
        <v>NTX</v>
      </c>
      <c r="C3701" t="s">
        <v>13</v>
      </c>
      <c r="D3701" s="1">
        <v>43426</v>
      </c>
    </row>
    <row r="3702" spans="1:4" x14ac:dyDescent="0.25">
      <c r="A3702" t="s">
        <v>4335</v>
      </c>
      <c r="B3702" t="str">
        <f>MID(tbl_lock[[#This Row],[PACE Job Number]],3,3)</f>
        <v>STX</v>
      </c>
      <c r="C3702" t="s">
        <v>13</v>
      </c>
      <c r="D3702" s="1">
        <v>43419</v>
      </c>
    </row>
    <row r="3703" spans="1:4" x14ac:dyDescent="0.25">
      <c r="A3703" t="s">
        <v>4336</v>
      </c>
      <c r="B3703" t="str">
        <f>MID(tbl_lock[[#This Row],[PACE Job Number]],3,3)</f>
        <v>STX</v>
      </c>
      <c r="C3703" t="s">
        <v>13</v>
      </c>
      <c r="D3703" s="1">
        <v>43419</v>
      </c>
    </row>
    <row r="3704" spans="1:4" x14ac:dyDescent="0.25">
      <c r="A3704" t="s">
        <v>586</v>
      </c>
      <c r="B3704" t="str">
        <f>MID(tbl_lock[[#This Row],[PACE Job Number]],3,3)</f>
        <v>STX</v>
      </c>
      <c r="C3704" t="s">
        <v>13</v>
      </c>
      <c r="D3704" s="1">
        <v>43419</v>
      </c>
    </row>
    <row r="3705" spans="1:4" x14ac:dyDescent="0.25">
      <c r="A3705" t="s">
        <v>3302</v>
      </c>
      <c r="B3705" t="str">
        <f>MID(tbl_lock[[#This Row],[PACE Job Number]],3,3)</f>
        <v>STX</v>
      </c>
      <c r="C3705" t="s">
        <v>13</v>
      </c>
      <c r="D3705" s="1">
        <v>43419</v>
      </c>
    </row>
    <row r="3706" spans="1:4" x14ac:dyDescent="0.25">
      <c r="A3706" t="s">
        <v>3133</v>
      </c>
      <c r="B3706" t="str">
        <f>MID(tbl_lock[[#This Row],[PACE Job Number]],3,3)</f>
        <v>STX</v>
      </c>
      <c r="C3706" t="s">
        <v>13</v>
      </c>
      <c r="D3706" s="1">
        <v>43434</v>
      </c>
    </row>
    <row r="3707" spans="1:4" x14ac:dyDescent="0.25">
      <c r="A3707" t="s">
        <v>4004</v>
      </c>
      <c r="B3707" t="str">
        <f>MID(tbl_lock[[#This Row],[PACE Job Number]],3,3)</f>
        <v>WSH</v>
      </c>
      <c r="C3707" t="s">
        <v>13</v>
      </c>
      <c r="D3707" s="1">
        <v>43434</v>
      </c>
    </row>
    <row r="3708" spans="1:4" x14ac:dyDescent="0.25">
      <c r="A3708" t="s">
        <v>3912</v>
      </c>
      <c r="B3708" t="str">
        <f>MID(tbl_lock[[#This Row],[PACE Job Number]],3,3)</f>
        <v>WSH</v>
      </c>
      <c r="C3708" t="s">
        <v>13</v>
      </c>
      <c r="D3708" s="1">
        <v>43434</v>
      </c>
    </row>
    <row r="3709" spans="1:4" x14ac:dyDescent="0.25">
      <c r="A3709" t="s">
        <v>3913</v>
      </c>
      <c r="B3709" t="str">
        <f>MID(tbl_lock[[#This Row],[PACE Job Number]],3,3)</f>
        <v>WSH</v>
      </c>
      <c r="C3709" t="s">
        <v>13</v>
      </c>
      <c r="D3709" s="1">
        <v>43434</v>
      </c>
    </row>
    <row r="3710" spans="1:4" x14ac:dyDescent="0.25">
      <c r="A3710" t="s">
        <v>3915</v>
      </c>
      <c r="B3710" t="str">
        <f>MID(tbl_lock[[#This Row],[PACE Job Number]],3,3)</f>
        <v>WSH</v>
      </c>
      <c r="C3710" t="s">
        <v>13</v>
      </c>
      <c r="D3710" s="1">
        <v>43434</v>
      </c>
    </row>
    <row r="3711" spans="1:4" x14ac:dyDescent="0.25">
      <c r="A3711" t="s">
        <v>4615</v>
      </c>
      <c r="B3711" t="str">
        <f>MID(tbl_lock[[#This Row],[PACE Job Number]],3,3)</f>
        <v>WSH</v>
      </c>
      <c r="C3711" t="s">
        <v>13</v>
      </c>
      <c r="D3711" s="1">
        <v>43434</v>
      </c>
    </row>
    <row r="3712" spans="1:4" x14ac:dyDescent="0.25">
      <c r="A3712" t="s">
        <v>271</v>
      </c>
      <c r="B3712" t="str">
        <f>MID(tbl_lock[[#This Row],[PACE Job Number]],3,3)</f>
        <v>WSH</v>
      </c>
      <c r="C3712" t="s">
        <v>13</v>
      </c>
      <c r="D3712" s="1">
        <v>43434</v>
      </c>
    </row>
    <row r="3713" spans="1:4" x14ac:dyDescent="0.25">
      <c r="A3713" t="s">
        <v>4008</v>
      </c>
      <c r="B3713" t="str">
        <f>MID(tbl_lock[[#This Row],[PACE Job Number]],3,3)</f>
        <v>WSH</v>
      </c>
      <c r="C3713" t="s">
        <v>13</v>
      </c>
      <c r="D3713" s="1">
        <v>43434</v>
      </c>
    </row>
    <row r="3714" spans="1:4" x14ac:dyDescent="0.25">
      <c r="A3714" t="s">
        <v>3916</v>
      </c>
      <c r="B3714" t="str">
        <f>MID(tbl_lock[[#This Row],[PACE Job Number]],3,3)</f>
        <v>WSH</v>
      </c>
      <c r="C3714" t="s">
        <v>13</v>
      </c>
      <c r="D3714" s="1">
        <v>43434</v>
      </c>
    </row>
    <row r="3715" spans="1:4" x14ac:dyDescent="0.25">
      <c r="A3715" t="s">
        <v>4009</v>
      </c>
      <c r="B3715" t="str">
        <f>MID(tbl_lock[[#This Row],[PACE Job Number]],3,3)</f>
        <v>WSH</v>
      </c>
      <c r="C3715" t="s">
        <v>13</v>
      </c>
      <c r="D3715" s="1">
        <v>43434</v>
      </c>
    </row>
    <row r="3716" spans="1:4" x14ac:dyDescent="0.25">
      <c r="A3716" t="s">
        <v>240</v>
      </c>
      <c r="B3716" t="str">
        <f>MID(tbl_lock[[#This Row],[PACE Job Number]],3,3)</f>
        <v>WSH</v>
      </c>
      <c r="C3716" t="s">
        <v>13</v>
      </c>
      <c r="D3716" s="1">
        <v>43434</v>
      </c>
    </row>
    <row r="3717" spans="1:4" x14ac:dyDescent="0.25">
      <c r="A3717" t="s">
        <v>3917</v>
      </c>
      <c r="B3717" t="str">
        <f>MID(tbl_lock[[#This Row],[PACE Job Number]],3,3)</f>
        <v>WSH</v>
      </c>
      <c r="C3717" t="s">
        <v>13</v>
      </c>
      <c r="D3717" s="1">
        <v>43434</v>
      </c>
    </row>
    <row r="3718" spans="1:4" x14ac:dyDescent="0.25">
      <c r="A3718" t="s">
        <v>3918</v>
      </c>
      <c r="B3718" t="str">
        <f>MID(tbl_lock[[#This Row],[PACE Job Number]],3,3)</f>
        <v>WSH</v>
      </c>
      <c r="C3718" t="s">
        <v>13</v>
      </c>
      <c r="D3718" s="1">
        <v>43434</v>
      </c>
    </row>
    <row r="3719" spans="1:4" x14ac:dyDescent="0.25">
      <c r="A3719" t="s">
        <v>3919</v>
      </c>
      <c r="B3719" t="str">
        <f>MID(tbl_lock[[#This Row],[PACE Job Number]],3,3)</f>
        <v>WSH</v>
      </c>
      <c r="C3719" t="s">
        <v>13</v>
      </c>
      <c r="D3719" s="1">
        <v>43434</v>
      </c>
    </row>
    <row r="3720" spans="1:4" x14ac:dyDescent="0.25">
      <c r="A3720" t="s">
        <v>101</v>
      </c>
      <c r="B3720" t="str">
        <f>MID(tbl_lock[[#This Row],[PACE Job Number]],3,3)</f>
        <v>WSH</v>
      </c>
      <c r="C3720" t="s">
        <v>13</v>
      </c>
      <c r="D3720" s="1">
        <v>43434</v>
      </c>
    </row>
    <row r="3721" spans="1:4" x14ac:dyDescent="0.25">
      <c r="A3721" t="s">
        <v>359</v>
      </c>
      <c r="B3721" t="str">
        <f>MID(tbl_lock[[#This Row],[PACE Job Number]],3,3)</f>
        <v>WSH</v>
      </c>
      <c r="C3721" t="s">
        <v>13</v>
      </c>
      <c r="D3721" s="1">
        <v>43434</v>
      </c>
    </row>
    <row r="3722" spans="1:4" x14ac:dyDescent="0.25">
      <c r="A3722" t="s">
        <v>3132</v>
      </c>
      <c r="B3722" t="str">
        <f>MID(tbl_lock[[#This Row],[PACE Job Number]],3,3)</f>
        <v>STX</v>
      </c>
      <c r="C3722" t="s">
        <v>13</v>
      </c>
      <c r="D3722" s="1">
        <v>43419</v>
      </c>
    </row>
    <row r="3723" spans="1:4" x14ac:dyDescent="0.25">
      <c r="A3723" t="s">
        <v>4340</v>
      </c>
      <c r="B3723" t="str">
        <f>MID(tbl_lock[[#This Row],[PACE Job Number]],3,3)</f>
        <v>STX</v>
      </c>
      <c r="C3723" t="s">
        <v>13</v>
      </c>
      <c r="D3723" s="1">
        <v>43419</v>
      </c>
    </row>
    <row r="3724" spans="1:4" x14ac:dyDescent="0.25">
      <c r="A3724" t="s">
        <v>3126</v>
      </c>
      <c r="B3724" t="str">
        <f>MID(tbl_lock[[#This Row],[PACE Job Number]],3,3)</f>
        <v>STX</v>
      </c>
      <c r="C3724" t="s">
        <v>13</v>
      </c>
      <c r="D3724" s="1">
        <v>43434</v>
      </c>
    </row>
    <row r="3725" spans="1:4" x14ac:dyDescent="0.25">
      <c r="A3725" t="s">
        <v>128</v>
      </c>
      <c r="B3725" t="str">
        <f>MID(tbl_lock[[#This Row],[PACE Job Number]],3,3)</f>
        <v>STX</v>
      </c>
      <c r="C3725" t="s">
        <v>13</v>
      </c>
      <c r="D3725" s="1">
        <v>43434</v>
      </c>
    </row>
    <row r="3726" spans="1:4" x14ac:dyDescent="0.25">
      <c r="A3726" t="s">
        <v>5533</v>
      </c>
      <c r="B3726" t="str">
        <f>MID(tbl_lock[[#This Row],[PACE Job Number]],3,3)</f>
        <v>STX</v>
      </c>
      <c r="C3726" t="s">
        <v>13</v>
      </c>
      <c r="D3726" s="1">
        <v>43434</v>
      </c>
    </row>
    <row r="3727" spans="1:4" x14ac:dyDescent="0.25">
      <c r="A3727" t="s">
        <v>3986</v>
      </c>
      <c r="B3727" t="str">
        <f>MID(tbl_lock[[#This Row],[PACE Job Number]],3,3)</f>
        <v>STX</v>
      </c>
      <c r="C3727" t="s">
        <v>13</v>
      </c>
      <c r="D3727" s="1">
        <v>43419</v>
      </c>
    </row>
    <row r="3728" spans="1:4" x14ac:dyDescent="0.25">
      <c r="A3728" t="s">
        <v>5534</v>
      </c>
      <c r="B3728" t="str">
        <f>MID(tbl_lock[[#This Row],[PACE Job Number]],3,3)</f>
        <v>STX</v>
      </c>
      <c r="C3728" t="s">
        <v>13</v>
      </c>
      <c r="D3728" s="1">
        <v>43434</v>
      </c>
    </row>
    <row r="3729" spans="1:4" x14ac:dyDescent="0.25">
      <c r="A3729" t="s">
        <v>4344</v>
      </c>
      <c r="B3729" t="str">
        <f>MID(tbl_lock[[#This Row],[PACE Job Number]],3,3)</f>
        <v>STX</v>
      </c>
      <c r="C3729" t="s">
        <v>13</v>
      </c>
      <c r="D3729" s="1">
        <v>43419</v>
      </c>
    </row>
    <row r="3730" spans="1:4" x14ac:dyDescent="0.25">
      <c r="A3730" t="s">
        <v>3212</v>
      </c>
      <c r="B3730" t="str">
        <f>MID(tbl_lock[[#This Row],[PACE Job Number]],3,3)</f>
        <v>STX</v>
      </c>
      <c r="C3730" t="s">
        <v>13</v>
      </c>
      <c r="D3730" s="1">
        <v>43434</v>
      </c>
    </row>
    <row r="3731" spans="1:4" x14ac:dyDescent="0.25">
      <c r="A3731" t="s">
        <v>3297</v>
      </c>
      <c r="B3731" t="str">
        <f>MID(tbl_lock[[#This Row],[PACE Job Number]],3,3)</f>
        <v>STX</v>
      </c>
      <c r="C3731" t="s">
        <v>13</v>
      </c>
      <c r="D3731" s="1">
        <v>43419</v>
      </c>
    </row>
    <row r="3732" spans="1:4" x14ac:dyDescent="0.25">
      <c r="A3732" t="s">
        <v>222</v>
      </c>
      <c r="B3732" t="str">
        <f>MID(tbl_lock[[#This Row],[PACE Job Number]],3,3)</f>
        <v>STX</v>
      </c>
      <c r="C3732" t="s">
        <v>13</v>
      </c>
      <c r="D3732" s="1">
        <v>43434</v>
      </c>
    </row>
    <row r="3733" spans="1:4" x14ac:dyDescent="0.25">
      <c r="A3733" t="s">
        <v>5562</v>
      </c>
      <c r="B3733" t="str">
        <f>MID(tbl_lock[[#This Row],[PACE Job Number]],3,3)</f>
        <v>STX</v>
      </c>
      <c r="C3733" t="s">
        <v>13</v>
      </c>
      <c r="D3733" s="1">
        <v>43434</v>
      </c>
    </row>
    <row r="3734" spans="1:4" x14ac:dyDescent="0.25">
      <c r="A3734" t="s">
        <v>307</v>
      </c>
      <c r="B3734" t="str">
        <f>MID(tbl_lock[[#This Row],[PACE Job Number]],3,3)</f>
        <v>STX</v>
      </c>
      <c r="C3734" t="s">
        <v>13</v>
      </c>
      <c r="D3734" s="1">
        <v>43434</v>
      </c>
    </row>
    <row r="3735" spans="1:4" x14ac:dyDescent="0.25">
      <c r="A3735" t="s">
        <v>5563</v>
      </c>
      <c r="B3735" t="str">
        <f>MID(tbl_lock[[#This Row],[PACE Job Number]],3,3)</f>
        <v>STX</v>
      </c>
      <c r="C3735" t="s">
        <v>13</v>
      </c>
      <c r="D3735" s="1">
        <v>43434</v>
      </c>
    </row>
    <row r="3736" spans="1:4" x14ac:dyDescent="0.25">
      <c r="A3736" t="s">
        <v>5564</v>
      </c>
      <c r="B3736" t="str">
        <f>MID(tbl_lock[[#This Row],[PACE Job Number]],3,3)</f>
        <v>STX</v>
      </c>
      <c r="C3736" t="s">
        <v>13</v>
      </c>
      <c r="D3736" s="1">
        <v>43434</v>
      </c>
    </row>
    <row r="3737" spans="1:4" x14ac:dyDescent="0.25">
      <c r="A3737" t="s">
        <v>3118</v>
      </c>
      <c r="B3737" t="str">
        <f>MID(tbl_lock[[#This Row],[PACE Job Number]],3,3)</f>
        <v>STX</v>
      </c>
      <c r="C3737" t="s">
        <v>13</v>
      </c>
      <c r="D3737" s="1">
        <v>43419</v>
      </c>
    </row>
    <row r="3738" spans="1:4" x14ac:dyDescent="0.25">
      <c r="A3738" t="s">
        <v>453</v>
      </c>
      <c r="B3738" t="str">
        <f>MID(tbl_lock[[#This Row],[PACE Job Number]],3,3)</f>
        <v>STX</v>
      </c>
      <c r="C3738" t="s">
        <v>13</v>
      </c>
      <c r="D3738" s="1">
        <v>43419</v>
      </c>
    </row>
    <row r="3739" spans="1:4" x14ac:dyDescent="0.25">
      <c r="A3739" t="s">
        <v>4555</v>
      </c>
      <c r="B3739" t="str">
        <f>MID(tbl_lock[[#This Row],[PACE Job Number]],3,3)</f>
        <v>NTX</v>
      </c>
      <c r="C3739" t="s">
        <v>13</v>
      </c>
      <c r="D3739" s="1">
        <v>43406</v>
      </c>
    </row>
    <row r="3740" spans="1:4" x14ac:dyDescent="0.25">
      <c r="A3740" t="s">
        <v>220</v>
      </c>
      <c r="B3740" t="str">
        <f>MID(tbl_lock[[#This Row],[PACE Job Number]],3,3)</f>
        <v>NTX</v>
      </c>
      <c r="C3740" t="s">
        <v>13</v>
      </c>
      <c r="D3740" s="1">
        <v>43429</v>
      </c>
    </row>
    <row r="3741" spans="1:4" x14ac:dyDescent="0.25">
      <c r="A3741" t="s">
        <v>2341</v>
      </c>
      <c r="B3741" t="str">
        <f>MID(tbl_lock[[#This Row],[PACE Job Number]],3,3)</f>
        <v>NTX</v>
      </c>
      <c r="C3741" t="s">
        <v>13</v>
      </c>
      <c r="D3741" s="1">
        <v>43428</v>
      </c>
    </row>
    <row r="3742" spans="1:4" x14ac:dyDescent="0.25">
      <c r="A3742" t="s">
        <v>1737</v>
      </c>
      <c r="B3742" t="str">
        <f>MID(tbl_lock[[#This Row],[PACE Job Number]],3,3)</f>
        <v>NTX</v>
      </c>
      <c r="C3742" t="s">
        <v>13</v>
      </c>
      <c r="D3742" s="1">
        <v>43432</v>
      </c>
    </row>
    <row r="3743" spans="1:4" x14ac:dyDescent="0.25">
      <c r="A3743" t="s">
        <v>4556</v>
      </c>
      <c r="B3743" t="str">
        <f>MID(tbl_lock[[#This Row],[PACE Job Number]],3,3)</f>
        <v>NTX</v>
      </c>
      <c r="C3743" t="s">
        <v>13</v>
      </c>
      <c r="D3743" s="1">
        <v>43417</v>
      </c>
    </row>
    <row r="3744" spans="1:4" x14ac:dyDescent="0.25">
      <c r="A3744" t="s">
        <v>162</v>
      </c>
      <c r="B3744" t="str">
        <f>MID(tbl_lock[[#This Row],[PACE Job Number]],3,3)</f>
        <v>NTX</v>
      </c>
      <c r="C3744" t="s">
        <v>13</v>
      </c>
      <c r="D3744" s="1">
        <v>43406</v>
      </c>
    </row>
    <row r="3745" spans="1:4" x14ac:dyDescent="0.25">
      <c r="A3745" t="s">
        <v>5565</v>
      </c>
      <c r="B3745" t="str">
        <f>MID(tbl_lock[[#This Row],[PACE Job Number]],3,3)</f>
        <v>NTX</v>
      </c>
      <c r="C3745" t="s">
        <v>13</v>
      </c>
      <c r="D3745" s="1">
        <v>43423</v>
      </c>
    </row>
    <row r="3746" spans="1:4" x14ac:dyDescent="0.25">
      <c r="A3746" t="s">
        <v>4547</v>
      </c>
      <c r="B3746" t="str">
        <f>MID(tbl_lock[[#This Row],[PACE Job Number]],3,3)</f>
        <v>NTX</v>
      </c>
      <c r="C3746" t="s">
        <v>13</v>
      </c>
      <c r="D3746" s="1">
        <v>43433</v>
      </c>
    </row>
    <row r="3747" spans="1:4" x14ac:dyDescent="0.25">
      <c r="A3747" t="s">
        <v>213</v>
      </c>
      <c r="B3747" t="str">
        <f>MID(tbl_lock[[#This Row],[PACE Job Number]],3,3)</f>
        <v>NTX</v>
      </c>
      <c r="C3747" t="s">
        <v>13</v>
      </c>
      <c r="D3747" s="1">
        <v>43412</v>
      </c>
    </row>
    <row r="3748" spans="1:4" x14ac:dyDescent="0.25">
      <c r="A3748" t="s">
        <v>4421</v>
      </c>
      <c r="B3748" t="str">
        <f>MID(tbl_lock[[#This Row],[PACE Job Number]],3,3)</f>
        <v>NTX</v>
      </c>
      <c r="C3748" t="s">
        <v>13</v>
      </c>
      <c r="D3748" s="1">
        <v>43426</v>
      </c>
    </row>
    <row r="3749" spans="1:4" x14ac:dyDescent="0.25">
      <c r="A3749" t="s">
        <v>2427</v>
      </c>
      <c r="B3749" t="str">
        <f>MID(tbl_lock[[#This Row],[PACE Job Number]],3,3)</f>
        <v>NTX</v>
      </c>
      <c r="C3749" t="s">
        <v>13</v>
      </c>
      <c r="D3749" s="1">
        <v>43426</v>
      </c>
    </row>
    <row r="3750" spans="1:4" x14ac:dyDescent="0.25">
      <c r="A3750" t="s">
        <v>3403</v>
      </c>
      <c r="B3750" t="str">
        <f>MID(tbl_lock[[#This Row],[PACE Job Number]],3,3)</f>
        <v>NTX</v>
      </c>
      <c r="C3750" t="s">
        <v>13</v>
      </c>
      <c r="D3750" s="1">
        <v>43426</v>
      </c>
    </row>
    <row r="3751" spans="1:4" x14ac:dyDescent="0.25">
      <c r="A3751" t="s">
        <v>1466</v>
      </c>
      <c r="B3751" t="str">
        <f>MID(tbl_lock[[#This Row],[PACE Job Number]],3,3)</f>
        <v>ANM</v>
      </c>
      <c r="C3751" t="s">
        <v>13</v>
      </c>
      <c r="D3751" s="1">
        <v>43434</v>
      </c>
    </row>
    <row r="3752" spans="1:4" x14ac:dyDescent="0.25">
      <c r="A3752" t="s">
        <v>5566</v>
      </c>
      <c r="B3752" t="str">
        <f>MID(tbl_lock[[#This Row],[PACE Job Number]],3,3)</f>
        <v>STX</v>
      </c>
      <c r="C3752" t="s">
        <v>13</v>
      </c>
      <c r="D3752" s="1">
        <v>43419</v>
      </c>
    </row>
    <row r="3753" spans="1:4" x14ac:dyDescent="0.25">
      <c r="A3753" t="s">
        <v>3467</v>
      </c>
      <c r="B3753" t="str">
        <f>MID(tbl_lock[[#This Row],[PACE Job Number]],3,3)</f>
        <v>STX</v>
      </c>
      <c r="C3753" t="s">
        <v>13</v>
      </c>
      <c r="D3753" s="1">
        <v>43419</v>
      </c>
    </row>
    <row r="3754" spans="1:4" x14ac:dyDescent="0.25">
      <c r="A3754" t="s">
        <v>5567</v>
      </c>
      <c r="B3754" t="str">
        <f>MID(tbl_lock[[#This Row],[PACE Job Number]],3,3)</f>
        <v>STX</v>
      </c>
      <c r="C3754" t="s">
        <v>13</v>
      </c>
      <c r="D3754" s="1">
        <v>43407</v>
      </c>
    </row>
    <row r="3755" spans="1:4" x14ac:dyDescent="0.25">
      <c r="A3755" t="s">
        <v>635</v>
      </c>
      <c r="B3755" t="str">
        <f>MID(tbl_lock[[#This Row],[PACE Job Number]],3,3)</f>
        <v>STX</v>
      </c>
      <c r="C3755" t="s">
        <v>13</v>
      </c>
      <c r="D3755" s="1">
        <v>43419</v>
      </c>
    </row>
    <row r="3756" spans="1:4" x14ac:dyDescent="0.25">
      <c r="A3756" t="s">
        <v>3357</v>
      </c>
      <c r="B3756" t="str">
        <f>MID(tbl_lock[[#This Row],[PACE Job Number]],3,3)</f>
        <v>STX</v>
      </c>
      <c r="C3756" t="s">
        <v>13</v>
      </c>
      <c r="D3756" s="1">
        <v>43419</v>
      </c>
    </row>
    <row r="3757" spans="1:4" x14ac:dyDescent="0.25">
      <c r="A3757" t="s">
        <v>3270</v>
      </c>
      <c r="B3757" t="str">
        <f>MID(tbl_lock[[#This Row],[PACE Job Number]],3,3)</f>
        <v>STX</v>
      </c>
      <c r="C3757" t="s">
        <v>13</v>
      </c>
      <c r="D3757" s="1">
        <v>43419</v>
      </c>
    </row>
    <row r="3758" spans="1:4" x14ac:dyDescent="0.25">
      <c r="A3758" t="s">
        <v>3409</v>
      </c>
      <c r="B3758" t="str">
        <f>MID(tbl_lock[[#This Row],[PACE Job Number]],3,3)</f>
        <v>STX</v>
      </c>
      <c r="C3758" t="s">
        <v>13</v>
      </c>
      <c r="D3758" s="1">
        <v>43419</v>
      </c>
    </row>
    <row r="3759" spans="1:4" x14ac:dyDescent="0.25">
      <c r="A3759" t="s">
        <v>5568</v>
      </c>
      <c r="B3759" t="str">
        <f>MID(tbl_lock[[#This Row],[PACE Job Number]],3,3)</f>
        <v>STX</v>
      </c>
      <c r="C3759" t="s">
        <v>13</v>
      </c>
      <c r="D3759" s="1">
        <v>43419</v>
      </c>
    </row>
    <row r="3760" spans="1:4" x14ac:dyDescent="0.25">
      <c r="A3760" t="s">
        <v>3350</v>
      </c>
      <c r="B3760" t="str">
        <f>MID(tbl_lock[[#This Row],[PACE Job Number]],3,3)</f>
        <v>STX</v>
      </c>
      <c r="C3760" t="s">
        <v>13</v>
      </c>
      <c r="D3760" s="1">
        <v>43419</v>
      </c>
    </row>
    <row r="3761" spans="1:4" x14ac:dyDescent="0.25">
      <c r="A3761" t="s">
        <v>82</v>
      </c>
      <c r="B3761" t="str">
        <f>MID(tbl_lock[[#This Row],[PACE Job Number]],3,3)</f>
        <v>STX</v>
      </c>
      <c r="C3761" t="s">
        <v>13</v>
      </c>
      <c r="D3761" s="1">
        <v>43419</v>
      </c>
    </row>
    <row r="3762" spans="1:4" x14ac:dyDescent="0.25">
      <c r="A3762" t="s">
        <v>4424</v>
      </c>
      <c r="B3762" t="str">
        <f>MID(tbl_lock[[#This Row],[PACE Job Number]],3,3)</f>
        <v>STX</v>
      </c>
      <c r="C3762" t="s">
        <v>13</v>
      </c>
      <c r="D3762" s="1">
        <v>43419</v>
      </c>
    </row>
    <row r="3763" spans="1:4" x14ac:dyDescent="0.25">
      <c r="A3763" t="s">
        <v>5569</v>
      </c>
      <c r="B3763" t="str">
        <f>MID(tbl_lock[[#This Row],[PACE Job Number]],3,3)</f>
        <v>STX</v>
      </c>
      <c r="C3763" t="s">
        <v>13</v>
      </c>
      <c r="D3763" s="1">
        <v>43419</v>
      </c>
    </row>
    <row r="3764" spans="1:4" x14ac:dyDescent="0.25">
      <c r="A3764" t="s">
        <v>4425</v>
      </c>
      <c r="B3764" t="str">
        <f>MID(tbl_lock[[#This Row],[PACE Job Number]],3,3)</f>
        <v>STX</v>
      </c>
      <c r="C3764" t="s">
        <v>13</v>
      </c>
      <c r="D3764" s="1">
        <v>43419</v>
      </c>
    </row>
    <row r="3765" spans="1:4" x14ac:dyDescent="0.25">
      <c r="A3765" t="s">
        <v>669</v>
      </c>
      <c r="B3765" t="str">
        <f>MID(tbl_lock[[#This Row],[PACE Job Number]],3,3)</f>
        <v>STX</v>
      </c>
      <c r="C3765" t="s">
        <v>13</v>
      </c>
      <c r="D3765" s="1">
        <v>43419</v>
      </c>
    </row>
    <row r="3766" spans="1:4" x14ac:dyDescent="0.25">
      <c r="A3766" t="s">
        <v>3213</v>
      </c>
      <c r="B3766" t="str">
        <f>MID(tbl_lock[[#This Row],[PACE Job Number]],3,3)</f>
        <v>STX</v>
      </c>
      <c r="C3766" t="s">
        <v>13</v>
      </c>
      <c r="D3766" s="1">
        <v>43434</v>
      </c>
    </row>
    <row r="3767" spans="1:4" x14ac:dyDescent="0.25">
      <c r="A3767" t="s">
        <v>5570</v>
      </c>
      <c r="B3767" t="str">
        <f>MID(tbl_lock[[#This Row],[PACE Job Number]],3,3)</f>
        <v>STX</v>
      </c>
      <c r="C3767" t="s">
        <v>13</v>
      </c>
      <c r="D3767" s="1">
        <v>43419</v>
      </c>
    </row>
    <row r="3768" spans="1:4" x14ac:dyDescent="0.25">
      <c r="A3768" t="s">
        <v>4427</v>
      </c>
      <c r="B3768" t="str">
        <f>MID(tbl_lock[[#This Row],[PACE Job Number]],3,3)</f>
        <v>STX</v>
      </c>
      <c r="C3768" t="s">
        <v>13</v>
      </c>
      <c r="D3768" s="1">
        <v>43419</v>
      </c>
    </row>
    <row r="3769" spans="1:4" x14ac:dyDescent="0.25">
      <c r="A3769" t="s">
        <v>5571</v>
      </c>
      <c r="B3769" t="str">
        <f>MID(tbl_lock[[#This Row],[PACE Job Number]],3,3)</f>
        <v>STX</v>
      </c>
      <c r="C3769" t="s">
        <v>13</v>
      </c>
      <c r="D3769" s="1">
        <v>43419</v>
      </c>
    </row>
    <row r="3770" spans="1:4" x14ac:dyDescent="0.25">
      <c r="A3770" t="s">
        <v>5572</v>
      </c>
      <c r="B3770" t="str">
        <f>MID(tbl_lock[[#This Row],[PACE Job Number]],3,3)</f>
        <v>STX</v>
      </c>
      <c r="C3770" t="s">
        <v>13</v>
      </c>
      <c r="D3770" s="1">
        <v>43419</v>
      </c>
    </row>
    <row r="3771" spans="1:4" x14ac:dyDescent="0.25">
      <c r="A3771" t="s">
        <v>4428</v>
      </c>
      <c r="B3771" t="str">
        <f>MID(tbl_lock[[#This Row],[PACE Job Number]],3,3)</f>
        <v>STX</v>
      </c>
      <c r="C3771" t="s">
        <v>13</v>
      </c>
      <c r="D3771" s="1">
        <v>43434</v>
      </c>
    </row>
    <row r="3772" spans="1:4" x14ac:dyDescent="0.25">
      <c r="A3772" t="s">
        <v>4585</v>
      </c>
      <c r="B3772" t="str">
        <f>MID(tbl_lock[[#This Row],[PACE Job Number]],3,3)</f>
        <v>STX</v>
      </c>
      <c r="C3772" t="s">
        <v>13</v>
      </c>
      <c r="D3772" s="1">
        <v>43434</v>
      </c>
    </row>
    <row r="3773" spans="1:4" x14ac:dyDescent="0.25">
      <c r="A3773" t="s">
        <v>4216</v>
      </c>
      <c r="B3773" t="str">
        <f>MID(tbl_lock[[#This Row],[PACE Job Number]],3,3)</f>
        <v>ANM</v>
      </c>
      <c r="C3773" t="s">
        <v>13</v>
      </c>
      <c r="D3773" s="1">
        <v>43434</v>
      </c>
    </row>
    <row r="3774" spans="1:4" x14ac:dyDescent="0.25">
      <c r="A3774" t="s">
        <v>5573</v>
      </c>
      <c r="B3774" t="str">
        <f>MID(tbl_lock[[#This Row],[PACE Job Number]],3,3)</f>
        <v>ANM</v>
      </c>
      <c r="C3774" t="s">
        <v>13</v>
      </c>
      <c r="D3774" s="1">
        <v>43434</v>
      </c>
    </row>
    <row r="3775" spans="1:4" x14ac:dyDescent="0.25">
      <c r="A3775" t="s">
        <v>5574</v>
      </c>
      <c r="B3775" t="str">
        <f>MID(tbl_lock[[#This Row],[PACE Job Number]],3,3)</f>
        <v>NTX</v>
      </c>
      <c r="C3775" t="s">
        <v>13</v>
      </c>
      <c r="D3775" s="1">
        <v>43434</v>
      </c>
    </row>
    <row r="3776" spans="1:4" x14ac:dyDescent="0.25">
      <c r="A3776" t="s">
        <v>4524</v>
      </c>
      <c r="B3776" t="str">
        <f>MID(tbl_lock[[#This Row],[PACE Job Number]],3,3)</f>
        <v>NTX</v>
      </c>
      <c r="C3776" t="s">
        <v>13</v>
      </c>
      <c r="D3776" s="1">
        <v>43406</v>
      </c>
    </row>
    <row r="3777" spans="1:4" x14ac:dyDescent="0.25">
      <c r="A3777" t="s">
        <v>4429</v>
      </c>
      <c r="B3777" t="str">
        <f>MID(tbl_lock[[#This Row],[PACE Job Number]],3,3)</f>
        <v>STX</v>
      </c>
      <c r="C3777" t="s">
        <v>13</v>
      </c>
      <c r="D3777" s="1">
        <v>43419</v>
      </c>
    </row>
    <row r="3778" spans="1:4" x14ac:dyDescent="0.25">
      <c r="A3778" t="s">
        <v>3268</v>
      </c>
      <c r="B3778" t="str">
        <f>MID(tbl_lock[[#This Row],[PACE Job Number]],3,3)</f>
        <v>STX</v>
      </c>
      <c r="C3778" t="s">
        <v>13</v>
      </c>
      <c r="D3778" s="1">
        <v>43419</v>
      </c>
    </row>
    <row r="3779" spans="1:4" x14ac:dyDescent="0.25">
      <c r="A3779" t="s">
        <v>4430</v>
      </c>
      <c r="B3779" t="str">
        <f>MID(tbl_lock[[#This Row],[PACE Job Number]],3,3)</f>
        <v>STX</v>
      </c>
      <c r="C3779" t="s">
        <v>13</v>
      </c>
      <c r="D3779" s="1">
        <v>43419</v>
      </c>
    </row>
    <row r="3780" spans="1:4" x14ac:dyDescent="0.25">
      <c r="A3780" t="s">
        <v>3228</v>
      </c>
      <c r="B3780" t="str">
        <f>MID(tbl_lock[[#This Row],[PACE Job Number]],3,3)</f>
        <v>STX</v>
      </c>
      <c r="C3780" t="s">
        <v>13</v>
      </c>
      <c r="D3780" s="1">
        <v>43419</v>
      </c>
    </row>
    <row r="3781" spans="1:4" x14ac:dyDescent="0.25">
      <c r="A3781" t="s">
        <v>527</v>
      </c>
      <c r="B3781" t="str">
        <f>MID(tbl_lock[[#This Row],[PACE Job Number]],3,3)</f>
        <v>STX</v>
      </c>
      <c r="C3781" t="s">
        <v>13</v>
      </c>
      <c r="D3781" s="1">
        <v>43434</v>
      </c>
    </row>
    <row r="3782" spans="1:4" x14ac:dyDescent="0.25">
      <c r="A3782" t="s">
        <v>4431</v>
      </c>
      <c r="B3782" t="str">
        <f>MID(tbl_lock[[#This Row],[PACE Job Number]],3,3)</f>
        <v>STX</v>
      </c>
      <c r="C3782" t="s">
        <v>13</v>
      </c>
      <c r="D3782" s="1">
        <v>43419</v>
      </c>
    </row>
    <row r="3783" spans="1:4" x14ac:dyDescent="0.25">
      <c r="A3783" t="s">
        <v>4432</v>
      </c>
      <c r="B3783" t="str">
        <f>MID(tbl_lock[[#This Row],[PACE Job Number]],3,3)</f>
        <v>STX</v>
      </c>
      <c r="C3783" t="s">
        <v>13</v>
      </c>
      <c r="D3783" s="1">
        <v>43419</v>
      </c>
    </row>
    <row r="3784" spans="1:4" x14ac:dyDescent="0.25">
      <c r="A3784" t="s">
        <v>664</v>
      </c>
      <c r="B3784" t="str">
        <f>MID(tbl_lock[[#This Row],[PACE Job Number]],3,3)</f>
        <v>STX</v>
      </c>
      <c r="C3784" t="s">
        <v>13</v>
      </c>
      <c r="D3784" s="1">
        <v>43434</v>
      </c>
    </row>
    <row r="3785" spans="1:4" x14ac:dyDescent="0.25">
      <c r="A3785" t="s">
        <v>126</v>
      </c>
      <c r="B3785" t="str">
        <f>MID(tbl_lock[[#This Row],[PACE Job Number]],3,3)</f>
        <v>WSH</v>
      </c>
      <c r="C3785" t="s">
        <v>13</v>
      </c>
      <c r="D3785" s="1">
        <v>43434</v>
      </c>
    </row>
    <row r="3786" spans="1:4" x14ac:dyDescent="0.25">
      <c r="A3786" t="s">
        <v>4581</v>
      </c>
      <c r="B3786" t="str">
        <f>MID(tbl_lock[[#This Row],[PACE Job Number]],3,3)</f>
        <v>WSH</v>
      </c>
      <c r="C3786" t="s">
        <v>13</v>
      </c>
      <c r="D3786" s="1">
        <v>43434</v>
      </c>
    </row>
    <row r="3787" spans="1:4" x14ac:dyDescent="0.25">
      <c r="A3787" t="s">
        <v>3925</v>
      </c>
      <c r="B3787" t="str">
        <f>MID(tbl_lock[[#This Row],[PACE Job Number]],3,3)</f>
        <v>WSH</v>
      </c>
      <c r="C3787" t="s">
        <v>13</v>
      </c>
      <c r="D3787" s="1">
        <v>43406</v>
      </c>
    </row>
    <row r="3788" spans="1:4" x14ac:dyDescent="0.25">
      <c r="A3788" t="s">
        <v>3926</v>
      </c>
      <c r="B3788" t="str">
        <f>MID(tbl_lock[[#This Row],[PACE Job Number]],3,3)</f>
        <v>WSH</v>
      </c>
      <c r="C3788" t="s">
        <v>13</v>
      </c>
      <c r="D3788" s="1">
        <v>43406</v>
      </c>
    </row>
    <row r="3789" spans="1:4" x14ac:dyDescent="0.25">
      <c r="A3789" t="s">
        <v>3927</v>
      </c>
      <c r="B3789" t="str">
        <f>MID(tbl_lock[[#This Row],[PACE Job Number]],3,3)</f>
        <v>WSH</v>
      </c>
      <c r="C3789" t="s">
        <v>13</v>
      </c>
      <c r="D3789" s="1">
        <v>43434</v>
      </c>
    </row>
    <row r="3790" spans="1:4" x14ac:dyDescent="0.25">
      <c r="A3790" t="s">
        <v>2374</v>
      </c>
      <c r="B3790" t="str">
        <f>MID(tbl_lock[[#This Row],[PACE Job Number]],3,3)</f>
        <v>NTX</v>
      </c>
      <c r="C3790" t="s">
        <v>13</v>
      </c>
      <c r="D3790" s="1">
        <v>43410</v>
      </c>
    </row>
    <row r="3791" spans="1:4" x14ac:dyDescent="0.25">
      <c r="A3791" t="s">
        <v>2375</v>
      </c>
      <c r="B3791" t="str">
        <f>MID(tbl_lock[[#This Row],[PACE Job Number]],3,3)</f>
        <v>NTX</v>
      </c>
      <c r="C3791" t="s">
        <v>13</v>
      </c>
      <c r="D3791" s="1">
        <v>43410</v>
      </c>
    </row>
    <row r="3792" spans="1:4" x14ac:dyDescent="0.25">
      <c r="A3792" t="s">
        <v>87</v>
      </c>
      <c r="B3792" t="str">
        <f>MID(tbl_lock[[#This Row],[PACE Job Number]],3,3)</f>
        <v>STX</v>
      </c>
      <c r="C3792" t="s">
        <v>13</v>
      </c>
      <c r="D3792" s="1">
        <v>43434</v>
      </c>
    </row>
    <row r="3793" spans="1:4" x14ac:dyDescent="0.25">
      <c r="A3793" t="s">
        <v>5575</v>
      </c>
      <c r="B3793" t="str">
        <f>MID(tbl_lock[[#This Row],[PACE Job Number]],3,3)</f>
        <v>STX</v>
      </c>
      <c r="C3793" t="s">
        <v>13</v>
      </c>
      <c r="D3793" s="1">
        <v>43434</v>
      </c>
    </row>
    <row r="3794" spans="1:4" x14ac:dyDescent="0.25">
      <c r="A3794" t="s">
        <v>423</v>
      </c>
      <c r="B3794" t="str">
        <f>MID(tbl_lock[[#This Row],[PACE Job Number]],3,3)</f>
        <v>STX</v>
      </c>
      <c r="C3794" t="s">
        <v>13</v>
      </c>
      <c r="D3794" s="1">
        <v>43434</v>
      </c>
    </row>
    <row r="3795" spans="1:4" x14ac:dyDescent="0.25">
      <c r="A3795" t="s">
        <v>1074</v>
      </c>
      <c r="B3795" t="str">
        <f>MID(tbl_lock[[#This Row],[PACE Job Number]],3,3)</f>
        <v>STX</v>
      </c>
      <c r="C3795" t="s">
        <v>13</v>
      </c>
      <c r="D3795" s="1">
        <v>43419</v>
      </c>
    </row>
    <row r="3796" spans="1:4" x14ac:dyDescent="0.25">
      <c r="A3796" t="s">
        <v>5576</v>
      </c>
      <c r="B3796" t="str">
        <f>MID(tbl_lock[[#This Row],[PACE Job Number]],3,3)</f>
        <v>STX</v>
      </c>
      <c r="C3796" t="s">
        <v>13</v>
      </c>
      <c r="D3796" s="1">
        <v>43419</v>
      </c>
    </row>
    <row r="3797" spans="1:4" x14ac:dyDescent="0.25">
      <c r="A3797" t="s">
        <v>5577</v>
      </c>
      <c r="B3797" t="str">
        <f>MID(tbl_lock[[#This Row],[PACE Job Number]],3,3)</f>
        <v>STX</v>
      </c>
      <c r="C3797" t="s">
        <v>13</v>
      </c>
      <c r="D3797" s="1">
        <v>43419</v>
      </c>
    </row>
    <row r="3798" spans="1:4" x14ac:dyDescent="0.25">
      <c r="A3798" t="s">
        <v>385</v>
      </c>
      <c r="B3798" t="str">
        <f>MID(tbl_lock[[#This Row],[PACE Job Number]],3,3)</f>
        <v>WSH</v>
      </c>
      <c r="C3798" t="s">
        <v>13</v>
      </c>
      <c r="D3798" s="1">
        <v>43434</v>
      </c>
    </row>
    <row r="3799" spans="1:4" x14ac:dyDescent="0.25">
      <c r="A3799" t="s">
        <v>454</v>
      </c>
      <c r="B3799" t="str">
        <f>MID(tbl_lock[[#This Row],[PACE Job Number]],3,3)</f>
        <v>WSH</v>
      </c>
      <c r="C3799" t="s">
        <v>13</v>
      </c>
      <c r="D3799" s="1">
        <v>43434</v>
      </c>
    </row>
    <row r="3800" spans="1:4" x14ac:dyDescent="0.25">
      <c r="A3800" t="s">
        <v>3850</v>
      </c>
      <c r="B3800" t="str">
        <f>MID(tbl_lock[[#This Row],[PACE Job Number]],3,3)</f>
        <v>WSH</v>
      </c>
      <c r="C3800" t="s">
        <v>13</v>
      </c>
      <c r="D3800" s="1">
        <v>43434</v>
      </c>
    </row>
    <row r="3801" spans="1:4" x14ac:dyDescent="0.25">
      <c r="A3801" t="s">
        <v>3851</v>
      </c>
      <c r="B3801" t="str">
        <f>MID(tbl_lock[[#This Row],[PACE Job Number]],3,3)</f>
        <v>WSH</v>
      </c>
      <c r="C3801" t="s">
        <v>13</v>
      </c>
      <c r="D3801" s="1">
        <v>43434</v>
      </c>
    </row>
    <row r="3802" spans="1:4" x14ac:dyDescent="0.25">
      <c r="A3802" t="s">
        <v>3852</v>
      </c>
      <c r="B3802" t="str">
        <f>MID(tbl_lock[[#This Row],[PACE Job Number]],3,3)</f>
        <v>WSH</v>
      </c>
      <c r="C3802" t="s">
        <v>13</v>
      </c>
      <c r="D3802" s="1">
        <v>43434</v>
      </c>
    </row>
    <row r="3803" spans="1:4" x14ac:dyDescent="0.25">
      <c r="A3803" t="s">
        <v>3853</v>
      </c>
      <c r="B3803" t="str">
        <f>MID(tbl_lock[[#This Row],[PACE Job Number]],3,3)</f>
        <v>WSH</v>
      </c>
      <c r="C3803" t="s">
        <v>13</v>
      </c>
      <c r="D3803" s="1">
        <v>43434</v>
      </c>
    </row>
    <row r="3804" spans="1:4" x14ac:dyDescent="0.25">
      <c r="A3804" t="s">
        <v>3855</v>
      </c>
      <c r="B3804" t="str">
        <f>MID(tbl_lock[[#This Row],[PACE Job Number]],3,3)</f>
        <v>WSH</v>
      </c>
      <c r="C3804" t="s">
        <v>13</v>
      </c>
      <c r="D3804" s="1">
        <v>43434</v>
      </c>
    </row>
    <row r="3805" spans="1:4" x14ac:dyDescent="0.25">
      <c r="A3805" t="s">
        <v>3856</v>
      </c>
      <c r="B3805" t="str">
        <f>MID(tbl_lock[[#This Row],[PACE Job Number]],3,3)</f>
        <v>WSH</v>
      </c>
      <c r="C3805" t="s">
        <v>13</v>
      </c>
      <c r="D3805" s="1">
        <v>43434</v>
      </c>
    </row>
    <row r="3806" spans="1:4" x14ac:dyDescent="0.25">
      <c r="A3806" t="s">
        <v>143</v>
      </c>
      <c r="B3806" t="str">
        <f>MID(tbl_lock[[#This Row],[PACE Job Number]],3,3)</f>
        <v>WSH</v>
      </c>
      <c r="C3806" t="s">
        <v>13</v>
      </c>
      <c r="D3806" s="1">
        <v>43434</v>
      </c>
    </row>
    <row r="3807" spans="1:4" x14ac:dyDescent="0.25">
      <c r="A3807" t="s">
        <v>3777</v>
      </c>
      <c r="B3807" t="str">
        <f>MID(tbl_lock[[#This Row],[PACE Job Number]],3,3)</f>
        <v>WSH</v>
      </c>
      <c r="C3807" t="s">
        <v>13</v>
      </c>
      <c r="D3807" s="1">
        <v>43434</v>
      </c>
    </row>
    <row r="3808" spans="1:4" x14ac:dyDescent="0.25">
      <c r="A3808" t="s">
        <v>3860</v>
      </c>
      <c r="B3808" t="str">
        <f>MID(tbl_lock[[#This Row],[PACE Job Number]],3,3)</f>
        <v>WSH</v>
      </c>
      <c r="C3808" t="s">
        <v>13</v>
      </c>
      <c r="D3808" s="1">
        <v>43434</v>
      </c>
    </row>
    <row r="3809" spans="1:4" x14ac:dyDescent="0.25">
      <c r="A3809" t="s">
        <v>3778</v>
      </c>
      <c r="B3809" t="str">
        <f>MID(tbl_lock[[#This Row],[PACE Job Number]],3,3)</f>
        <v>WSH</v>
      </c>
      <c r="C3809" t="s">
        <v>13</v>
      </c>
      <c r="D3809" s="1">
        <v>43434</v>
      </c>
    </row>
    <row r="3810" spans="1:4" x14ac:dyDescent="0.25">
      <c r="A3810" t="s">
        <v>3862</v>
      </c>
      <c r="B3810" t="str">
        <f>MID(tbl_lock[[#This Row],[PACE Job Number]],3,3)</f>
        <v>WSH</v>
      </c>
      <c r="C3810" t="s">
        <v>13</v>
      </c>
      <c r="D3810" s="1">
        <v>43434</v>
      </c>
    </row>
    <row r="3811" spans="1:4" x14ac:dyDescent="0.25">
      <c r="A3811" t="s">
        <v>5543</v>
      </c>
      <c r="B3811" t="str">
        <f>MID(tbl_lock[[#This Row],[PACE Job Number]],3,3)</f>
        <v>STX</v>
      </c>
      <c r="C3811" t="s">
        <v>13</v>
      </c>
      <c r="D3811" s="1">
        <v>43434</v>
      </c>
    </row>
    <row r="3812" spans="1:4" x14ac:dyDescent="0.25">
      <c r="A3812" t="s">
        <v>5544</v>
      </c>
      <c r="B3812" t="str">
        <f>MID(tbl_lock[[#This Row],[PACE Job Number]],3,3)</f>
        <v>STX</v>
      </c>
      <c r="C3812" t="s">
        <v>13</v>
      </c>
      <c r="D3812" s="1">
        <v>43434</v>
      </c>
    </row>
    <row r="3813" spans="1:4" x14ac:dyDescent="0.25">
      <c r="A3813" t="s">
        <v>295</v>
      </c>
      <c r="B3813" t="str">
        <f>MID(tbl_lock[[#This Row],[PACE Job Number]],3,3)</f>
        <v>STX</v>
      </c>
      <c r="C3813" t="s">
        <v>13</v>
      </c>
      <c r="D3813" s="1">
        <v>43419</v>
      </c>
    </row>
    <row r="3814" spans="1:4" x14ac:dyDescent="0.25">
      <c r="A3814" t="s">
        <v>3314</v>
      </c>
      <c r="B3814" t="str">
        <f>MID(tbl_lock[[#This Row],[PACE Job Number]],3,3)</f>
        <v>STX</v>
      </c>
      <c r="C3814" t="s">
        <v>13</v>
      </c>
      <c r="D3814" s="1">
        <v>43419</v>
      </c>
    </row>
    <row r="3815" spans="1:4" x14ac:dyDescent="0.25">
      <c r="A3815" t="s">
        <v>3244</v>
      </c>
      <c r="B3815" t="str">
        <f>MID(tbl_lock[[#This Row],[PACE Job Number]],3,3)</f>
        <v>STX</v>
      </c>
      <c r="C3815" t="s">
        <v>13</v>
      </c>
      <c r="D3815" s="1">
        <v>43419</v>
      </c>
    </row>
    <row r="3816" spans="1:4" x14ac:dyDescent="0.25">
      <c r="A3816" t="s">
        <v>3257</v>
      </c>
      <c r="B3816" t="str">
        <f>MID(tbl_lock[[#This Row],[PACE Job Number]],3,3)</f>
        <v>STX</v>
      </c>
      <c r="C3816" t="s">
        <v>13</v>
      </c>
      <c r="D3816" s="1">
        <v>43434</v>
      </c>
    </row>
    <row r="3817" spans="1:4" x14ac:dyDescent="0.25">
      <c r="A3817" t="s">
        <v>233</v>
      </c>
      <c r="B3817" t="str">
        <f>MID(tbl_lock[[#This Row],[PACE Job Number]],3,3)</f>
        <v>STX</v>
      </c>
      <c r="C3817" t="s">
        <v>13</v>
      </c>
      <c r="D3817" s="1">
        <v>43434</v>
      </c>
    </row>
    <row r="3818" spans="1:4" x14ac:dyDescent="0.25">
      <c r="A3818" t="s">
        <v>648</v>
      </c>
      <c r="B3818" t="str">
        <f>MID(tbl_lock[[#This Row],[PACE Job Number]],3,3)</f>
        <v>STX</v>
      </c>
      <c r="C3818" t="s">
        <v>13</v>
      </c>
      <c r="D3818" s="1">
        <v>43419</v>
      </c>
    </row>
    <row r="3819" spans="1:4" x14ac:dyDescent="0.25">
      <c r="A3819" t="s">
        <v>448</v>
      </c>
      <c r="B3819" t="str">
        <f>MID(tbl_lock[[#This Row],[PACE Job Number]],3,3)</f>
        <v>STX</v>
      </c>
      <c r="C3819" t="s">
        <v>13</v>
      </c>
      <c r="D3819" s="1">
        <v>43419</v>
      </c>
    </row>
    <row r="3820" spans="1:4" x14ac:dyDescent="0.25">
      <c r="A3820" t="s">
        <v>4353</v>
      </c>
      <c r="B3820" t="str">
        <f>MID(tbl_lock[[#This Row],[PACE Job Number]],3,3)</f>
        <v>STX</v>
      </c>
      <c r="C3820" t="s">
        <v>13</v>
      </c>
      <c r="D3820" s="1">
        <v>43419</v>
      </c>
    </row>
    <row r="3821" spans="1:4" x14ac:dyDescent="0.25">
      <c r="A3821" t="s">
        <v>4355</v>
      </c>
      <c r="B3821" t="str">
        <f>MID(tbl_lock[[#This Row],[PACE Job Number]],3,3)</f>
        <v>STX</v>
      </c>
      <c r="C3821" t="s">
        <v>13</v>
      </c>
      <c r="D3821" s="1">
        <v>43419</v>
      </c>
    </row>
    <row r="3822" spans="1:4" x14ac:dyDescent="0.25">
      <c r="A3822" t="s">
        <v>3988</v>
      </c>
      <c r="B3822" t="str">
        <f>MID(tbl_lock[[#This Row],[PACE Job Number]],3,3)</f>
        <v>STX</v>
      </c>
      <c r="C3822" t="s">
        <v>13</v>
      </c>
      <c r="D3822" s="1">
        <v>43419</v>
      </c>
    </row>
    <row r="3823" spans="1:4" x14ac:dyDescent="0.25">
      <c r="A3823" t="s">
        <v>744</v>
      </c>
      <c r="B3823" t="str">
        <f>MID(tbl_lock[[#This Row],[PACE Job Number]],3,3)</f>
        <v>STX</v>
      </c>
      <c r="C3823" t="s">
        <v>13</v>
      </c>
      <c r="D3823" s="1">
        <v>43419</v>
      </c>
    </row>
    <row r="3824" spans="1:4" x14ac:dyDescent="0.25">
      <c r="A3824" t="s">
        <v>4358</v>
      </c>
      <c r="B3824" t="str">
        <f>MID(tbl_lock[[#This Row],[PACE Job Number]],3,3)</f>
        <v>STX</v>
      </c>
      <c r="C3824" t="s">
        <v>13</v>
      </c>
      <c r="D3824" s="1">
        <v>43419</v>
      </c>
    </row>
    <row r="3825" spans="1:4" x14ac:dyDescent="0.25">
      <c r="A3825" t="s">
        <v>5578</v>
      </c>
      <c r="B3825" t="str">
        <f>MID(tbl_lock[[#This Row],[PACE Job Number]],3,3)</f>
        <v>STX</v>
      </c>
      <c r="C3825" t="s">
        <v>13</v>
      </c>
      <c r="D3825" s="1">
        <v>43434</v>
      </c>
    </row>
    <row r="3826" spans="1:4" x14ac:dyDescent="0.25">
      <c r="A3826" t="s">
        <v>287</v>
      </c>
      <c r="B3826" t="str">
        <f>MID(tbl_lock[[#This Row],[PACE Job Number]],3,3)</f>
        <v>WSH</v>
      </c>
      <c r="C3826" t="s">
        <v>13</v>
      </c>
      <c r="D3826" s="1">
        <v>43434</v>
      </c>
    </row>
    <row r="3827" spans="1:4" x14ac:dyDescent="0.25">
      <c r="A3827" t="s">
        <v>3886</v>
      </c>
      <c r="B3827" t="str">
        <f>MID(tbl_lock[[#This Row],[PACE Job Number]],3,3)</f>
        <v>NTX</v>
      </c>
      <c r="C3827" t="s">
        <v>13</v>
      </c>
      <c r="D3827" s="1">
        <v>43426</v>
      </c>
    </row>
    <row r="3828" spans="1:4" x14ac:dyDescent="0.25">
      <c r="A3828" t="s">
        <v>231</v>
      </c>
      <c r="B3828" t="str">
        <f>MID(tbl_lock[[#This Row],[PACE Job Number]],3,3)</f>
        <v>NTX</v>
      </c>
      <c r="C3828" t="s">
        <v>13</v>
      </c>
      <c r="D3828" s="1">
        <v>43433</v>
      </c>
    </row>
    <row r="3829" spans="1:4" x14ac:dyDescent="0.25">
      <c r="A3829" t="s">
        <v>3892</v>
      </c>
      <c r="B3829" t="str">
        <f>MID(tbl_lock[[#This Row],[PACE Job Number]],3,3)</f>
        <v>NTX</v>
      </c>
      <c r="C3829" t="s">
        <v>13</v>
      </c>
      <c r="D3829" s="1">
        <v>43426</v>
      </c>
    </row>
    <row r="3830" spans="1:4" x14ac:dyDescent="0.25">
      <c r="A3830" t="s">
        <v>47</v>
      </c>
      <c r="B3830" t="str">
        <f>MID(tbl_lock[[#This Row],[PACE Job Number]],3,3)</f>
        <v>NTX</v>
      </c>
      <c r="C3830" t="s">
        <v>13</v>
      </c>
      <c r="D3830" s="1">
        <v>43433</v>
      </c>
    </row>
    <row r="3831" spans="1:4" x14ac:dyDescent="0.25">
      <c r="A3831" t="s">
        <v>3893</v>
      </c>
      <c r="B3831" t="str">
        <f>MID(tbl_lock[[#This Row],[PACE Job Number]],3,3)</f>
        <v>NTX</v>
      </c>
      <c r="C3831" t="s">
        <v>13</v>
      </c>
      <c r="D3831" s="1">
        <v>43426</v>
      </c>
    </row>
    <row r="3832" spans="1:4" x14ac:dyDescent="0.25">
      <c r="A3832" t="s">
        <v>229</v>
      </c>
      <c r="B3832" t="str">
        <f>MID(tbl_lock[[#This Row],[PACE Job Number]],3,3)</f>
        <v>NTX</v>
      </c>
      <c r="C3832" t="s">
        <v>13</v>
      </c>
      <c r="D3832" s="1">
        <v>43433</v>
      </c>
    </row>
    <row r="3833" spans="1:4" x14ac:dyDescent="0.25">
      <c r="A3833" t="s">
        <v>2413</v>
      </c>
      <c r="B3833" t="str">
        <f>MID(tbl_lock[[#This Row],[PACE Job Number]],3,3)</f>
        <v>NTX</v>
      </c>
      <c r="C3833" t="s">
        <v>13</v>
      </c>
      <c r="D3833" s="1">
        <v>43426</v>
      </c>
    </row>
    <row r="3834" spans="1:4" x14ac:dyDescent="0.25">
      <c r="A3834" t="s">
        <v>4403</v>
      </c>
      <c r="B3834" t="str">
        <f>MID(tbl_lock[[#This Row],[PACE Job Number]],3,3)</f>
        <v>NTX</v>
      </c>
      <c r="C3834" t="s">
        <v>13</v>
      </c>
      <c r="D3834" s="1">
        <v>43426</v>
      </c>
    </row>
    <row r="3835" spans="1:4" x14ac:dyDescent="0.25">
      <c r="A3835" t="s">
        <v>2415</v>
      </c>
      <c r="B3835" t="str">
        <f>MID(tbl_lock[[#This Row],[PACE Job Number]],3,3)</f>
        <v>NTX</v>
      </c>
      <c r="C3835" t="s">
        <v>13</v>
      </c>
      <c r="D3835" s="1">
        <v>43433</v>
      </c>
    </row>
    <row r="3836" spans="1:4" x14ac:dyDescent="0.25">
      <c r="A3836" t="s">
        <v>2417</v>
      </c>
      <c r="B3836" t="str">
        <f>MID(tbl_lock[[#This Row],[PACE Job Number]],3,3)</f>
        <v>NTX</v>
      </c>
      <c r="C3836" t="s">
        <v>13</v>
      </c>
      <c r="D3836" s="1">
        <v>43433</v>
      </c>
    </row>
    <row r="3837" spans="1:4" x14ac:dyDescent="0.25">
      <c r="A3837" t="s">
        <v>3386</v>
      </c>
      <c r="B3837" t="str">
        <f>MID(tbl_lock[[#This Row],[PACE Job Number]],3,3)</f>
        <v>NTX</v>
      </c>
      <c r="C3837" t="s">
        <v>13</v>
      </c>
      <c r="D3837" s="1">
        <v>43426</v>
      </c>
    </row>
    <row r="3838" spans="1:4" x14ac:dyDescent="0.25">
      <c r="A3838" t="s">
        <v>212</v>
      </c>
      <c r="B3838" t="str">
        <f>MID(tbl_lock[[#This Row],[PACE Job Number]],3,3)</f>
        <v>NTX</v>
      </c>
      <c r="C3838" t="s">
        <v>13</v>
      </c>
      <c r="D3838" s="1">
        <v>43412</v>
      </c>
    </row>
    <row r="3839" spans="1:4" x14ac:dyDescent="0.25">
      <c r="A3839" t="s">
        <v>136</v>
      </c>
      <c r="B3839" t="str">
        <f>MID(tbl_lock[[#This Row],[PACE Job Number]],3,3)</f>
        <v>WSH</v>
      </c>
      <c r="C3839" t="s">
        <v>13</v>
      </c>
      <c r="D3839" s="1">
        <v>43427</v>
      </c>
    </row>
    <row r="3840" spans="1:4" x14ac:dyDescent="0.25">
      <c r="A3840" t="s">
        <v>4054</v>
      </c>
      <c r="B3840" t="str">
        <f>MID(tbl_lock[[#This Row],[PACE Job Number]],3,3)</f>
        <v>WSH</v>
      </c>
      <c r="C3840" t="s">
        <v>13</v>
      </c>
      <c r="D3840" s="1">
        <v>43434</v>
      </c>
    </row>
    <row r="3841" spans="1:4" x14ac:dyDescent="0.25">
      <c r="A3841" t="s">
        <v>2960</v>
      </c>
      <c r="B3841" t="str">
        <f>MID(tbl_lock[[#This Row],[PACE Job Number]],3,3)</f>
        <v>STX</v>
      </c>
      <c r="C3841" t="s">
        <v>13</v>
      </c>
      <c r="D3841" s="1">
        <v>43419</v>
      </c>
    </row>
    <row r="3842" spans="1:4" x14ac:dyDescent="0.25">
      <c r="A3842" t="s">
        <v>561</v>
      </c>
      <c r="B3842" t="str">
        <f>MID(tbl_lock[[#This Row],[PACE Job Number]],3,3)</f>
        <v>STX</v>
      </c>
      <c r="C3842" t="s">
        <v>13</v>
      </c>
      <c r="D3842" s="1">
        <v>43434</v>
      </c>
    </row>
    <row r="3843" spans="1:4" x14ac:dyDescent="0.25">
      <c r="A3843" t="s">
        <v>3113</v>
      </c>
      <c r="B3843" t="str">
        <f>MID(tbl_lock[[#This Row],[PACE Job Number]],3,3)</f>
        <v>STX</v>
      </c>
      <c r="C3843" t="s">
        <v>13</v>
      </c>
      <c r="D3843" s="1">
        <v>43419</v>
      </c>
    </row>
    <row r="3844" spans="1:4" x14ac:dyDescent="0.25">
      <c r="A3844" t="s">
        <v>534</v>
      </c>
      <c r="B3844" t="str">
        <f>MID(tbl_lock[[#This Row],[PACE Job Number]],3,3)</f>
        <v>STX</v>
      </c>
      <c r="C3844" t="s">
        <v>13</v>
      </c>
      <c r="D3844" s="1">
        <v>43419</v>
      </c>
    </row>
    <row r="3845" spans="1:4" x14ac:dyDescent="0.25">
      <c r="A3845" t="s">
        <v>4470</v>
      </c>
      <c r="B3845" t="str">
        <f>MID(tbl_lock[[#This Row],[PACE Job Number]],3,3)</f>
        <v>STX</v>
      </c>
      <c r="C3845" t="s">
        <v>13</v>
      </c>
      <c r="D3845" s="1">
        <v>43419</v>
      </c>
    </row>
    <row r="3846" spans="1:4" x14ac:dyDescent="0.25">
      <c r="A3846" t="s">
        <v>3296</v>
      </c>
      <c r="B3846" t="str">
        <f>MID(tbl_lock[[#This Row],[PACE Job Number]],3,3)</f>
        <v>STX</v>
      </c>
      <c r="C3846" t="s">
        <v>13</v>
      </c>
      <c r="D3846" s="1">
        <v>43419</v>
      </c>
    </row>
    <row r="3847" spans="1:4" x14ac:dyDescent="0.25">
      <c r="A3847" t="s">
        <v>4471</v>
      </c>
      <c r="B3847" t="str">
        <f>MID(tbl_lock[[#This Row],[PACE Job Number]],3,3)</f>
        <v>STX</v>
      </c>
      <c r="C3847" t="s">
        <v>13</v>
      </c>
      <c r="D3847" s="1">
        <v>43419</v>
      </c>
    </row>
    <row r="3848" spans="1:4" x14ac:dyDescent="0.25">
      <c r="A3848" t="s">
        <v>524</v>
      </c>
      <c r="B3848" t="str">
        <f>MID(tbl_lock[[#This Row],[PACE Job Number]],3,3)</f>
        <v>STX</v>
      </c>
      <c r="C3848" t="s">
        <v>13</v>
      </c>
      <c r="D3848" s="1">
        <v>43419</v>
      </c>
    </row>
    <row r="3849" spans="1:4" x14ac:dyDescent="0.25">
      <c r="A3849" t="s">
        <v>790</v>
      </c>
      <c r="B3849" t="str">
        <f>MID(tbl_lock[[#This Row],[PACE Job Number]],3,3)</f>
        <v>STX</v>
      </c>
      <c r="C3849" t="s">
        <v>13</v>
      </c>
      <c r="D3849" s="1">
        <v>43419</v>
      </c>
    </row>
    <row r="3850" spans="1:4" x14ac:dyDescent="0.25">
      <c r="A3850" t="s">
        <v>4472</v>
      </c>
      <c r="B3850" t="str">
        <f>MID(tbl_lock[[#This Row],[PACE Job Number]],3,3)</f>
        <v>STX</v>
      </c>
      <c r="C3850" t="s">
        <v>13</v>
      </c>
      <c r="D3850" s="1">
        <v>43419</v>
      </c>
    </row>
    <row r="3851" spans="1:4" x14ac:dyDescent="0.25">
      <c r="A3851" t="s">
        <v>487</v>
      </c>
      <c r="B3851" t="str">
        <f>MID(tbl_lock[[#This Row],[PACE Job Number]],3,3)</f>
        <v>STX</v>
      </c>
      <c r="C3851" t="s">
        <v>13</v>
      </c>
      <c r="D3851" s="1">
        <v>43419</v>
      </c>
    </row>
    <row r="3852" spans="1:4" x14ac:dyDescent="0.25">
      <c r="A3852" t="s">
        <v>1088</v>
      </c>
      <c r="B3852" t="str">
        <f>MID(tbl_lock[[#This Row],[PACE Job Number]],3,3)</f>
        <v>STX</v>
      </c>
      <c r="C3852" t="s">
        <v>13</v>
      </c>
      <c r="D3852" s="1">
        <v>43434</v>
      </c>
    </row>
    <row r="3853" spans="1:4" x14ac:dyDescent="0.25">
      <c r="A3853" t="s">
        <v>32</v>
      </c>
      <c r="B3853" t="str">
        <f>MID(tbl_lock[[#This Row],[PACE Job Number]],3,3)</f>
        <v>STX</v>
      </c>
      <c r="C3853" t="s">
        <v>13</v>
      </c>
      <c r="D3853" s="1">
        <v>43417</v>
      </c>
    </row>
    <row r="3854" spans="1:4" x14ac:dyDescent="0.25">
      <c r="A3854" t="s">
        <v>196</v>
      </c>
      <c r="B3854" t="str">
        <f>MID(tbl_lock[[#This Row],[PACE Job Number]],3,3)</f>
        <v>STX</v>
      </c>
      <c r="C3854" t="s">
        <v>13</v>
      </c>
      <c r="D3854" s="1">
        <v>43417</v>
      </c>
    </row>
    <row r="3855" spans="1:4" x14ac:dyDescent="0.25">
      <c r="A3855" t="s">
        <v>3245</v>
      </c>
      <c r="B3855" t="str">
        <f>MID(tbl_lock[[#This Row],[PACE Job Number]],3,3)</f>
        <v>STX</v>
      </c>
      <c r="C3855" t="s">
        <v>13</v>
      </c>
      <c r="D3855" s="1">
        <v>43419</v>
      </c>
    </row>
    <row r="3856" spans="1:4" x14ac:dyDescent="0.25">
      <c r="A3856" t="s">
        <v>4473</v>
      </c>
      <c r="B3856" t="str">
        <f>MID(tbl_lock[[#This Row],[PACE Job Number]],3,3)</f>
        <v>STX</v>
      </c>
      <c r="C3856" t="s">
        <v>13</v>
      </c>
      <c r="D3856" s="1">
        <v>43419</v>
      </c>
    </row>
    <row r="3857" spans="1:4" x14ac:dyDescent="0.25">
      <c r="A3857" t="s">
        <v>4474</v>
      </c>
      <c r="B3857" t="str">
        <f>MID(tbl_lock[[#This Row],[PACE Job Number]],3,3)</f>
        <v>STX</v>
      </c>
      <c r="C3857" t="s">
        <v>13</v>
      </c>
      <c r="D3857" s="1">
        <v>43419</v>
      </c>
    </row>
    <row r="3858" spans="1:4" x14ac:dyDescent="0.25">
      <c r="A3858" t="s">
        <v>5579</v>
      </c>
      <c r="B3858" t="str">
        <f>MID(tbl_lock[[#This Row],[PACE Job Number]],3,3)</f>
        <v>STX</v>
      </c>
      <c r="C3858" t="s">
        <v>13</v>
      </c>
      <c r="D3858" s="1">
        <v>43434</v>
      </c>
    </row>
    <row r="3859" spans="1:4" x14ac:dyDescent="0.25">
      <c r="A3859" t="s">
        <v>5580</v>
      </c>
      <c r="B3859" t="str">
        <f>MID(tbl_lock[[#This Row],[PACE Job Number]],3,3)</f>
        <v>STX</v>
      </c>
      <c r="C3859" t="s">
        <v>13</v>
      </c>
      <c r="D3859" s="1">
        <v>43434</v>
      </c>
    </row>
    <row r="3860" spans="1:4" x14ac:dyDescent="0.25">
      <c r="A3860" t="s">
        <v>3371</v>
      </c>
      <c r="B3860" t="str">
        <f>MID(tbl_lock[[#This Row],[PACE Job Number]],3,3)</f>
        <v>NTX</v>
      </c>
      <c r="C3860" t="s">
        <v>13</v>
      </c>
      <c r="D3860" s="1">
        <v>43426</v>
      </c>
    </row>
    <row r="3861" spans="1:4" x14ac:dyDescent="0.25">
      <c r="A3861" t="s">
        <v>4399</v>
      </c>
      <c r="B3861" t="str">
        <f>MID(tbl_lock[[#This Row],[PACE Job Number]],3,3)</f>
        <v>STX</v>
      </c>
      <c r="C3861" t="s">
        <v>13</v>
      </c>
      <c r="D3861" s="1">
        <v>43419</v>
      </c>
    </row>
    <row r="3862" spans="1:4" x14ac:dyDescent="0.25">
      <c r="A3862" t="s">
        <v>3943</v>
      </c>
      <c r="B3862" t="str">
        <f>MID(tbl_lock[[#This Row],[PACE Job Number]],3,3)</f>
        <v>STX</v>
      </c>
      <c r="C3862" t="s">
        <v>13</v>
      </c>
      <c r="D3862" s="1">
        <v>43419</v>
      </c>
    </row>
    <row r="3863" spans="1:4" x14ac:dyDescent="0.25">
      <c r="A3863" t="s">
        <v>5581</v>
      </c>
      <c r="B3863" t="str">
        <f>MID(tbl_lock[[#This Row],[PACE Job Number]],3,3)</f>
        <v>STX</v>
      </c>
      <c r="C3863" t="s">
        <v>13</v>
      </c>
      <c r="D3863" s="1">
        <v>43419</v>
      </c>
    </row>
    <row r="3864" spans="1:4" x14ac:dyDescent="0.25">
      <c r="A3864" t="s">
        <v>4409</v>
      </c>
      <c r="B3864" t="str">
        <f>MID(tbl_lock[[#This Row],[PACE Job Number]],3,3)</f>
        <v>STX</v>
      </c>
      <c r="C3864" t="s">
        <v>13</v>
      </c>
      <c r="D3864" s="1">
        <v>43419</v>
      </c>
    </row>
    <row r="3865" spans="1:4" x14ac:dyDescent="0.25">
      <c r="A3865" t="s">
        <v>4410</v>
      </c>
      <c r="B3865" t="str">
        <f>MID(tbl_lock[[#This Row],[PACE Job Number]],3,3)</f>
        <v>STX</v>
      </c>
      <c r="C3865" t="s">
        <v>13</v>
      </c>
      <c r="D3865" s="1">
        <v>43419</v>
      </c>
    </row>
    <row r="3866" spans="1:4" x14ac:dyDescent="0.25">
      <c r="A3866" t="s">
        <v>4411</v>
      </c>
      <c r="B3866" t="str">
        <f>MID(tbl_lock[[#This Row],[PACE Job Number]],3,3)</f>
        <v>STX</v>
      </c>
      <c r="C3866" t="s">
        <v>13</v>
      </c>
      <c r="D3866" s="1">
        <v>43419</v>
      </c>
    </row>
    <row r="3867" spans="1:4" x14ac:dyDescent="0.25">
      <c r="A3867" t="s">
        <v>4412</v>
      </c>
      <c r="B3867" t="str">
        <f>MID(tbl_lock[[#This Row],[PACE Job Number]],3,3)</f>
        <v>STX</v>
      </c>
      <c r="C3867" t="s">
        <v>13</v>
      </c>
      <c r="D3867" s="1">
        <v>43419</v>
      </c>
    </row>
    <row r="3868" spans="1:4" x14ac:dyDescent="0.25">
      <c r="A3868" t="s">
        <v>3472</v>
      </c>
      <c r="B3868" t="str">
        <f>MID(tbl_lock[[#This Row],[PACE Job Number]],3,3)</f>
        <v>STX</v>
      </c>
      <c r="C3868" t="s">
        <v>13</v>
      </c>
      <c r="D3868" s="1">
        <v>43419</v>
      </c>
    </row>
    <row r="3869" spans="1:4" x14ac:dyDescent="0.25">
      <c r="A3869" t="s">
        <v>5582</v>
      </c>
      <c r="B3869" t="str">
        <f>MID(tbl_lock[[#This Row],[PACE Job Number]],3,3)</f>
        <v>STX</v>
      </c>
      <c r="C3869" t="s">
        <v>13</v>
      </c>
      <c r="D3869" s="1">
        <v>43419</v>
      </c>
    </row>
    <row r="3870" spans="1:4" x14ac:dyDescent="0.25">
      <c r="A3870" t="s">
        <v>3479</v>
      </c>
      <c r="B3870" t="str">
        <f>MID(tbl_lock[[#This Row],[PACE Job Number]],3,3)</f>
        <v>STX</v>
      </c>
      <c r="C3870" t="s">
        <v>13</v>
      </c>
      <c r="D3870" s="1">
        <v>43419</v>
      </c>
    </row>
    <row r="3871" spans="1:4" x14ac:dyDescent="0.25">
      <c r="A3871" t="s">
        <v>372</v>
      </c>
      <c r="B3871" t="str">
        <f>MID(tbl_lock[[#This Row],[PACE Job Number]],3,3)</f>
        <v>STX</v>
      </c>
      <c r="C3871" t="s">
        <v>13</v>
      </c>
      <c r="D3871" s="1">
        <v>43434</v>
      </c>
    </row>
    <row r="3872" spans="1:4" x14ac:dyDescent="0.25">
      <c r="A3872" t="s">
        <v>3254</v>
      </c>
      <c r="B3872" t="str">
        <f>MID(tbl_lock[[#This Row],[PACE Job Number]],3,3)</f>
        <v>STX</v>
      </c>
      <c r="C3872" t="s">
        <v>13</v>
      </c>
      <c r="D3872" s="1">
        <v>43419</v>
      </c>
    </row>
    <row r="3873" spans="1:4" x14ac:dyDescent="0.25">
      <c r="A3873" t="s">
        <v>3487</v>
      </c>
      <c r="B3873" t="str">
        <f>MID(tbl_lock[[#This Row],[PACE Job Number]],3,3)</f>
        <v>STX</v>
      </c>
      <c r="C3873" t="s">
        <v>13</v>
      </c>
      <c r="D3873" s="1">
        <v>43434</v>
      </c>
    </row>
    <row r="3874" spans="1:4" x14ac:dyDescent="0.25">
      <c r="A3874" t="s">
        <v>5583</v>
      </c>
      <c r="B3874" t="str">
        <f>MID(tbl_lock[[#This Row],[PACE Job Number]],3,3)</f>
        <v>STX</v>
      </c>
      <c r="C3874" t="s">
        <v>13</v>
      </c>
      <c r="D3874" s="1">
        <v>43419</v>
      </c>
    </row>
    <row r="3875" spans="1:4" x14ac:dyDescent="0.25">
      <c r="A3875" t="s">
        <v>5584</v>
      </c>
      <c r="B3875" t="str">
        <f>MID(tbl_lock[[#This Row],[PACE Job Number]],3,3)</f>
        <v>STX</v>
      </c>
      <c r="C3875" t="s">
        <v>13</v>
      </c>
      <c r="D3875" s="1">
        <v>43434</v>
      </c>
    </row>
    <row r="3876" spans="1:4" x14ac:dyDescent="0.25">
      <c r="A3876" t="s">
        <v>3959</v>
      </c>
      <c r="B3876" t="str">
        <f>MID(tbl_lock[[#This Row],[PACE Job Number]],3,3)</f>
        <v>NTX</v>
      </c>
      <c r="C3876" t="s">
        <v>13</v>
      </c>
      <c r="D3876" s="1">
        <v>43430</v>
      </c>
    </row>
    <row r="3877" spans="1:4" x14ac:dyDescent="0.25">
      <c r="A3877" t="s">
        <v>2380</v>
      </c>
      <c r="B3877" t="str">
        <f>MID(tbl_lock[[#This Row],[PACE Job Number]],3,3)</f>
        <v>NTX</v>
      </c>
      <c r="C3877" t="s">
        <v>13</v>
      </c>
      <c r="D3877" s="1">
        <v>43428</v>
      </c>
    </row>
    <row r="3878" spans="1:4" x14ac:dyDescent="0.25">
      <c r="A3878" t="s">
        <v>3373</v>
      </c>
      <c r="B3878" t="str">
        <f>MID(tbl_lock[[#This Row],[PACE Job Number]],3,3)</f>
        <v>NTX</v>
      </c>
      <c r="C3878" t="s">
        <v>13</v>
      </c>
      <c r="D3878" s="1">
        <v>43406</v>
      </c>
    </row>
    <row r="3879" spans="1:4" x14ac:dyDescent="0.25">
      <c r="A3879" t="s">
        <v>70</v>
      </c>
      <c r="B3879" t="str">
        <f>MID(tbl_lock[[#This Row],[PACE Job Number]],3,3)</f>
        <v>NTX</v>
      </c>
      <c r="C3879" t="s">
        <v>13</v>
      </c>
      <c r="D3879" s="1">
        <v>43429</v>
      </c>
    </row>
    <row r="3880" spans="1:4" x14ac:dyDescent="0.25">
      <c r="A3880" t="s">
        <v>1826</v>
      </c>
      <c r="B3880" t="str">
        <f>MID(tbl_lock[[#This Row],[PACE Job Number]],3,3)</f>
        <v>NTX</v>
      </c>
      <c r="C3880" t="s">
        <v>13</v>
      </c>
      <c r="D3880" s="1">
        <v>43432</v>
      </c>
    </row>
    <row r="3881" spans="1:4" x14ac:dyDescent="0.25">
      <c r="A3881" t="s">
        <v>4528</v>
      </c>
      <c r="B3881" t="str">
        <f>MID(tbl_lock[[#This Row],[PACE Job Number]],3,3)</f>
        <v>NTX</v>
      </c>
      <c r="C3881" t="s">
        <v>13</v>
      </c>
      <c r="D3881" s="1">
        <v>43417</v>
      </c>
    </row>
    <row r="3882" spans="1:4" x14ac:dyDescent="0.25">
      <c r="A3882" t="s">
        <v>3416</v>
      </c>
      <c r="B3882" t="str">
        <f>MID(tbl_lock[[#This Row],[PACE Job Number]],3,3)</f>
        <v>WSH</v>
      </c>
      <c r="C3882" t="s">
        <v>13</v>
      </c>
      <c r="D3882" s="1">
        <v>43434</v>
      </c>
    </row>
    <row r="3883" spans="1:4" x14ac:dyDescent="0.25">
      <c r="A3883" t="s">
        <v>4268</v>
      </c>
      <c r="B3883" t="str">
        <f>MID(tbl_lock[[#This Row],[PACE Job Number]],3,3)</f>
        <v>WSH</v>
      </c>
      <c r="C3883" t="s">
        <v>13</v>
      </c>
      <c r="D3883" s="1">
        <v>43434</v>
      </c>
    </row>
    <row r="3884" spans="1:4" x14ac:dyDescent="0.25">
      <c r="A3884" t="s">
        <v>3864</v>
      </c>
      <c r="B3884" t="str">
        <f>MID(tbl_lock[[#This Row],[PACE Job Number]],3,3)</f>
        <v>WSH</v>
      </c>
      <c r="C3884" t="s">
        <v>13</v>
      </c>
      <c r="D3884" s="1">
        <v>43434</v>
      </c>
    </row>
    <row r="3885" spans="1:4" x14ac:dyDescent="0.25">
      <c r="A3885" t="s">
        <v>3450</v>
      </c>
      <c r="B3885" t="str">
        <f>MID(tbl_lock[[#This Row],[PACE Job Number]],3,3)</f>
        <v>WSH</v>
      </c>
      <c r="C3885" t="s">
        <v>13</v>
      </c>
      <c r="D3885" s="1">
        <v>43434</v>
      </c>
    </row>
    <row r="3886" spans="1:4" x14ac:dyDescent="0.25">
      <c r="A3886" t="s">
        <v>5504</v>
      </c>
      <c r="B3886" t="str">
        <f>MID(tbl_lock[[#This Row],[PACE Job Number]],3,3)</f>
        <v>WSH</v>
      </c>
      <c r="C3886" t="s">
        <v>13</v>
      </c>
      <c r="D3886" s="1">
        <v>43434</v>
      </c>
    </row>
    <row r="3887" spans="1:4" x14ac:dyDescent="0.25">
      <c r="A3887" t="s">
        <v>173</v>
      </c>
      <c r="B3887" t="str">
        <f>MID(tbl_lock[[#This Row],[PACE Job Number]],3,3)</f>
        <v>WSH</v>
      </c>
      <c r="C3887" t="s">
        <v>13</v>
      </c>
      <c r="D3887" s="1">
        <v>43434</v>
      </c>
    </row>
    <row r="3888" spans="1:4" x14ac:dyDescent="0.25">
      <c r="A3888" t="s">
        <v>5505</v>
      </c>
      <c r="B3888" t="str">
        <f>MID(tbl_lock[[#This Row],[PACE Job Number]],3,3)</f>
        <v>WSH</v>
      </c>
      <c r="C3888" t="s">
        <v>13</v>
      </c>
      <c r="D3888" s="1">
        <v>43434</v>
      </c>
    </row>
    <row r="3889" spans="1:4" x14ac:dyDescent="0.25">
      <c r="A3889" t="s">
        <v>3865</v>
      </c>
      <c r="B3889" t="str">
        <f>MID(tbl_lock[[#This Row],[PACE Job Number]],3,3)</f>
        <v>WSH</v>
      </c>
      <c r="C3889" t="s">
        <v>13</v>
      </c>
      <c r="D3889" s="1">
        <v>43434</v>
      </c>
    </row>
    <row r="3890" spans="1:4" x14ac:dyDescent="0.25">
      <c r="A3890" t="s">
        <v>458</v>
      </c>
      <c r="B3890" t="str">
        <f>MID(tbl_lock[[#This Row],[PACE Job Number]],3,3)</f>
        <v>WSH</v>
      </c>
      <c r="C3890" t="s">
        <v>13</v>
      </c>
      <c r="D3890" s="1">
        <v>43434</v>
      </c>
    </row>
    <row r="3891" spans="1:4" x14ac:dyDescent="0.25">
      <c r="A3891" t="s">
        <v>4272</v>
      </c>
      <c r="B3891" t="str">
        <f>MID(tbl_lock[[#This Row],[PACE Job Number]],3,3)</f>
        <v>WSH</v>
      </c>
      <c r="C3891" t="s">
        <v>13</v>
      </c>
      <c r="D3891" s="1">
        <v>43434</v>
      </c>
    </row>
    <row r="3892" spans="1:4" x14ac:dyDescent="0.25">
      <c r="A3892" t="s">
        <v>3871</v>
      </c>
      <c r="B3892" t="str">
        <f>MID(tbl_lock[[#This Row],[PACE Job Number]],3,3)</f>
        <v>WSH</v>
      </c>
      <c r="C3892" t="s">
        <v>13</v>
      </c>
      <c r="D3892" s="1">
        <v>43434</v>
      </c>
    </row>
    <row r="3893" spans="1:4" x14ac:dyDescent="0.25">
      <c r="A3893" t="s">
        <v>117</v>
      </c>
      <c r="B3893" t="str">
        <f>MID(tbl_lock[[#This Row],[PACE Job Number]],3,3)</f>
        <v>STX</v>
      </c>
      <c r="C3893" t="s">
        <v>13</v>
      </c>
      <c r="D3893" s="1">
        <v>43419</v>
      </c>
    </row>
    <row r="3894" spans="1:4" x14ac:dyDescent="0.25">
      <c r="A3894" t="s">
        <v>720</v>
      </c>
      <c r="B3894" t="str">
        <f>MID(tbl_lock[[#This Row],[PACE Job Number]],3,3)</f>
        <v>STX</v>
      </c>
      <c r="C3894" t="s">
        <v>13</v>
      </c>
      <c r="D3894" s="1">
        <v>43419</v>
      </c>
    </row>
    <row r="3895" spans="1:4" x14ac:dyDescent="0.25">
      <c r="A3895" t="s">
        <v>4414</v>
      </c>
      <c r="B3895" t="str">
        <f>MID(tbl_lock[[#This Row],[PACE Job Number]],3,3)</f>
        <v>STX</v>
      </c>
      <c r="C3895" t="s">
        <v>13</v>
      </c>
      <c r="D3895" s="1">
        <v>43419</v>
      </c>
    </row>
    <row r="3896" spans="1:4" x14ac:dyDescent="0.25">
      <c r="A3896" t="s">
        <v>563</v>
      </c>
      <c r="B3896" t="str">
        <f>MID(tbl_lock[[#This Row],[PACE Job Number]],3,3)</f>
        <v>STX</v>
      </c>
      <c r="C3896" t="s">
        <v>13</v>
      </c>
      <c r="D3896" s="1">
        <v>43419</v>
      </c>
    </row>
    <row r="3897" spans="1:4" x14ac:dyDescent="0.25">
      <c r="A3897" t="s">
        <v>633</v>
      </c>
      <c r="B3897" t="str">
        <f>MID(tbl_lock[[#This Row],[PACE Job Number]],3,3)</f>
        <v>STX</v>
      </c>
      <c r="C3897" t="s">
        <v>13</v>
      </c>
      <c r="D3897" s="1">
        <v>43419</v>
      </c>
    </row>
    <row r="3898" spans="1:4" x14ac:dyDescent="0.25">
      <c r="A3898" t="s">
        <v>301</v>
      </c>
      <c r="B3898" t="str">
        <f>MID(tbl_lock[[#This Row],[PACE Job Number]],3,3)</f>
        <v>WSH</v>
      </c>
      <c r="C3898" t="s">
        <v>13</v>
      </c>
      <c r="D3898" s="1">
        <v>43434</v>
      </c>
    </row>
    <row r="3899" spans="1:4" x14ac:dyDescent="0.25">
      <c r="A3899" t="s">
        <v>4535</v>
      </c>
      <c r="B3899" t="str">
        <f>MID(tbl_lock[[#This Row],[PACE Job Number]],3,3)</f>
        <v>WSH</v>
      </c>
      <c r="C3899" t="s">
        <v>13</v>
      </c>
      <c r="D3899" s="1">
        <v>43434</v>
      </c>
    </row>
    <row r="3900" spans="1:4" x14ac:dyDescent="0.25">
      <c r="A3900" t="s">
        <v>325</v>
      </c>
      <c r="B3900" t="str">
        <f>MID(tbl_lock[[#This Row],[PACE Job Number]],3,3)</f>
        <v>WSH</v>
      </c>
      <c r="C3900" t="s">
        <v>13</v>
      </c>
      <c r="D3900" s="1">
        <v>43434</v>
      </c>
    </row>
    <row r="3901" spans="1:4" x14ac:dyDescent="0.25">
      <c r="A3901" t="s">
        <v>3418</v>
      </c>
      <c r="B3901" t="str">
        <f>MID(tbl_lock[[#This Row],[PACE Job Number]],3,3)</f>
        <v>WSH</v>
      </c>
      <c r="C3901" t="s">
        <v>13</v>
      </c>
      <c r="D3901" s="1">
        <v>43434</v>
      </c>
    </row>
    <row r="3902" spans="1:4" x14ac:dyDescent="0.25">
      <c r="A3902" t="s">
        <v>367</v>
      </c>
      <c r="B3902" t="str">
        <f>MID(tbl_lock[[#This Row],[PACE Job Number]],3,3)</f>
        <v>WSH</v>
      </c>
      <c r="C3902" t="s">
        <v>13</v>
      </c>
      <c r="D3902" s="1">
        <v>43434</v>
      </c>
    </row>
    <row r="3903" spans="1:4" x14ac:dyDescent="0.25">
      <c r="A3903" t="s">
        <v>3922</v>
      </c>
      <c r="B3903" t="str">
        <f>MID(tbl_lock[[#This Row],[PACE Job Number]],3,3)</f>
        <v>WSH</v>
      </c>
      <c r="C3903" t="s">
        <v>13</v>
      </c>
      <c r="D3903" s="1">
        <v>43434</v>
      </c>
    </row>
    <row r="3904" spans="1:4" x14ac:dyDescent="0.25">
      <c r="A3904" t="s">
        <v>108</v>
      </c>
      <c r="B3904" t="str">
        <f>MID(tbl_lock[[#This Row],[PACE Job Number]],3,3)</f>
        <v>WSH</v>
      </c>
      <c r="C3904" t="s">
        <v>13</v>
      </c>
      <c r="D3904" s="1">
        <v>43434</v>
      </c>
    </row>
    <row r="3905" spans="1:4" x14ac:dyDescent="0.25">
      <c r="A3905" t="s">
        <v>5585</v>
      </c>
      <c r="B3905" t="str">
        <f>MID(tbl_lock[[#This Row],[PACE Job Number]],3,3)</f>
        <v>STX</v>
      </c>
      <c r="C3905" t="s">
        <v>13</v>
      </c>
      <c r="D3905" s="1">
        <v>43434</v>
      </c>
    </row>
    <row r="3906" spans="1:4" x14ac:dyDescent="0.25">
      <c r="A3906" t="s">
        <v>425</v>
      </c>
      <c r="B3906" t="str">
        <f>MID(tbl_lock[[#This Row],[PACE Job Number]],3,3)</f>
        <v>STX</v>
      </c>
      <c r="C3906" t="s">
        <v>13</v>
      </c>
      <c r="D3906" s="1">
        <v>43419</v>
      </c>
    </row>
    <row r="3907" spans="1:4" x14ac:dyDescent="0.25">
      <c r="A3907" t="s">
        <v>3455</v>
      </c>
      <c r="B3907" t="str">
        <f>MID(tbl_lock[[#This Row],[PACE Job Number]],3,3)</f>
        <v>WSH</v>
      </c>
      <c r="C3907" t="s">
        <v>13</v>
      </c>
      <c r="D3907" s="1">
        <v>43434</v>
      </c>
    </row>
    <row r="3908" spans="1:4" x14ac:dyDescent="0.25">
      <c r="A3908" t="s">
        <v>228</v>
      </c>
      <c r="B3908" t="str">
        <f>MID(tbl_lock[[#This Row],[PACE Job Number]],3,3)</f>
        <v>WSH</v>
      </c>
      <c r="C3908" t="s">
        <v>13</v>
      </c>
      <c r="D3908" s="1">
        <v>43434</v>
      </c>
    </row>
    <row r="3909" spans="1:4" x14ac:dyDescent="0.25">
      <c r="A3909" t="s">
        <v>320</v>
      </c>
      <c r="B3909" t="str">
        <f>MID(tbl_lock[[#This Row],[PACE Job Number]],3,3)</f>
        <v>WSH</v>
      </c>
      <c r="C3909" t="s">
        <v>13</v>
      </c>
      <c r="D3909" s="1">
        <v>43434</v>
      </c>
    </row>
    <row r="3910" spans="1:4" x14ac:dyDescent="0.25">
      <c r="A3910" t="s">
        <v>182</v>
      </c>
      <c r="B3910" t="str">
        <f>MID(tbl_lock[[#This Row],[PACE Job Number]],3,3)</f>
        <v>WSH</v>
      </c>
      <c r="C3910" t="s">
        <v>13</v>
      </c>
      <c r="D3910" s="1">
        <v>43434</v>
      </c>
    </row>
    <row r="3911" spans="1:4" x14ac:dyDescent="0.25">
      <c r="A3911" t="s">
        <v>4511</v>
      </c>
      <c r="B3911" t="str">
        <f>MID(tbl_lock[[#This Row],[PACE Job Number]],3,3)</f>
        <v>NTX</v>
      </c>
      <c r="C3911" t="s">
        <v>13</v>
      </c>
      <c r="D3911" s="1">
        <v>43426</v>
      </c>
    </row>
    <row r="3912" spans="1:4" x14ac:dyDescent="0.25">
      <c r="A3912" t="s">
        <v>321</v>
      </c>
      <c r="B3912" t="str">
        <f>MID(tbl_lock[[#This Row],[PACE Job Number]],3,3)</f>
        <v>NTX</v>
      </c>
      <c r="C3912" t="s">
        <v>13</v>
      </c>
      <c r="D3912" s="1">
        <v>43406</v>
      </c>
    </row>
    <row r="3913" spans="1:4" x14ac:dyDescent="0.25">
      <c r="A3913" t="s">
        <v>2351</v>
      </c>
      <c r="B3913" t="str">
        <f>MID(tbl_lock[[#This Row],[PACE Job Number]],3,3)</f>
        <v>NTX</v>
      </c>
      <c r="C3913" t="s">
        <v>13</v>
      </c>
      <c r="D3913" s="1">
        <v>43428</v>
      </c>
    </row>
    <row r="3914" spans="1:4" x14ac:dyDescent="0.25">
      <c r="A3914" t="s">
        <v>4541</v>
      </c>
      <c r="B3914" t="str">
        <f>MID(tbl_lock[[#This Row],[PACE Job Number]],3,3)</f>
        <v>WSH</v>
      </c>
      <c r="C3914" t="s">
        <v>13</v>
      </c>
      <c r="D3914" s="1">
        <v>43434</v>
      </c>
    </row>
    <row r="3915" spans="1:4" x14ac:dyDescent="0.25">
      <c r="A3915" t="s">
        <v>3924</v>
      </c>
      <c r="B3915" t="str">
        <f>MID(tbl_lock[[#This Row],[PACE Job Number]],3,3)</f>
        <v>WSH</v>
      </c>
      <c r="C3915" t="s">
        <v>13</v>
      </c>
      <c r="D3915" s="1">
        <v>43434</v>
      </c>
    </row>
    <row r="3916" spans="1:4" x14ac:dyDescent="0.25">
      <c r="A3916" t="s">
        <v>3456</v>
      </c>
      <c r="B3916" t="str">
        <f>MID(tbl_lock[[#This Row],[PACE Job Number]],3,3)</f>
        <v>WSH</v>
      </c>
      <c r="C3916" t="s">
        <v>13</v>
      </c>
      <c r="D3916" s="1">
        <v>43434</v>
      </c>
    </row>
    <row r="3917" spans="1:4" x14ac:dyDescent="0.25">
      <c r="A3917" t="s">
        <v>3432</v>
      </c>
      <c r="B3917" t="str">
        <f>MID(tbl_lock[[#This Row],[PACE Job Number]],3,3)</f>
        <v>WSH</v>
      </c>
      <c r="C3917" t="s">
        <v>13</v>
      </c>
      <c r="D3917" s="1">
        <v>43434</v>
      </c>
    </row>
    <row r="3918" spans="1:4" x14ac:dyDescent="0.25">
      <c r="A3918" t="s">
        <v>4252</v>
      </c>
      <c r="B3918" t="str">
        <f>MID(tbl_lock[[#This Row],[PACE Job Number]],3,3)</f>
        <v>WSH</v>
      </c>
      <c r="C3918" t="s">
        <v>13</v>
      </c>
      <c r="D3918" s="1">
        <v>43434</v>
      </c>
    </row>
    <row r="3919" spans="1:4" x14ac:dyDescent="0.25">
      <c r="A3919" t="s">
        <v>3385</v>
      </c>
      <c r="B3919" t="str">
        <f>MID(tbl_lock[[#This Row],[PACE Job Number]],3,3)</f>
        <v>WSH</v>
      </c>
      <c r="C3919" t="s">
        <v>13</v>
      </c>
      <c r="D3919" s="1">
        <v>43434</v>
      </c>
    </row>
    <row r="3920" spans="1:4" x14ac:dyDescent="0.25">
      <c r="A3920" t="s">
        <v>3372</v>
      </c>
      <c r="B3920" t="str">
        <f>MID(tbl_lock[[#This Row],[PACE Job Number]],3,3)</f>
        <v>WSH</v>
      </c>
      <c r="C3920" t="s">
        <v>13</v>
      </c>
      <c r="D3920" s="1">
        <v>43434</v>
      </c>
    </row>
    <row r="3921" spans="1:4" x14ac:dyDescent="0.25">
      <c r="A3921" t="s">
        <v>4255</v>
      </c>
      <c r="B3921" t="str">
        <f>MID(tbl_lock[[#This Row],[PACE Job Number]],3,3)</f>
        <v>WSH</v>
      </c>
      <c r="C3921" t="s">
        <v>13</v>
      </c>
      <c r="D3921" s="1">
        <v>43434</v>
      </c>
    </row>
    <row r="3922" spans="1:4" x14ac:dyDescent="0.25">
      <c r="A3922" t="s">
        <v>3394</v>
      </c>
      <c r="B3922" t="str">
        <f>MID(tbl_lock[[#This Row],[PACE Job Number]],3,3)</f>
        <v>WSH</v>
      </c>
      <c r="C3922" t="s">
        <v>13</v>
      </c>
      <c r="D3922" s="1">
        <v>43434</v>
      </c>
    </row>
    <row r="3923" spans="1:4" x14ac:dyDescent="0.25">
      <c r="A3923" t="s">
        <v>4258</v>
      </c>
      <c r="B3923" t="str">
        <f>MID(tbl_lock[[#This Row],[PACE Job Number]],3,3)</f>
        <v>WSH</v>
      </c>
      <c r="C3923" t="s">
        <v>13</v>
      </c>
      <c r="D3923" s="1">
        <v>43434</v>
      </c>
    </row>
    <row r="3924" spans="1:4" x14ac:dyDescent="0.25">
      <c r="A3924" t="s">
        <v>4366</v>
      </c>
      <c r="B3924" t="str">
        <f>MID(tbl_lock[[#This Row],[PACE Job Number]],3,3)</f>
        <v>STX</v>
      </c>
      <c r="C3924" t="s">
        <v>13</v>
      </c>
      <c r="D3924" s="1">
        <v>43419</v>
      </c>
    </row>
    <row r="3925" spans="1:4" x14ac:dyDescent="0.25">
      <c r="A3925" t="s">
        <v>389</v>
      </c>
      <c r="B3925" t="str">
        <f>MID(tbl_lock[[#This Row],[PACE Job Number]],3,3)</f>
        <v>STX</v>
      </c>
      <c r="C3925" t="s">
        <v>13</v>
      </c>
      <c r="D3925" s="1">
        <v>43434</v>
      </c>
    </row>
    <row r="3926" spans="1:4" x14ac:dyDescent="0.25">
      <c r="A3926" t="s">
        <v>5548</v>
      </c>
      <c r="B3926" t="str">
        <f>MID(tbl_lock[[#This Row],[PACE Job Number]],3,3)</f>
        <v>STX</v>
      </c>
      <c r="C3926" t="s">
        <v>13</v>
      </c>
      <c r="D3926" s="1">
        <v>43434</v>
      </c>
    </row>
    <row r="3927" spans="1:4" x14ac:dyDescent="0.25">
      <c r="A3927" t="s">
        <v>3343</v>
      </c>
      <c r="B3927" t="str">
        <f>MID(tbl_lock[[#This Row],[PACE Job Number]],3,3)</f>
        <v>STX</v>
      </c>
      <c r="C3927" t="s">
        <v>13</v>
      </c>
      <c r="D3927" s="1">
        <v>43419</v>
      </c>
    </row>
    <row r="3928" spans="1:4" x14ac:dyDescent="0.25">
      <c r="A3928" t="s">
        <v>1002</v>
      </c>
      <c r="B3928" t="str">
        <f>MID(tbl_lock[[#This Row],[PACE Job Number]],3,3)</f>
        <v>STX</v>
      </c>
      <c r="C3928" t="s">
        <v>13</v>
      </c>
      <c r="D3928" s="1">
        <v>43419</v>
      </c>
    </row>
    <row r="3929" spans="1:4" x14ac:dyDescent="0.25">
      <c r="A3929" t="s">
        <v>3241</v>
      </c>
      <c r="B3929" t="str">
        <f>MID(tbl_lock[[#This Row],[PACE Job Number]],3,3)</f>
        <v>STX</v>
      </c>
      <c r="C3929" t="s">
        <v>13</v>
      </c>
      <c r="D3929" s="1">
        <v>43419</v>
      </c>
    </row>
    <row r="3930" spans="1:4" x14ac:dyDescent="0.25">
      <c r="A3930" t="s">
        <v>742</v>
      </c>
      <c r="B3930" t="str">
        <f>MID(tbl_lock[[#This Row],[PACE Job Number]],3,3)</f>
        <v>STX</v>
      </c>
      <c r="C3930" t="s">
        <v>13</v>
      </c>
      <c r="D3930" s="1">
        <v>43419</v>
      </c>
    </row>
    <row r="3931" spans="1:4" x14ac:dyDescent="0.25">
      <c r="A3931" t="s">
        <v>4367</v>
      </c>
      <c r="B3931" t="str">
        <f>MID(tbl_lock[[#This Row],[PACE Job Number]],3,3)</f>
        <v>STX</v>
      </c>
      <c r="C3931" t="s">
        <v>13</v>
      </c>
      <c r="D3931" s="1">
        <v>43419</v>
      </c>
    </row>
    <row r="3932" spans="1:4" x14ac:dyDescent="0.25">
      <c r="A3932" t="s">
        <v>5586</v>
      </c>
      <c r="B3932" t="str">
        <f>MID(tbl_lock[[#This Row],[PACE Job Number]],3,3)</f>
        <v>STX</v>
      </c>
      <c r="C3932" t="s">
        <v>13</v>
      </c>
      <c r="D3932" s="1">
        <v>43419</v>
      </c>
    </row>
    <row r="3933" spans="1:4" x14ac:dyDescent="0.25">
      <c r="A3933" t="s">
        <v>3543</v>
      </c>
      <c r="B3933" t="str">
        <f>MID(tbl_lock[[#This Row],[PACE Job Number]],3,3)</f>
        <v>STX</v>
      </c>
      <c r="C3933" t="s">
        <v>13</v>
      </c>
      <c r="D3933" s="1">
        <v>43419</v>
      </c>
    </row>
    <row r="3934" spans="1:4" x14ac:dyDescent="0.25">
      <c r="A3934" t="s">
        <v>5587</v>
      </c>
      <c r="B3934" t="str">
        <f>MID(tbl_lock[[#This Row],[PACE Job Number]],3,3)</f>
        <v>STX</v>
      </c>
      <c r="C3934" t="s">
        <v>13</v>
      </c>
      <c r="D3934" s="1">
        <v>43407</v>
      </c>
    </row>
    <row r="3935" spans="1:4" x14ac:dyDescent="0.25">
      <c r="A3935" t="s">
        <v>3106</v>
      </c>
      <c r="B3935" t="str">
        <f>MID(tbl_lock[[#This Row],[PACE Job Number]],3,3)</f>
        <v>STX</v>
      </c>
      <c r="C3935" t="s">
        <v>13</v>
      </c>
      <c r="D3935" s="1">
        <v>43434</v>
      </c>
    </row>
    <row r="3936" spans="1:4" x14ac:dyDescent="0.25">
      <c r="A3936" t="s">
        <v>4197</v>
      </c>
      <c r="B3936" t="str">
        <f>MID(tbl_lock[[#This Row],[PACE Job Number]],3,3)</f>
        <v>WSH</v>
      </c>
      <c r="C3936" t="s">
        <v>13</v>
      </c>
      <c r="D3936" s="1">
        <v>43434</v>
      </c>
    </row>
    <row r="3937" spans="1:4" x14ac:dyDescent="0.25">
      <c r="A3937" t="s">
        <v>4559</v>
      </c>
      <c r="B3937" t="str">
        <f>MID(tbl_lock[[#This Row],[PACE Job Number]],3,3)</f>
        <v>NTX</v>
      </c>
      <c r="C3937" t="s">
        <v>13</v>
      </c>
      <c r="D3937" s="1">
        <v>43417</v>
      </c>
    </row>
    <row r="3938" spans="1:4" x14ac:dyDescent="0.25">
      <c r="A3938" t="s">
        <v>1768</v>
      </c>
      <c r="B3938" t="str">
        <f>MID(tbl_lock[[#This Row],[PACE Job Number]],3,3)</f>
        <v>NTX</v>
      </c>
      <c r="C3938" t="s">
        <v>13</v>
      </c>
      <c r="D3938" s="1">
        <v>43432</v>
      </c>
    </row>
    <row r="3939" spans="1:4" x14ac:dyDescent="0.25">
      <c r="A3939" t="s">
        <v>149</v>
      </c>
      <c r="B3939" t="str">
        <f>MID(tbl_lock[[#This Row],[PACE Job Number]],3,3)</f>
        <v>NTX</v>
      </c>
      <c r="C3939" t="s">
        <v>13</v>
      </c>
      <c r="D3939" s="1">
        <v>43429</v>
      </c>
    </row>
    <row r="3940" spans="1:4" x14ac:dyDescent="0.25">
      <c r="A3940" t="s">
        <v>309</v>
      </c>
      <c r="B3940" t="str">
        <f>MID(tbl_lock[[#This Row],[PACE Job Number]],3,3)</f>
        <v>NTX</v>
      </c>
      <c r="C3940" t="s">
        <v>13</v>
      </c>
      <c r="D3940" s="1">
        <v>43406</v>
      </c>
    </row>
    <row r="3941" spans="1:4" x14ac:dyDescent="0.25">
      <c r="A3941" t="s">
        <v>2462</v>
      </c>
      <c r="B3941" t="str">
        <f>MID(tbl_lock[[#This Row],[PACE Job Number]],3,3)</f>
        <v>NTX</v>
      </c>
      <c r="C3941" t="s">
        <v>13</v>
      </c>
      <c r="D3941" s="1">
        <v>43410</v>
      </c>
    </row>
    <row r="3942" spans="1:4" x14ac:dyDescent="0.25">
      <c r="A3942" t="s">
        <v>3466</v>
      </c>
      <c r="B3942" t="str">
        <f>MID(tbl_lock[[#This Row],[PACE Job Number]],3,3)</f>
        <v>NTX</v>
      </c>
      <c r="C3942" t="s">
        <v>13</v>
      </c>
      <c r="D3942" s="1">
        <v>43426</v>
      </c>
    </row>
    <row r="3943" spans="1:4" x14ac:dyDescent="0.25">
      <c r="A3943" t="s">
        <v>3905</v>
      </c>
      <c r="B3943" t="str">
        <f>MID(tbl_lock[[#This Row],[PACE Job Number]],3,3)</f>
        <v>NTX</v>
      </c>
      <c r="C3943" t="s">
        <v>13</v>
      </c>
      <c r="D3943" s="1">
        <v>43426</v>
      </c>
    </row>
    <row r="3944" spans="1:4" x14ac:dyDescent="0.25">
      <c r="A3944" t="s">
        <v>4557</v>
      </c>
      <c r="B3944" t="str">
        <f>MID(tbl_lock[[#This Row],[PACE Job Number]],3,3)</f>
        <v>STX</v>
      </c>
      <c r="C3944" t="s">
        <v>13</v>
      </c>
      <c r="D3944" s="1">
        <v>43419</v>
      </c>
    </row>
    <row r="3945" spans="1:4" x14ac:dyDescent="0.25">
      <c r="A3945" t="s">
        <v>4486</v>
      </c>
      <c r="B3945" t="str">
        <f>MID(tbl_lock[[#This Row],[PACE Job Number]],3,3)</f>
        <v>STX</v>
      </c>
      <c r="C3945" t="s">
        <v>13</v>
      </c>
      <c r="D3945" s="1">
        <v>43419</v>
      </c>
    </row>
    <row r="3946" spans="1:4" x14ac:dyDescent="0.25">
      <c r="A3946" t="s">
        <v>3205</v>
      </c>
      <c r="B3946" t="str">
        <f>MID(tbl_lock[[#This Row],[PACE Job Number]],3,3)</f>
        <v>STX</v>
      </c>
      <c r="C3946" t="s">
        <v>13</v>
      </c>
      <c r="D3946" s="1">
        <v>43434</v>
      </c>
    </row>
    <row r="3947" spans="1:4" x14ac:dyDescent="0.25">
      <c r="A3947" t="s">
        <v>4516</v>
      </c>
      <c r="B3947" t="str">
        <f>MID(tbl_lock[[#This Row],[PACE Job Number]],3,3)</f>
        <v>NTX</v>
      </c>
      <c r="C3947" t="s">
        <v>13</v>
      </c>
      <c r="D3947" s="1">
        <v>43406</v>
      </c>
    </row>
    <row r="3948" spans="1:4" x14ac:dyDescent="0.25">
      <c r="A3948" t="s">
        <v>4517</v>
      </c>
      <c r="B3948" t="str">
        <f>MID(tbl_lock[[#This Row],[PACE Job Number]],3,3)</f>
        <v>NTX</v>
      </c>
      <c r="C3948" t="s">
        <v>13</v>
      </c>
      <c r="D3948" s="1">
        <v>43406</v>
      </c>
    </row>
    <row r="3949" spans="1:4" x14ac:dyDescent="0.25">
      <c r="A3949" t="s">
        <v>3417</v>
      </c>
      <c r="B3949" t="str">
        <f>MID(tbl_lock[[#This Row],[PACE Job Number]],3,3)</f>
        <v>NTX</v>
      </c>
      <c r="C3949" t="s">
        <v>13</v>
      </c>
      <c r="D3949" s="1">
        <v>43406</v>
      </c>
    </row>
    <row r="3950" spans="1:4" x14ac:dyDescent="0.25">
      <c r="A3950" t="s">
        <v>76</v>
      </c>
      <c r="B3950" t="str">
        <f>MID(tbl_lock[[#This Row],[PACE Job Number]],3,3)</f>
        <v>WSH</v>
      </c>
      <c r="C3950" t="s">
        <v>13</v>
      </c>
      <c r="D3950" s="1">
        <v>43434</v>
      </c>
    </row>
    <row r="3951" spans="1:4" x14ac:dyDescent="0.25">
      <c r="A3951" t="s">
        <v>3435</v>
      </c>
      <c r="B3951" t="str">
        <f>MID(tbl_lock[[#This Row],[PACE Job Number]],3,3)</f>
        <v>WSH</v>
      </c>
      <c r="C3951" t="s">
        <v>13</v>
      </c>
      <c r="D3951" s="1">
        <v>43434</v>
      </c>
    </row>
    <row r="3952" spans="1:4" x14ac:dyDescent="0.25">
      <c r="A3952" t="s">
        <v>4198</v>
      </c>
      <c r="B3952" t="str">
        <f>MID(tbl_lock[[#This Row],[PACE Job Number]],3,3)</f>
        <v>WSH</v>
      </c>
      <c r="C3952" t="s">
        <v>13</v>
      </c>
      <c r="D3952" s="1">
        <v>43434</v>
      </c>
    </row>
    <row r="3953" spans="1:4" x14ac:dyDescent="0.25">
      <c r="A3953" t="s">
        <v>5514</v>
      </c>
      <c r="B3953" t="str">
        <f>MID(tbl_lock[[#This Row],[PACE Job Number]],3,3)</f>
        <v>WSH</v>
      </c>
      <c r="C3953" t="s">
        <v>13</v>
      </c>
      <c r="D3953" s="1">
        <v>43434</v>
      </c>
    </row>
    <row r="3954" spans="1:4" x14ac:dyDescent="0.25">
      <c r="A3954" t="s">
        <v>29</v>
      </c>
      <c r="B3954" t="str">
        <f>MID(tbl_lock[[#This Row],[PACE Job Number]],3,3)</f>
        <v>WSH</v>
      </c>
      <c r="C3954" t="s">
        <v>13</v>
      </c>
      <c r="D3954" s="1">
        <v>43434</v>
      </c>
    </row>
    <row r="3955" spans="1:4" x14ac:dyDescent="0.25">
      <c r="A3955" t="s">
        <v>311</v>
      </c>
      <c r="B3955" t="str">
        <f>MID(tbl_lock[[#This Row],[PACE Job Number]],3,3)</f>
        <v>WSH</v>
      </c>
      <c r="C3955" t="s">
        <v>13</v>
      </c>
      <c r="D3955" s="1">
        <v>43434</v>
      </c>
    </row>
    <row r="3956" spans="1:4" x14ac:dyDescent="0.25">
      <c r="A3956" t="s">
        <v>364</v>
      </c>
      <c r="B3956" t="str">
        <f>MID(tbl_lock[[#This Row],[PACE Job Number]],3,3)</f>
        <v>WSH</v>
      </c>
      <c r="C3956" t="s">
        <v>13</v>
      </c>
      <c r="D3956" s="1">
        <v>43434</v>
      </c>
    </row>
    <row r="3957" spans="1:4" x14ac:dyDescent="0.25">
      <c r="A3957" t="s">
        <v>3899</v>
      </c>
      <c r="B3957" t="str">
        <f>MID(tbl_lock[[#This Row],[PACE Job Number]],3,3)</f>
        <v>WSH</v>
      </c>
      <c r="C3957" t="s">
        <v>13</v>
      </c>
      <c r="D3957" s="1">
        <v>43434</v>
      </c>
    </row>
    <row r="3958" spans="1:4" x14ac:dyDescent="0.25">
      <c r="A3958" t="s">
        <v>171</v>
      </c>
      <c r="B3958" t="str">
        <f>MID(tbl_lock[[#This Row],[PACE Job Number]],3,3)</f>
        <v>WSH</v>
      </c>
      <c r="C3958" t="s">
        <v>13</v>
      </c>
      <c r="D3958" s="1">
        <v>43434</v>
      </c>
    </row>
    <row r="3959" spans="1:4" x14ac:dyDescent="0.25">
      <c r="A3959" t="s">
        <v>5516</v>
      </c>
      <c r="B3959" t="str">
        <f>MID(tbl_lock[[#This Row],[PACE Job Number]],3,3)</f>
        <v>WSH</v>
      </c>
      <c r="C3959" t="s">
        <v>13</v>
      </c>
      <c r="D3959" s="1">
        <v>43434</v>
      </c>
    </row>
    <row r="3960" spans="1:4" x14ac:dyDescent="0.25">
      <c r="A3960" t="s">
        <v>5588</v>
      </c>
      <c r="B3960" t="str">
        <f>MID(tbl_lock[[#This Row],[PACE Job Number]],3,3)</f>
        <v>WSH</v>
      </c>
      <c r="C3960" t="s">
        <v>13</v>
      </c>
      <c r="D3960" s="1">
        <v>43434</v>
      </c>
    </row>
    <row r="3961" spans="1:4" x14ac:dyDescent="0.25">
      <c r="A3961" t="s">
        <v>5589</v>
      </c>
      <c r="B3961" t="str">
        <f>MID(tbl_lock[[#This Row],[PACE Job Number]],3,3)</f>
        <v>STX</v>
      </c>
      <c r="C3961" t="s">
        <v>13</v>
      </c>
      <c r="D3961" s="1">
        <v>43419</v>
      </c>
    </row>
    <row r="3962" spans="1:4" x14ac:dyDescent="0.25">
      <c r="A3962" t="s">
        <v>5590</v>
      </c>
      <c r="B3962" t="str">
        <f>MID(tbl_lock[[#This Row],[PACE Job Number]],3,3)</f>
        <v>STX</v>
      </c>
      <c r="C3962" t="s">
        <v>13</v>
      </c>
      <c r="D3962" s="1">
        <v>43419</v>
      </c>
    </row>
    <row r="3963" spans="1:4" x14ac:dyDescent="0.25">
      <c r="A3963" t="s">
        <v>4488</v>
      </c>
      <c r="B3963" t="str">
        <f>MID(tbl_lock[[#This Row],[PACE Job Number]],3,3)</f>
        <v>STX</v>
      </c>
      <c r="C3963" t="s">
        <v>13</v>
      </c>
      <c r="D3963" s="1">
        <v>43419</v>
      </c>
    </row>
    <row r="3964" spans="1:4" x14ac:dyDescent="0.25">
      <c r="A3964" t="s">
        <v>5591</v>
      </c>
      <c r="B3964" t="str">
        <f>MID(tbl_lock[[#This Row],[PACE Job Number]],3,3)</f>
        <v>STX</v>
      </c>
      <c r="C3964" t="s">
        <v>13</v>
      </c>
      <c r="D3964" s="1">
        <v>43434</v>
      </c>
    </row>
    <row r="3965" spans="1:4" x14ac:dyDescent="0.25">
      <c r="A3965" t="s">
        <v>5592</v>
      </c>
      <c r="B3965" t="str">
        <f>MID(tbl_lock[[#This Row],[PACE Job Number]],3,3)</f>
        <v>STX</v>
      </c>
      <c r="C3965" t="s">
        <v>13</v>
      </c>
      <c r="D3965" s="1">
        <v>43434</v>
      </c>
    </row>
    <row r="3966" spans="1:4" x14ac:dyDescent="0.25">
      <c r="A3966" t="s">
        <v>3462</v>
      </c>
      <c r="B3966" t="str">
        <f>MID(tbl_lock[[#This Row],[PACE Job Number]],3,3)</f>
        <v>STX</v>
      </c>
      <c r="C3966" t="s">
        <v>13</v>
      </c>
      <c r="D3966" s="1">
        <v>43419</v>
      </c>
    </row>
    <row r="3967" spans="1:4" x14ac:dyDescent="0.25">
      <c r="A3967" t="s">
        <v>4558</v>
      </c>
      <c r="B3967" t="str">
        <f>MID(tbl_lock[[#This Row],[PACE Job Number]],3,3)</f>
        <v>STX</v>
      </c>
      <c r="C3967" t="s">
        <v>13</v>
      </c>
      <c r="D3967" s="1">
        <v>43434</v>
      </c>
    </row>
    <row r="3968" spans="1:4" x14ac:dyDescent="0.25">
      <c r="A3968" t="s">
        <v>3356</v>
      </c>
      <c r="B3968" t="str">
        <f>MID(tbl_lock[[#This Row],[PACE Job Number]],3,3)</f>
        <v>STX</v>
      </c>
      <c r="C3968" t="s">
        <v>13</v>
      </c>
      <c r="D3968" s="1">
        <v>43419</v>
      </c>
    </row>
    <row r="3969" spans="1:4" x14ac:dyDescent="0.25">
      <c r="A3969" t="s">
        <v>256</v>
      </c>
      <c r="B3969" t="str">
        <f>MID(tbl_lock[[#This Row],[PACE Job Number]],3,3)</f>
        <v>STX</v>
      </c>
      <c r="C3969" t="s">
        <v>13</v>
      </c>
      <c r="D3969" s="1">
        <v>43434</v>
      </c>
    </row>
    <row r="3970" spans="1:4" x14ac:dyDescent="0.25">
      <c r="A3970" t="s">
        <v>3277</v>
      </c>
      <c r="B3970" t="str">
        <f>MID(tbl_lock[[#This Row],[PACE Job Number]],3,3)</f>
        <v>STX</v>
      </c>
      <c r="C3970" t="s">
        <v>13</v>
      </c>
      <c r="D3970" s="1">
        <v>43419</v>
      </c>
    </row>
    <row r="3971" spans="1:4" x14ac:dyDescent="0.25">
      <c r="A3971" t="s">
        <v>3377</v>
      </c>
      <c r="B3971" t="str">
        <f>MID(tbl_lock[[#This Row],[PACE Job Number]],3,3)</f>
        <v>STX</v>
      </c>
      <c r="C3971" t="s">
        <v>13</v>
      </c>
      <c r="D3971" s="1">
        <v>43419</v>
      </c>
    </row>
    <row r="3972" spans="1:4" x14ac:dyDescent="0.25">
      <c r="A3972" t="s">
        <v>4492</v>
      </c>
      <c r="B3972" t="str">
        <f>MID(tbl_lock[[#This Row],[PACE Job Number]],3,3)</f>
        <v>STX</v>
      </c>
      <c r="C3972" t="s">
        <v>13</v>
      </c>
      <c r="D3972" s="1">
        <v>43419</v>
      </c>
    </row>
    <row r="3973" spans="1:4" x14ac:dyDescent="0.25">
      <c r="A3973" t="s">
        <v>4498</v>
      </c>
      <c r="B3973" t="str">
        <f>MID(tbl_lock[[#This Row],[PACE Job Number]],3,3)</f>
        <v>STX</v>
      </c>
      <c r="C3973" t="s">
        <v>13</v>
      </c>
      <c r="D3973" s="1">
        <v>43419</v>
      </c>
    </row>
    <row r="3974" spans="1:4" x14ac:dyDescent="0.25">
      <c r="A3974" t="s">
        <v>3496</v>
      </c>
      <c r="B3974" t="str">
        <f>MID(tbl_lock[[#This Row],[PACE Job Number]],3,3)</f>
        <v>STX</v>
      </c>
      <c r="C3974" t="s">
        <v>13</v>
      </c>
      <c r="D3974" s="1">
        <v>43419</v>
      </c>
    </row>
    <row r="3975" spans="1:4" x14ac:dyDescent="0.25">
      <c r="A3975" t="s">
        <v>4499</v>
      </c>
      <c r="B3975" t="str">
        <f>MID(tbl_lock[[#This Row],[PACE Job Number]],3,3)</f>
        <v>STX</v>
      </c>
      <c r="C3975" t="s">
        <v>13</v>
      </c>
      <c r="D3975" s="1">
        <v>43419</v>
      </c>
    </row>
    <row r="3976" spans="1:4" x14ac:dyDescent="0.25">
      <c r="A3976" t="s">
        <v>133</v>
      </c>
      <c r="B3976" t="str">
        <f>MID(tbl_lock[[#This Row],[PACE Job Number]],3,3)</f>
        <v>STX</v>
      </c>
      <c r="C3976" t="s">
        <v>13</v>
      </c>
      <c r="D3976" s="1">
        <v>43419</v>
      </c>
    </row>
    <row r="3977" spans="1:4" x14ac:dyDescent="0.25">
      <c r="A3977" t="s">
        <v>285</v>
      </c>
      <c r="B3977" t="str">
        <f>MID(tbl_lock[[#This Row],[PACE Job Number]],3,3)</f>
        <v>STX</v>
      </c>
      <c r="C3977" t="s">
        <v>13</v>
      </c>
      <c r="D3977" s="1">
        <v>43419</v>
      </c>
    </row>
    <row r="3978" spans="1:4" x14ac:dyDescent="0.25">
      <c r="A3978" t="s">
        <v>4500</v>
      </c>
      <c r="B3978" t="str">
        <f>MID(tbl_lock[[#This Row],[PACE Job Number]],3,3)</f>
        <v>STX</v>
      </c>
      <c r="C3978" t="s">
        <v>13</v>
      </c>
      <c r="D3978" s="1">
        <v>43419</v>
      </c>
    </row>
    <row r="3979" spans="1:4" x14ac:dyDescent="0.25">
      <c r="A3979" t="s">
        <v>4501</v>
      </c>
      <c r="B3979" t="str">
        <f>MID(tbl_lock[[#This Row],[PACE Job Number]],3,3)</f>
        <v>STX</v>
      </c>
      <c r="C3979" t="s">
        <v>13</v>
      </c>
      <c r="D3979" s="1">
        <v>43419</v>
      </c>
    </row>
    <row r="3980" spans="1:4" x14ac:dyDescent="0.25">
      <c r="A3980" t="s">
        <v>4503</v>
      </c>
      <c r="B3980" t="str">
        <f>MID(tbl_lock[[#This Row],[PACE Job Number]],3,3)</f>
        <v>NTX</v>
      </c>
      <c r="C3980" t="s">
        <v>13</v>
      </c>
      <c r="D3980" s="1">
        <v>43430</v>
      </c>
    </row>
    <row r="3981" spans="1:4" x14ac:dyDescent="0.25">
      <c r="A3981" t="s">
        <v>3827</v>
      </c>
      <c r="B3981" t="str">
        <f>MID(tbl_lock[[#This Row],[PACE Job Number]],3,3)</f>
        <v>NTX</v>
      </c>
      <c r="C3981" t="s">
        <v>13</v>
      </c>
      <c r="D3981" s="1">
        <v>43431</v>
      </c>
    </row>
    <row r="3982" spans="1:4" x14ac:dyDescent="0.25">
      <c r="A3982" t="s">
        <v>3493</v>
      </c>
      <c r="B3982" t="str">
        <f>MID(tbl_lock[[#This Row],[PACE Job Number]],3,3)</f>
        <v>NTX</v>
      </c>
      <c r="C3982" t="s">
        <v>13</v>
      </c>
      <c r="D3982" s="1">
        <v>43429</v>
      </c>
    </row>
    <row r="3983" spans="1:4" x14ac:dyDescent="0.25">
      <c r="A3983" t="s">
        <v>4506</v>
      </c>
      <c r="B3983" t="str">
        <f>MID(tbl_lock[[#This Row],[PACE Job Number]],3,3)</f>
        <v>NTX</v>
      </c>
      <c r="C3983" t="s">
        <v>13</v>
      </c>
      <c r="D3983" s="1">
        <v>43430</v>
      </c>
    </row>
    <row r="3984" spans="1:4" x14ac:dyDescent="0.25">
      <c r="A3984" t="s">
        <v>4322</v>
      </c>
      <c r="B3984" t="str">
        <f>MID(tbl_lock[[#This Row],[PACE Job Number]],3,3)</f>
        <v>STX</v>
      </c>
      <c r="C3984" t="s">
        <v>13</v>
      </c>
      <c r="D3984" s="1">
        <v>43419</v>
      </c>
    </row>
    <row r="3985" spans="1:4" x14ac:dyDescent="0.25">
      <c r="A3985" t="s">
        <v>3541</v>
      </c>
      <c r="B3985" t="str">
        <f>MID(tbl_lock[[#This Row],[PACE Job Number]],3,3)</f>
        <v>STX</v>
      </c>
      <c r="C3985" t="s">
        <v>13</v>
      </c>
      <c r="D3985" s="1">
        <v>43419</v>
      </c>
    </row>
    <row r="3986" spans="1:4" x14ac:dyDescent="0.25">
      <c r="A3986" t="s">
        <v>3542</v>
      </c>
      <c r="B3986" t="str">
        <f>MID(tbl_lock[[#This Row],[PACE Job Number]],3,3)</f>
        <v>STX</v>
      </c>
      <c r="C3986" t="s">
        <v>13</v>
      </c>
      <c r="D3986" s="1">
        <v>43419</v>
      </c>
    </row>
    <row r="3987" spans="1:4" x14ac:dyDescent="0.25">
      <c r="A3987" t="s">
        <v>3207</v>
      </c>
      <c r="B3987" t="str">
        <f>MID(tbl_lock[[#This Row],[PACE Job Number]],3,3)</f>
        <v>STX</v>
      </c>
      <c r="C3987" t="s">
        <v>13</v>
      </c>
      <c r="D3987" s="1">
        <v>43434</v>
      </c>
    </row>
    <row r="3988" spans="1:4" x14ac:dyDescent="0.25">
      <c r="A3988" t="s">
        <v>4561</v>
      </c>
      <c r="B3988" t="str">
        <f>MID(tbl_lock[[#This Row],[PACE Job Number]],3,3)</f>
        <v>STX</v>
      </c>
      <c r="C3988" t="s">
        <v>13</v>
      </c>
      <c r="D3988" s="1">
        <v>43419</v>
      </c>
    </row>
    <row r="3989" spans="1:4" x14ac:dyDescent="0.25">
      <c r="A3989" t="s">
        <v>5456</v>
      </c>
      <c r="B3989" t="str">
        <f>MID(tbl_lock[[#This Row],[PACE Job Number]],3,3)</f>
        <v>STX</v>
      </c>
      <c r="C3989" t="s">
        <v>13</v>
      </c>
      <c r="D3989" s="1">
        <v>43419</v>
      </c>
    </row>
    <row r="3990" spans="1:4" x14ac:dyDescent="0.25">
      <c r="A3990" t="s">
        <v>3309</v>
      </c>
      <c r="B3990" t="str">
        <f>MID(tbl_lock[[#This Row],[PACE Job Number]],3,3)</f>
        <v>STX</v>
      </c>
      <c r="C3990" t="s">
        <v>13</v>
      </c>
      <c r="D3990" s="1">
        <v>43419</v>
      </c>
    </row>
    <row r="3991" spans="1:4" x14ac:dyDescent="0.25">
      <c r="A3991" t="s">
        <v>3315</v>
      </c>
      <c r="B3991" t="str">
        <f>MID(tbl_lock[[#This Row],[PACE Job Number]],3,3)</f>
        <v>STX</v>
      </c>
      <c r="C3991" t="s">
        <v>13</v>
      </c>
      <c r="D3991" s="1">
        <v>43419</v>
      </c>
    </row>
    <row r="3992" spans="1:4" x14ac:dyDescent="0.25">
      <c r="A3992" t="s">
        <v>3475</v>
      </c>
      <c r="B3992" t="str">
        <f>MID(tbl_lock[[#This Row],[PACE Job Number]],3,3)</f>
        <v>STX</v>
      </c>
      <c r="C3992" t="s">
        <v>13</v>
      </c>
      <c r="D3992" s="1">
        <v>43434</v>
      </c>
    </row>
    <row r="3993" spans="1:4" x14ac:dyDescent="0.25">
      <c r="A3993" t="s">
        <v>4509</v>
      </c>
      <c r="B3993" t="str">
        <f>MID(tbl_lock[[#This Row],[PACE Job Number]],3,3)</f>
        <v>STX</v>
      </c>
      <c r="C3993" t="s">
        <v>13</v>
      </c>
      <c r="D3993" s="1">
        <v>43434</v>
      </c>
    </row>
    <row r="3994" spans="1:4" x14ac:dyDescent="0.25">
      <c r="A3994" t="s">
        <v>3364</v>
      </c>
      <c r="B3994" t="str">
        <f>MID(tbl_lock[[#This Row],[PACE Job Number]],3,3)</f>
        <v>STX</v>
      </c>
      <c r="C3994" t="s">
        <v>13</v>
      </c>
      <c r="D3994" s="1">
        <v>43419</v>
      </c>
    </row>
    <row r="3995" spans="1:4" x14ac:dyDescent="0.25">
      <c r="A3995" t="s">
        <v>4595</v>
      </c>
      <c r="B3995" t="str">
        <f>MID(tbl_lock[[#This Row],[PACE Job Number]],3,3)</f>
        <v>STX</v>
      </c>
      <c r="C3995" t="s">
        <v>13</v>
      </c>
      <c r="D3995" s="1">
        <v>43434</v>
      </c>
    </row>
    <row r="3996" spans="1:4" x14ac:dyDescent="0.25">
      <c r="A3996" t="s">
        <v>5593</v>
      </c>
      <c r="B3996" t="str">
        <f>MID(tbl_lock[[#This Row],[PACE Job Number]],3,3)</f>
        <v>STX</v>
      </c>
      <c r="C3996" t="s">
        <v>13</v>
      </c>
      <c r="D3996" s="1">
        <v>43419</v>
      </c>
    </row>
    <row r="3997" spans="1:4" x14ac:dyDescent="0.25">
      <c r="A3997" t="s">
        <v>3284</v>
      </c>
      <c r="B3997" t="str">
        <f>MID(tbl_lock[[#This Row],[PACE Job Number]],3,3)</f>
        <v>STX</v>
      </c>
      <c r="C3997" t="s">
        <v>13</v>
      </c>
      <c r="D3997" s="1">
        <v>43419</v>
      </c>
    </row>
    <row r="3998" spans="1:4" x14ac:dyDescent="0.25">
      <c r="A3998" t="s">
        <v>551</v>
      </c>
      <c r="B3998" t="str">
        <f>MID(tbl_lock[[#This Row],[PACE Job Number]],3,3)</f>
        <v>STX</v>
      </c>
      <c r="C3998" t="s">
        <v>13</v>
      </c>
      <c r="D3998" s="1">
        <v>43419</v>
      </c>
    </row>
    <row r="3999" spans="1:4" x14ac:dyDescent="0.25">
      <c r="A3999" t="s">
        <v>5594</v>
      </c>
      <c r="B3999" t="str">
        <f>MID(tbl_lock[[#This Row],[PACE Job Number]],3,3)</f>
        <v>STX</v>
      </c>
      <c r="C3999" t="s">
        <v>13</v>
      </c>
      <c r="D3999" s="1">
        <v>43407</v>
      </c>
    </row>
    <row r="4000" spans="1:4" x14ac:dyDescent="0.25">
      <c r="A4000" t="s">
        <v>3355</v>
      </c>
      <c r="B4000" t="str">
        <f>MID(tbl_lock[[#This Row],[PACE Job Number]],3,3)</f>
        <v>STX</v>
      </c>
      <c r="C4000" t="s">
        <v>13</v>
      </c>
      <c r="D4000" s="1">
        <v>43419</v>
      </c>
    </row>
    <row r="4001" spans="1:4" x14ac:dyDescent="0.25">
      <c r="A4001" t="s">
        <v>3963</v>
      </c>
      <c r="B4001" t="str">
        <f>MID(tbl_lock[[#This Row],[PACE Job Number]],3,3)</f>
        <v>NTX</v>
      </c>
      <c r="C4001" t="s">
        <v>13</v>
      </c>
      <c r="D4001" s="1">
        <v>43430</v>
      </c>
    </row>
    <row r="4002" spans="1:4" x14ac:dyDescent="0.25">
      <c r="A4002" t="s">
        <v>3882</v>
      </c>
      <c r="B4002" t="str">
        <f>MID(tbl_lock[[#This Row],[PACE Job Number]],3,3)</f>
        <v>NTX</v>
      </c>
      <c r="C4002" t="s">
        <v>13</v>
      </c>
      <c r="D4002" s="1">
        <v>43426</v>
      </c>
    </row>
    <row r="4003" spans="1:4" x14ac:dyDescent="0.25">
      <c r="A4003" t="s">
        <v>4274</v>
      </c>
      <c r="B4003" t="str">
        <f>MID(tbl_lock[[#This Row],[PACE Job Number]],3,3)</f>
        <v>WSH</v>
      </c>
      <c r="C4003" t="s">
        <v>13</v>
      </c>
      <c r="D4003" s="1">
        <v>43434</v>
      </c>
    </row>
    <row r="4004" spans="1:4" x14ac:dyDescent="0.25">
      <c r="A4004" t="s">
        <v>4275</v>
      </c>
      <c r="B4004" t="str">
        <f>MID(tbl_lock[[#This Row],[PACE Job Number]],3,3)</f>
        <v>WSH</v>
      </c>
      <c r="C4004" t="s">
        <v>13</v>
      </c>
      <c r="D4004" s="1">
        <v>43434</v>
      </c>
    </row>
    <row r="4005" spans="1:4" x14ac:dyDescent="0.25">
      <c r="A4005" t="s">
        <v>3993</v>
      </c>
      <c r="B4005" t="str">
        <f>MID(tbl_lock[[#This Row],[PACE Job Number]],3,3)</f>
        <v>WSH</v>
      </c>
      <c r="C4005" t="s">
        <v>13</v>
      </c>
      <c r="D4005" s="1">
        <v>43434</v>
      </c>
    </row>
    <row r="4006" spans="1:4" x14ac:dyDescent="0.25">
      <c r="A4006" t="s">
        <v>4021</v>
      </c>
      <c r="B4006" t="str">
        <f>MID(tbl_lock[[#This Row],[PACE Job Number]],3,3)</f>
        <v>WSH</v>
      </c>
      <c r="C4006" t="s">
        <v>13</v>
      </c>
      <c r="D4006" s="1">
        <v>43434</v>
      </c>
    </row>
    <row r="4007" spans="1:4" x14ac:dyDescent="0.25">
      <c r="A4007" t="s">
        <v>3877</v>
      </c>
      <c r="B4007" t="str">
        <f>MID(tbl_lock[[#This Row],[PACE Job Number]],3,3)</f>
        <v>WSH</v>
      </c>
      <c r="C4007" t="s">
        <v>13</v>
      </c>
      <c r="D4007" s="1">
        <v>43434</v>
      </c>
    </row>
    <row r="4008" spans="1:4" x14ac:dyDescent="0.25">
      <c r="A4008" t="s">
        <v>5595</v>
      </c>
      <c r="B4008" t="str">
        <f>MID(tbl_lock[[#This Row],[PACE Job Number]],3,3)</f>
        <v>WSH</v>
      </c>
      <c r="C4008" t="s">
        <v>13</v>
      </c>
      <c r="D4008" s="1">
        <v>43434</v>
      </c>
    </row>
    <row r="4009" spans="1:4" x14ac:dyDescent="0.25">
      <c r="A4009" t="s">
        <v>4284</v>
      </c>
      <c r="B4009" t="str">
        <f>MID(tbl_lock[[#This Row],[PACE Job Number]],3,3)</f>
        <v>WSH</v>
      </c>
      <c r="C4009" t="s">
        <v>13</v>
      </c>
      <c r="D4009" s="1">
        <v>43434</v>
      </c>
    </row>
    <row r="4010" spans="1:4" x14ac:dyDescent="0.25">
      <c r="A4010" t="s">
        <v>115</v>
      </c>
      <c r="B4010" t="str">
        <f>MID(tbl_lock[[#This Row],[PACE Job Number]],3,3)</f>
        <v>WSH</v>
      </c>
      <c r="C4010" t="s">
        <v>13</v>
      </c>
      <c r="D4010" s="1">
        <v>43434</v>
      </c>
    </row>
    <row r="4011" spans="1:4" x14ac:dyDescent="0.25">
      <c r="A4011" t="s">
        <v>5551</v>
      </c>
      <c r="B4011" t="str">
        <f>MID(tbl_lock[[#This Row],[PACE Job Number]],3,3)</f>
        <v>WSH</v>
      </c>
      <c r="C4011" t="s">
        <v>13</v>
      </c>
      <c r="D4011" s="1">
        <v>43434</v>
      </c>
    </row>
    <row r="4012" spans="1:4" x14ac:dyDescent="0.25">
      <c r="A4012" t="s">
        <v>4286</v>
      </c>
      <c r="B4012" t="str">
        <f>MID(tbl_lock[[#This Row],[PACE Job Number]],3,3)</f>
        <v>WSH</v>
      </c>
      <c r="C4012" t="s">
        <v>13</v>
      </c>
      <c r="D4012" s="1">
        <v>43434</v>
      </c>
    </row>
    <row r="4013" spans="1:4" x14ac:dyDescent="0.25">
      <c r="A4013" t="s">
        <v>4288</v>
      </c>
      <c r="B4013" t="str">
        <f>MID(tbl_lock[[#This Row],[PACE Job Number]],3,3)</f>
        <v>WSH</v>
      </c>
      <c r="C4013" t="s">
        <v>13</v>
      </c>
      <c r="D4013" s="1">
        <v>43434</v>
      </c>
    </row>
    <row r="4014" spans="1:4" x14ac:dyDescent="0.25">
      <c r="A4014" t="s">
        <v>3990</v>
      </c>
      <c r="B4014" t="str">
        <f>MID(tbl_lock[[#This Row],[PACE Job Number]],3,3)</f>
        <v>WSH</v>
      </c>
      <c r="C4014" t="s">
        <v>13</v>
      </c>
      <c r="D4014" s="1">
        <v>43434</v>
      </c>
    </row>
    <row r="4015" spans="1:4" x14ac:dyDescent="0.25">
      <c r="A4015" t="s">
        <v>3944</v>
      </c>
      <c r="B4015" t="str">
        <f>MID(tbl_lock[[#This Row],[PACE Job Number]],3,3)</f>
        <v>WSH</v>
      </c>
      <c r="C4015" t="s">
        <v>13</v>
      </c>
      <c r="D4015" s="1">
        <v>43434</v>
      </c>
    </row>
    <row r="4016" spans="1:4" x14ac:dyDescent="0.25">
      <c r="A4016" t="s">
        <v>4562</v>
      </c>
      <c r="B4016" t="str">
        <f>MID(tbl_lock[[#This Row],[PACE Job Number]],3,3)</f>
        <v>STX</v>
      </c>
      <c r="C4016" t="s">
        <v>13</v>
      </c>
      <c r="D4016" s="1">
        <v>43419</v>
      </c>
    </row>
    <row r="4017" spans="1:4" x14ac:dyDescent="0.25">
      <c r="A4017" t="s">
        <v>3447</v>
      </c>
      <c r="B4017" t="str">
        <f>MID(tbl_lock[[#This Row],[PACE Job Number]],3,3)</f>
        <v>NTX</v>
      </c>
      <c r="C4017" t="s">
        <v>13</v>
      </c>
      <c r="D4017" s="1">
        <v>43426</v>
      </c>
    </row>
    <row r="4018" spans="1:4" x14ac:dyDescent="0.25">
      <c r="A4018" t="s">
        <v>67</v>
      </c>
      <c r="B4018" t="str">
        <f>MID(tbl_lock[[#This Row],[PACE Job Number]],3,3)</f>
        <v>NTX</v>
      </c>
      <c r="C4018" t="s">
        <v>13</v>
      </c>
      <c r="D4018" s="1">
        <v>43412</v>
      </c>
    </row>
    <row r="4019" spans="1:4" x14ac:dyDescent="0.25">
      <c r="A4019" t="s">
        <v>294</v>
      </c>
      <c r="B4019" t="str">
        <f>MID(tbl_lock[[#This Row],[PACE Job Number]],3,3)</f>
        <v>NTX</v>
      </c>
      <c r="C4019" t="s">
        <v>13</v>
      </c>
      <c r="D4019" s="1">
        <v>43412</v>
      </c>
    </row>
    <row r="4020" spans="1:4" x14ac:dyDescent="0.25">
      <c r="A4020" t="s">
        <v>5596</v>
      </c>
      <c r="B4020" t="str">
        <f>MID(tbl_lock[[#This Row],[PACE Job Number]],3,3)</f>
        <v>STX</v>
      </c>
      <c r="C4020" t="s">
        <v>13</v>
      </c>
      <c r="D4020" s="1">
        <v>43419</v>
      </c>
    </row>
    <row r="4021" spans="1:4" x14ac:dyDescent="0.25">
      <c r="A4021" t="s">
        <v>4372</v>
      </c>
      <c r="B4021" t="str">
        <f>MID(tbl_lock[[#This Row],[PACE Job Number]],3,3)</f>
        <v>STX</v>
      </c>
      <c r="C4021" t="s">
        <v>13</v>
      </c>
      <c r="D4021" s="1">
        <v>43419</v>
      </c>
    </row>
    <row r="4022" spans="1:4" x14ac:dyDescent="0.25">
      <c r="A4022" t="s">
        <v>5597</v>
      </c>
      <c r="B4022" t="str">
        <f>MID(tbl_lock[[#This Row],[PACE Job Number]],3,3)</f>
        <v>STX</v>
      </c>
      <c r="C4022" t="s">
        <v>13</v>
      </c>
      <c r="D4022" s="1">
        <v>43434</v>
      </c>
    </row>
    <row r="4023" spans="1:4" x14ac:dyDescent="0.25">
      <c r="A4023" t="s">
        <v>3123</v>
      </c>
      <c r="B4023" t="str">
        <f>MID(tbl_lock[[#This Row],[PACE Job Number]],3,3)</f>
        <v>STX</v>
      </c>
      <c r="C4023" t="s">
        <v>13</v>
      </c>
      <c r="D4023" s="1">
        <v>43434</v>
      </c>
    </row>
    <row r="4024" spans="1:4" x14ac:dyDescent="0.25">
      <c r="A4024" t="s">
        <v>4374</v>
      </c>
      <c r="B4024" t="str">
        <f>MID(tbl_lock[[#This Row],[PACE Job Number]],3,3)</f>
        <v>STX</v>
      </c>
      <c r="C4024" t="s">
        <v>13</v>
      </c>
      <c r="D4024" s="1">
        <v>43419</v>
      </c>
    </row>
    <row r="4025" spans="1:4" x14ac:dyDescent="0.25">
      <c r="A4025" t="s">
        <v>4375</v>
      </c>
      <c r="B4025" t="str">
        <f>MID(tbl_lock[[#This Row],[PACE Job Number]],3,3)</f>
        <v>STX</v>
      </c>
      <c r="C4025" t="s">
        <v>13</v>
      </c>
      <c r="D4025" s="1">
        <v>43419</v>
      </c>
    </row>
    <row r="4026" spans="1:4" x14ac:dyDescent="0.25">
      <c r="A4026" t="s">
        <v>5598</v>
      </c>
      <c r="B4026" t="str">
        <f>MID(tbl_lock[[#This Row],[PACE Job Number]],3,3)</f>
        <v>STX</v>
      </c>
      <c r="C4026" t="s">
        <v>13</v>
      </c>
      <c r="D4026" s="1">
        <v>43434</v>
      </c>
    </row>
    <row r="4027" spans="1:4" x14ac:dyDescent="0.25">
      <c r="A4027" t="s">
        <v>4376</v>
      </c>
      <c r="B4027" t="str">
        <f>MID(tbl_lock[[#This Row],[PACE Job Number]],3,3)</f>
        <v>STX</v>
      </c>
      <c r="C4027" t="s">
        <v>13</v>
      </c>
      <c r="D4027" s="1">
        <v>43419</v>
      </c>
    </row>
    <row r="4028" spans="1:4" x14ac:dyDescent="0.25">
      <c r="A4028" t="s">
        <v>350</v>
      </c>
      <c r="B4028" t="str">
        <f>MID(tbl_lock[[#This Row],[PACE Job Number]],3,3)</f>
        <v>WSH</v>
      </c>
      <c r="C4028" t="s">
        <v>13</v>
      </c>
      <c r="D4028" s="1">
        <v>43434</v>
      </c>
    </row>
    <row r="4029" spans="1:4" x14ac:dyDescent="0.25">
      <c r="A4029" t="s">
        <v>3423</v>
      </c>
      <c r="B4029" t="str">
        <f>MID(tbl_lock[[#This Row],[PACE Job Number]],3,3)</f>
        <v>NTX</v>
      </c>
      <c r="C4029" t="s">
        <v>13</v>
      </c>
      <c r="D4029" s="1">
        <v>43426</v>
      </c>
    </row>
    <row r="4030" spans="1:4" x14ac:dyDescent="0.25">
      <c r="A4030" t="s">
        <v>3419</v>
      </c>
      <c r="B4030" t="str">
        <f>MID(tbl_lock[[#This Row],[PACE Job Number]],3,3)</f>
        <v>NTX</v>
      </c>
      <c r="C4030" t="s">
        <v>13</v>
      </c>
      <c r="D4030" s="1">
        <v>43426</v>
      </c>
    </row>
    <row r="4031" spans="1:4" x14ac:dyDescent="0.25">
      <c r="A4031" t="s">
        <v>3415</v>
      </c>
      <c r="B4031" t="str">
        <f>MID(tbl_lock[[#This Row],[PACE Job Number]],3,3)</f>
        <v>NTX</v>
      </c>
      <c r="C4031" t="s">
        <v>13</v>
      </c>
      <c r="D4031" s="1">
        <v>43426</v>
      </c>
    </row>
    <row r="4032" spans="1:4" x14ac:dyDescent="0.25">
      <c r="A4032" t="s">
        <v>3445</v>
      </c>
      <c r="B4032" t="str">
        <f>MID(tbl_lock[[#This Row],[PACE Job Number]],3,3)</f>
        <v>NTX</v>
      </c>
      <c r="C4032" t="s">
        <v>13</v>
      </c>
      <c r="D4032" s="1">
        <v>43426</v>
      </c>
    </row>
    <row r="4033" spans="1:4" x14ac:dyDescent="0.25">
      <c r="A4033" t="s">
        <v>4603</v>
      </c>
      <c r="B4033" t="str">
        <f>MID(tbl_lock[[#This Row],[PACE Job Number]],3,3)</f>
        <v>ANM</v>
      </c>
      <c r="C4033" t="s">
        <v>17</v>
      </c>
      <c r="D4033" s="1">
        <v>43419</v>
      </c>
    </row>
    <row r="4034" spans="1:4" x14ac:dyDescent="0.25">
      <c r="A4034" t="s">
        <v>3948</v>
      </c>
      <c r="B4034" t="str">
        <f>MID(tbl_lock[[#This Row],[PACE Job Number]],3,3)</f>
        <v>STX</v>
      </c>
      <c r="C4034" t="s">
        <v>17</v>
      </c>
      <c r="D4034" s="1">
        <v>43434</v>
      </c>
    </row>
    <row r="4035" spans="1:4" x14ac:dyDescent="0.25">
      <c r="A4035" t="s">
        <v>3949</v>
      </c>
      <c r="B4035" t="str">
        <f>MID(tbl_lock[[#This Row],[PACE Job Number]],3,3)</f>
        <v>STX</v>
      </c>
      <c r="C4035" t="s">
        <v>17</v>
      </c>
      <c r="D4035" s="1">
        <v>43434</v>
      </c>
    </row>
    <row r="4036" spans="1:4" x14ac:dyDescent="0.25">
      <c r="A4036" t="s">
        <v>3950</v>
      </c>
      <c r="B4036" t="str">
        <f>MID(tbl_lock[[#This Row],[PACE Job Number]],3,3)</f>
        <v>STX</v>
      </c>
      <c r="C4036" t="s">
        <v>17</v>
      </c>
      <c r="D4036" s="1">
        <v>43434</v>
      </c>
    </row>
    <row r="4037" spans="1:4" x14ac:dyDescent="0.25">
      <c r="A4037" t="s">
        <v>3397</v>
      </c>
      <c r="B4037" t="str">
        <f>MID(tbl_lock[[#This Row],[PACE Job Number]],3,3)</f>
        <v>STX</v>
      </c>
      <c r="C4037" t="s">
        <v>17</v>
      </c>
      <c r="D4037" s="1">
        <v>43434</v>
      </c>
    </row>
    <row r="4038" spans="1:4" x14ac:dyDescent="0.25">
      <c r="A4038" t="s">
        <v>3388</v>
      </c>
      <c r="B4038" t="str">
        <f>MID(tbl_lock[[#This Row],[PACE Job Number]],3,3)</f>
        <v>STX</v>
      </c>
      <c r="C4038" t="s">
        <v>17</v>
      </c>
      <c r="D4038" s="1">
        <v>43434</v>
      </c>
    </row>
    <row r="4039" spans="1:4" x14ac:dyDescent="0.25">
      <c r="A4039" t="s">
        <v>86</v>
      </c>
      <c r="B4039" t="str">
        <f>MID(tbl_lock[[#This Row],[PACE Job Number]],3,3)</f>
        <v>STX</v>
      </c>
      <c r="C4039" t="s">
        <v>17</v>
      </c>
      <c r="D4039" s="1">
        <v>43418</v>
      </c>
    </row>
    <row r="4040" spans="1:4" x14ac:dyDescent="0.25">
      <c r="A4040" t="s">
        <v>3514</v>
      </c>
      <c r="B4040" t="str">
        <f>MID(tbl_lock[[#This Row],[PACE Job Number]],3,3)</f>
        <v>STX</v>
      </c>
      <c r="C4040" t="s">
        <v>17</v>
      </c>
      <c r="D4040" s="1">
        <v>43434</v>
      </c>
    </row>
    <row r="4041" spans="1:4" x14ac:dyDescent="0.25">
      <c r="A4041" t="s">
        <v>2677</v>
      </c>
      <c r="B4041" t="str">
        <f>MID(tbl_lock[[#This Row],[PACE Job Number]],3,3)</f>
        <v>STX</v>
      </c>
      <c r="C4041" t="s">
        <v>17</v>
      </c>
      <c r="D4041" s="1">
        <v>43405</v>
      </c>
    </row>
    <row r="4042" spans="1:4" x14ac:dyDescent="0.25">
      <c r="A4042" t="s">
        <v>348</v>
      </c>
      <c r="B4042" t="str">
        <f>MID(tbl_lock[[#This Row],[PACE Job Number]],3,3)</f>
        <v>STX</v>
      </c>
      <c r="C4042" t="s">
        <v>17</v>
      </c>
      <c r="D4042" s="1">
        <v>43418</v>
      </c>
    </row>
    <row r="4043" spans="1:4" x14ac:dyDescent="0.25">
      <c r="A4043" t="s">
        <v>4060</v>
      </c>
      <c r="B4043" t="str">
        <f>MID(tbl_lock[[#This Row],[PACE Job Number]],3,3)</f>
        <v>STX</v>
      </c>
      <c r="C4043" t="s">
        <v>17</v>
      </c>
      <c r="D4043" s="1">
        <v>43405</v>
      </c>
    </row>
    <row r="4044" spans="1:4" x14ac:dyDescent="0.25">
      <c r="A4044" t="s">
        <v>4378</v>
      </c>
      <c r="B4044" t="str">
        <f>MID(tbl_lock[[#This Row],[PACE Job Number]],3,3)</f>
        <v>STX</v>
      </c>
      <c r="C4044" t="s">
        <v>17</v>
      </c>
      <c r="D4044" s="1">
        <v>43419</v>
      </c>
    </row>
    <row r="4045" spans="1:4" x14ac:dyDescent="0.25">
      <c r="A4045" t="s">
        <v>4611</v>
      </c>
      <c r="B4045" t="str">
        <f>MID(tbl_lock[[#This Row],[PACE Job Number]],3,3)</f>
        <v>STX</v>
      </c>
      <c r="C4045" t="s">
        <v>17</v>
      </c>
      <c r="D4045" s="1">
        <v>43405</v>
      </c>
    </row>
    <row r="4046" spans="1:4" x14ac:dyDescent="0.25">
      <c r="A4046" t="s">
        <v>258</v>
      </c>
      <c r="B4046" t="str">
        <f>MID(tbl_lock[[#This Row],[PACE Job Number]],3,3)</f>
        <v>STX</v>
      </c>
      <c r="C4046" t="s">
        <v>17</v>
      </c>
      <c r="D4046" s="1">
        <v>43406</v>
      </c>
    </row>
    <row r="4047" spans="1:4" x14ac:dyDescent="0.25">
      <c r="A4047" t="s">
        <v>3954</v>
      </c>
      <c r="B4047" t="str">
        <f>MID(tbl_lock[[#This Row],[PACE Job Number]],3,3)</f>
        <v>STX</v>
      </c>
      <c r="C4047" t="s">
        <v>17</v>
      </c>
      <c r="D4047" s="1">
        <v>43419</v>
      </c>
    </row>
    <row r="4048" spans="1:4" x14ac:dyDescent="0.25">
      <c r="A4048" t="s">
        <v>195</v>
      </c>
      <c r="B4048" t="str">
        <f>MID(tbl_lock[[#This Row],[PACE Job Number]],3,3)</f>
        <v>STX</v>
      </c>
      <c r="C4048" t="s">
        <v>17</v>
      </c>
      <c r="D4048" s="1">
        <v>43434</v>
      </c>
    </row>
    <row r="4049" spans="1:4" x14ac:dyDescent="0.25">
      <c r="A4049" t="s">
        <v>3485</v>
      </c>
      <c r="B4049" t="str">
        <f>MID(tbl_lock[[#This Row],[PACE Job Number]],3,3)</f>
        <v>STX</v>
      </c>
      <c r="C4049" t="s">
        <v>17</v>
      </c>
      <c r="D4049" s="1">
        <v>43434</v>
      </c>
    </row>
    <row r="4050" spans="1:4" x14ac:dyDescent="0.25">
      <c r="A4050" t="s">
        <v>200</v>
      </c>
      <c r="B4050" t="str">
        <f>MID(tbl_lock[[#This Row],[PACE Job Number]],3,3)</f>
        <v>STX</v>
      </c>
      <c r="C4050" t="s">
        <v>17</v>
      </c>
      <c r="D4050" s="1">
        <v>43434</v>
      </c>
    </row>
    <row r="4051" spans="1:4" x14ac:dyDescent="0.25">
      <c r="A4051" t="s">
        <v>3230</v>
      </c>
      <c r="B4051" t="str">
        <f>MID(tbl_lock[[#This Row],[PACE Job Number]],3,3)</f>
        <v>STX</v>
      </c>
      <c r="C4051" t="s">
        <v>17</v>
      </c>
      <c r="D4051" s="1">
        <v>43419</v>
      </c>
    </row>
    <row r="4052" spans="1:4" x14ac:dyDescent="0.25">
      <c r="A4052" t="s">
        <v>3955</v>
      </c>
      <c r="B4052" t="str">
        <f>MID(tbl_lock[[#This Row],[PACE Job Number]],3,3)</f>
        <v>STX</v>
      </c>
      <c r="C4052" t="s">
        <v>17</v>
      </c>
      <c r="D4052" s="1">
        <v>43434</v>
      </c>
    </row>
    <row r="4053" spans="1:4" x14ac:dyDescent="0.25">
      <c r="A4053" t="s">
        <v>3204</v>
      </c>
      <c r="B4053" t="str">
        <f>MID(tbl_lock[[#This Row],[PACE Job Number]],3,3)</f>
        <v>STX</v>
      </c>
      <c r="C4053" t="s">
        <v>17</v>
      </c>
      <c r="D4053" s="1">
        <v>43419</v>
      </c>
    </row>
    <row r="4054" spans="1:4" x14ac:dyDescent="0.25">
      <c r="A4054" t="s">
        <v>252</v>
      </c>
      <c r="B4054" t="str">
        <f>MID(tbl_lock[[#This Row],[PACE Job Number]],3,3)</f>
        <v>STX</v>
      </c>
      <c r="C4054" t="s">
        <v>17</v>
      </c>
      <c r="D4054" s="1">
        <v>43406</v>
      </c>
    </row>
    <row r="4055" spans="1:4" x14ac:dyDescent="0.25">
      <c r="A4055" t="s">
        <v>4643</v>
      </c>
      <c r="B4055" t="str">
        <f>MID(tbl_lock[[#This Row],[PACE Job Number]],3,3)</f>
        <v>STX</v>
      </c>
      <c r="C4055" t="s">
        <v>17</v>
      </c>
      <c r="D4055" s="1">
        <v>43434</v>
      </c>
    </row>
    <row r="4056" spans="1:4" x14ac:dyDescent="0.25">
      <c r="A4056" t="s">
        <v>3465</v>
      </c>
      <c r="B4056" t="str">
        <f>MID(tbl_lock[[#This Row],[PACE Job Number]],3,3)</f>
        <v>STX</v>
      </c>
      <c r="C4056" t="s">
        <v>17</v>
      </c>
      <c r="D4056" s="1">
        <v>43434</v>
      </c>
    </row>
    <row r="4057" spans="1:4" x14ac:dyDescent="0.25">
      <c r="A4057" t="s">
        <v>5553</v>
      </c>
      <c r="B4057" t="str">
        <f>MID(tbl_lock[[#This Row],[PACE Job Number]],3,3)</f>
        <v>STX</v>
      </c>
      <c r="C4057" t="s">
        <v>17</v>
      </c>
      <c r="D4057" s="1">
        <v>43419</v>
      </c>
    </row>
    <row r="4058" spans="1:4" x14ac:dyDescent="0.25">
      <c r="A4058" t="s">
        <v>5599</v>
      </c>
      <c r="B4058" t="str">
        <f>MID(tbl_lock[[#This Row],[PACE Job Number]],3,3)</f>
        <v>STX</v>
      </c>
      <c r="C4058" t="s">
        <v>17</v>
      </c>
      <c r="D4058" s="1">
        <v>43434</v>
      </c>
    </row>
    <row r="4059" spans="1:4" x14ac:dyDescent="0.25">
      <c r="A4059" t="s">
        <v>4613</v>
      </c>
      <c r="B4059" t="str">
        <f>MID(tbl_lock[[#This Row],[PACE Job Number]],3,3)</f>
        <v>STX</v>
      </c>
      <c r="C4059" t="s">
        <v>17</v>
      </c>
      <c r="D4059" s="1">
        <v>43434</v>
      </c>
    </row>
    <row r="4060" spans="1:4" x14ac:dyDescent="0.25">
      <c r="A4060" t="s">
        <v>4380</v>
      </c>
      <c r="B4060" t="str">
        <f>MID(tbl_lock[[#This Row],[PACE Job Number]],3,3)</f>
        <v>STX</v>
      </c>
      <c r="C4060" t="s">
        <v>17</v>
      </c>
      <c r="D4060" s="1">
        <v>43419</v>
      </c>
    </row>
    <row r="4061" spans="1:4" x14ac:dyDescent="0.25">
      <c r="A4061" t="s">
        <v>347</v>
      </c>
      <c r="B4061" t="str">
        <f>MID(tbl_lock[[#This Row],[PACE Job Number]],3,3)</f>
        <v>WSH</v>
      </c>
      <c r="C4061" t="s">
        <v>17</v>
      </c>
      <c r="D4061" s="1">
        <v>43405</v>
      </c>
    </row>
    <row r="4062" spans="1:4" x14ac:dyDescent="0.25">
      <c r="A4062" t="s">
        <v>4571</v>
      </c>
      <c r="B4062" t="str">
        <f>MID(tbl_lock[[#This Row],[PACE Job Number]],3,3)</f>
        <v>WSH</v>
      </c>
      <c r="C4062" t="s">
        <v>17</v>
      </c>
      <c r="D4062" s="1">
        <v>43434</v>
      </c>
    </row>
    <row r="4063" spans="1:4" x14ac:dyDescent="0.25">
      <c r="A4063" t="s">
        <v>3983</v>
      </c>
      <c r="B4063" t="str">
        <f>MID(tbl_lock[[#This Row],[PACE Job Number]],3,3)</f>
        <v>NTX</v>
      </c>
      <c r="C4063" t="s">
        <v>17</v>
      </c>
      <c r="D4063" s="1">
        <v>43405</v>
      </c>
    </row>
    <row r="4064" spans="1:4" x14ac:dyDescent="0.25">
      <c r="A4064" t="s">
        <v>3984</v>
      </c>
      <c r="B4064" t="str">
        <f>MID(tbl_lock[[#This Row],[PACE Job Number]],3,3)</f>
        <v>NTX</v>
      </c>
      <c r="C4064" t="s">
        <v>17</v>
      </c>
      <c r="D4064" s="1">
        <v>43408</v>
      </c>
    </row>
    <row r="4065" spans="1:4" x14ac:dyDescent="0.25">
      <c r="A4065" t="s">
        <v>4305</v>
      </c>
      <c r="B4065" t="str">
        <f>MID(tbl_lock[[#This Row],[PACE Job Number]],3,3)</f>
        <v>NTX</v>
      </c>
      <c r="C4065" t="s">
        <v>17</v>
      </c>
      <c r="D4065" s="1">
        <v>43405</v>
      </c>
    </row>
    <row r="4066" spans="1:4" x14ac:dyDescent="0.25">
      <c r="A4066" t="s">
        <v>2481</v>
      </c>
      <c r="B4066" t="str">
        <f>MID(tbl_lock[[#This Row],[PACE Job Number]],3,3)</f>
        <v>NTX</v>
      </c>
      <c r="C4066" t="s">
        <v>17</v>
      </c>
      <c r="D4066" s="1">
        <v>43405</v>
      </c>
    </row>
    <row r="4067" spans="1:4" x14ac:dyDescent="0.25">
      <c r="A4067" t="s">
        <v>4512</v>
      </c>
      <c r="B4067" t="str">
        <f>MID(tbl_lock[[#This Row],[PACE Job Number]],3,3)</f>
        <v>NTX</v>
      </c>
      <c r="C4067" t="s">
        <v>17</v>
      </c>
      <c r="D4067" s="1">
        <v>43405</v>
      </c>
    </row>
    <row r="4068" spans="1:4" x14ac:dyDescent="0.25">
      <c r="A4068" t="s">
        <v>618</v>
      </c>
      <c r="B4068" t="str">
        <f>MID(tbl_lock[[#This Row],[PACE Job Number]],3,3)</f>
        <v>STX</v>
      </c>
      <c r="C4068" t="s">
        <v>17</v>
      </c>
      <c r="D4068" s="1">
        <v>43419</v>
      </c>
    </row>
    <row r="4069" spans="1:4" x14ac:dyDescent="0.25">
      <c r="A4069" t="s">
        <v>4314</v>
      </c>
      <c r="B4069" t="str">
        <f>MID(tbl_lock[[#This Row],[PACE Job Number]],3,3)</f>
        <v>STX</v>
      </c>
      <c r="C4069" t="s">
        <v>17</v>
      </c>
      <c r="D4069" s="1">
        <v>43434</v>
      </c>
    </row>
    <row r="4070" spans="1:4" x14ac:dyDescent="0.25">
      <c r="A4070" t="s">
        <v>2548</v>
      </c>
      <c r="B4070" t="str">
        <f>MID(tbl_lock[[#This Row],[PACE Job Number]],3,3)</f>
        <v>STX</v>
      </c>
      <c r="C4070" t="s">
        <v>17</v>
      </c>
      <c r="D4070" s="1">
        <v>43434</v>
      </c>
    </row>
    <row r="4071" spans="1:4" x14ac:dyDescent="0.25">
      <c r="A4071" t="s">
        <v>4315</v>
      </c>
      <c r="B4071" t="str">
        <f>MID(tbl_lock[[#This Row],[PACE Job Number]],3,3)</f>
        <v>STX</v>
      </c>
      <c r="C4071" t="s">
        <v>17</v>
      </c>
      <c r="D4071" s="1">
        <v>43419</v>
      </c>
    </row>
    <row r="4072" spans="1:4" x14ac:dyDescent="0.25">
      <c r="A4072" t="s">
        <v>3460</v>
      </c>
      <c r="B4072" t="str">
        <f>MID(tbl_lock[[#This Row],[PACE Job Number]],3,3)</f>
        <v>STX</v>
      </c>
      <c r="C4072" t="s">
        <v>17</v>
      </c>
      <c r="D4072" s="1">
        <v>43418</v>
      </c>
    </row>
    <row r="4073" spans="1:4" x14ac:dyDescent="0.25">
      <c r="A4073" t="s">
        <v>580</v>
      </c>
      <c r="B4073" t="str">
        <f>MID(tbl_lock[[#This Row],[PACE Job Number]],3,3)</f>
        <v>STX</v>
      </c>
      <c r="C4073" t="s">
        <v>17</v>
      </c>
      <c r="D4073" s="1">
        <v>43405</v>
      </c>
    </row>
    <row r="4074" spans="1:4" x14ac:dyDescent="0.25">
      <c r="A4074" t="s">
        <v>675</v>
      </c>
      <c r="B4074" t="str">
        <f>MID(tbl_lock[[#This Row],[PACE Job Number]],3,3)</f>
        <v>STX</v>
      </c>
      <c r="C4074" t="s">
        <v>17</v>
      </c>
      <c r="D4074" s="1">
        <v>43434</v>
      </c>
    </row>
    <row r="4075" spans="1:4" x14ac:dyDescent="0.25">
      <c r="A4075" t="s">
        <v>165</v>
      </c>
      <c r="B4075" t="str">
        <f>MID(tbl_lock[[#This Row],[PACE Job Number]],3,3)</f>
        <v>STX</v>
      </c>
      <c r="C4075" t="s">
        <v>17</v>
      </c>
      <c r="D4075" s="1">
        <v>43405</v>
      </c>
    </row>
    <row r="4076" spans="1:4" x14ac:dyDescent="0.25">
      <c r="A4076" t="s">
        <v>5600</v>
      </c>
      <c r="B4076" t="str">
        <f>MID(tbl_lock[[#This Row],[PACE Job Number]],3,3)</f>
        <v>STX</v>
      </c>
      <c r="C4076" t="s">
        <v>17</v>
      </c>
      <c r="D4076" s="1">
        <v>43419</v>
      </c>
    </row>
    <row r="4077" spans="1:4" x14ac:dyDescent="0.25">
      <c r="A4077" t="s">
        <v>4317</v>
      </c>
      <c r="B4077" t="str">
        <f>MID(tbl_lock[[#This Row],[PACE Job Number]],3,3)</f>
        <v>STX</v>
      </c>
      <c r="C4077" t="s">
        <v>17</v>
      </c>
      <c r="D4077" s="1">
        <v>43434</v>
      </c>
    </row>
    <row r="4078" spans="1:4" x14ac:dyDescent="0.25">
      <c r="A4078" t="s">
        <v>4318</v>
      </c>
      <c r="B4078" t="str">
        <f>MID(tbl_lock[[#This Row],[PACE Job Number]],3,3)</f>
        <v>STX</v>
      </c>
      <c r="C4078" t="s">
        <v>17</v>
      </c>
      <c r="D4078" s="1">
        <v>43434</v>
      </c>
    </row>
    <row r="4079" spans="1:4" x14ac:dyDescent="0.25">
      <c r="A4079" t="s">
        <v>640</v>
      </c>
      <c r="B4079" t="str">
        <f>MID(tbl_lock[[#This Row],[PACE Job Number]],3,3)</f>
        <v>STX</v>
      </c>
      <c r="C4079" t="s">
        <v>17</v>
      </c>
      <c r="D4079" s="1">
        <v>43419</v>
      </c>
    </row>
    <row r="4080" spans="1:4" x14ac:dyDescent="0.25">
      <c r="A4080" t="s">
        <v>4030</v>
      </c>
      <c r="B4080" t="str">
        <f>MID(tbl_lock[[#This Row],[PACE Job Number]],3,3)</f>
        <v>STX</v>
      </c>
      <c r="C4080" t="s">
        <v>17</v>
      </c>
      <c r="D4080" s="1">
        <v>43434</v>
      </c>
    </row>
    <row r="4081" spans="1:4" x14ac:dyDescent="0.25">
      <c r="A4081" t="s">
        <v>94</v>
      </c>
      <c r="B4081" t="str">
        <f>MID(tbl_lock[[#This Row],[PACE Job Number]],3,3)</f>
        <v>STX</v>
      </c>
      <c r="C4081" t="s">
        <v>17</v>
      </c>
      <c r="D4081" s="1">
        <v>43434</v>
      </c>
    </row>
    <row r="4082" spans="1:4" x14ac:dyDescent="0.25">
      <c r="A4082" t="s">
        <v>4596</v>
      </c>
      <c r="B4082" t="str">
        <f>MID(tbl_lock[[#This Row],[PACE Job Number]],3,3)</f>
        <v>STX</v>
      </c>
      <c r="C4082" t="s">
        <v>17</v>
      </c>
      <c r="D4082" s="1">
        <v>43406</v>
      </c>
    </row>
    <row r="4083" spans="1:4" x14ac:dyDescent="0.25">
      <c r="A4083" t="s">
        <v>4320</v>
      </c>
      <c r="B4083" t="str">
        <f>MID(tbl_lock[[#This Row],[PACE Job Number]],3,3)</f>
        <v>STX</v>
      </c>
      <c r="C4083" t="s">
        <v>17</v>
      </c>
      <c r="D4083" s="1">
        <v>43419</v>
      </c>
    </row>
    <row r="4084" spans="1:4" x14ac:dyDescent="0.25">
      <c r="A4084" t="s">
        <v>4031</v>
      </c>
      <c r="B4084" t="str">
        <f>MID(tbl_lock[[#This Row],[PACE Job Number]],3,3)</f>
        <v>STX</v>
      </c>
      <c r="C4084" t="s">
        <v>17</v>
      </c>
      <c r="D4084" s="1">
        <v>43434</v>
      </c>
    </row>
    <row r="4085" spans="1:4" x14ac:dyDescent="0.25">
      <c r="A4085" t="s">
        <v>4321</v>
      </c>
      <c r="B4085" t="str">
        <f>MID(tbl_lock[[#This Row],[PACE Job Number]],3,3)</f>
        <v>STX</v>
      </c>
      <c r="C4085" t="s">
        <v>17</v>
      </c>
      <c r="D4085" s="1">
        <v>43419</v>
      </c>
    </row>
    <row r="4086" spans="1:4" x14ac:dyDescent="0.25">
      <c r="A4086" t="s">
        <v>778</v>
      </c>
      <c r="B4086" t="str">
        <f>MID(tbl_lock[[#This Row],[PACE Job Number]],3,3)</f>
        <v>STX</v>
      </c>
      <c r="C4086" t="s">
        <v>17</v>
      </c>
      <c r="D4086" s="1">
        <v>43419</v>
      </c>
    </row>
    <row r="4087" spans="1:4" x14ac:dyDescent="0.25">
      <c r="A4087" t="s">
        <v>189</v>
      </c>
      <c r="B4087" t="str">
        <f>MID(tbl_lock[[#This Row],[PACE Job Number]],3,3)</f>
        <v>WSH</v>
      </c>
      <c r="C4087" t="s">
        <v>17</v>
      </c>
      <c r="D4087" s="1">
        <v>43434</v>
      </c>
    </row>
    <row r="4088" spans="1:4" x14ac:dyDescent="0.25">
      <c r="A4088" t="s">
        <v>4203</v>
      </c>
      <c r="B4088" t="str">
        <f>MID(tbl_lock[[#This Row],[PACE Job Number]],3,3)</f>
        <v>WSH</v>
      </c>
      <c r="C4088" t="s">
        <v>17</v>
      </c>
      <c r="D4088" s="1">
        <v>43434</v>
      </c>
    </row>
    <row r="4089" spans="1:4" x14ac:dyDescent="0.25">
      <c r="A4089" t="s">
        <v>4000</v>
      </c>
      <c r="B4089" t="str">
        <f>MID(tbl_lock[[#This Row],[PACE Job Number]],3,3)</f>
        <v>WSH</v>
      </c>
      <c r="C4089" t="s">
        <v>17</v>
      </c>
      <c r="D4089" s="1">
        <v>43434</v>
      </c>
    </row>
    <row r="4090" spans="1:4" x14ac:dyDescent="0.25">
      <c r="A4090" t="s">
        <v>4207</v>
      </c>
      <c r="B4090" t="str">
        <f>MID(tbl_lock[[#This Row],[PACE Job Number]],3,3)</f>
        <v>WSH</v>
      </c>
      <c r="C4090" t="s">
        <v>17</v>
      </c>
      <c r="D4090" s="1">
        <v>43434</v>
      </c>
    </row>
    <row r="4091" spans="1:4" x14ac:dyDescent="0.25">
      <c r="A4091" t="s">
        <v>4001</v>
      </c>
      <c r="B4091" t="str">
        <f>MID(tbl_lock[[#This Row],[PACE Job Number]],3,3)</f>
        <v>WSH</v>
      </c>
      <c r="C4091" t="s">
        <v>17</v>
      </c>
      <c r="D4091" s="1">
        <v>43434</v>
      </c>
    </row>
    <row r="4092" spans="1:4" x14ac:dyDescent="0.25">
      <c r="A4092" t="s">
        <v>191</v>
      </c>
      <c r="B4092" t="str">
        <f>MID(tbl_lock[[#This Row],[PACE Job Number]],3,3)</f>
        <v>WSH</v>
      </c>
      <c r="C4092" t="s">
        <v>17</v>
      </c>
      <c r="D4092" s="1">
        <v>43413</v>
      </c>
    </row>
    <row r="4093" spans="1:4" x14ac:dyDescent="0.25">
      <c r="A4093" t="s">
        <v>78</v>
      </c>
      <c r="B4093" t="str">
        <f>MID(tbl_lock[[#This Row],[PACE Job Number]],3,3)</f>
        <v>WSH</v>
      </c>
      <c r="C4093" t="s">
        <v>17</v>
      </c>
      <c r="D4093" s="1">
        <v>43434</v>
      </c>
    </row>
    <row r="4094" spans="1:4" x14ac:dyDescent="0.25">
      <c r="A4094" t="s">
        <v>3429</v>
      </c>
      <c r="B4094" t="str">
        <f>MID(tbl_lock[[#This Row],[PACE Job Number]],3,3)</f>
        <v>WSH</v>
      </c>
      <c r="C4094" t="s">
        <v>17</v>
      </c>
      <c r="D4094" s="1">
        <v>43434</v>
      </c>
    </row>
    <row r="4095" spans="1:4" x14ac:dyDescent="0.25">
      <c r="A4095" t="s">
        <v>3904</v>
      </c>
      <c r="B4095" t="str">
        <f>MID(tbl_lock[[#This Row],[PACE Job Number]],3,3)</f>
        <v>WSH</v>
      </c>
      <c r="C4095" t="s">
        <v>17</v>
      </c>
      <c r="D4095" s="1">
        <v>43434</v>
      </c>
    </row>
    <row r="4096" spans="1:4" x14ac:dyDescent="0.25">
      <c r="A4096" t="s">
        <v>290</v>
      </c>
      <c r="B4096" t="str">
        <f>MID(tbl_lock[[#This Row],[PACE Job Number]],3,3)</f>
        <v>WSH</v>
      </c>
      <c r="C4096" t="s">
        <v>17</v>
      </c>
      <c r="D4096" s="1">
        <v>43434</v>
      </c>
    </row>
    <row r="4097" spans="1:4" x14ac:dyDescent="0.25">
      <c r="A4097" t="s">
        <v>197</v>
      </c>
      <c r="B4097" t="str">
        <f>MID(tbl_lock[[#This Row],[PACE Job Number]],3,3)</f>
        <v>WSH</v>
      </c>
      <c r="C4097" t="s">
        <v>17</v>
      </c>
      <c r="D4097" s="1">
        <v>43434</v>
      </c>
    </row>
    <row r="4098" spans="1:4" x14ac:dyDescent="0.25">
      <c r="A4098" t="s">
        <v>135</v>
      </c>
      <c r="B4098" t="str">
        <f>MID(tbl_lock[[#This Row],[PACE Job Number]],3,3)</f>
        <v>WSH</v>
      </c>
      <c r="C4098" t="s">
        <v>17</v>
      </c>
      <c r="D4098" s="1">
        <v>43434</v>
      </c>
    </row>
    <row r="4099" spans="1:4" x14ac:dyDescent="0.25">
      <c r="A4099" t="s">
        <v>3817</v>
      </c>
      <c r="B4099" t="str">
        <f>MID(tbl_lock[[#This Row],[PACE Job Number]],3,3)</f>
        <v>WSH</v>
      </c>
      <c r="C4099" t="s">
        <v>17</v>
      </c>
      <c r="D4099" s="1">
        <v>43434</v>
      </c>
    </row>
    <row r="4100" spans="1:4" x14ac:dyDescent="0.25">
      <c r="A4100" t="s">
        <v>4002</v>
      </c>
      <c r="B4100" t="str">
        <f>MID(tbl_lock[[#This Row],[PACE Job Number]],3,3)</f>
        <v>WSH</v>
      </c>
      <c r="C4100" t="s">
        <v>17</v>
      </c>
      <c r="D4100" s="1">
        <v>43434</v>
      </c>
    </row>
    <row r="4101" spans="1:4" x14ac:dyDescent="0.25">
      <c r="A4101" t="s">
        <v>113</v>
      </c>
      <c r="B4101" t="str">
        <f>MID(tbl_lock[[#This Row],[PACE Job Number]],3,3)</f>
        <v>WSH</v>
      </c>
      <c r="C4101" t="s">
        <v>17</v>
      </c>
      <c r="D4101" s="1">
        <v>43434</v>
      </c>
    </row>
    <row r="4102" spans="1:4" x14ac:dyDescent="0.25">
      <c r="A4102" t="s">
        <v>4641</v>
      </c>
      <c r="B4102" t="str">
        <f>MID(tbl_lock[[#This Row],[PACE Job Number]],3,3)</f>
        <v>WSH</v>
      </c>
      <c r="C4102" t="s">
        <v>17</v>
      </c>
      <c r="D4102" s="1">
        <v>43413</v>
      </c>
    </row>
    <row r="4103" spans="1:4" x14ac:dyDescent="0.25">
      <c r="A4103" t="s">
        <v>3532</v>
      </c>
      <c r="B4103" t="str">
        <f>MID(tbl_lock[[#This Row],[PACE Job Number]],3,3)</f>
        <v>WSH</v>
      </c>
      <c r="C4103" t="s">
        <v>17</v>
      </c>
      <c r="D4103" s="1">
        <v>43413</v>
      </c>
    </row>
    <row r="4104" spans="1:4" x14ac:dyDescent="0.25">
      <c r="A4104" t="s">
        <v>401</v>
      </c>
      <c r="B4104" t="str">
        <f>MID(tbl_lock[[#This Row],[PACE Job Number]],3,3)</f>
        <v>WSH</v>
      </c>
      <c r="C4104" t="s">
        <v>17</v>
      </c>
      <c r="D4104" s="1">
        <v>43434</v>
      </c>
    </row>
    <row r="4105" spans="1:4" x14ac:dyDescent="0.25">
      <c r="A4105" t="s">
        <v>42</v>
      </c>
      <c r="B4105" t="str">
        <f>MID(tbl_lock[[#This Row],[PACE Job Number]],3,3)</f>
        <v>WSH</v>
      </c>
      <c r="C4105" t="s">
        <v>17</v>
      </c>
      <c r="D4105" s="1">
        <v>43434</v>
      </c>
    </row>
    <row r="4106" spans="1:4" x14ac:dyDescent="0.25">
      <c r="A4106" t="s">
        <v>5601</v>
      </c>
      <c r="B4106" t="str">
        <f>MID(tbl_lock[[#This Row],[PACE Job Number]],3,3)</f>
        <v>WSH</v>
      </c>
      <c r="C4106" t="s">
        <v>17</v>
      </c>
      <c r="D4106" s="1">
        <v>43406</v>
      </c>
    </row>
    <row r="4107" spans="1:4" x14ac:dyDescent="0.25">
      <c r="A4107" t="s">
        <v>109</v>
      </c>
      <c r="B4107" t="str">
        <f>MID(tbl_lock[[#This Row],[PACE Job Number]],3,3)</f>
        <v>WSH</v>
      </c>
      <c r="C4107" t="s">
        <v>17</v>
      </c>
      <c r="D4107" s="1">
        <v>43420</v>
      </c>
    </row>
    <row r="4108" spans="1:4" x14ac:dyDescent="0.25">
      <c r="A4108" t="s">
        <v>3909</v>
      </c>
      <c r="B4108" t="str">
        <f>MID(tbl_lock[[#This Row],[PACE Job Number]],3,3)</f>
        <v>WSH</v>
      </c>
      <c r="C4108" t="s">
        <v>17</v>
      </c>
      <c r="D4108" s="1">
        <v>43434</v>
      </c>
    </row>
    <row r="4109" spans="1:4" x14ac:dyDescent="0.25">
      <c r="A4109" t="s">
        <v>4637</v>
      </c>
      <c r="B4109" t="str">
        <f>MID(tbl_lock[[#This Row],[PACE Job Number]],3,3)</f>
        <v>STX</v>
      </c>
      <c r="C4109" t="s">
        <v>17</v>
      </c>
      <c r="D4109" s="1">
        <v>43406</v>
      </c>
    </row>
    <row r="4110" spans="1:4" x14ac:dyDescent="0.25">
      <c r="A4110" t="s">
        <v>3379</v>
      </c>
      <c r="B4110" t="str">
        <f>MID(tbl_lock[[#This Row],[PACE Job Number]],3,3)</f>
        <v>STX</v>
      </c>
      <c r="C4110" t="s">
        <v>17</v>
      </c>
      <c r="D4110" s="1">
        <v>43419</v>
      </c>
    </row>
    <row r="4111" spans="1:4" x14ac:dyDescent="0.25">
      <c r="A4111" t="s">
        <v>175</v>
      </c>
      <c r="B4111" t="str">
        <f>MID(tbl_lock[[#This Row],[PACE Job Number]],3,3)</f>
        <v>STX</v>
      </c>
      <c r="C4111" t="s">
        <v>17</v>
      </c>
      <c r="D4111" s="1">
        <v>43434</v>
      </c>
    </row>
    <row r="4112" spans="1:4" x14ac:dyDescent="0.25">
      <c r="A4112" t="s">
        <v>3274</v>
      </c>
      <c r="B4112" t="str">
        <f>MID(tbl_lock[[#This Row],[PACE Job Number]],3,3)</f>
        <v>STX</v>
      </c>
      <c r="C4112" t="s">
        <v>17</v>
      </c>
      <c r="D4112" s="1">
        <v>43405</v>
      </c>
    </row>
    <row r="4113" spans="1:4" x14ac:dyDescent="0.25">
      <c r="A4113" t="s">
        <v>5555</v>
      </c>
      <c r="B4113" t="str">
        <f>MID(tbl_lock[[#This Row],[PACE Job Number]],3,3)</f>
        <v>STX</v>
      </c>
      <c r="C4113" t="s">
        <v>17</v>
      </c>
      <c r="D4113" s="1">
        <v>43419</v>
      </c>
    </row>
    <row r="4114" spans="1:4" x14ac:dyDescent="0.25">
      <c r="A4114" t="s">
        <v>3341</v>
      </c>
      <c r="B4114" t="str">
        <f>MID(tbl_lock[[#This Row],[PACE Job Number]],3,3)</f>
        <v>STX</v>
      </c>
      <c r="C4114" t="s">
        <v>17</v>
      </c>
      <c r="D4114" s="1">
        <v>43419</v>
      </c>
    </row>
    <row r="4115" spans="1:4" x14ac:dyDescent="0.25">
      <c r="A4115" t="s">
        <v>3264</v>
      </c>
      <c r="B4115" t="str">
        <f>MID(tbl_lock[[#This Row],[PACE Job Number]],3,3)</f>
        <v>STX</v>
      </c>
      <c r="C4115" t="s">
        <v>17</v>
      </c>
      <c r="D4115" s="1">
        <v>43405</v>
      </c>
    </row>
    <row r="4116" spans="1:4" x14ac:dyDescent="0.25">
      <c r="A4116" t="s">
        <v>5556</v>
      </c>
      <c r="B4116" t="str">
        <f>MID(tbl_lock[[#This Row],[PACE Job Number]],3,3)</f>
        <v>STX</v>
      </c>
      <c r="C4116" t="s">
        <v>17</v>
      </c>
      <c r="D4116" s="1">
        <v>43419</v>
      </c>
    </row>
    <row r="4117" spans="1:4" x14ac:dyDescent="0.25">
      <c r="A4117" t="s">
        <v>5557</v>
      </c>
      <c r="B4117" t="str">
        <f>MID(tbl_lock[[#This Row],[PACE Job Number]],3,3)</f>
        <v>STX</v>
      </c>
      <c r="C4117" t="s">
        <v>17</v>
      </c>
      <c r="D4117" s="1">
        <v>43419</v>
      </c>
    </row>
    <row r="4118" spans="1:4" x14ac:dyDescent="0.25">
      <c r="A4118" t="s">
        <v>543</v>
      </c>
      <c r="B4118" t="str">
        <f>MID(tbl_lock[[#This Row],[PACE Job Number]],3,3)</f>
        <v>STX</v>
      </c>
      <c r="C4118" t="s">
        <v>17</v>
      </c>
      <c r="D4118" s="1">
        <v>43434</v>
      </c>
    </row>
    <row r="4119" spans="1:4" x14ac:dyDescent="0.25">
      <c r="A4119" t="s">
        <v>4600</v>
      </c>
      <c r="B4119" t="str">
        <f>MID(tbl_lock[[#This Row],[PACE Job Number]],3,3)</f>
        <v>STX</v>
      </c>
      <c r="C4119" t="s">
        <v>17</v>
      </c>
      <c r="D4119" s="1">
        <v>43418</v>
      </c>
    </row>
    <row r="4120" spans="1:4" x14ac:dyDescent="0.25">
      <c r="A4120" t="s">
        <v>5602</v>
      </c>
      <c r="B4120" t="str">
        <f>MID(tbl_lock[[#This Row],[PACE Job Number]],3,3)</f>
        <v>STX</v>
      </c>
      <c r="C4120" t="s">
        <v>17</v>
      </c>
      <c r="D4120" s="1">
        <v>43410</v>
      </c>
    </row>
    <row r="4121" spans="1:4" x14ac:dyDescent="0.25">
      <c r="A4121" t="s">
        <v>4328</v>
      </c>
      <c r="B4121" t="str">
        <f>MID(tbl_lock[[#This Row],[PACE Job Number]],3,3)</f>
        <v>STX</v>
      </c>
      <c r="C4121" t="s">
        <v>17</v>
      </c>
      <c r="D4121" s="1">
        <v>43434</v>
      </c>
    </row>
    <row r="4122" spans="1:4" x14ac:dyDescent="0.25">
      <c r="A4122" t="s">
        <v>2568</v>
      </c>
      <c r="B4122" t="str">
        <f>MID(tbl_lock[[#This Row],[PACE Job Number]],3,3)</f>
        <v>STX</v>
      </c>
      <c r="C4122" t="s">
        <v>17</v>
      </c>
      <c r="D4122" s="1">
        <v>43434</v>
      </c>
    </row>
    <row r="4123" spans="1:4" x14ac:dyDescent="0.25">
      <c r="A4123" t="s">
        <v>292</v>
      </c>
      <c r="B4123" t="str">
        <f>MID(tbl_lock[[#This Row],[PACE Job Number]],3,3)</f>
        <v>STX</v>
      </c>
      <c r="C4123" t="s">
        <v>17</v>
      </c>
      <c r="D4123" s="1">
        <v>43419</v>
      </c>
    </row>
    <row r="4124" spans="1:4" x14ac:dyDescent="0.25">
      <c r="A4124" t="s">
        <v>390</v>
      </c>
      <c r="B4124" t="str">
        <f>MID(tbl_lock[[#This Row],[PACE Job Number]],3,3)</f>
        <v>STX</v>
      </c>
      <c r="C4124" t="s">
        <v>17</v>
      </c>
      <c r="D4124" s="1">
        <v>43419</v>
      </c>
    </row>
    <row r="4125" spans="1:4" x14ac:dyDescent="0.25">
      <c r="A4125" t="s">
        <v>587</v>
      </c>
      <c r="B4125" t="str">
        <f>MID(tbl_lock[[#This Row],[PACE Job Number]],3,3)</f>
        <v>STX</v>
      </c>
      <c r="C4125" t="s">
        <v>17</v>
      </c>
      <c r="D4125" s="1">
        <v>43405</v>
      </c>
    </row>
    <row r="4126" spans="1:4" x14ac:dyDescent="0.25">
      <c r="A4126" t="s">
        <v>4518</v>
      </c>
      <c r="B4126" t="str">
        <f>MID(tbl_lock[[#This Row],[PACE Job Number]],3,3)</f>
        <v>STX</v>
      </c>
      <c r="C4126" t="s">
        <v>17</v>
      </c>
      <c r="D4126" s="1">
        <v>43419</v>
      </c>
    </row>
    <row r="4127" spans="1:4" x14ac:dyDescent="0.25">
      <c r="A4127" t="s">
        <v>2584</v>
      </c>
      <c r="B4127" t="str">
        <f>MID(tbl_lock[[#This Row],[PACE Job Number]],3,3)</f>
        <v>STX</v>
      </c>
      <c r="C4127" t="s">
        <v>17</v>
      </c>
      <c r="D4127" s="1">
        <v>43405</v>
      </c>
    </row>
    <row r="4128" spans="1:4" x14ac:dyDescent="0.25">
      <c r="A4128" t="s">
        <v>2591</v>
      </c>
      <c r="B4128" t="str">
        <f>MID(tbl_lock[[#This Row],[PACE Job Number]],3,3)</f>
        <v>STX</v>
      </c>
      <c r="C4128" t="s">
        <v>17</v>
      </c>
      <c r="D4128" s="1">
        <v>43405</v>
      </c>
    </row>
    <row r="4129" spans="1:4" x14ac:dyDescent="0.25">
      <c r="A4129" t="s">
        <v>3279</v>
      </c>
      <c r="B4129" t="str">
        <f>MID(tbl_lock[[#This Row],[PACE Job Number]],3,3)</f>
        <v>STX</v>
      </c>
      <c r="C4129" t="s">
        <v>17</v>
      </c>
      <c r="D4129" s="1">
        <v>43434</v>
      </c>
    </row>
    <row r="4130" spans="1:4" x14ac:dyDescent="0.25">
      <c r="A4130" t="s">
        <v>2581</v>
      </c>
      <c r="B4130" t="str">
        <f>MID(tbl_lock[[#This Row],[PACE Job Number]],3,3)</f>
        <v>STX</v>
      </c>
      <c r="C4130" t="s">
        <v>17</v>
      </c>
      <c r="D4130" s="1">
        <v>43434</v>
      </c>
    </row>
    <row r="4131" spans="1:4" x14ac:dyDescent="0.25">
      <c r="A4131" t="s">
        <v>4334</v>
      </c>
      <c r="B4131" t="str">
        <f>MID(tbl_lock[[#This Row],[PACE Job Number]],3,3)</f>
        <v>STX</v>
      </c>
      <c r="C4131" t="s">
        <v>17</v>
      </c>
      <c r="D4131" s="1">
        <v>43419</v>
      </c>
    </row>
    <row r="4132" spans="1:4" x14ac:dyDescent="0.25">
      <c r="A4132" t="s">
        <v>1724</v>
      </c>
      <c r="B4132" t="str">
        <f>MID(tbl_lock[[#This Row],[PACE Job Number]],3,3)</f>
        <v>NTX</v>
      </c>
      <c r="C4132" t="s">
        <v>17</v>
      </c>
      <c r="D4132" s="1">
        <v>43408</v>
      </c>
    </row>
    <row r="4133" spans="1:4" x14ac:dyDescent="0.25">
      <c r="A4133" t="s">
        <v>4606</v>
      </c>
      <c r="B4133" t="str">
        <f>MID(tbl_lock[[#This Row],[PACE Job Number]],3,3)</f>
        <v>ANM</v>
      </c>
      <c r="C4133" t="s">
        <v>17</v>
      </c>
      <c r="D4133" s="1">
        <v>43419</v>
      </c>
    </row>
    <row r="4134" spans="1:4" x14ac:dyDescent="0.25">
      <c r="A4134" t="s">
        <v>3369</v>
      </c>
      <c r="B4134" t="str">
        <f>MID(tbl_lock[[#This Row],[PACE Job Number]],3,3)</f>
        <v>NTX</v>
      </c>
      <c r="C4134" t="s">
        <v>17</v>
      </c>
      <c r="D4134" s="1">
        <v>43408</v>
      </c>
    </row>
    <row r="4135" spans="1:4" x14ac:dyDescent="0.25">
      <c r="A4135" t="s">
        <v>4539</v>
      </c>
      <c r="B4135" t="str">
        <f>MID(tbl_lock[[#This Row],[PACE Job Number]],3,3)</f>
        <v>STX</v>
      </c>
      <c r="C4135" t="s">
        <v>17</v>
      </c>
      <c r="D4135" s="1">
        <v>43419</v>
      </c>
    </row>
    <row r="4136" spans="1:4" x14ac:dyDescent="0.25">
      <c r="A4136" t="s">
        <v>2513</v>
      </c>
      <c r="B4136" t="str">
        <f>MID(tbl_lock[[#This Row],[PACE Job Number]],3,3)</f>
        <v>STX</v>
      </c>
      <c r="C4136" t="s">
        <v>17</v>
      </c>
      <c r="D4136" s="1">
        <v>43419</v>
      </c>
    </row>
    <row r="4137" spans="1:4" x14ac:dyDescent="0.25">
      <c r="A4137" t="s">
        <v>2516</v>
      </c>
      <c r="B4137" t="str">
        <f>MID(tbl_lock[[#This Row],[PACE Job Number]],3,3)</f>
        <v>STX</v>
      </c>
      <c r="C4137" t="s">
        <v>17</v>
      </c>
      <c r="D4137" s="1">
        <v>43419</v>
      </c>
    </row>
    <row r="4138" spans="1:4" x14ac:dyDescent="0.25">
      <c r="A4138" t="s">
        <v>211</v>
      </c>
      <c r="B4138" t="str">
        <f>MID(tbl_lock[[#This Row],[PACE Job Number]],3,3)</f>
        <v>STX</v>
      </c>
      <c r="C4138" t="s">
        <v>17</v>
      </c>
      <c r="D4138" s="1">
        <v>43419</v>
      </c>
    </row>
    <row r="4139" spans="1:4" x14ac:dyDescent="0.25">
      <c r="A4139" t="s">
        <v>257</v>
      </c>
      <c r="B4139" t="str">
        <f>MID(tbl_lock[[#This Row],[PACE Job Number]],3,3)</f>
        <v>STX</v>
      </c>
      <c r="C4139" t="s">
        <v>17</v>
      </c>
      <c r="D4139" s="1">
        <v>43434</v>
      </c>
    </row>
    <row r="4140" spans="1:4" x14ac:dyDescent="0.25">
      <c r="A4140" t="s">
        <v>203</v>
      </c>
      <c r="B4140" t="str">
        <f>MID(tbl_lock[[#This Row],[PACE Job Number]],3,3)</f>
        <v>STX</v>
      </c>
      <c r="C4140" t="s">
        <v>17</v>
      </c>
      <c r="D4140" s="1">
        <v>43434</v>
      </c>
    </row>
    <row r="4141" spans="1:4" x14ac:dyDescent="0.25">
      <c r="A4141" t="s">
        <v>4614</v>
      </c>
      <c r="B4141" t="str">
        <f>MID(tbl_lock[[#This Row],[PACE Job Number]],3,3)</f>
        <v>STX</v>
      </c>
      <c r="C4141" t="s">
        <v>17</v>
      </c>
      <c r="D4141" s="1">
        <v>43418</v>
      </c>
    </row>
    <row r="4142" spans="1:4" x14ac:dyDescent="0.25">
      <c r="A4142" t="s">
        <v>266</v>
      </c>
      <c r="B4142" t="str">
        <f>MID(tbl_lock[[#This Row],[PACE Job Number]],3,3)</f>
        <v>STX</v>
      </c>
      <c r="C4142" t="s">
        <v>17</v>
      </c>
      <c r="D4142" s="1">
        <v>43418</v>
      </c>
    </row>
    <row r="4143" spans="1:4" x14ac:dyDescent="0.25">
      <c r="A4143" t="s">
        <v>540</v>
      </c>
      <c r="B4143" t="str">
        <f>MID(tbl_lock[[#This Row],[PACE Job Number]],3,3)</f>
        <v>STX</v>
      </c>
      <c r="C4143" t="s">
        <v>17</v>
      </c>
      <c r="D4143" s="1">
        <v>43434</v>
      </c>
    </row>
    <row r="4144" spans="1:4" x14ac:dyDescent="0.25">
      <c r="A4144" t="s">
        <v>3448</v>
      </c>
      <c r="B4144" t="str">
        <f>MID(tbl_lock[[#This Row],[PACE Job Number]],3,3)</f>
        <v>STX</v>
      </c>
      <c r="C4144" t="s">
        <v>17</v>
      </c>
      <c r="D4144" s="1">
        <v>43419</v>
      </c>
    </row>
    <row r="4145" spans="1:4" x14ac:dyDescent="0.25">
      <c r="A4145" t="s">
        <v>3407</v>
      </c>
      <c r="B4145" t="str">
        <f>MID(tbl_lock[[#This Row],[PACE Job Number]],3,3)</f>
        <v>STX</v>
      </c>
      <c r="C4145" t="s">
        <v>17</v>
      </c>
      <c r="D4145" s="1">
        <v>43434</v>
      </c>
    </row>
    <row r="4146" spans="1:4" x14ac:dyDescent="0.25">
      <c r="A4146" t="s">
        <v>726</v>
      </c>
      <c r="B4146" t="str">
        <f>MID(tbl_lock[[#This Row],[PACE Job Number]],3,3)</f>
        <v>STX</v>
      </c>
      <c r="C4146" t="s">
        <v>17</v>
      </c>
      <c r="D4146" s="1">
        <v>43434</v>
      </c>
    </row>
    <row r="4147" spans="1:4" x14ac:dyDescent="0.25">
      <c r="A4147" t="s">
        <v>517</v>
      </c>
      <c r="B4147" t="str">
        <f>MID(tbl_lock[[#This Row],[PACE Job Number]],3,3)</f>
        <v>STX</v>
      </c>
      <c r="C4147" t="s">
        <v>17</v>
      </c>
      <c r="D4147" s="1">
        <v>43434</v>
      </c>
    </row>
    <row r="4148" spans="1:4" x14ac:dyDescent="0.25">
      <c r="A4148" t="s">
        <v>4617</v>
      </c>
      <c r="B4148" t="str">
        <f>MID(tbl_lock[[#This Row],[PACE Job Number]],3,3)</f>
        <v>STX</v>
      </c>
      <c r="C4148" t="s">
        <v>17</v>
      </c>
      <c r="D4148" s="1">
        <v>43418</v>
      </c>
    </row>
    <row r="4149" spans="1:4" x14ac:dyDescent="0.25">
      <c r="A4149" t="s">
        <v>4618</v>
      </c>
      <c r="B4149" t="str">
        <f>MID(tbl_lock[[#This Row],[PACE Job Number]],3,3)</f>
        <v>STX</v>
      </c>
      <c r="C4149" t="s">
        <v>17</v>
      </c>
      <c r="D4149" s="1">
        <v>43418</v>
      </c>
    </row>
    <row r="4150" spans="1:4" x14ac:dyDescent="0.25">
      <c r="A4150" t="s">
        <v>4039</v>
      </c>
      <c r="B4150" t="str">
        <f>MID(tbl_lock[[#This Row],[PACE Job Number]],3,3)</f>
        <v>STX</v>
      </c>
      <c r="C4150" t="s">
        <v>17</v>
      </c>
      <c r="D4150" s="1">
        <v>43419</v>
      </c>
    </row>
    <row r="4151" spans="1:4" x14ac:dyDescent="0.25">
      <c r="A4151" t="s">
        <v>284</v>
      </c>
      <c r="B4151" t="str">
        <f>MID(tbl_lock[[#This Row],[PACE Job Number]],3,3)</f>
        <v>STX</v>
      </c>
      <c r="C4151" t="s">
        <v>17</v>
      </c>
      <c r="D4151" s="1">
        <v>43434</v>
      </c>
    </row>
    <row r="4152" spans="1:4" x14ac:dyDescent="0.25">
      <c r="A4152" t="s">
        <v>3208</v>
      </c>
      <c r="B4152" t="str">
        <f>MID(tbl_lock[[#This Row],[PACE Job Number]],3,3)</f>
        <v>STX</v>
      </c>
      <c r="C4152" t="s">
        <v>17</v>
      </c>
      <c r="D4152" s="1">
        <v>43419</v>
      </c>
    </row>
    <row r="4153" spans="1:4" x14ac:dyDescent="0.25">
      <c r="A4153" t="s">
        <v>3936</v>
      </c>
      <c r="B4153" t="str">
        <f>MID(tbl_lock[[#This Row],[PACE Job Number]],3,3)</f>
        <v>STX</v>
      </c>
      <c r="C4153" t="s">
        <v>17</v>
      </c>
      <c r="D4153" s="1">
        <v>43434</v>
      </c>
    </row>
    <row r="4154" spans="1:4" x14ac:dyDescent="0.25">
      <c r="A4154" t="s">
        <v>729</v>
      </c>
      <c r="B4154" t="str">
        <f>MID(tbl_lock[[#This Row],[PACE Job Number]],3,3)</f>
        <v>STX</v>
      </c>
      <c r="C4154" t="s">
        <v>17</v>
      </c>
      <c r="D4154" s="1">
        <v>43419</v>
      </c>
    </row>
    <row r="4155" spans="1:4" x14ac:dyDescent="0.25">
      <c r="A4155" t="s">
        <v>4619</v>
      </c>
      <c r="B4155" t="str">
        <f>MID(tbl_lock[[#This Row],[PACE Job Number]],3,3)</f>
        <v>STX</v>
      </c>
      <c r="C4155" t="s">
        <v>17</v>
      </c>
      <c r="D4155" s="1">
        <v>43418</v>
      </c>
    </row>
    <row r="4156" spans="1:4" x14ac:dyDescent="0.25">
      <c r="A4156" t="s">
        <v>3938</v>
      </c>
      <c r="B4156" t="str">
        <f>MID(tbl_lock[[#This Row],[PACE Job Number]],3,3)</f>
        <v>STX</v>
      </c>
      <c r="C4156" t="s">
        <v>17</v>
      </c>
      <c r="D4156" s="1">
        <v>43434</v>
      </c>
    </row>
    <row r="4157" spans="1:4" x14ac:dyDescent="0.25">
      <c r="A4157" t="s">
        <v>4040</v>
      </c>
      <c r="B4157" t="str">
        <f>MID(tbl_lock[[#This Row],[PACE Job Number]],3,3)</f>
        <v>STX</v>
      </c>
      <c r="C4157" t="s">
        <v>17</v>
      </c>
      <c r="D4157" s="1">
        <v>43434</v>
      </c>
    </row>
    <row r="4158" spans="1:4" x14ac:dyDescent="0.25">
      <c r="A4158" t="s">
        <v>4391</v>
      </c>
      <c r="B4158" t="str">
        <f>MID(tbl_lock[[#This Row],[PACE Job Number]],3,3)</f>
        <v>STX</v>
      </c>
      <c r="C4158" t="s">
        <v>17</v>
      </c>
      <c r="D4158" s="1">
        <v>43419</v>
      </c>
    </row>
    <row r="4159" spans="1:4" x14ac:dyDescent="0.25">
      <c r="A4159" t="s">
        <v>2685</v>
      </c>
      <c r="B4159" t="str">
        <f>MID(tbl_lock[[#This Row],[PACE Job Number]],3,3)</f>
        <v>STX</v>
      </c>
      <c r="C4159" t="s">
        <v>17</v>
      </c>
      <c r="D4159" s="1">
        <v>43405</v>
      </c>
    </row>
    <row r="4160" spans="1:4" x14ac:dyDescent="0.25">
      <c r="A4160" t="s">
        <v>4646</v>
      </c>
      <c r="B4160" t="str">
        <f>MID(tbl_lock[[#This Row],[PACE Job Number]],3,3)</f>
        <v>STX</v>
      </c>
      <c r="C4160" t="s">
        <v>17</v>
      </c>
      <c r="D4160" s="1">
        <v>43434</v>
      </c>
    </row>
    <row r="4161" spans="1:4" x14ac:dyDescent="0.25">
      <c r="A4161" t="s">
        <v>4607</v>
      </c>
      <c r="B4161" t="str">
        <f>MID(tbl_lock[[#This Row],[PACE Job Number]],3,3)</f>
        <v>ANM</v>
      </c>
      <c r="C4161" t="s">
        <v>17</v>
      </c>
      <c r="D4161" s="1">
        <v>43419</v>
      </c>
    </row>
    <row r="4162" spans="1:4" x14ac:dyDescent="0.25">
      <c r="A4162" t="s">
        <v>3945</v>
      </c>
      <c r="B4162" t="str">
        <f>MID(tbl_lock[[#This Row],[PACE Job Number]],3,3)</f>
        <v>NTX</v>
      </c>
      <c r="C4162" t="s">
        <v>17</v>
      </c>
      <c r="D4162" s="1">
        <v>43408</v>
      </c>
    </row>
    <row r="4163" spans="1:4" x14ac:dyDescent="0.25">
      <c r="A4163" t="s">
        <v>5603</v>
      </c>
      <c r="B4163" t="str">
        <f>MID(tbl_lock[[#This Row],[PACE Job Number]],3,3)</f>
        <v>STX</v>
      </c>
      <c r="C4163" t="s">
        <v>17</v>
      </c>
      <c r="D4163" s="1">
        <v>43405</v>
      </c>
    </row>
    <row r="4164" spans="1:4" x14ac:dyDescent="0.25">
      <c r="A4164" t="s">
        <v>4392</v>
      </c>
      <c r="B4164" t="str">
        <f>MID(tbl_lock[[#This Row],[PACE Job Number]],3,3)</f>
        <v>STX</v>
      </c>
      <c r="C4164" t="s">
        <v>17</v>
      </c>
      <c r="D4164" s="1">
        <v>43419</v>
      </c>
    </row>
    <row r="4165" spans="1:4" x14ac:dyDescent="0.25">
      <c r="A4165" t="s">
        <v>4393</v>
      </c>
      <c r="B4165" t="str">
        <f>MID(tbl_lock[[#This Row],[PACE Job Number]],3,3)</f>
        <v>STX</v>
      </c>
      <c r="C4165" t="s">
        <v>17</v>
      </c>
      <c r="D4165" s="1">
        <v>43419</v>
      </c>
    </row>
    <row r="4166" spans="1:4" x14ac:dyDescent="0.25">
      <c r="A4166" t="s">
        <v>656</v>
      </c>
      <c r="B4166" t="str">
        <f>MID(tbl_lock[[#This Row],[PACE Job Number]],3,3)</f>
        <v>STX</v>
      </c>
      <c r="C4166" t="s">
        <v>17</v>
      </c>
      <c r="D4166" s="1">
        <v>43419</v>
      </c>
    </row>
    <row r="4167" spans="1:4" x14ac:dyDescent="0.25">
      <c r="A4167" t="s">
        <v>5604</v>
      </c>
      <c r="B4167" t="str">
        <f>MID(tbl_lock[[#This Row],[PACE Job Number]],3,3)</f>
        <v>STX</v>
      </c>
      <c r="C4167" t="s">
        <v>17</v>
      </c>
      <c r="D4167" s="1">
        <v>43434</v>
      </c>
    </row>
    <row r="4168" spans="1:4" x14ac:dyDescent="0.25">
      <c r="A4168" t="s">
        <v>4394</v>
      </c>
      <c r="B4168" t="str">
        <f>MID(tbl_lock[[#This Row],[PACE Job Number]],3,3)</f>
        <v>STX</v>
      </c>
      <c r="C4168" t="s">
        <v>17</v>
      </c>
      <c r="D4168" s="1">
        <v>43419</v>
      </c>
    </row>
    <row r="4169" spans="1:4" x14ac:dyDescent="0.25">
      <c r="A4169" t="s">
        <v>514</v>
      </c>
      <c r="B4169" t="str">
        <f>MID(tbl_lock[[#This Row],[PACE Job Number]],3,3)</f>
        <v>STX</v>
      </c>
      <c r="C4169" t="s">
        <v>17</v>
      </c>
      <c r="D4169" s="1">
        <v>43419</v>
      </c>
    </row>
    <row r="4170" spans="1:4" x14ac:dyDescent="0.25">
      <c r="A4170" t="s">
        <v>5560</v>
      </c>
      <c r="B4170" t="str">
        <f>MID(tbl_lock[[#This Row],[PACE Job Number]],3,3)</f>
        <v>STX</v>
      </c>
      <c r="C4170" t="s">
        <v>17</v>
      </c>
      <c r="D4170" s="1">
        <v>43434</v>
      </c>
    </row>
    <row r="4171" spans="1:4" x14ac:dyDescent="0.25">
      <c r="A4171" t="s">
        <v>5561</v>
      </c>
      <c r="B4171" t="str">
        <f>MID(tbl_lock[[#This Row],[PACE Job Number]],3,3)</f>
        <v>STX</v>
      </c>
      <c r="C4171" t="s">
        <v>17</v>
      </c>
      <c r="D4171" s="1">
        <v>43419</v>
      </c>
    </row>
    <row r="4172" spans="1:4" x14ac:dyDescent="0.25">
      <c r="A4172" t="s">
        <v>4395</v>
      </c>
      <c r="B4172" t="str">
        <f>MID(tbl_lock[[#This Row],[PACE Job Number]],3,3)</f>
        <v>STX</v>
      </c>
      <c r="C4172" t="s">
        <v>17</v>
      </c>
      <c r="D4172" s="1">
        <v>43419</v>
      </c>
    </row>
    <row r="4173" spans="1:4" x14ac:dyDescent="0.25">
      <c r="A4173" t="s">
        <v>3414</v>
      </c>
      <c r="B4173" t="str">
        <f>MID(tbl_lock[[#This Row],[PACE Job Number]],3,3)</f>
        <v>STX</v>
      </c>
      <c r="C4173" t="s">
        <v>17</v>
      </c>
      <c r="D4173" s="1">
        <v>43419</v>
      </c>
    </row>
    <row r="4174" spans="1:4" x14ac:dyDescent="0.25">
      <c r="A4174" t="s">
        <v>3438</v>
      </c>
      <c r="B4174" t="str">
        <f>MID(tbl_lock[[#This Row],[PACE Job Number]],3,3)</f>
        <v>STX</v>
      </c>
      <c r="C4174" t="s">
        <v>17</v>
      </c>
      <c r="D4174" s="1">
        <v>43419</v>
      </c>
    </row>
    <row r="4175" spans="1:4" x14ac:dyDescent="0.25">
      <c r="A4175" t="s">
        <v>4579</v>
      </c>
      <c r="B4175" t="str">
        <f>MID(tbl_lock[[#This Row],[PACE Job Number]],3,3)</f>
        <v>STX</v>
      </c>
      <c r="C4175" t="s">
        <v>17</v>
      </c>
      <c r="D4175" s="1">
        <v>43405</v>
      </c>
    </row>
    <row r="4176" spans="1:4" x14ac:dyDescent="0.25">
      <c r="A4176" t="s">
        <v>4620</v>
      </c>
      <c r="B4176" t="str">
        <f>MID(tbl_lock[[#This Row],[PACE Job Number]],3,3)</f>
        <v>STX</v>
      </c>
      <c r="C4176" t="s">
        <v>17</v>
      </c>
      <c r="D4176" s="1">
        <v>43405</v>
      </c>
    </row>
    <row r="4177" spans="1:4" x14ac:dyDescent="0.25">
      <c r="A4177" t="s">
        <v>4396</v>
      </c>
      <c r="B4177" t="str">
        <f>MID(tbl_lock[[#This Row],[PACE Job Number]],3,3)</f>
        <v>STX</v>
      </c>
      <c r="C4177" t="s">
        <v>17</v>
      </c>
      <c r="D4177" s="1">
        <v>43419</v>
      </c>
    </row>
    <row r="4178" spans="1:4" x14ac:dyDescent="0.25">
      <c r="A4178" t="s">
        <v>717</v>
      </c>
      <c r="B4178" t="str">
        <f>MID(tbl_lock[[#This Row],[PACE Job Number]],3,3)</f>
        <v>STX</v>
      </c>
      <c r="C4178" t="s">
        <v>17</v>
      </c>
      <c r="D4178" s="1">
        <v>43434</v>
      </c>
    </row>
    <row r="4179" spans="1:4" x14ac:dyDescent="0.25">
      <c r="A4179" t="s">
        <v>5605</v>
      </c>
      <c r="B4179" t="str">
        <f>MID(tbl_lock[[#This Row],[PACE Job Number]],3,3)</f>
        <v>STX</v>
      </c>
      <c r="C4179" t="s">
        <v>17</v>
      </c>
      <c r="D4179" s="1">
        <v>43434</v>
      </c>
    </row>
    <row r="4180" spans="1:4" x14ac:dyDescent="0.25">
      <c r="A4180" t="s">
        <v>3939</v>
      </c>
      <c r="B4180" t="str">
        <f>MID(tbl_lock[[#This Row],[PACE Job Number]],3,3)</f>
        <v>STX</v>
      </c>
      <c r="C4180" t="s">
        <v>17</v>
      </c>
      <c r="D4180" s="1">
        <v>43434</v>
      </c>
    </row>
    <row r="4181" spans="1:4" x14ac:dyDescent="0.25">
      <c r="A4181" t="s">
        <v>3940</v>
      </c>
      <c r="B4181" t="str">
        <f>MID(tbl_lock[[#This Row],[PACE Job Number]],3,3)</f>
        <v>STX</v>
      </c>
      <c r="C4181" t="s">
        <v>17</v>
      </c>
      <c r="D4181" s="1">
        <v>43434</v>
      </c>
    </row>
    <row r="4182" spans="1:4" x14ac:dyDescent="0.25">
      <c r="A4182" t="s">
        <v>3115</v>
      </c>
      <c r="B4182" t="str">
        <f>MID(tbl_lock[[#This Row],[PACE Job Number]],3,3)</f>
        <v>STX</v>
      </c>
      <c r="C4182" t="s">
        <v>17</v>
      </c>
      <c r="D4182" s="1">
        <v>43419</v>
      </c>
    </row>
    <row r="4183" spans="1:4" x14ac:dyDescent="0.25">
      <c r="A4183" t="s">
        <v>3941</v>
      </c>
      <c r="B4183" t="str">
        <f>MID(tbl_lock[[#This Row],[PACE Job Number]],3,3)</f>
        <v>STX</v>
      </c>
      <c r="C4183" t="s">
        <v>17</v>
      </c>
      <c r="D4183" s="1">
        <v>43434</v>
      </c>
    </row>
    <row r="4184" spans="1:4" x14ac:dyDescent="0.25">
      <c r="A4184" t="s">
        <v>3942</v>
      </c>
      <c r="B4184" t="str">
        <f>MID(tbl_lock[[#This Row],[PACE Job Number]],3,3)</f>
        <v>STX</v>
      </c>
      <c r="C4184" t="s">
        <v>17</v>
      </c>
      <c r="D4184" s="1">
        <v>43434</v>
      </c>
    </row>
    <row r="4185" spans="1:4" x14ac:dyDescent="0.25">
      <c r="A4185" t="s">
        <v>4398</v>
      </c>
      <c r="B4185" t="str">
        <f>MID(tbl_lock[[#This Row],[PACE Job Number]],3,3)</f>
        <v>STX</v>
      </c>
      <c r="C4185" t="s">
        <v>17</v>
      </c>
      <c r="D4185" s="1">
        <v>43419</v>
      </c>
    </row>
    <row r="4186" spans="1:4" x14ac:dyDescent="0.25">
      <c r="A4186" t="s">
        <v>3910</v>
      </c>
      <c r="B4186" t="str">
        <f>MID(tbl_lock[[#This Row],[PACE Job Number]],3,3)</f>
        <v>WSH</v>
      </c>
      <c r="C4186" t="s">
        <v>17</v>
      </c>
      <c r="D4186" s="1">
        <v>43434</v>
      </c>
    </row>
    <row r="4187" spans="1:4" x14ac:dyDescent="0.25">
      <c r="A4187" t="s">
        <v>4003</v>
      </c>
      <c r="B4187" t="str">
        <f>MID(tbl_lock[[#This Row],[PACE Job Number]],3,3)</f>
        <v>WSH</v>
      </c>
      <c r="C4187" t="s">
        <v>17</v>
      </c>
      <c r="D4187" s="1">
        <v>43434</v>
      </c>
    </row>
    <row r="4188" spans="1:4" x14ac:dyDescent="0.25">
      <c r="A4188" t="s">
        <v>4520</v>
      </c>
      <c r="B4188" t="str">
        <f>MID(tbl_lock[[#This Row],[PACE Job Number]],3,3)</f>
        <v>NTX</v>
      </c>
      <c r="C4188" t="s">
        <v>17</v>
      </c>
      <c r="D4188" s="1">
        <v>43406</v>
      </c>
    </row>
    <row r="4189" spans="1:4" x14ac:dyDescent="0.25">
      <c r="A4189" t="s">
        <v>4521</v>
      </c>
      <c r="B4189" t="str">
        <f>MID(tbl_lock[[#This Row],[PACE Job Number]],3,3)</f>
        <v>NTX</v>
      </c>
      <c r="C4189" t="s">
        <v>17</v>
      </c>
      <c r="D4189" s="1">
        <v>43406</v>
      </c>
    </row>
    <row r="4190" spans="1:4" x14ac:dyDescent="0.25">
      <c r="A4190" t="s">
        <v>4335</v>
      </c>
      <c r="B4190" t="str">
        <f>MID(tbl_lock[[#This Row],[PACE Job Number]],3,3)</f>
        <v>STX</v>
      </c>
      <c r="C4190" t="s">
        <v>17</v>
      </c>
      <c r="D4190" s="1">
        <v>43434</v>
      </c>
    </row>
    <row r="4191" spans="1:4" x14ac:dyDescent="0.25">
      <c r="A4191" t="s">
        <v>4336</v>
      </c>
      <c r="B4191" t="str">
        <f>MID(tbl_lock[[#This Row],[PACE Job Number]],3,3)</f>
        <v>STX</v>
      </c>
      <c r="C4191" t="s">
        <v>17</v>
      </c>
      <c r="D4191" s="1">
        <v>43434</v>
      </c>
    </row>
    <row r="4192" spans="1:4" x14ac:dyDescent="0.25">
      <c r="A4192" t="s">
        <v>4522</v>
      </c>
      <c r="B4192" t="str">
        <f>MID(tbl_lock[[#This Row],[PACE Job Number]],3,3)</f>
        <v>STX</v>
      </c>
      <c r="C4192" t="s">
        <v>17</v>
      </c>
      <c r="D4192" s="1">
        <v>43419</v>
      </c>
    </row>
    <row r="4193" spans="1:4" x14ac:dyDescent="0.25">
      <c r="A4193" t="s">
        <v>3133</v>
      </c>
      <c r="B4193" t="str">
        <f>MID(tbl_lock[[#This Row],[PACE Job Number]],3,3)</f>
        <v>STX</v>
      </c>
      <c r="C4193" t="s">
        <v>17</v>
      </c>
      <c r="D4193" s="1">
        <v>43419</v>
      </c>
    </row>
    <row r="4194" spans="1:4" x14ac:dyDescent="0.25">
      <c r="A4194" t="s">
        <v>3286</v>
      </c>
      <c r="B4194" t="str">
        <f>MID(tbl_lock[[#This Row],[PACE Job Number]],3,3)</f>
        <v>STX</v>
      </c>
      <c r="C4194" t="s">
        <v>17</v>
      </c>
      <c r="D4194" s="1">
        <v>43405</v>
      </c>
    </row>
    <row r="4195" spans="1:4" x14ac:dyDescent="0.25">
      <c r="A4195" t="s">
        <v>4004</v>
      </c>
      <c r="B4195" t="str">
        <f>MID(tbl_lock[[#This Row],[PACE Job Number]],3,3)</f>
        <v>WSH</v>
      </c>
      <c r="C4195" t="s">
        <v>17</v>
      </c>
      <c r="D4195" s="1">
        <v>43434</v>
      </c>
    </row>
    <row r="4196" spans="1:4" x14ac:dyDescent="0.25">
      <c r="A4196" t="s">
        <v>79</v>
      </c>
      <c r="B4196" t="str">
        <f>MID(tbl_lock[[#This Row],[PACE Job Number]],3,3)</f>
        <v>WSH</v>
      </c>
      <c r="C4196" t="s">
        <v>17</v>
      </c>
      <c r="D4196" s="1">
        <v>43434</v>
      </c>
    </row>
    <row r="4197" spans="1:4" x14ac:dyDescent="0.25">
      <c r="A4197" t="s">
        <v>3515</v>
      </c>
      <c r="B4197" t="str">
        <f>MID(tbl_lock[[#This Row],[PACE Job Number]],3,3)</f>
        <v>WSH</v>
      </c>
      <c r="C4197" t="s">
        <v>17</v>
      </c>
      <c r="D4197" s="1">
        <v>43413</v>
      </c>
    </row>
    <row r="4198" spans="1:4" x14ac:dyDescent="0.25">
      <c r="A4198" t="s">
        <v>3912</v>
      </c>
      <c r="B4198" t="str">
        <f>MID(tbl_lock[[#This Row],[PACE Job Number]],3,3)</f>
        <v>WSH</v>
      </c>
      <c r="C4198" t="s">
        <v>17</v>
      </c>
      <c r="D4198" s="1">
        <v>43434</v>
      </c>
    </row>
    <row r="4199" spans="1:4" x14ac:dyDescent="0.25">
      <c r="A4199" t="s">
        <v>4005</v>
      </c>
      <c r="B4199" t="str">
        <f>MID(tbl_lock[[#This Row],[PACE Job Number]],3,3)</f>
        <v>WSH</v>
      </c>
      <c r="C4199" t="s">
        <v>17</v>
      </c>
      <c r="D4199" s="1">
        <v>43434</v>
      </c>
    </row>
    <row r="4200" spans="1:4" x14ac:dyDescent="0.25">
      <c r="A4200" t="s">
        <v>3523</v>
      </c>
      <c r="B4200" t="str">
        <f>MID(tbl_lock[[#This Row],[PACE Job Number]],3,3)</f>
        <v>WSH</v>
      </c>
      <c r="C4200" t="s">
        <v>17</v>
      </c>
      <c r="D4200" s="1">
        <v>43413</v>
      </c>
    </row>
    <row r="4201" spans="1:4" x14ac:dyDescent="0.25">
      <c r="A4201" t="s">
        <v>4006</v>
      </c>
      <c r="B4201" t="str">
        <f>MID(tbl_lock[[#This Row],[PACE Job Number]],3,3)</f>
        <v>WSH</v>
      </c>
      <c r="C4201" t="s">
        <v>17</v>
      </c>
      <c r="D4201" s="1">
        <v>43434</v>
      </c>
    </row>
    <row r="4202" spans="1:4" x14ac:dyDescent="0.25">
      <c r="A4202" t="s">
        <v>4615</v>
      </c>
      <c r="B4202" t="str">
        <f>MID(tbl_lock[[#This Row],[PACE Job Number]],3,3)</f>
        <v>WSH</v>
      </c>
      <c r="C4202" t="s">
        <v>17</v>
      </c>
      <c r="D4202" s="1">
        <v>43434</v>
      </c>
    </row>
    <row r="4203" spans="1:4" x14ac:dyDescent="0.25">
      <c r="A4203" t="s">
        <v>271</v>
      </c>
      <c r="B4203" t="str">
        <f>MID(tbl_lock[[#This Row],[PACE Job Number]],3,3)</f>
        <v>WSH</v>
      </c>
      <c r="C4203" t="s">
        <v>17</v>
      </c>
      <c r="D4203" s="1">
        <v>43434</v>
      </c>
    </row>
    <row r="4204" spans="1:4" x14ac:dyDescent="0.25">
      <c r="A4204" t="s">
        <v>138</v>
      </c>
      <c r="B4204" t="str">
        <f>MID(tbl_lock[[#This Row],[PACE Job Number]],3,3)</f>
        <v>WSH</v>
      </c>
      <c r="C4204" t="s">
        <v>17</v>
      </c>
      <c r="D4204" s="1">
        <v>43434</v>
      </c>
    </row>
    <row r="4205" spans="1:4" x14ac:dyDescent="0.25">
      <c r="A4205" t="s">
        <v>4008</v>
      </c>
      <c r="B4205" t="str">
        <f>MID(tbl_lock[[#This Row],[PACE Job Number]],3,3)</f>
        <v>WSH</v>
      </c>
      <c r="C4205" t="s">
        <v>17</v>
      </c>
      <c r="D4205" s="1">
        <v>43434</v>
      </c>
    </row>
    <row r="4206" spans="1:4" x14ac:dyDescent="0.25">
      <c r="A4206" t="s">
        <v>185</v>
      </c>
      <c r="B4206" t="str">
        <f>MID(tbl_lock[[#This Row],[PACE Job Number]],3,3)</f>
        <v>WSH</v>
      </c>
      <c r="C4206" t="s">
        <v>17</v>
      </c>
      <c r="D4206" s="1">
        <v>43434</v>
      </c>
    </row>
    <row r="4207" spans="1:4" x14ac:dyDescent="0.25">
      <c r="A4207" t="s">
        <v>4009</v>
      </c>
      <c r="B4207" t="str">
        <f>MID(tbl_lock[[#This Row],[PACE Job Number]],3,3)</f>
        <v>WSH</v>
      </c>
      <c r="C4207" t="s">
        <v>17</v>
      </c>
      <c r="D4207" s="1">
        <v>43434</v>
      </c>
    </row>
    <row r="4208" spans="1:4" x14ac:dyDescent="0.25">
      <c r="A4208" t="s">
        <v>240</v>
      </c>
      <c r="B4208" t="str">
        <f>MID(tbl_lock[[#This Row],[PACE Job Number]],3,3)</f>
        <v>WSH</v>
      </c>
      <c r="C4208" t="s">
        <v>17</v>
      </c>
      <c r="D4208" s="1">
        <v>43434</v>
      </c>
    </row>
    <row r="4209" spans="1:4" x14ac:dyDescent="0.25">
      <c r="A4209" t="s">
        <v>3917</v>
      </c>
      <c r="B4209" t="str">
        <f>MID(tbl_lock[[#This Row],[PACE Job Number]],3,3)</f>
        <v>WSH</v>
      </c>
      <c r="C4209" t="s">
        <v>17</v>
      </c>
      <c r="D4209" s="1">
        <v>43434</v>
      </c>
    </row>
    <row r="4210" spans="1:4" x14ac:dyDescent="0.25">
      <c r="A4210" t="s">
        <v>3918</v>
      </c>
      <c r="B4210" t="str">
        <f>MID(tbl_lock[[#This Row],[PACE Job Number]],3,3)</f>
        <v>WSH</v>
      </c>
      <c r="C4210" t="s">
        <v>17</v>
      </c>
      <c r="D4210" s="1">
        <v>43434</v>
      </c>
    </row>
    <row r="4211" spans="1:4" x14ac:dyDescent="0.25">
      <c r="A4211" t="s">
        <v>3919</v>
      </c>
      <c r="B4211" t="str">
        <f>MID(tbl_lock[[#This Row],[PACE Job Number]],3,3)</f>
        <v>WSH</v>
      </c>
      <c r="C4211" t="s">
        <v>17</v>
      </c>
      <c r="D4211" s="1">
        <v>43434</v>
      </c>
    </row>
    <row r="4212" spans="1:4" x14ac:dyDescent="0.25">
      <c r="A4212" t="s">
        <v>4010</v>
      </c>
      <c r="B4212" t="str">
        <f>MID(tbl_lock[[#This Row],[PACE Job Number]],3,3)</f>
        <v>WSH</v>
      </c>
      <c r="C4212" t="s">
        <v>17</v>
      </c>
      <c r="D4212" s="1">
        <v>43434</v>
      </c>
    </row>
    <row r="4213" spans="1:4" x14ac:dyDescent="0.25">
      <c r="A4213" t="s">
        <v>4011</v>
      </c>
      <c r="B4213" t="str">
        <f>MID(tbl_lock[[#This Row],[PACE Job Number]],3,3)</f>
        <v>WSH</v>
      </c>
      <c r="C4213" t="s">
        <v>17</v>
      </c>
      <c r="D4213" s="1">
        <v>43434</v>
      </c>
    </row>
    <row r="4214" spans="1:4" x14ac:dyDescent="0.25">
      <c r="A4214" t="s">
        <v>101</v>
      </c>
      <c r="B4214" t="str">
        <f>MID(tbl_lock[[#This Row],[PACE Job Number]],3,3)</f>
        <v>WSH</v>
      </c>
      <c r="C4214" t="s">
        <v>17</v>
      </c>
      <c r="D4214" s="1">
        <v>43434</v>
      </c>
    </row>
    <row r="4215" spans="1:4" x14ac:dyDescent="0.25">
      <c r="A4215" t="s">
        <v>4244</v>
      </c>
      <c r="B4215" t="str">
        <f>MID(tbl_lock[[#This Row],[PACE Job Number]],3,3)</f>
        <v>WSH</v>
      </c>
      <c r="C4215" t="s">
        <v>17</v>
      </c>
      <c r="D4215" s="1">
        <v>43434</v>
      </c>
    </row>
    <row r="4216" spans="1:4" x14ac:dyDescent="0.25">
      <c r="A4216" t="s">
        <v>3517</v>
      </c>
      <c r="B4216" t="str">
        <f>MID(tbl_lock[[#This Row],[PACE Job Number]],3,3)</f>
        <v>WSH</v>
      </c>
      <c r="C4216" t="s">
        <v>17</v>
      </c>
      <c r="D4216" s="1">
        <v>43413</v>
      </c>
    </row>
    <row r="4217" spans="1:4" x14ac:dyDescent="0.25">
      <c r="A4217" t="s">
        <v>4012</v>
      </c>
      <c r="B4217" t="str">
        <f>MID(tbl_lock[[#This Row],[PACE Job Number]],3,3)</f>
        <v>WSH</v>
      </c>
      <c r="C4217" t="s">
        <v>17</v>
      </c>
      <c r="D4217" s="1">
        <v>43407</v>
      </c>
    </row>
    <row r="4218" spans="1:4" x14ac:dyDescent="0.25">
      <c r="A4218" t="s">
        <v>4013</v>
      </c>
      <c r="B4218" t="str">
        <f>MID(tbl_lock[[#This Row],[PACE Job Number]],3,3)</f>
        <v>WSH</v>
      </c>
      <c r="C4218" t="s">
        <v>17</v>
      </c>
      <c r="D4218" s="1">
        <v>43434</v>
      </c>
    </row>
    <row r="4219" spans="1:4" x14ac:dyDescent="0.25">
      <c r="A4219" t="s">
        <v>359</v>
      </c>
      <c r="B4219" t="str">
        <f>MID(tbl_lock[[#This Row],[PACE Job Number]],3,3)</f>
        <v>WSH</v>
      </c>
      <c r="C4219" t="s">
        <v>17</v>
      </c>
      <c r="D4219" s="1">
        <v>43434</v>
      </c>
    </row>
    <row r="4220" spans="1:4" x14ac:dyDescent="0.25">
      <c r="A4220" t="s">
        <v>3132</v>
      </c>
      <c r="B4220" t="str">
        <f>MID(tbl_lock[[#This Row],[PACE Job Number]],3,3)</f>
        <v>STX</v>
      </c>
      <c r="C4220" t="s">
        <v>17</v>
      </c>
      <c r="D4220" s="1">
        <v>43434</v>
      </c>
    </row>
    <row r="4221" spans="1:4" x14ac:dyDescent="0.25">
      <c r="A4221" t="s">
        <v>4340</v>
      </c>
      <c r="B4221" t="str">
        <f>MID(tbl_lock[[#This Row],[PACE Job Number]],3,3)</f>
        <v>STX</v>
      </c>
      <c r="C4221" t="s">
        <v>17</v>
      </c>
      <c r="D4221" s="1">
        <v>43419</v>
      </c>
    </row>
    <row r="4222" spans="1:4" x14ac:dyDescent="0.25">
      <c r="A4222" t="s">
        <v>3126</v>
      </c>
      <c r="B4222" t="str">
        <f>MID(tbl_lock[[#This Row],[PACE Job Number]],3,3)</f>
        <v>STX</v>
      </c>
      <c r="C4222" t="s">
        <v>17</v>
      </c>
      <c r="D4222" s="1">
        <v>43419</v>
      </c>
    </row>
    <row r="4223" spans="1:4" x14ac:dyDescent="0.25">
      <c r="A4223" t="s">
        <v>3226</v>
      </c>
      <c r="B4223" t="str">
        <f>MID(tbl_lock[[#This Row],[PACE Job Number]],3,3)</f>
        <v>STX</v>
      </c>
      <c r="C4223" t="s">
        <v>17</v>
      </c>
      <c r="D4223" s="1">
        <v>43405</v>
      </c>
    </row>
    <row r="4224" spans="1:4" x14ac:dyDescent="0.25">
      <c r="A4224" t="s">
        <v>4344</v>
      </c>
      <c r="B4224" t="str">
        <f>MID(tbl_lock[[#This Row],[PACE Job Number]],3,3)</f>
        <v>STX</v>
      </c>
      <c r="C4224" t="s">
        <v>17</v>
      </c>
      <c r="D4224" s="1">
        <v>43434</v>
      </c>
    </row>
    <row r="4225" spans="1:4" x14ac:dyDescent="0.25">
      <c r="A4225" t="s">
        <v>3406</v>
      </c>
      <c r="B4225" t="str">
        <f>MID(tbl_lock[[#This Row],[PACE Job Number]],3,3)</f>
        <v>STX</v>
      </c>
      <c r="C4225" t="s">
        <v>17</v>
      </c>
      <c r="D4225" s="1">
        <v>43405</v>
      </c>
    </row>
    <row r="4226" spans="1:4" x14ac:dyDescent="0.25">
      <c r="A4226" t="s">
        <v>511</v>
      </c>
      <c r="B4226" t="str">
        <f>MID(tbl_lock[[#This Row],[PACE Job Number]],3,3)</f>
        <v>STX</v>
      </c>
      <c r="C4226" t="s">
        <v>17</v>
      </c>
      <c r="D4226" s="1">
        <v>43434</v>
      </c>
    </row>
    <row r="4227" spans="1:4" x14ac:dyDescent="0.25">
      <c r="A4227" t="s">
        <v>3212</v>
      </c>
      <c r="B4227" t="str">
        <f>MID(tbl_lock[[#This Row],[PACE Job Number]],3,3)</f>
        <v>STX</v>
      </c>
      <c r="C4227" t="s">
        <v>17</v>
      </c>
      <c r="D4227" s="1">
        <v>43419</v>
      </c>
    </row>
    <row r="4228" spans="1:4" x14ac:dyDescent="0.25">
      <c r="A4228" t="s">
        <v>3297</v>
      </c>
      <c r="B4228" t="str">
        <f>MID(tbl_lock[[#This Row],[PACE Job Number]],3,3)</f>
        <v>STX</v>
      </c>
      <c r="C4228" t="s">
        <v>17</v>
      </c>
      <c r="D4228" s="1">
        <v>43434</v>
      </c>
    </row>
    <row r="4229" spans="1:4" x14ac:dyDescent="0.25">
      <c r="A4229" t="s">
        <v>2595</v>
      </c>
      <c r="B4229" t="str">
        <f>MID(tbl_lock[[#This Row],[PACE Job Number]],3,3)</f>
        <v>STX</v>
      </c>
      <c r="C4229" t="s">
        <v>17</v>
      </c>
      <c r="D4229" s="1">
        <v>43405</v>
      </c>
    </row>
    <row r="4230" spans="1:4" x14ac:dyDescent="0.25">
      <c r="A4230" t="s">
        <v>532</v>
      </c>
      <c r="B4230" t="str">
        <f>MID(tbl_lock[[#This Row],[PACE Job Number]],3,3)</f>
        <v>STX</v>
      </c>
      <c r="C4230" t="s">
        <v>17</v>
      </c>
      <c r="D4230" s="1">
        <v>43418</v>
      </c>
    </row>
    <row r="4231" spans="1:4" x14ac:dyDescent="0.25">
      <c r="A4231" t="s">
        <v>5606</v>
      </c>
      <c r="B4231" t="str">
        <f>MID(tbl_lock[[#This Row],[PACE Job Number]],3,3)</f>
        <v>STX</v>
      </c>
      <c r="C4231" t="s">
        <v>17</v>
      </c>
      <c r="D4231" s="1">
        <v>43410</v>
      </c>
    </row>
    <row r="4232" spans="1:4" x14ac:dyDescent="0.25">
      <c r="A4232" t="s">
        <v>5563</v>
      </c>
      <c r="B4232" t="str">
        <f>MID(tbl_lock[[#This Row],[PACE Job Number]],3,3)</f>
        <v>STX</v>
      </c>
      <c r="C4232" t="s">
        <v>17</v>
      </c>
      <c r="D4232" s="1">
        <v>43419</v>
      </c>
    </row>
    <row r="4233" spans="1:4" x14ac:dyDescent="0.25">
      <c r="A4233" t="s">
        <v>5564</v>
      </c>
      <c r="B4233" t="str">
        <f>MID(tbl_lock[[#This Row],[PACE Job Number]],3,3)</f>
        <v>STX</v>
      </c>
      <c r="C4233" t="s">
        <v>17</v>
      </c>
      <c r="D4233" s="1">
        <v>43419</v>
      </c>
    </row>
    <row r="4234" spans="1:4" x14ac:dyDescent="0.25">
      <c r="A4234" t="s">
        <v>4601</v>
      </c>
      <c r="B4234" t="str">
        <f>MID(tbl_lock[[#This Row],[PACE Job Number]],3,3)</f>
        <v>STX</v>
      </c>
      <c r="C4234" t="s">
        <v>17</v>
      </c>
      <c r="D4234" s="1">
        <v>43418</v>
      </c>
    </row>
    <row r="4235" spans="1:4" x14ac:dyDescent="0.25">
      <c r="A4235" t="s">
        <v>336</v>
      </c>
      <c r="B4235" t="str">
        <f>MID(tbl_lock[[#This Row],[PACE Job Number]],3,3)</f>
        <v>NTX</v>
      </c>
      <c r="C4235" t="s">
        <v>17</v>
      </c>
      <c r="D4235" s="1">
        <v>43405</v>
      </c>
    </row>
    <row r="4236" spans="1:4" x14ac:dyDescent="0.25">
      <c r="A4236" t="s">
        <v>4555</v>
      </c>
      <c r="B4236" t="str">
        <f>MID(tbl_lock[[#This Row],[PACE Job Number]],3,3)</f>
        <v>NTX</v>
      </c>
      <c r="C4236" t="s">
        <v>17</v>
      </c>
      <c r="D4236" s="1">
        <v>43408</v>
      </c>
    </row>
    <row r="4237" spans="1:4" x14ac:dyDescent="0.25">
      <c r="A4237" t="s">
        <v>582</v>
      </c>
      <c r="B4237" t="str">
        <f>MID(tbl_lock[[#This Row],[PACE Job Number]],3,3)</f>
        <v>NTX</v>
      </c>
      <c r="C4237" t="s">
        <v>17</v>
      </c>
      <c r="D4237" s="1">
        <v>43430</v>
      </c>
    </row>
    <row r="4238" spans="1:4" x14ac:dyDescent="0.25">
      <c r="A4238" t="s">
        <v>3977</v>
      </c>
      <c r="B4238" t="str">
        <f>MID(tbl_lock[[#This Row],[PACE Job Number]],3,3)</f>
        <v>NTX</v>
      </c>
      <c r="C4238" t="s">
        <v>17</v>
      </c>
      <c r="D4238" s="1">
        <v>43408</v>
      </c>
    </row>
    <row r="4239" spans="1:4" x14ac:dyDescent="0.25">
      <c r="A4239" t="s">
        <v>1737</v>
      </c>
      <c r="B4239" t="str">
        <f>MID(tbl_lock[[#This Row],[PACE Job Number]],3,3)</f>
        <v>NTX</v>
      </c>
      <c r="C4239" t="s">
        <v>17</v>
      </c>
      <c r="D4239" s="1">
        <v>43413</v>
      </c>
    </row>
    <row r="4240" spans="1:4" x14ac:dyDescent="0.25">
      <c r="A4240" t="s">
        <v>213</v>
      </c>
      <c r="B4240" t="str">
        <f>MID(tbl_lock[[#This Row],[PACE Job Number]],3,3)</f>
        <v>NTX</v>
      </c>
      <c r="C4240" t="s">
        <v>17</v>
      </c>
      <c r="D4240" s="1">
        <v>43422</v>
      </c>
    </row>
    <row r="4241" spans="1:4" x14ac:dyDescent="0.25">
      <c r="A4241" t="s">
        <v>2285</v>
      </c>
      <c r="B4241" t="str">
        <f>MID(tbl_lock[[#This Row],[PACE Job Number]],3,3)</f>
        <v>NTX</v>
      </c>
      <c r="C4241" t="s">
        <v>17</v>
      </c>
      <c r="D4241" s="1">
        <v>43406</v>
      </c>
    </row>
    <row r="4242" spans="1:4" x14ac:dyDescent="0.25">
      <c r="A4242" t="s">
        <v>3403</v>
      </c>
      <c r="B4242" t="str">
        <f>MID(tbl_lock[[#This Row],[PACE Job Number]],3,3)</f>
        <v>NTX</v>
      </c>
      <c r="C4242" t="s">
        <v>17</v>
      </c>
      <c r="D4242" s="1">
        <v>43408</v>
      </c>
    </row>
    <row r="4243" spans="1:4" x14ac:dyDescent="0.25">
      <c r="A4243" t="s">
        <v>4550</v>
      </c>
      <c r="B4243" t="str">
        <f>MID(tbl_lock[[#This Row],[PACE Job Number]],3,3)</f>
        <v>NTX</v>
      </c>
      <c r="C4243" t="s">
        <v>17</v>
      </c>
      <c r="D4243" s="1">
        <v>43406</v>
      </c>
    </row>
    <row r="4244" spans="1:4" x14ac:dyDescent="0.25">
      <c r="A4244" t="s">
        <v>5607</v>
      </c>
      <c r="B4244" t="str">
        <f>MID(tbl_lock[[#This Row],[PACE Job Number]],3,3)</f>
        <v>ANM</v>
      </c>
      <c r="C4244" t="s">
        <v>17</v>
      </c>
      <c r="D4244" s="1">
        <v>43419</v>
      </c>
    </row>
    <row r="4245" spans="1:4" x14ac:dyDescent="0.25">
      <c r="A4245" t="s">
        <v>4610</v>
      </c>
      <c r="B4245" t="str">
        <f>MID(tbl_lock[[#This Row],[PACE Job Number]],3,3)</f>
        <v>ANM</v>
      </c>
      <c r="C4245" t="s">
        <v>17</v>
      </c>
      <c r="D4245" s="1">
        <v>43419</v>
      </c>
    </row>
    <row r="4246" spans="1:4" x14ac:dyDescent="0.25">
      <c r="A4246" t="s">
        <v>1875</v>
      </c>
      <c r="B4246" t="str">
        <f>MID(tbl_lock[[#This Row],[PACE Job Number]],3,3)</f>
        <v>NTX</v>
      </c>
      <c r="C4246" t="s">
        <v>17</v>
      </c>
      <c r="D4246" s="1">
        <v>43406</v>
      </c>
    </row>
    <row r="4247" spans="1:4" x14ac:dyDescent="0.25">
      <c r="A4247" t="s">
        <v>3974</v>
      </c>
      <c r="B4247" t="str">
        <f>MID(tbl_lock[[#This Row],[PACE Job Number]],3,3)</f>
        <v>NTX</v>
      </c>
      <c r="C4247" t="s">
        <v>17</v>
      </c>
      <c r="D4247" s="1">
        <v>43431</v>
      </c>
    </row>
    <row r="4248" spans="1:4" x14ac:dyDescent="0.25">
      <c r="A4248" t="s">
        <v>5566</v>
      </c>
      <c r="B4248" t="str">
        <f>MID(tbl_lock[[#This Row],[PACE Job Number]],3,3)</f>
        <v>STX</v>
      </c>
      <c r="C4248" t="s">
        <v>17</v>
      </c>
      <c r="D4248" s="1">
        <v>43434</v>
      </c>
    </row>
    <row r="4249" spans="1:4" x14ac:dyDescent="0.25">
      <c r="A4249" t="s">
        <v>4627</v>
      </c>
      <c r="B4249" t="str">
        <f>MID(tbl_lock[[#This Row],[PACE Job Number]],3,3)</f>
        <v>STX</v>
      </c>
      <c r="C4249" t="s">
        <v>17</v>
      </c>
      <c r="D4249" s="1">
        <v>43418</v>
      </c>
    </row>
    <row r="4250" spans="1:4" x14ac:dyDescent="0.25">
      <c r="A4250" t="s">
        <v>3529</v>
      </c>
      <c r="B4250" t="str">
        <f>MID(tbl_lock[[#This Row],[PACE Job Number]],3,3)</f>
        <v>STX</v>
      </c>
      <c r="C4250" t="s">
        <v>17</v>
      </c>
      <c r="D4250" s="1">
        <v>43434</v>
      </c>
    </row>
    <row r="4251" spans="1:4" x14ac:dyDescent="0.25">
      <c r="A4251" t="s">
        <v>5608</v>
      </c>
      <c r="B4251" t="str">
        <f>MID(tbl_lock[[#This Row],[PACE Job Number]],3,3)</f>
        <v>STX</v>
      </c>
      <c r="C4251" t="s">
        <v>17</v>
      </c>
      <c r="D4251" s="1">
        <v>43405</v>
      </c>
    </row>
    <row r="4252" spans="1:4" x14ac:dyDescent="0.25">
      <c r="A4252" t="s">
        <v>5609</v>
      </c>
      <c r="B4252" t="str">
        <f>MID(tbl_lock[[#This Row],[PACE Job Number]],3,3)</f>
        <v>STX</v>
      </c>
      <c r="C4252" t="s">
        <v>17</v>
      </c>
      <c r="D4252" s="1">
        <v>43419</v>
      </c>
    </row>
    <row r="4253" spans="1:4" x14ac:dyDescent="0.25">
      <c r="A4253" t="s">
        <v>635</v>
      </c>
      <c r="B4253" t="str">
        <f>MID(tbl_lock[[#This Row],[PACE Job Number]],3,3)</f>
        <v>STX</v>
      </c>
      <c r="C4253" t="s">
        <v>17</v>
      </c>
      <c r="D4253" s="1">
        <v>43419</v>
      </c>
    </row>
    <row r="4254" spans="1:4" x14ac:dyDescent="0.25">
      <c r="A4254" t="s">
        <v>528</v>
      </c>
      <c r="B4254" t="str">
        <f>MID(tbl_lock[[#This Row],[PACE Job Number]],3,3)</f>
        <v>STX</v>
      </c>
      <c r="C4254" t="s">
        <v>17</v>
      </c>
      <c r="D4254" s="1">
        <v>43405</v>
      </c>
    </row>
    <row r="4255" spans="1:4" x14ac:dyDescent="0.25">
      <c r="A4255" t="s">
        <v>606</v>
      </c>
      <c r="B4255" t="str">
        <f>MID(tbl_lock[[#This Row],[PACE Job Number]],3,3)</f>
        <v>STX</v>
      </c>
      <c r="C4255" t="s">
        <v>17</v>
      </c>
      <c r="D4255" s="1">
        <v>43405</v>
      </c>
    </row>
    <row r="4256" spans="1:4" x14ac:dyDescent="0.25">
      <c r="A4256" t="s">
        <v>3536</v>
      </c>
      <c r="B4256" t="str">
        <f>MID(tbl_lock[[#This Row],[PACE Job Number]],3,3)</f>
        <v>STX</v>
      </c>
      <c r="C4256" t="s">
        <v>17</v>
      </c>
      <c r="D4256" s="1">
        <v>43405</v>
      </c>
    </row>
    <row r="4257" spans="1:4" x14ac:dyDescent="0.25">
      <c r="A4257" t="s">
        <v>3263</v>
      </c>
      <c r="B4257" t="str">
        <f>MID(tbl_lock[[#This Row],[PACE Job Number]],3,3)</f>
        <v>STX</v>
      </c>
      <c r="C4257" t="s">
        <v>17</v>
      </c>
      <c r="D4257" s="1">
        <v>43434</v>
      </c>
    </row>
    <row r="4258" spans="1:4" x14ac:dyDescent="0.25">
      <c r="A4258" t="s">
        <v>3409</v>
      </c>
      <c r="B4258" t="str">
        <f>MID(tbl_lock[[#This Row],[PACE Job Number]],3,3)</f>
        <v>STX</v>
      </c>
      <c r="C4258" t="s">
        <v>17</v>
      </c>
      <c r="D4258" s="1">
        <v>43419</v>
      </c>
    </row>
    <row r="4259" spans="1:4" x14ac:dyDescent="0.25">
      <c r="A4259" t="s">
        <v>5568</v>
      </c>
      <c r="B4259" t="str">
        <f>MID(tbl_lock[[#This Row],[PACE Job Number]],3,3)</f>
        <v>STX</v>
      </c>
      <c r="C4259" t="s">
        <v>17</v>
      </c>
      <c r="D4259" s="1">
        <v>43434</v>
      </c>
    </row>
    <row r="4260" spans="1:4" x14ac:dyDescent="0.25">
      <c r="A4260" t="s">
        <v>3350</v>
      </c>
      <c r="B4260" t="str">
        <f>MID(tbl_lock[[#This Row],[PACE Job Number]],3,3)</f>
        <v>STX</v>
      </c>
      <c r="C4260" t="s">
        <v>17</v>
      </c>
      <c r="D4260" s="1">
        <v>43419</v>
      </c>
    </row>
    <row r="4261" spans="1:4" x14ac:dyDescent="0.25">
      <c r="A4261" t="s">
        <v>4424</v>
      </c>
      <c r="B4261" t="str">
        <f>MID(tbl_lock[[#This Row],[PACE Job Number]],3,3)</f>
        <v>STX</v>
      </c>
      <c r="C4261" t="s">
        <v>17</v>
      </c>
      <c r="D4261" s="1">
        <v>43419</v>
      </c>
    </row>
    <row r="4262" spans="1:4" x14ac:dyDescent="0.25">
      <c r="A4262" t="s">
        <v>1059</v>
      </c>
      <c r="B4262" t="str">
        <f>MID(tbl_lock[[#This Row],[PACE Job Number]],3,3)</f>
        <v>STX</v>
      </c>
      <c r="C4262" t="s">
        <v>17</v>
      </c>
      <c r="D4262" s="1">
        <v>43418</v>
      </c>
    </row>
    <row r="4263" spans="1:4" x14ac:dyDescent="0.25">
      <c r="A4263" t="s">
        <v>5569</v>
      </c>
      <c r="B4263" t="str">
        <f>MID(tbl_lock[[#This Row],[PACE Job Number]],3,3)</f>
        <v>STX</v>
      </c>
      <c r="C4263" t="s">
        <v>17</v>
      </c>
      <c r="D4263" s="1">
        <v>43434</v>
      </c>
    </row>
    <row r="4264" spans="1:4" x14ac:dyDescent="0.25">
      <c r="A4264" t="s">
        <v>96</v>
      </c>
      <c r="B4264" t="str">
        <f>MID(tbl_lock[[#This Row],[PACE Job Number]],3,3)</f>
        <v>STX</v>
      </c>
      <c r="C4264" t="s">
        <v>17</v>
      </c>
      <c r="D4264" s="1">
        <v>43405</v>
      </c>
    </row>
    <row r="4265" spans="1:4" x14ac:dyDescent="0.25">
      <c r="A4265" t="s">
        <v>5570</v>
      </c>
      <c r="B4265" t="str">
        <f>MID(tbl_lock[[#This Row],[PACE Job Number]],3,3)</f>
        <v>STX</v>
      </c>
      <c r="C4265" t="s">
        <v>17</v>
      </c>
      <c r="D4265" s="1">
        <v>43434</v>
      </c>
    </row>
    <row r="4266" spans="1:4" x14ac:dyDescent="0.25">
      <c r="A4266" t="s">
        <v>4427</v>
      </c>
      <c r="B4266" t="str">
        <f>MID(tbl_lock[[#This Row],[PACE Job Number]],3,3)</f>
        <v>STX</v>
      </c>
      <c r="C4266" t="s">
        <v>17</v>
      </c>
      <c r="D4266" s="1">
        <v>43419</v>
      </c>
    </row>
    <row r="4267" spans="1:4" x14ac:dyDescent="0.25">
      <c r="A4267" t="s">
        <v>260</v>
      </c>
      <c r="B4267" t="str">
        <f>MID(tbl_lock[[#This Row],[PACE Job Number]],3,3)</f>
        <v>STX</v>
      </c>
      <c r="C4267" t="s">
        <v>17</v>
      </c>
      <c r="D4267" s="1">
        <v>43434</v>
      </c>
    </row>
    <row r="4268" spans="1:4" x14ac:dyDescent="0.25">
      <c r="A4268" t="s">
        <v>5610</v>
      </c>
      <c r="B4268" t="str">
        <f>MID(tbl_lock[[#This Row],[PACE Job Number]],3,3)</f>
        <v>STX</v>
      </c>
      <c r="C4268" t="s">
        <v>17</v>
      </c>
      <c r="D4268" s="1">
        <v>43419</v>
      </c>
    </row>
    <row r="4269" spans="1:4" x14ac:dyDescent="0.25">
      <c r="A4269" t="s">
        <v>5571</v>
      </c>
      <c r="B4269" t="str">
        <f>MID(tbl_lock[[#This Row],[PACE Job Number]],3,3)</f>
        <v>STX</v>
      </c>
      <c r="C4269" t="s">
        <v>17</v>
      </c>
      <c r="D4269" s="1">
        <v>43434</v>
      </c>
    </row>
    <row r="4270" spans="1:4" x14ac:dyDescent="0.25">
      <c r="A4270" t="s">
        <v>5572</v>
      </c>
      <c r="B4270" t="str">
        <f>MID(tbl_lock[[#This Row],[PACE Job Number]],3,3)</f>
        <v>STX</v>
      </c>
      <c r="C4270" t="s">
        <v>17</v>
      </c>
      <c r="D4270" s="1">
        <v>43434</v>
      </c>
    </row>
    <row r="4271" spans="1:4" x14ac:dyDescent="0.25">
      <c r="A4271" t="s">
        <v>434</v>
      </c>
      <c r="B4271" t="str">
        <f>MID(tbl_lock[[#This Row],[PACE Job Number]],3,3)</f>
        <v>STX</v>
      </c>
      <c r="C4271" t="s">
        <v>17</v>
      </c>
      <c r="D4271" s="1">
        <v>43406</v>
      </c>
    </row>
    <row r="4272" spans="1:4" x14ac:dyDescent="0.25">
      <c r="A4272" t="s">
        <v>3961</v>
      </c>
      <c r="B4272" t="str">
        <f>MID(tbl_lock[[#This Row],[PACE Job Number]],3,3)</f>
        <v>STX</v>
      </c>
      <c r="C4272" t="s">
        <v>17</v>
      </c>
      <c r="D4272" s="1">
        <v>43419</v>
      </c>
    </row>
    <row r="4273" spans="1:4" x14ac:dyDescent="0.25">
      <c r="A4273" t="s">
        <v>5611</v>
      </c>
      <c r="B4273" t="str">
        <f>MID(tbl_lock[[#This Row],[PACE Job Number]],3,3)</f>
        <v>ANM</v>
      </c>
      <c r="C4273" t="s">
        <v>17</v>
      </c>
      <c r="D4273" s="1">
        <v>43419</v>
      </c>
    </row>
    <row r="4274" spans="1:4" x14ac:dyDescent="0.25">
      <c r="A4274" t="s">
        <v>3995</v>
      </c>
      <c r="B4274" t="str">
        <f>MID(tbl_lock[[#This Row],[PACE Job Number]],3,3)</f>
        <v>NTX</v>
      </c>
      <c r="C4274" t="s">
        <v>17</v>
      </c>
      <c r="D4274" s="1">
        <v>43427</v>
      </c>
    </row>
    <row r="4275" spans="1:4" x14ac:dyDescent="0.25">
      <c r="A4275" t="s">
        <v>335</v>
      </c>
      <c r="B4275" t="str">
        <f>MID(tbl_lock[[#This Row],[PACE Job Number]],3,3)</f>
        <v>NTX</v>
      </c>
      <c r="C4275" t="s">
        <v>17</v>
      </c>
      <c r="D4275" s="1">
        <v>43405</v>
      </c>
    </row>
    <row r="4276" spans="1:4" x14ac:dyDescent="0.25">
      <c r="A4276" t="s">
        <v>2369</v>
      </c>
      <c r="B4276" t="str">
        <f>MID(tbl_lock[[#This Row],[PACE Job Number]],3,3)</f>
        <v>NTX</v>
      </c>
      <c r="C4276" t="s">
        <v>17</v>
      </c>
      <c r="D4276" s="1">
        <v>43406</v>
      </c>
    </row>
    <row r="4277" spans="1:4" x14ac:dyDescent="0.25">
      <c r="A4277" t="s">
        <v>1812</v>
      </c>
      <c r="B4277" t="str">
        <f>MID(tbl_lock[[#This Row],[PACE Job Number]],3,3)</f>
        <v>NTX</v>
      </c>
      <c r="C4277" t="s">
        <v>17</v>
      </c>
      <c r="D4277" s="1">
        <v>43408</v>
      </c>
    </row>
    <row r="4278" spans="1:4" x14ac:dyDescent="0.25">
      <c r="A4278" t="s">
        <v>127</v>
      </c>
      <c r="B4278" t="str">
        <f>MID(tbl_lock[[#This Row],[PACE Job Number]],3,3)</f>
        <v>NTX</v>
      </c>
      <c r="C4278" t="s">
        <v>17</v>
      </c>
      <c r="D4278" s="1">
        <v>43432</v>
      </c>
    </row>
    <row r="4279" spans="1:4" x14ac:dyDescent="0.25">
      <c r="A4279" t="s">
        <v>4524</v>
      </c>
      <c r="B4279" t="str">
        <f>MID(tbl_lock[[#This Row],[PACE Job Number]],3,3)</f>
        <v>NTX</v>
      </c>
      <c r="C4279" t="s">
        <v>17</v>
      </c>
      <c r="D4279" s="1">
        <v>43408</v>
      </c>
    </row>
    <row r="4280" spans="1:4" x14ac:dyDescent="0.25">
      <c r="A4280" t="s">
        <v>4650</v>
      </c>
      <c r="B4280" t="str">
        <f>MID(tbl_lock[[#This Row],[PACE Job Number]],3,3)</f>
        <v>STX</v>
      </c>
      <c r="C4280" t="s">
        <v>17</v>
      </c>
      <c r="D4280" s="1">
        <v>43405</v>
      </c>
    </row>
    <row r="4281" spans="1:4" x14ac:dyDescent="0.25">
      <c r="A4281" t="s">
        <v>4429</v>
      </c>
      <c r="B4281" t="str">
        <f>MID(tbl_lock[[#This Row],[PACE Job Number]],3,3)</f>
        <v>STX</v>
      </c>
      <c r="C4281" t="s">
        <v>17</v>
      </c>
      <c r="D4281" s="1">
        <v>43419</v>
      </c>
    </row>
    <row r="4282" spans="1:4" x14ac:dyDescent="0.25">
      <c r="A4282" t="s">
        <v>5612</v>
      </c>
      <c r="B4282" t="str">
        <f>MID(tbl_lock[[#This Row],[PACE Job Number]],3,3)</f>
        <v>STX</v>
      </c>
      <c r="C4282" t="s">
        <v>17</v>
      </c>
      <c r="D4282" s="1">
        <v>43419</v>
      </c>
    </row>
    <row r="4283" spans="1:4" x14ac:dyDescent="0.25">
      <c r="A4283" t="s">
        <v>3268</v>
      </c>
      <c r="B4283" t="str">
        <f>MID(tbl_lock[[#This Row],[PACE Job Number]],3,3)</f>
        <v>STX</v>
      </c>
      <c r="C4283" t="s">
        <v>17</v>
      </c>
      <c r="D4283" s="1">
        <v>43419</v>
      </c>
    </row>
    <row r="4284" spans="1:4" x14ac:dyDescent="0.25">
      <c r="A4284" t="s">
        <v>4430</v>
      </c>
      <c r="B4284" t="str">
        <f>MID(tbl_lock[[#This Row],[PACE Job Number]],3,3)</f>
        <v>STX</v>
      </c>
      <c r="C4284" t="s">
        <v>17</v>
      </c>
      <c r="D4284" s="1">
        <v>43419</v>
      </c>
    </row>
    <row r="4285" spans="1:4" x14ac:dyDescent="0.25">
      <c r="A4285" t="s">
        <v>3228</v>
      </c>
      <c r="B4285" t="str">
        <f>MID(tbl_lock[[#This Row],[PACE Job Number]],3,3)</f>
        <v>STX</v>
      </c>
      <c r="C4285" t="s">
        <v>17</v>
      </c>
      <c r="D4285" s="1">
        <v>43419</v>
      </c>
    </row>
    <row r="4286" spans="1:4" x14ac:dyDescent="0.25">
      <c r="A4286" t="s">
        <v>4652</v>
      </c>
      <c r="B4286" t="str">
        <f>MID(tbl_lock[[#This Row],[PACE Job Number]],3,3)</f>
        <v>STX</v>
      </c>
      <c r="C4286" t="s">
        <v>17</v>
      </c>
      <c r="D4286" s="1">
        <v>43405</v>
      </c>
    </row>
    <row r="4287" spans="1:4" x14ac:dyDescent="0.25">
      <c r="A4287" t="s">
        <v>3962</v>
      </c>
      <c r="B4287" t="str">
        <f>MID(tbl_lock[[#This Row],[PACE Job Number]],3,3)</f>
        <v>STX</v>
      </c>
      <c r="C4287" t="s">
        <v>17</v>
      </c>
      <c r="D4287" s="1">
        <v>43419</v>
      </c>
    </row>
    <row r="4288" spans="1:4" x14ac:dyDescent="0.25">
      <c r="A4288" t="s">
        <v>527</v>
      </c>
      <c r="B4288" t="str">
        <f>MID(tbl_lock[[#This Row],[PACE Job Number]],3,3)</f>
        <v>STX</v>
      </c>
      <c r="C4288" t="s">
        <v>17</v>
      </c>
      <c r="D4288" s="1">
        <v>43419</v>
      </c>
    </row>
    <row r="4289" spans="1:4" x14ac:dyDescent="0.25">
      <c r="A4289" t="s">
        <v>4432</v>
      </c>
      <c r="B4289" t="str">
        <f>MID(tbl_lock[[#This Row],[PACE Job Number]],3,3)</f>
        <v>STX</v>
      </c>
      <c r="C4289" t="s">
        <v>17</v>
      </c>
      <c r="D4289" s="1">
        <v>43419</v>
      </c>
    </row>
    <row r="4290" spans="1:4" x14ac:dyDescent="0.25">
      <c r="A4290" t="s">
        <v>664</v>
      </c>
      <c r="B4290" t="str">
        <f>MID(tbl_lock[[#This Row],[PACE Job Number]],3,3)</f>
        <v>STX</v>
      </c>
      <c r="C4290" t="s">
        <v>17</v>
      </c>
      <c r="D4290" s="1">
        <v>43419</v>
      </c>
    </row>
    <row r="4291" spans="1:4" x14ac:dyDescent="0.25">
      <c r="A4291" t="s">
        <v>126</v>
      </c>
      <c r="B4291" t="str">
        <f>MID(tbl_lock[[#This Row],[PACE Job Number]],3,3)</f>
        <v>WSH</v>
      </c>
      <c r="C4291" t="s">
        <v>17</v>
      </c>
      <c r="D4291" s="1">
        <v>43434</v>
      </c>
    </row>
    <row r="4292" spans="1:4" x14ac:dyDescent="0.25">
      <c r="A4292" t="s">
        <v>225</v>
      </c>
      <c r="B4292" t="str">
        <f>MID(tbl_lock[[#This Row],[PACE Job Number]],3,3)</f>
        <v>WSH</v>
      </c>
      <c r="C4292" t="s">
        <v>17</v>
      </c>
      <c r="D4292" s="1">
        <v>43405</v>
      </c>
    </row>
    <row r="4293" spans="1:4" x14ac:dyDescent="0.25">
      <c r="A4293" t="s">
        <v>4581</v>
      </c>
      <c r="B4293" t="str">
        <f>MID(tbl_lock[[#This Row],[PACE Job Number]],3,3)</f>
        <v>WSH</v>
      </c>
      <c r="C4293" t="s">
        <v>17</v>
      </c>
      <c r="D4293" s="1">
        <v>43434</v>
      </c>
    </row>
    <row r="4294" spans="1:4" x14ac:dyDescent="0.25">
      <c r="A4294" t="s">
        <v>3458</v>
      </c>
      <c r="B4294" t="str">
        <f>MID(tbl_lock[[#This Row],[PACE Job Number]],3,3)</f>
        <v>WSH</v>
      </c>
      <c r="C4294" t="s">
        <v>17</v>
      </c>
      <c r="D4294" s="1">
        <v>43434</v>
      </c>
    </row>
    <row r="4295" spans="1:4" x14ac:dyDescent="0.25">
      <c r="A4295" t="s">
        <v>3925</v>
      </c>
      <c r="B4295" t="str">
        <f>MID(tbl_lock[[#This Row],[PACE Job Number]],3,3)</f>
        <v>WSH</v>
      </c>
      <c r="C4295" t="s">
        <v>17</v>
      </c>
      <c r="D4295" s="1">
        <v>43434</v>
      </c>
    </row>
    <row r="4296" spans="1:4" x14ac:dyDescent="0.25">
      <c r="A4296" t="s">
        <v>3926</v>
      </c>
      <c r="B4296" t="str">
        <f>MID(tbl_lock[[#This Row],[PACE Job Number]],3,3)</f>
        <v>WSH</v>
      </c>
      <c r="C4296" t="s">
        <v>17</v>
      </c>
      <c r="D4296" s="1">
        <v>43434</v>
      </c>
    </row>
    <row r="4297" spans="1:4" x14ac:dyDescent="0.25">
      <c r="A4297" t="s">
        <v>3927</v>
      </c>
      <c r="B4297" t="str">
        <f>MID(tbl_lock[[#This Row],[PACE Job Number]],3,3)</f>
        <v>WSH</v>
      </c>
      <c r="C4297" t="s">
        <v>17</v>
      </c>
      <c r="D4297" s="1">
        <v>43434</v>
      </c>
    </row>
    <row r="4298" spans="1:4" x14ac:dyDescent="0.25">
      <c r="A4298" t="s">
        <v>4267</v>
      </c>
      <c r="B4298" t="str">
        <f>MID(tbl_lock[[#This Row],[PACE Job Number]],3,3)</f>
        <v>WSH</v>
      </c>
      <c r="C4298" t="s">
        <v>17</v>
      </c>
      <c r="D4298" s="1">
        <v>43434</v>
      </c>
    </row>
    <row r="4299" spans="1:4" x14ac:dyDescent="0.25">
      <c r="A4299" t="s">
        <v>3441</v>
      </c>
      <c r="B4299" t="str">
        <f>MID(tbl_lock[[#This Row],[PACE Job Number]],3,3)</f>
        <v>WSH</v>
      </c>
      <c r="C4299" t="s">
        <v>17</v>
      </c>
      <c r="D4299" s="1">
        <v>43413</v>
      </c>
    </row>
    <row r="4300" spans="1:4" x14ac:dyDescent="0.25">
      <c r="A4300" t="s">
        <v>2374</v>
      </c>
      <c r="B4300" t="str">
        <f>MID(tbl_lock[[#This Row],[PACE Job Number]],3,3)</f>
        <v>NTX</v>
      </c>
      <c r="C4300" t="s">
        <v>17</v>
      </c>
      <c r="D4300" s="1">
        <v>43430</v>
      </c>
    </row>
    <row r="4301" spans="1:4" x14ac:dyDescent="0.25">
      <c r="A4301" t="s">
        <v>2375</v>
      </c>
      <c r="B4301" t="str">
        <f>MID(tbl_lock[[#This Row],[PACE Job Number]],3,3)</f>
        <v>NTX</v>
      </c>
      <c r="C4301" t="s">
        <v>17</v>
      </c>
      <c r="D4301" s="1">
        <v>43430</v>
      </c>
    </row>
    <row r="4302" spans="1:4" x14ac:dyDescent="0.25">
      <c r="A4302" t="s">
        <v>1202</v>
      </c>
      <c r="B4302" t="str">
        <f>MID(tbl_lock[[#This Row],[PACE Job Number]],3,3)</f>
        <v>NTX</v>
      </c>
      <c r="C4302" t="s">
        <v>17</v>
      </c>
      <c r="D4302" s="1">
        <v>43421</v>
      </c>
    </row>
    <row r="4303" spans="1:4" x14ac:dyDescent="0.25">
      <c r="A4303" t="s">
        <v>3932</v>
      </c>
      <c r="B4303" t="str">
        <f>MID(tbl_lock[[#This Row],[PACE Job Number]],3,3)</f>
        <v>NTX</v>
      </c>
      <c r="C4303" t="s">
        <v>17</v>
      </c>
      <c r="D4303" s="1">
        <v>43408</v>
      </c>
    </row>
    <row r="4304" spans="1:4" x14ac:dyDescent="0.25">
      <c r="A4304" t="s">
        <v>5613</v>
      </c>
      <c r="B4304" t="str">
        <f>MID(tbl_lock[[#This Row],[PACE Job Number]],3,3)</f>
        <v>STX</v>
      </c>
      <c r="C4304" t="s">
        <v>17</v>
      </c>
      <c r="D4304" s="1">
        <v>43410</v>
      </c>
    </row>
    <row r="4305" spans="1:4" x14ac:dyDescent="0.25">
      <c r="A4305" t="s">
        <v>3101</v>
      </c>
      <c r="B4305" t="str">
        <f>MID(tbl_lock[[#This Row],[PACE Job Number]],3,3)</f>
        <v>STX</v>
      </c>
      <c r="C4305" t="s">
        <v>17</v>
      </c>
      <c r="D4305" s="1">
        <v>43405</v>
      </c>
    </row>
    <row r="4306" spans="1:4" x14ac:dyDescent="0.25">
      <c r="A4306" t="s">
        <v>2606</v>
      </c>
      <c r="B4306" t="str">
        <f>MID(tbl_lock[[#This Row],[PACE Job Number]],3,3)</f>
        <v>STX</v>
      </c>
      <c r="C4306" t="s">
        <v>17</v>
      </c>
      <c r="D4306" s="1">
        <v>43405</v>
      </c>
    </row>
    <row r="4307" spans="1:4" x14ac:dyDescent="0.25">
      <c r="A4307" t="s">
        <v>5575</v>
      </c>
      <c r="B4307" t="str">
        <f>MID(tbl_lock[[#This Row],[PACE Job Number]],3,3)</f>
        <v>STX</v>
      </c>
      <c r="C4307" t="s">
        <v>17</v>
      </c>
      <c r="D4307" s="1">
        <v>43419</v>
      </c>
    </row>
    <row r="4308" spans="1:4" x14ac:dyDescent="0.25">
      <c r="A4308" t="s">
        <v>423</v>
      </c>
      <c r="B4308" t="str">
        <f>MID(tbl_lock[[#This Row],[PACE Job Number]],3,3)</f>
        <v>STX</v>
      </c>
      <c r="C4308" t="s">
        <v>17</v>
      </c>
      <c r="D4308" s="1">
        <v>43419</v>
      </c>
    </row>
    <row r="4309" spans="1:4" x14ac:dyDescent="0.25">
      <c r="A4309" t="s">
        <v>1074</v>
      </c>
      <c r="B4309" t="str">
        <f>MID(tbl_lock[[#This Row],[PACE Job Number]],3,3)</f>
        <v>STX</v>
      </c>
      <c r="C4309" t="s">
        <v>17</v>
      </c>
      <c r="D4309" s="1">
        <v>43434</v>
      </c>
    </row>
    <row r="4310" spans="1:4" x14ac:dyDescent="0.25">
      <c r="A4310" t="s">
        <v>5576</v>
      </c>
      <c r="B4310" t="str">
        <f>MID(tbl_lock[[#This Row],[PACE Job Number]],3,3)</f>
        <v>STX</v>
      </c>
      <c r="C4310" t="s">
        <v>17</v>
      </c>
      <c r="D4310" s="1">
        <v>43434</v>
      </c>
    </row>
    <row r="4311" spans="1:4" x14ac:dyDescent="0.25">
      <c r="A4311" t="s">
        <v>5577</v>
      </c>
      <c r="B4311" t="str">
        <f>MID(tbl_lock[[#This Row],[PACE Job Number]],3,3)</f>
        <v>STX</v>
      </c>
      <c r="C4311" t="s">
        <v>17</v>
      </c>
      <c r="D4311" s="1">
        <v>43434</v>
      </c>
    </row>
    <row r="4312" spans="1:4" x14ac:dyDescent="0.25">
      <c r="A4312" t="s">
        <v>760</v>
      </c>
      <c r="B4312" t="str">
        <f>MID(tbl_lock[[#This Row],[PACE Job Number]],3,3)</f>
        <v>STX</v>
      </c>
      <c r="C4312" t="s">
        <v>17</v>
      </c>
      <c r="D4312" s="1">
        <v>43418</v>
      </c>
    </row>
    <row r="4313" spans="1:4" x14ac:dyDescent="0.25">
      <c r="A4313" t="s">
        <v>3846</v>
      </c>
      <c r="B4313" t="str">
        <f>MID(tbl_lock[[#This Row],[PACE Job Number]],3,3)</f>
        <v>WSH</v>
      </c>
      <c r="C4313" t="s">
        <v>17</v>
      </c>
      <c r="D4313" s="1">
        <v>43434</v>
      </c>
    </row>
    <row r="4314" spans="1:4" x14ac:dyDescent="0.25">
      <c r="A4314" t="s">
        <v>3412</v>
      </c>
      <c r="B4314" t="str">
        <f>MID(tbl_lock[[#This Row],[PACE Job Number]],3,3)</f>
        <v>WSH</v>
      </c>
      <c r="C4314" t="s">
        <v>17</v>
      </c>
      <c r="D4314" s="1">
        <v>43434</v>
      </c>
    </row>
    <row r="4315" spans="1:4" x14ac:dyDescent="0.25">
      <c r="A4315" t="s">
        <v>3847</v>
      </c>
      <c r="B4315" t="str">
        <f>MID(tbl_lock[[#This Row],[PACE Job Number]],3,3)</f>
        <v>WSH</v>
      </c>
      <c r="C4315" t="s">
        <v>17</v>
      </c>
      <c r="D4315" s="1">
        <v>43434</v>
      </c>
    </row>
    <row r="4316" spans="1:4" x14ac:dyDescent="0.25">
      <c r="A4316" t="s">
        <v>4582</v>
      </c>
      <c r="B4316" t="str">
        <f>MID(tbl_lock[[#This Row],[PACE Job Number]],3,3)</f>
        <v>WSH</v>
      </c>
      <c r="C4316" t="s">
        <v>17</v>
      </c>
      <c r="D4316" s="1">
        <v>43434</v>
      </c>
    </row>
    <row r="4317" spans="1:4" x14ac:dyDescent="0.25">
      <c r="A4317" t="s">
        <v>3850</v>
      </c>
      <c r="B4317" t="str">
        <f>MID(tbl_lock[[#This Row],[PACE Job Number]],3,3)</f>
        <v>WSH</v>
      </c>
      <c r="C4317" t="s">
        <v>17</v>
      </c>
      <c r="D4317" s="1">
        <v>43434</v>
      </c>
    </row>
    <row r="4318" spans="1:4" x14ac:dyDescent="0.25">
      <c r="A4318" t="s">
        <v>3851</v>
      </c>
      <c r="B4318" t="str">
        <f>MID(tbl_lock[[#This Row],[PACE Job Number]],3,3)</f>
        <v>WSH</v>
      </c>
      <c r="C4318" t="s">
        <v>17</v>
      </c>
      <c r="D4318" s="1">
        <v>43434</v>
      </c>
    </row>
    <row r="4319" spans="1:4" x14ac:dyDescent="0.25">
      <c r="A4319" t="s">
        <v>3852</v>
      </c>
      <c r="B4319" t="str">
        <f>MID(tbl_lock[[#This Row],[PACE Job Number]],3,3)</f>
        <v>WSH</v>
      </c>
      <c r="C4319" t="s">
        <v>17</v>
      </c>
      <c r="D4319" s="1">
        <v>43434</v>
      </c>
    </row>
    <row r="4320" spans="1:4" x14ac:dyDescent="0.25">
      <c r="A4320" t="s">
        <v>178</v>
      </c>
      <c r="B4320" t="str">
        <f>MID(tbl_lock[[#This Row],[PACE Job Number]],3,3)</f>
        <v>WSH</v>
      </c>
      <c r="C4320" t="s">
        <v>17</v>
      </c>
      <c r="D4320" s="1">
        <v>43434</v>
      </c>
    </row>
    <row r="4321" spans="1:4" x14ac:dyDescent="0.25">
      <c r="A4321" t="s">
        <v>184</v>
      </c>
      <c r="B4321" t="str">
        <f>MID(tbl_lock[[#This Row],[PACE Job Number]],3,3)</f>
        <v>WSH</v>
      </c>
      <c r="C4321" t="s">
        <v>17</v>
      </c>
      <c r="D4321" s="1">
        <v>43434</v>
      </c>
    </row>
    <row r="4322" spans="1:4" x14ac:dyDescent="0.25">
      <c r="A4322" t="s">
        <v>3855</v>
      </c>
      <c r="B4322" t="str">
        <f>MID(tbl_lock[[#This Row],[PACE Job Number]],3,3)</f>
        <v>WSH</v>
      </c>
      <c r="C4322" t="s">
        <v>17</v>
      </c>
      <c r="D4322" s="1">
        <v>43434</v>
      </c>
    </row>
    <row r="4323" spans="1:4" x14ac:dyDescent="0.25">
      <c r="A4323" t="s">
        <v>3856</v>
      </c>
      <c r="B4323" t="str">
        <f>MID(tbl_lock[[#This Row],[PACE Job Number]],3,3)</f>
        <v>WSH</v>
      </c>
      <c r="C4323" t="s">
        <v>17</v>
      </c>
      <c r="D4323" s="1">
        <v>43434</v>
      </c>
    </row>
    <row r="4324" spans="1:4" x14ac:dyDescent="0.25">
      <c r="A4324" t="s">
        <v>143</v>
      </c>
      <c r="B4324" t="str">
        <f>MID(tbl_lock[[#This Row],[PACE Job Number]],3,3)</f>
        <v>WSH</v>
      </c>
      <c r="C4324" t="s">
        <v>17</v>
      </c>
      <c r="D4324" s="1">
        <v>43434</v>
      </c>
    </row>
    <row r="4325" spans="1:4" x14ac:dyDescent="0.25">
      <c r="A4325" t="s">
        <v>81</v>
      </c>
      <c r="B4325" t="str">
        <f>MID(tbl_lock[[#This Row],[PACE Job Number]],3,3)</f>
        <v>WSH</v>
      </c>
      <c r="C4325" t="s">
        <v>17</v>
      </c>
      <c r="D4325" s="1">
        <v>43434</v>
      </c>
    </row>
    <row r="4326" spans="1:4" x14ac:dyDescent="0.25">
      <c r="A4326" t="s">
        <v>3860</v>
      </c>
      <c r="B4326" t="str">
        <f>MID(tbl_lock[[#This Row],[PACE Job Number]],3,3)</f>
        <v>WSH</v>
      </c>
      <c r="C4326" t="s">
        <v>17</v>
      </c>
      <c r="D4326" s="1">
        <v>43434</v>
      </c>
    </row>
    <row r="4327" spans="1:4" x14ac:dyDescent="0.25">
      <c r="A4327" t="s">
        <v>3862</v>
      </c>
      <c r="B4327" t="str">
        <f>MID(tbl_lock[[#This Row],[PACE Job Number]],3,3)</f>
        <v>WSH</v>
      </c>
      <c r="C4327" t="s">
        <v>17</v>
      </c>
      <c r="D4327" s="1">
        <v>43434</v>
      </c>
    </row>
    <row r="4328" spans="1:4" x14ac:dyDescent="0.25">
      <c r="A4328" t="s">
        <v>2344</v>
      </c>
      <c r="B4328" t="str">
        <f>MID(tbl_lock[[#This Row],[PACE Job Number]],3,3)</f>
        <v>NTX</v>
      </c>
      <c r="C4328" t="s">
        <v>17</v>
      </c>
      <c r="D4328" s="1">
        <v>43406</v>
      </c>
    </row>
    <row r="4329" spans="1:4" x14ac:dyDescent="0.25">
      <c r="A4329" t="s">
        <v>295</v>
      </c>
      <c r="B4329" t="str">
        <f>MID(tbl_lock[[#This Row],[PACE Job Number]],3,3)</f>
        <v>STX</v>
      </c>
      <c r="C4329" t="s">
        <v>17</v>
      </c>
      <c r="D4329" s="1">
        <v>43419</v>
      </c>
    </row>
    <row r="4330" spans="1:4" x14ac:dyDescent="0.25">
      <c r="A4330" t="s">
        <v>4526</v>
      </c>
      <c r="B4330" t="str">
        <f>MID(tbl_lock[[#This Row],[PACE Job Number]],3,3)</f>
        <v>STX</v>
      </c>
      <c r="C4330" t="s">
        <v>17</v>
      </c>
      <c r="D4330" s="1">
        <v>43419</v>
      </c>
    </row>
    <row r="4331" spans="1:4" x14ac:dyDescent="0.25">
      <c r="A4331" t="s">
        <v>3244</v>
      </c>
      <c r="B4331" t="str">
        <f>MID(tbl_lock[[#This Row],[PACE Job Number]],3,3)</f>
        <v>STX</v>
      </c>
      <c r="C4331" t="s">
        <v>17</v>
      </c>
      <c r="D4331" s="1">
        <v>43434</v>
      </c>
    </row>
    <row r="4332" spans="1:4" x14ac:dyDescent="0.25">
      <c r="A4332" t="s">
        <v>3257</v>
      </c>
      <c r="B4332" t="str">
        <f>MID(tbl_lock[[#This Row],[PACE Job Number]],3,3)</f>
        <v>STX</v>
      </c>
      <c r="C4332" t="s">
        <v>17</v>
      </c>
      <c r="D4332" s="1">
        <v>43419</v>
      </c>
    </row>
    <row r="4333" spans="1:4" x14ac:dyDescent="0.25">
      <c r="A4333" t="s">
        <v>648</v>
      </c>
      <c r="B4333" t="str">
        <f>MID(tbl_lock[[#This Row],[PACE Job Number]],3,3)</f>
        <v>STX</v>
      </c>
      <c r="C4333" t="s">
        <v>17</v>
      </c>
      <c r="D4333" s="1">
        <v>43434</v>
      </c>
    </row>
    <row r="4334" spans="1:4" x14ac:dyDescent="0.25">
      <c r="A4334" t="s">
        <v>577</v>
      </c>
      <c r="B4334" t="str">
        <f>MID(tbl_lock[[#This Row],[PACE Job Number]],3,3)</f>
        <v>STX</v>
      </c>
      <c r="C4334" t="s">
        <v>17</v>
      </c>
      <c r="D4334" s="1">
        <v>43434</v>
      </c>
    </row>
    <row r="4335" spans="1:4" x14ac:dyDescent="0.25">
      <c r="A4335" t="s">
        <v>745</v>
      </c>
      <c r="B4335" t="str">
        <f>MID(tbl_lock[[#This Row],[PACE Job Number]],3,3)</f>
        <v>STX</v>
      </c>
      <c r="C4335" t="s">
        <v>17</v>
      </c>
      <c r="D4335" s="1">
        <v>43405</v>
      </c>
    </row>
    <row r="4336" spans="1:4" x14ac:dyDescent="0.25">
      <c r="A4336" t="s">
        <v>4353</v>
      </c>
      <c r="B4336" t="str">
        <f>MID(tbl_lock[[#This Row],[PACE Job Number]],3,3)</f>
        <v>STX</v>
      </c>
      <c r="C4336" t="s">
        <v>17</v>
      </c>
      <c r="D4336" s="1">
        <v>43419</v>
      </c>
    </row>
    <row r="4337" spans="1:4" x14ac:dyDescent="0.25">
      <c r="A4337" t="s">
        <v>5614</v>
      </c>
      <c r="B4337" t="str">
        <f>MID(tbl_lock[[#This Row],[PACE Job Number]],3,3)</f>
        <v>STX</v>
      </c>
      <c r="C4337" t="s">
        <v>17</v>
      </c>
      <c r="D4337" s="1">
        <v>43410</v>
      </c>
    </row>
    <row r="4338" spans="1:4" x14ac:dyDescent="0.25">
      <c r="A4338" t="s">
        <v>4355</v>
      </c>
      <c r="B4338" t="str">
        <f>MID(tbl_lock[[#This Row],[PACE Job Number]],3,3)</f>
        <v>STX</v>
      </c>
      <c r="C4338" t="s">
        <v>17</v>
      </c>
      <c r="D4338" s="1">
        <v>43434</v>
      </c>
    </row>
    <row r="4339" spans="1:4" x14ac:dyDescent="0.25">
      <c r="A4339" t="s">
        <v>721</v>
      </c>
      <c r="B4339" t="str">
        <f>MID(tbl_lock[[#This Row],[PACE Job Number]],3,3)</f>
        <v>STX</v>
      </c>
      <c r="C4339" t="s">
        <v>17</v>
      </c>
      <c r="D4339" s="1">
        <v>43434</v>
      </c>
    </row>
    <row r="4340" spans="1:4" x14ac:dyDescent="0.25">
      <c r="A4340" t="s">
        <v>538</v>
      </c>
      <c r="B4340" t="str">
        <f>MID(tbl_lock[[#This Row],[PACE Job Number]],3,3)</f>
        <v>STX</v>
      </c>
      <c r="C4340" t="s">
        <v>17</v>
      </c>
      <c r="D4340" s="1">
        <v>43434</v>
      </c>
    </row>
    <row r="4341" spans="1:4" x14ac:dyDescent="0.25">
      <c r="A4341" t="s">
        <v>4358</v>
      </c>
      <c r="B4341" t="str">
        <f>MID(tbl_lock[[#This Row],[PACE Job Number]],3,3)</f>
        <v>STX</v>
      </c>
      <c r="C4341" t="s">
        <v>17</v>
      </c>
      <c r="D4341" s="1">
        <v>43419</v>
      </c>
    </row>
    <row r="4342" spans="1:4" x14ac:dyDescent="0.25">
      <c r="A4342" t="s">
        <v>516</v>
      </c>
      <c r="B4342" t="str">
        <f>MID(tbl_lock[[#This Row],[PACE Job Number]],3,3)</f>
        <v>NTX</v>
      </c>
      <c r="C4342" t="s">
        <v>17</v>
      </c>
      <c r="D4342" s="1">
        <v>43408</v>
      </c>
    </row>
    <row r="4343" spans="1:4" x14ac:dyDescent="0.25">
      <c r="A4343" t="s">
        <v>328</v>
      </c>
      <c r="B4343" t="str">
        <f>MID(tbl_lock[[#This Row],[PACE Job Number]],3,3)</f>
        <v>NTX</v>
      </c>
      <c r="C4343" t="s">
        <v>17</v>
      </c>
      <c r="D4343" s="1">
        <v>43405</v>
      </c>
    </row>
    <row r="4344" spans="1:4" x14ac:dyDescent="0.25">
      <c r="A4344" t="s">
        <v>5615</v>
      </c>
      <c r="B4344" t="str">
        <f>MID(tbl_lock[[#This Row],[PACE Job Number]],3,3)</f>
        <v>NTX</v>
      </c>
      <c r="C4344" t="s">
        <v>17</v>
      </c>
      <c r="D4344" s="1">
        <v>43430</v>
      </c>
    </row>
    <row r="4345" spans="1:4" x14ac:dyDescent="0.25">
      <c r="A4345" t="s">
        <v>245</v>
      </c>
      <c r="B4345" t="str">
        <f>MID(tbl_lock[[#This Row],[PACE Job Number]],3,3)</f>
        <v>NTX</v>
      </c>
      <c r="C4345" t="s">
        <v>17</v>
      </c>
      <c r="D4345" s="1">
        <v>43406</v>
      </c>
    </row>
    <row r="4346" spans="1:4" x14ac:dyDescent="0.25">
      <c r="A4346" t="s">
        <v>3449</v>
      </c>
      <c r="B4346" t="str">
        <f>MID(tbl_lock[[#This Row],[PACE Job Number]],3,3)</f>
        <v>NTX</v>
      </c>
      <c r="C4346" t="s">
        <v>17</v>
      </c>
      <c r="D4346" s="1">
        <v>43405</v>
      </c>
    </row>
    <row r="4347" spans="1:4" x14ac:dyDescent="0.25">
      <c r="A4347" t="s">
        <v>129</v>
      </c>
      <c r="B4347" t="str">
        <f>MID(tbl_lock[[#This Row],[PACE Job Number]],3,3)</f>
        <v>NTX</v>
      </c>
      <c r="C4347" t="s">
        <v>17</v>
      </c>
      <c r="D4347" s="1">
        <v>43432</v>
      </c>
    </row>
    <row r="4348" spans="1:4" x14ac:dyDescent="0.25">
      <c r="A4348" t="s">
        <v>3885</v>
      </c>
      <c r="B4348" t="str">
        <f>MID(tbl_lock[[#This Row],[PACE Job Number]],3,3)</f>
        <v>NTX</v>
      </c>
      <c r="C4348" t="s">
        <v>17</v>
      </c>
      <c r="D4348" s="1">
        <v>43405</v>
      </c>
    </row>
    <row r="4349" spans="1:4" x14ac:dyDescent="0.25">
      <c r="A4349" t="s">
        <v>3886</v>
      </c>
      <c r="B4349" t="str">
        <f>MID(tbl_lock[[#This Row],[PACE Job Number]],3,3)</f>
        <v>NTX</v>
      </c>
      <c r="C4349" t="s">
        <v>17</v>
      </c>
      <c r="D4349" s="1">
        <v>43408</v>
      </c>
    </row>
    <row r="4350" spans="1:4" x14ac:dyDescent="0.25">
      <c r="A4350" t="s">
        <v>3486</v>
      </c>
      <c r="B4350" t="str">
        <f>MID(tbl_lock[[#This Row],[PACE Job Number]],3,3)</f>
        <v>NTX</v>
      </c>
      <c r="C4350" t="s">
        <v>17</v>
      </c>
      <c r="D4350" s="1">
        <v>43426</v>
      </c>
    </row>
    <row r="4351" spans="1:4" x14ac:dyDescent="0.25">
      <c r="A4351" t="s">
        <v>3489</v>
      </c>
      <c r="B4351" t="str">
        <f>MID(tbl_lock[[#This Row],[PACE Job Number]],3,3)</f>
        <v>NTX</v>
      </c>
      <c r="C4351" t="s">
        <v>17</v>
      </c>
      <c r="D4351" s="1">
        <v>43426</v>
      </c>
    </row>
    <row r="4352" spans="1:4" x14ac:dyDescent="0.25">
      <c r="A4352" t="s">
        <v>1729</v>
      </c>
      <c r="B4352" t="str">
        <f>MID(tbl_lock[[#This Row],[PACE Job Number]],3,3)</f>
        <v>NTX</v>
      </c>
      <c r="C4352" t="s">
        <v>17</v>
      </c>
      <c r="D4352" s="1">
        <v>43408</v>
      </c>
    </row>
    <row r="4353" spans="1:4" x14ac:dyDescent="0.25">
      <c r="A4353" t="s">
        <v>3892</v>
      </c>
      <c r="B4353" t="str">
        <f>MID(tbl_lock[[#This Row],[PACE Job Number]],3,3)</f>
        <v>NTX</v>
      </c>
      <c r="C4353" t="s">
        <v>17</v>
      </c>
      <c r="D4353" s="1">
        <v>43408</v>
      </c>
    </row>
    <row r="4354" spans="1:4" x14ac:dyDescent="0.25">
      <c r="A4354" t="s">
        <v>3893</v>
      </c>
      <c r="B4354" t="str">
        <f>MID(tbl_lock[[#This Row],[PACE Job Number]],3,3)</f>
        <v>NTX</v>
      </c>
      <c r="C4354" t="s">
        <v>17</v>
      </c>
      <c r="D4354" s="1">
        <v>43408</v>
      </c>
    </row>
    <row r="4355" spans="1:4" x14ac:dyDescent="0.25">
      <c r="A4355" t="s">
        <v>4538</v>
      </c>
      <c r="B4355" t="str">
        <f>MID(tbl_lock[[#This Row],[PACE Job Number]],3,3)</f>
        <v>NTX</v>
      </c>
      <c r="C4355" t="s">
        <v>17</v>
      </c>
      <c r="D4355" s="1">
        <v>43406</v>
      </c>
    </row>
    <row r="4356" spans="1:4" x14ac:dyDescent="0.25">
      <c r="A4356" t="s">
        <v>4544</v>
      </c>
      <c r="B4356" t="str">
        <f>MID(tbl_lock[[#This Row],[PACE Job Number]],3,3)</f>
        <v>NTX</v>
      </c>
      <c r="C4356" t="s">
        <v>17</v>
      </c>
      <c r="D4356" s="1">
        <v>43406</v>
      </c>
    </row>
    <row r="4357" spans="1:4" x14ac:dyDescent="0.25">
      <c r="A4357" t="s">
        <v>3386</v>
      </c>
      <c r="B4357" t="str">
        <f>MID(tbl_lock[[#This Row],[PACE Job Number]],3,3)</f>
        <v>NTX</v>
      </c>
      <c r="C4357" t="s">
        <v>17</v>
      </c>
      <c r="D4357" s="1">
        <v>43408</v>
      </c>
    </row>
    <row r="4358" spans="1:4" x14ac:dyDescent="0.25">
      <c r="A4358" t="s">
        <v>4545</v>
      </c>
      <c r="B4358" t="str">
        <f>MID(tbl_lock[[#This Row],[PACE Job Number]],3,3)</f>
        <v>NTX</v>
      </c>
      <c r="C4358" t="s">
        <v>17</v>
      </c>
      <c r="D4358" s="1">
        <v>43406</v>
      </c>
    </row>
    <row r="4359" spans="1:4" x14ac:dyDescent="0.25">
      <c r="A4359" t="s">
        <v>212</v>
      </c>
      <c r="B4359" t="str">
        <f>MID(tbl_lock[[#This Row],[PACE Job Number]],3,3)</f>
        <v>NTX</v>
      </c>
      <c r="C4359" t="s">
        <v>17</v>
      </c>
      <c r="D4359" s="1">
        <v>43422</v>
      </c>
    </row>
    <row r="4360" spans="1:4" x14ac:dyDescent="0.25">
      <c r="A4360" t="s">
        <v>4602</v>
      </c>
      <c r="B4360" t="str">
        <f>MID(tbl_lock[[#This Row],[PACE Job Number]],3,3)</f>
        <v>WSH</v>
      </c>
      <c r="C4360" t="s">
        <v>17</v>
      </c>
      <c r="D4360" s="1">
        <v>43405</v>
      </c>
    </row>
    <row r="4361" spans="1:4" x14ac:dyDescent="0.25">
      <c r="A4361" t="s">
        <v>2960</v>
      </c>
      <c r="B4361" t="str">
        <f>MID(tbl_lock[[#This Row],[PACE Job Number]],3,3)</f>
        <v>STX</v>
      </c>
      <c r="C4361" t="s">
        <v>17</v>
      </c>
      <c r="D4361" s="1">
        <v>43419</v>
      </c>
    </row>
    <row r="4362" spans="1:4" x14ac:dyDescent="0.25">
      <c r="A4362" t="s">
        <v>561</v>
      </c>
      <c r="B4362" t="str">
        <f>MID(tbl_lock[[#This Row],[PACE Job Number]],3,3)</f>
        <v>STX</v>
      </c>
      <c r="C4362" t="s">
        <v>17</v>
      </c>
      <c r="D4362" s="1">
        <v>43419</v>
      </c>
    </row>
    <row r="4363" spans="1:4" x14ac:dyDescent="0.25">
      <c r="A4363" t="s">
        <v>3113</v>
      </c>
      <c r="B4363" t="str">
        <f>MID(tbl_lock[[#This Row],[PACE Job Number]],3,3)</f>
        <v>STX</v>
      </c>
      <c r="C4363" t="s">
        <v>17</v>
      </c>
      <c r="D4363" s="1">
        <v>43419</v>
      </c>
    </row>
    <row r="4364" spans="1:4" x14ac:dyDescent="0.25">
      <c r="A4364" t="s">
        <v>534</v>
      </c>
      <c r="B4364" t="str">
        <f>MID(tbl_lock[[#This Row],[PACE Job Number]],3,3)</f>
        <v>STX</v>
      </c>
      <c r="C4364" t="s">
        <v>17</v>
      </c>
      <c r="D4364" s="1">
        <v>43419</v>
      </c>
    </row>
    <row r="4365" spans="1:4" x14ac:dyDescent="0.25">
      <c r="A4365" t="s">
        <v>4656</v>
      </c>
      <c r="B4365" t="str">
        <f>MID(tbl_lock[[#This Row],[PACE Job Number]],3,3)</f>
        <v>STX</v>
      </c>
      <c r="C4365" t="s">
        <v>17</v>
      </c>
      <c r="D4365" s="1">
        <v>43405</v>
      </c>
    </row>
    <row r="4366" spans="1:4" x14ac:dyDescent="0.25">
      <c r="A4366" t="s">
        <v>3964</v>
      </c>
      <c r="B4366" t="str">
        <f>MID(tbl_lock[[#This Row],[PACE Job Number]],3,3)</f>
        <v>STX</v>
      </c>
      <c r="C4366" t="s">
        <v>17</v>
      </c>
      <c r="D4366" s="1">
        <v>43419</v>
      </c>
    </row>
    <row r="4367" spans="1:4" x14ac:dyDescent="0.25">
      <c r="A4367" t="s">
        <v>4657</v>
      </c>
      <c r="B4367" t="str">
        <f>MID(tbl_lock[[#This Row],[PACE Job Number]],3,3)</f>
        <v>STX</v>
      </c>
      <c r="C4367" t="s">
        <v>17</v>
      </c>
      <c r="D4367" s="1">
        <v>43405</v>
      </c>
    </row>
    <row r="4368" spans="1:4" x14ac:dyDescent="0.25">
      <c r="A4368" t="s">
        <v>4470</v>
      </c>
      <c r="B4368" t="str">
        <f>MID(tbl_lock[[#This Row],[PACE Job Number]],3,3)</f>
        <v>STX</v>
      </c>
      <c r="C4368" t="s">
        <v>17</v>
      </c>
      <c r="D4368" s="1">
        <v>43419</v>
      </c>
    </row>
    <row r="4369" spans="1:4" x14ac:dyDescent="0.25">
      <c r="A4369" t="s">
        <v>3296</v>
      </c>
      <c r="B4369" t="str">
        <f>MID(tbl_lock[[#This Row],[PACE Job Number]],3,3)</f>
        <v>STX</v>
      </c>
      <c r="C4369" t="s">
        <v>17</v>
      </c>
      <c r="D4369" s="1">
        <v>43419</v>
      </c>
    </row>
    <row r="4370" spans="1:4" x14ac:dyDescent="0.25">
      <c r="A4370" t="s">
        <v>524</v>
      </c>
      <c r="B4370" t="str">
        <f>MID(tbl_lock[[#This Row],[PACE Job Number]],3,3)</f>
        <v>STX</v>
      </c>
      <c r="C4370" t="s">
        <v>17</v>
      </c>
      <c r="D4370" s="1">
        <v>43434</v>
      </c>
    </row>
    <row r="4371" spans="1:4" x14ac:dyDescent="0.25">
      <c r="A4371" t="s">
        <v>569</v>
      </c>
      <c r="B4371" t="str">
        <f>MID(tbl_lock[[#This Row],[PACE Job Number]],3,3)</f>
        <v>STX</v>
      </c>
      <c r="C4371" t="s">
        <v>17</v>
      </c>
      <c r="D4371" s="1">
        <v>43418</v>
      </c>
    </row>
    <row r="4372" spans="1:4" x14ac:dyDescent="0.25">
      <c r="A4372" t="s">
        <v>639</v>
      </c>
      <c r="B4372" t="str">
        <f>MID(tbl_lock[[#This Row],[PACE Job Number]],3,3)</f>
        <v>STX</v>
      </c>
      <c r="C4372" t="s">
        <v>17</v>
      </c>
      <c r="D4372" s="1">
        <v>43434</v>
      </c>
    </row>
    <row r="4373" spans="1:4" x14ac:dyDescent="0.25">
      <c r="A4373" t="s">
        <v>790</v>
      </c>
      <c r="B4373" t="str">
        <f>MID(tbl_lock[[#This Row],[PACE Job Number]],3,3)</f>
        <v>STX</v>
      </c>
      <c r="C4373" t="s">
        <v>17</v>
      </c>
      <c r="D4373" s="1">
        <v>43434</v>
      </c>
    </row>
    <row r="4374" spans="1:4" x14ac:dyDescent="0.25">
      <c r="A4374" t="s">
        <v>4050</v>
      </c>
      <c r="B4374" t="str">
        <f>MID(tbl_lock[[#This Row],[PACE Job Number]],3,3)</f>
        <v>STX</v>
      </c>
      <c r="C4374" t="s">
        <v>17</v>
      </c>
      <c r="D4374" s="1">
        <v>43434</v>
      </c>
    </row>
    <row r="4375" spans="1:4" x14ac:dyDescent="0.25">
      <c r="A4375" t="s">
        <v>1095</v>
      </c>
      <c r="B4375" t="str">
        <f>MID(tbl_lock[[#This Row],[PACE Job Number]],3,3)</f>
        <v>STX</v>
      </c>
      <c r="C4375" t="s">
        <v>17</v>
      </c>
      <c r="D4375" s="1">
        <v>43418</v>
      </c>
    </row>
    <row r="4376" spans="1:4" x14ac:dyDescent="0.25">
      <c r="A4376" t="s">
        <v>4634</v>
      </c>
      <c r="B4376" t="str">
        <f>MID(tbl_lock[[#This Row],[PACE Job Number]],3,3)</f>
        <v>STX</v>
      </c>
      <c r="C4376" t="s">
        <v>17</v>
      </c>
      <c r="D4376" s="1">
        <v>43418</v>
      </c>
    </row>
    <row r="4377" spans="1:4" x14ac:dyDescent="0.25">
      <c r="A4377" t="s">
        <v>1088</v>
      </c>
      <c r="B4377" t="str">
        <f>MID(tbl_lock[[#This Row],[PACE Job Number]],3,3)</f>
        <v>STX</v>
      </c>
      <c r="C4377" t="s">
        <v>17</v>
      </c>
      <c r="D4377" s="1">
        <v>43419</v>
      </c>
    </row>
    <row r="4378" spans="1:4" x14ac:dyDescent="0.25">
      <c r="A4378" t="s">
        <v>32</v>
      </c>
      <c r="B4378" t="str">
        <f>MID(tbl_lock[[#This Row],[PACE Job Number]],3,3)</f>
        <v>STX</v>
      </c>
      <c r="C4378" t="s">
        <v>17</v>
      </c>
      <c r="D4378" s="1">
        <v>43434</v>
      </c>
    </row>
    <row r="4379" spans="1:4" x14ac:dyDescent="0.25">
      <c r="A4379" t="s">
        <v>196</v>
      </c>
      <c r="B4379" t="str">
        <f>MID(tbl_lock[[#This Row],[PACE Job Number]],3,3)</f>
        <v>STX</v>
      </c>
      <c r="C4379" t="s">
        <v>17</v>
      </c>
      <c r="D4379" s="1">
        <v>43434</v>
      </c>
    </row>
    <row r="4380" spans="1:4" x14ac:dyDescent="0.25">
      <c r="A4380" t="s">
        <v>842</v>
      </c>
      <c r="B4380" t="str">
        <f>MID(tbl_lock[[#This Row],[PACE Job Number]],3,3)</f>
        <v>STX</v>
      </c>
      <c r="C4380" t="s">
        <v>17</v>
      </c>
      <c r="D4380" s="1">
        <v>43434</v>
      </c>
    </row>
    <row r="4381" spans="1:4" x14ac:dyDescent="0.25">
      <c r="A4381" t="s">
        <v>3965</v>
      </c>
      <c r="B4381" t="str">
        <f>MID(tbl_lock[[#This Row],[PACE Job Number]],3,3)</f>
        <v>STX</v>
      </c>
      <c r="C4381" t="s">
        <v>17</v>
      </c>
      <c r="D4381" s="1">
        <v>43419</v>
      </c>
    </row>
    <row r="4382" spans="1:4" x14ac:dyDescent="0.25">
      <c r="A4382" t="s">
        <v>876</v>
      </c>
      <c r="B4382" t="str">
        <f>MID(tbl_lock[[#This Row],[PACE Job Number]],3,3)</f>
        <v>STX</v>
      </c>
      <c r="C4382" t="s">
        <v>17</v>
      </c>
      <c r="D4382" s="1">
        <v>43405</v>
      </c>
    </row>
    <row r="4383" spans="1:4" x14ac:dyDescent="0.25">
      <c r="A4383" t="s">
        <v>907</v>
      </c>
      <c r="B4383" t="str">
        <f>MID(tbl_lock[[#This Row],[PACE Job Number]],3,3)</f>
        <v>STX</v>
      </c>
      <c r="C4383" t="s">
        <v>17</v>
      </c>
      <c r="D4383" s="1">
        <v>43405</v>
      </c>
    </row>
    <row r="4384" spans="1:4" x14ac:dyDescent="0.25">
      <c r="A4384" t="s">
        <v>4473</v>
      </c>
      <c r="B4384" t="str">
        <f>MID(tbl_lock[[#This Row],[PACE Job Number]],3,3)</f>
        <v>STX</v>
      </c>
      <c r="C4384" t="s">
        <v>17</v>
      </c>
      <c r="D4384" s="1">
        <v>43419</v>
      </c>
    </row>
    <row r="4385" spans="1:4" x14ac:dyDescent="0.25">
      <c r="A4385" t="s">
        <v>4474</v>
      </c>
      <c r="B4385" t="str">
        <f>MID(tbl_lock[[#This Row],[PACE Job Number]],3,3)</f>
        <v>STX</v>
      </c>
      <c r="C4385" t="s">
        <v>17</v>
      </c>
      <c r="D4385" s="1">
        <v>43419</v>
      </c>
    </row>
    <row r="4386" spans="1:4" x14ac:dyDescent="0.25">
      <c r="A4386" t="s">
        <v>5579</v>
      </c>
      <c r="B4386" t="str">
        <f>MID(tbl_lock[[#This Row],[PACE Job Number]],3,3)</f>
        <v>STX</v>
      </c>
      <c r="C4386" t="s">
        <v>17</v>
      </c>
      <c r="D4386" s="1">
        <v>43419</v>
      </c>
    </row>
    <row r="4387" spans="1:4" x14ac:dyDescent="0.25">
      <c r="A4387" t="s">
        <v>5580</v>
      </c>
      <c r="B4387" t="str">
        <f>MID(tbl_lock[[#This Row],[PACE Job Number]],3,3)</f>
        <v>STX</v>
      </c>
      <c r="C4387" t="s">
        <v>17</v>
      </c>
      <c r="D4387" s="1">
        <v>43419</v>
      </c>
    </row>
    <row r="4388" spans="1:4" x14ac:dyDescent="0.25">
      <c r="A4388" t="s">
        <v>3371</v>
      </c>
      <c r="B4388" t="str">
        <f>MID(tbl_lock[[#This Row],[PACE Job Number]],3,3)</f>
        <v>NTX</v>
      </c>
      <c r="C4388" t="s">
        <v>17</v>
      </c>
      <c r="D4388" s="1">
        <v>43408</v>
      </c>
    </row>
    <row r="4389" spans="1:4" x14ac:dyDescent="0.25">
      <c r="A4389" t="s">
        <v>4399</v>
      </c>
      <c r="B4389" t="str">
        <f>MID(tbl_lock[[#This Row],[PACE Job Number]],3,3)</f>
        <v>STX</v>
      </c>
      <c r="C4389" t="s">
        <v>17</v>
      </c>
      <c r="D4389" s="1">
        <v>43419</v>
      </c>
    </row>
    <row r="4390" spans="1:4" x14ac:dyDescent="0.25">
      <c r="A4390" t="s">
        <v>3943</v>
      </c>
      <c r="B4390" t="str">
        <f>MID(tbl_lock[[#This Row],[PACE Job Number]],3,3)</f>
        <v>STX</v>
      </c>
      <c r="C4390" t="s">
        <v>17</v>
      </c>
      <c r="D4390" s="1">
        <v>43419</v>
      </c>
    </row>
    <row r="4391" spans="1:4" x14ac:dyDescent="0.25">
      <c r="A4391" t="s">
        <v>4647</v>
      </c>
      <c r="B4391" t="str">
        <f>MID(tbl_lock[[#This Row],[PACE Job Number]],3,3)</f>
        <v>STX</v>
      </c>
      <c r="C4391" t="s">
        <v>17</v>
      </c>
      <c r="D4391" s="1">
        <v>43434</v>
      </c>
    </row>
    <row r="4392" spans="1:4" x14ac:dyDescent="0.25">
      <c r="A4392" t="s">
        <v>218</v>
      </c>
      <c r="B4392" t="str">
        <f>MID(tbl_lock[[#This Row],[PACE Job Number]],3,3)</f>
        <v>STX</v>
      </c>
      <c r="C4392" t="s">
        <v>17</v>
      </c>
      <c r="D4392" s="1">
        <v>43434</v>
      </c>
    </row>
    <row r="4393" spans="1:4" x14ac:dyDescent="0.25">
      <c r="A4393" t="s">
        <v>652</v>
      </c>
      <c r="B4393" t="str">
        <f>MID(tbl_lock[[#This Row],[PACE Job Number]],3,3)</f>
        <v>STX</v>
      </c>
      <c r="C4393" t="s">
        <v>17</v>
      </c>
      <c r="D4393" s="1">
        <v>43419</v>
      </c>
    </row>
    <row r="4394" spans="1:4" x14ac:dyDescent="0.25">
      <c r="A4394" t="s">
        <v>3395</v>
      </c>
      <c r="B4394" t="str">
        <f>MID(tbl_lock[[#This Row],[PACE Job Number]],3,3)</f>
        <v>STX</v>
      </c>
      <c r="C4394" t="s">
        <v>17</v>
      </c>
      <c r="D4394" s="1">
        <v>43434</v>
      </c>
    </row>
    <row r="4395" spans="1:4" x14ac:dyDescent="0.25">
      <c r="A4395" t="s">
        <v>344</v>
      </c>
      <c r="B4395" t="str">
        <f>MID(tbl_lock[[#This Row],[PACE Job Number]],3,3)</f>
        <v>STX</v>
      </c>
      <c r="C4395" t="s">
        <v>17</v>
      </c>
      <c r="D4395" s="1">
        <v>43405</v>
      </c>
    </row>
    <row r="4396" spans="1:4" x14ac:dyDescent="0.25">
      <c r="A4396" t="s">
        <v>5581</v>
      </c>
      <c r="B4396" t="str">
        <f>MID(tbl_lock[[#This Row],[PACE Job Number]],3,3)</f>
        <v>STX</v>
      </c>
      <c r="C4396" t="s">
        <v>17</v>
      </c>
      <c r="D4396" s="1">
        <v>43419</v>
      </c>
    </row>
    <row r="4397" spans="1:4" x14ac:dyDescent="0.25">
      <c r="A4397" t="s">
        <v>4625</v>
      </c>
      <c r="B4397" t="str">
        <f>MID(tbl_lock[[#This Row],[PACE Job Number]],3,3)</f>
        <v>STX</v>
      </c>
      <c r="C4397" t="s">
        <v>17</v>
      </c>
      <c r="D4397" s="1">
        <v>43406</v>
      </c>
    </row>
    <row r="4398" spans="1:4" x14ac:dyDescent="0.25">
      <c r="A4398" t="s">
        <v>4409</v>
      </c>
      <c r="B4398" t="str">
        <f>MID(tbl_lock[[#This Row],[PACE Job Number]],3,3)</f>
        <v>STX</v>
      </c>
      <c r="C4398" t="s">
        <v>17</v>
      </c>
      <c r="D4398" s="1">
        <v>43419</v>
      </c>
    </row>
    <row r="4399" spans="1:4" x14ac:dyDescent="0.25">
      <c r="A4399" t="s">
        <v>747</v>
      </c>
      <c r="B4399" t="str">
        <f>MID(tbl_lock[[#This Row],[PACE Job Number]],3,3)</f>
        <v>STX</v>
      </c>
      <c r="C4399" t="s">
        <v>17</v>
      </c>
      <c r="D4399" s="1">
        <v>43434</v>
      </c>
    </row>
    <row r="4400" spans="1:4" x14ac:dyDescent="0.25">
      <c r="A4400" t="s">
        <v>4410</v>
      </c>
      <c r="B4400" t="str">
        <f>MID(tbl_lock[[#This Row],[PACE Job Number]],3,3)</f>
        <v>STX</v>
      </c>
      <c r="C4400" t="s">
        <v>17</v>
      </c>
      <c r="D4400" s="1">
        <v>43419</v>
      </c>
    </row>
    <row r="4401" spans="1:4" x14ac:dyDescent="0.25">
      <c r="A4401" t="s">
        <v>4411</v>
      </c>
      <c r="B4401" t="str">
        <f>MID(tbl_lock[[#This Row],[PACE Job Number]],3,3)</f>
        <v>STX</v>
      </c>
      <c r="C4401" t="s">
        <v>17</v>
      </c>
      <c r="D4401" s="1">
        <v>43419</v>
      </c>
    </row>
    <row r="4402" spans="1:4" x14ac:dyDescent="0.25">
      <c r="A4402" t="s">
        <v>4412</v>
      </c>
      <c r="B4402" t="str">
        <f>MID(tbl_lock[[#This Row],[PACE Job Number]],3,3)</f>
        <v>STX</v>
      </c>
      <c r="C4402" t="s">
        <v>17</v>
      </c>
      <c r="D4402" s="1">
        <v>43419</v>
      </c>
    </row>
    <row r="4403" spans="1:4" x14ac:dyDescent="0.25">
      <c r="A4403" t="s">
        <v>209</v>
      </c>
      <c r="B4403" t="str">
        <f>MID(tbl_lock[[#This Row],[PACE Job Number]],3,3)</f>
        <v>STX</v>
      </c>
      <c r="C4403" t="s">
        <v>17</v>
      </c>
      <c r="D4403" s="1">
        <v>43434</v>
      </c>
    </row>
    <row r="4404" spans="1:4" x14ac:dyDescent="0.25">
      <c r="A4404" t="s">
        <v>3472</v>
      </c>
      <c r="B4404" t="str">
        <f>MID(tbl_lock[[#This Row],[PACE Job Number]],3,3)</f>
        <v>STX</v>
      </c>
      <c r="C4404" t="s">
        <v>17</v>
      </c>
      <c r="D4404" s="1">
        <v>43419</v>
      </c>
    </row>
    <row r="4405" spans="1:4" x14ac:dyDescent="0.25">
      <c r="A4405" t="s">
        <v>5582</v>
      </c>
      <c r="B4405" t="str">
        <f>MID(tbl_lock[[#This Row],[PACE Job Number]],3,3)</f>
        <v>STX</v>
      </c>
      <c r="C4405" t="s">
        <v>17</v>
      </c>
      <c r="D4405" s="1">
        <v>43419</v>
      </c>
    </row>
    <row r="4406" spans="1:4" x14ac:dyDescent="0.25">
      <c r="A4406" t="s">
        <v>705</v>
      </c>
      <c r="B4406" t="str">
        <f>MID(tbl_lock[[#This Row],[PACE Job Number]],3,3)</f>
        <v>STX</v>
      </c>
      <c r="C4406" t="s">
        <v>17</v>
      </c>
      <c r="D4406" s="1">
        <v>43405</v>
      </c>
    </row>
    <row r="4407" spans="1:4" x14ac:dyDescent="0.25">
      <c r="A4407" t="s">
        <v>3254</v>
      </c>
      <c r="B4407" t="str">
        <f>MID(tbl_lock[[#This Row],[PACE Job Number]],3,3)</f>
        <v>STX</v>
      </c>
      <c r="C4407" t="s">
        <v>17</v>
      </c>
      <c r="D4407" s="1">
        <v>43419</v>
      </c>
    </row>
    <row r="4408" spans="1:4" x14ac:dyDescent="0.25">
      <c r="A4408" t="s">
        <v>405</v>
      </c>
      <c r="B4408" t="str">
        <f>MID(tbl_lock[[#This Row],[PACE Job Number]],3,3)</f>
        <v>STX</v>
      </c>
      <c r="C4408" t="s">
        <v>17</v>
      </c>
      <c r="D4408" s="1">
        <v>43418</v>
      </c>
    </row>
    <row r="4409" spans="1:4" x14ac:dyDescent="0.25">
      <c r="A4409" t="s">
        <v>5584</v>
      </c>
      <c r="B4409" t="str">
        <f>MID(tbl_lock[[#This Row],[PACE Job Number]],3,3)</f>
        <v>STX</v>
      </c>
      <c r="C4409" t="s">
        <v>17</v>
      </c>
      <c r="D4409" s="1">
        <v>43419</v>
      </c>
    </row>
    <row r="4410" spans="1:4" x14ac:dyDescent="0.25">
      <c r="A4410" t="s">
        <v>866</v>
      </c>
      <c r="B4410" t="str">
        <f>MID(tbl_lock[[#This Row],[PACE Job Number]],3,3)</f>
        <v>STX</v>
      </c>
      <c r="C4410" t="s">
        <v>17</v>
      </c>
      <c r="D4410" s="1">
        <v>43405</v>
      </c>
    </row>
    <row r="4411" spans="1:4" x14ac:dyDescent="0.25">
      <c r="A4411" t="s">
        <v>3373</v>
      </c>
      <c r="B4411" t="str">
        <f>MID(tbl_lock[[#This Row],[PACE Job Number]],3,3)</f>
        <v>NTX</v>
      </c>
      <c r="C4411" t="s">
        <v>17</v>
      </c>
      <c r="D4411" s="1">
        <v>43408</v>
      </c>
    </row>
    <row r="4412" spans="1:4" x14ac:dyDescent="0.25">
      <c r="A4412" t="s">
        <v>1826</v>
      </c>
      <c r="B4412" t="str">
        <f>MID(tbl_lock[[#This Row],[PACE Job Number]],3,3)</f>
        <v>NTX</v>
      </c>
      <c r="C4412" t="s">
        <v>17</v>
      </c>
      <c r="D4412" s="1">
        <v>43413</v>
      </c>
    </row>
    <row r="4413" spans="1:4" x14ac:dyDescent="0.25">
      <c r="A4413" t="s">
        <v>583</v>
      </c>
      <c r="B4413" t="str">
        <f>MID(tbl_lock[[#This Row],[PACE Job Number]],3,3)</f>
        <v>NTX</v>
      </c>
      <c r="C4413" t="s">
        <v>17</v>
      </c>
      <c r="D4413" s="1">
        <v>43408</v>
      </c>
    </row>
    <row r="4414" spans="1:4" x14ac:dyDescent="0.25">
      <c r="A4414" t="s">
        <v>80</v>
      </c>
      <c r="B4414" t="str">
        <f>MID(tbl_lock[[#This Row],[PACE Job Number]],3,3)</f>
        <v>NTX</v>
      </c>
      <c r="C4414" t="s">
        <v>17</v>
      </c>
      <c r="D4414" s="1">
        <v>43405</v>
      </c>
    </row>
    <row r="4415" spans="1:4" x14ac:dyDescent="0.25">
      <c r="A4415" t="s">
        <v>2381</v>
      </c>
      <c r="B4415" t="str">
        <f>MID(tbl_lock[[#This Row],[PACE Job Number]],3,3)</f>
        <v>NTX</v>
      </c>
      <c r="C4415" t="s">
        <v>17</v>
      </c>
      <c r="D4415" s="1">
        <v>43406</v>
      </c>
    </row>
    <row r="4416" spans="1:4" x14ac:dyDescent="0.25">
      <c r="A4416" t="s">
        <v>4019</v>
      </c>
      <c r="B4416" t="str">
        <f>MID(tbl_lock[[#This Row],[PACE Job Number]],3,3)</f>
        <v>WSH</v>
      </c>
      <c r="C4416" t="s">
        <v>17</v>
      </c>
      <c r="D4416" s="1">
        <v>43405</v>
      </c>
    </row>
    <row r="4417" spans="1:4" x14ac:dyDescent="0.25">
      <c r="A4417" t="s">
        <v>3779</v>
      </c>
      <c r="B4417" t="str">
        <f>MID(tbl_lock[[#This Row],[PACE Job Number]],3,3)</f>
        <v>WSH</v>
      </c>
      <c r="C4417" t="s">
        <v>17</v>
      </c>
      <c r="D4417" s="1">
        <v>43434</v>
      </c>
    </row>
    <row r="4418" spans="1:4" x14ac:dyDescent="0.25">
      <c r="A4418" t="s">
        <v>3416</v>
      </c>
      <c r="B4418" t="str">
        <f>MID(tbl_lock[[#This Row],[PACE Job Number]],3,3)</f>
        <v>WSH</v>
      </c>
      <c r="C4418" t="s">
        <v>17</v>
      </c>
      <c r="D4418" s="1">
        <v>43434</v>
      </c>
    </row>
    <row r="4419" spans="1:4" x14ac:dyDescent="0.25">
      <c r="A4419" t="s">
        <v>4268</v>
      </c>
      <c r="B4419" t="str">
        <f>MID(tbl_lock[[#This Row],[PACE Job Number]],3,3)</f>
        <v>WSH</v>
      </c>
      <c r="C4419" t="s">
        <v>17</v>
      </c>
      <c r="D4419" s="1">
        <v>43434</v>
      </c>
    </row>
    <row r="4420" spans="1:4" x14ac:dyDescent="0.25">
      <c r="A4420" t="s">
        <v>3864</v>
      </c>
      <c r="B4420" t="str">
        <f>MID(tbl_lock[[#This Row],[PACE Job Number]],3,3)</f>
        <v>WSH</v>
      </c>
      <c r="C4420" t="s">
        <v>17</v>
      </c>
      <c r="D4420" s="1">
        <v>43434</v>
      </c>
    </row>
    <row r="4421" spans="1:4" x14ac:dyDescent="0.25">
      <c r="A4421" t="s">
        <v>3450</v>
      </c>
      <c r="B4421" t="str">
        <f>MID(tbl_lock[[#This Row],[PACE Job Number]],3,3)</f>
        <v>WSH</v>
      </c>
      <c r="C4421" t="s">
        <v>17</v>
      </c>
      <c r="D4421" s="1">
        <v>43434</v>
      </c>
    </row>
    <row r="4422" spans="1:4" x14ac:dyDescent="0.25">
      <c r="A4422" t="s">
        <v>173</v>
      </c>
      <c r="B4422" t="str">
        <f>MID(tbl_lock[[#This Row],[PACE Job Number]],3,3)</f>
        <v>WSH</v>
      </c>
      <c r="C4422" t="s">
        <v>17</v>
      </c>
      <c r="D4422" s="1">
        <v>43434</v>
      </c>
    </row>
    <row r="4423" spans="1:4" x14ac:dyDescent="0.25">
      <c r="A4423" t="s">
        <v>3780</v>
      </c>
      <c r="B4423" t="str">
        <f>MID(tbl_lock[[#This Row],[PACE Job Number]],3,3)</f>
        <v>WSH</v>
      </c>
      <c r="C4423" t="s">
        <v>17</v>
      </c>
      <c r="D4423" s="1">
        <v>43434</v>
      </c>
    </row>
    <row r="4424" spans="1:4" x14ac:dyDescent="0.25">
      <c r="A4424" t="s">
        <v>3865</v>
      </c>
      <c r="B4424" t="str">
        <f>MID(tbl_lock[[#This Row],[PACE Job Number]],3,3)</f>
        <v>WSH</v>
      </c>
      <c r="C4424" t="s">
        <v>17</v>
      </c>
      <c r="D4424" s="1">
        <v>43434</v>
      </c>
    </row>
    <row r="4425" spans="1:4" x14ac:dyDescent="0.25">
      <c r="A4425" t="s">
        <v>3866</v>
      </c>
      <c r="B4425" t="str">
        <f>MID(tbl_lock[[#This Row],[PACE Job Number]],3,3)</f>
        <v>WSH</v>
      </c>
      <c r="C4425" t="s">
        <v>17</v>
      </c>
      <c r="D4425" s="1">
        <v>43434</v>
      </c>
    </row>
    <row r="4426" spans="1:4" x14ac:dyDescent="0.25">
      <c r="A4426" t="s">
        <v>3867</v>
      </c>
      <c r="B4426" t="str">
        <f>MID(tbl_lock[[#This Row],[PACE Job Number]],3,3)</f>
        <v>WSH</v>
      </c>
      <c r="C4426" t="s">
        <v>17</v>
      </c>
      <c r="D4426" s="1">
        <v>43434</v>
      </c>
    </row>
    <row r="4427" spans="1:4" x14ac:dyDescent="0.25">
      <c r="A4427" t="s">
        <v>4272</v>
      </c>
      <c r="B4427" t="str">
        <f>MID(tbl_lock[[#This Row],[PACE Job Number]],3,3)</f>
        <v>WSH</v>
      </c>
      <c r="C4427" t="s">
        <v>17</v>
      </c>
      <c r="D4427" s="1">
        <v>43434</v>
      </c>
    </row>
    <row r="4428" spans="1:4" x14ac:dyDescent="0.25">
      <c r="A4428" t="s">
        <v>3870</v>
      </c>
      <c r="B4428" t="str">
        <f>MID(tbl_lock[[#This Row],[PACE Job Number]],3,3)</f>
        <v>WSH</v>
      </c>
      <c r="C4428" t="s">
        <v>17</v>
      </c>
      <c r="D4428" s="1">
        <v>43434</v>
      </c>
    </row>
    <row r="4429" spans="1:4" x14ac:dyDescent="0.25">
      <c r="A4429" t="s">
        <v>3947</v>
      </c>
      <c r="B4429" t="str">
        <f>MID(tbl_lock[[#This Row],[PACE Job Number]],3,3)</f>
        <v>WSH</v>
      </c>
      <c r="C4429" t="s">
        <v>17</v>
      </c>
      <c r="D4429" s="1">
        <v>43434</v>
      </c>
    </row>
    <row r="4430" spans="1:4" x14ac:dyDescent="0.25">
      <c r="A4430" t="s">
        <v>3871</v>
      </c>
      <c r="B4430" t="str">
        <f>MID(tbl_lock[[#This Row],[PACE Job Number]],3,3)</f>
        <v>WSH</v>
      </c>
      <c r="C4430" t="s">
        <v>17</v>
      </c>
      <c r="D4430" s="1">
        <v>43434</v>
      </c>
    </row>
    <row r="4431" spans="1:4" x14ac:dyDescent="0.25">
      <c r="A4431" t="s">
        <v>3872</v>
      </c>
      <c r="B4431" t="str">
        <f>MID(tbl_lock[[#This Row],[PACE Job Number]],3,3)</f>
        <v>WSH</v>
      </c>
      <c r="C4431" t="s">
        <v>17</v>
      </c>
      <c r="D4431" s="1">
        <v>43434</v>
      </c>
    </row>
    <row r="4432" spans="1:4" x14ac:dyDescent="0.25">
      <c r="A4432" t="s">
        <v>104</v>
      </c>
      <c r="B4432" t="str">
        <f>MID(tbl_lock[[#This Row],[PACE Job Number]],3,3)</f>
        <v>WSH</v>
      </c>
      <c r="C4432" t="s">
        <v>17</v>
      </c>
      <c r="D4432" s="1">
        <v>43413</v>
      </c>
    </row>
    <row r="4433" spans="1:4" x14ac:dyDescent="0.25">
      <c r="A4433" t="s">
        <v>4043</v>
      </c>
      <c r="B4433" t="str">
        <f>MID(tbl_lock[[#This Row],[PACE Job Number]],3,3)</f>
        <v>WSH</v>
      </c>
      <c r="C4433" t="s">
        <v>17</v>
      </c>
      <c r="D4433" s="1">
        <v>43413</v>
      </c>
    </row>
    <row r="4434" spans="1:4" x14ac:dyDescent="0.25">
      <c r="A4434" t="s">
        <v>117</v>
      </c>
      <c r="B4434" t="str">
        <f>MID(tbl_lock[[#This Row],[PACE Job Number]],3,3)</f>
        <v>STX</v>
      </c>
      <c r="C4434" t="s">
        <v>17</v>
      </c>
      <c r="D4434" s="1">
        <v>43419</v>
      </c>
    </row>
    <row r="4435" spans="1:4" x14ac:dyDescent="0.25">
      <c r="A4435" t="s">
        <v>4413</v>
      </c>
      <c r="B4435" t="str">
        <f>MID(tbl_lock[[#This Row],[PACE Job Number]],3,3)</f>
        <v>STX</v>
      </c>
      <c r="C4435" t="s">
        <v>17</v>
      </c>
      <c r="D4435" s="1">
        <v>43419</v>
      </c>
    </row>
    <row r="4436" spans="1:4" x14ac:dyDescent="0.25">
      <c r="A4436" t="s">
        <v>720</v>
      </c>
      <c r="B4436" t="str">
        <f>MID(tbl_lock[[#This Row],[PACE Job Number]],3,3)</f>
        <v>STX</v>
      </c>
      <c r="C4436" t="s">
        <v>17</v>
      </c>
      <c r="D4436" s="1">
        <v>43419</v>
      </c>
    </row>
    <row r="4437" spans="1:4" x14ac:dyDescent="0.25">
      <c r="A4437" t="s">
        <v>4414</v>
      </c>
      <c r="B4437" t="str">
        <f>MID(tbl_lock[[#This Row],[PACE Job Number]],3,3)</f>
        <v>STX</v>
      </c>
      <c r="C4437" t="s">
        <v>17</v>
      </c>
      <c r="D4437" s="1">
        <v>43419</v>
      </c>
    </row>
    <row r="4438" spans="1:4" x14ac:dyDescent="0.25">
      <c r="A4438" t="s">
        <v>563</v>
      </c>
      <c r="B4438" t="str">
        <f>MID(tbl_lock[[#This Row],[PACE Job Number]],3,3)</f>
        <v>STX</v>
      </c>
      <c r="C4438" t="s">
        <v>17</v>
      </c>
      <c r="D4438" s="1">
        <v>43434</v>
      </c>
    </row>
    <row r="4439" spans="1:4" x14ac:dyDescent="0.25">
      <c r="A4439" t="s">
        <v>5616</v>
      </c>
      <c r="B4439" t="str">
        <f>MID(tbl_lock[[#This Row],[PACE Job Number]],3,3)</f>
        <v>STX</v>
      </c>
      <c r="C4439" t="s">
        <v>17</v>
      </c>
      <c r="D4439" s="1">
        <v>43434</v>
      </c>
    </row>
    <row r="4440" spans="1:4" x14ac:dyDescent="0.25">
      <c r="A4440" t="s">
        <v>5617</v>
      </c>
      <c r="B4440" t="str">
        <f>MID(tbl_lock[[#This Row],[PACE Job Number]],3,3)</f>
        <v>STX</v>
      </c>
      <c r="C4440" t="s">
        <v>17</v>
      </c>
      <c r="D4440" s="1">
        <v>43434</v>
      </c>
    </row>
    <row r="4441" spans="1:4" x14ac:dyDescent="0.25">
      <c r="A4441" t="s">
        <v>5618</v>
      </c>
      <c r="B4441" t="str">
        <f>MID(tbl_lock[[#This Row],[PACE Job Number]],3,3)</f>
        <v>STX</v>
      </c>
      <c r="C4441" t="s">
        <v>17</v>
      </c>
      <c r="D4441" s="1">
        <v>43434</v>
      </c>
    </row>
    <row r="4442" spans="1:4" x14ac:dyDescent="0.25">
      <c r="A4442" t="s">
        <v>633</v>
      </c>
      <c r="B4442" t="str">
        <f>MID(tbl_lock[[#This Row],[PACE Job Number]],3,3)</f>
        <v>STX</v>
      </c>
      <c r="C4442" t="s">
        <v>17</v>
      </c>
      <c r="D4442" s="1">
        <v>43419</v>
      </c>
    </row>
    <row r="4443" spans="1:4" x14ac:dyDescent="0.25">
      <c r="A4443" t="s">
        <v>4577</v>
      </c>
      <c r="B4443" t="str">
        <f>MID(tbl_lock[[#This Row],[PACE Job Number]],3,3)</f>
        <v>WSH</v>
      </c>
      <c r="C4443" t="s">
        <v>17</v>
      </c>
      <c r="D4443" s="1">
        <v>43434</v>
      </c>
    </row>
    <row r="4444" spans="1:4" x14ac:dyDescent="0.25">
      <c r="A4444" t="s">
        <v>4246</v>
      </c>
      <c r="B4444" t="str">
        <f>MID(tbl_lock[[#This Row],[PACE Job Number]],3,3)</f>
        <v>WSH</v>
      </c>
      <c r="C4444" t="s">
        <v>17</v>
      </c>
      <c r="D4444" s="1">
        <v>43434</v>
      </c>
    </row>
    <row r="4445" spans="1:4" x14ac:dyDescent="0.25">
      <c r="A4445" t="s">
        <v>4616</v>
      </c>
      <c r="B4445" t="str">
        <f>MID(tbl_lock[[#This Row],[PACE Job Number]],3,3)</f>
        <v>WSH</v>
      </c>
      <c r="C4445" t="s">
        <v>17</v>
      </c>
      <c r="D4445" s="1">
        <v>43434</v>
      </c>
    </row>
    <row r="4446" spans="1:4" x14ac:dyDescent="0.25">
      <c r="A4446" t="s">
        <v>301</v>
      </c>
      <c r="B4446" t="str">
        <f>MID(tbl_lock[[#This Row],[PACE Job Number]],3,3)</f>
        <v>WSH</v>
      </c>
      <c r="C4446" t="s">
        <v>17</v>
      </c>
      <c r="D4446" s="1">
        <v>43434</v>
      </c>
    </row>
    <row r="4447" spans="1:4" x14ac:dyDescent="0.25">
      <c r="A4447" t="s">
        <v>4535</v>
      </c>
      <c r="B4447" t="str">
        <f>MID(tbl_lock[[#This Row],[PACE Job Number]],3,3)</f>
        <v>WSH</v>
      </c>
      <c r="C4447" t="s">
        <v>17</v>
      </c>
      <c r="D4447" s="1">
        <v>43434</v>
      </c>
    </row>
    <row r="4448" spans="1:4" x14ac:dyDescent="0.25">
      <c r="A4448" t="s">
        <v>325</v>
      </c>
      <c r="B4448" t="str">
        <f>MID(tbl_lock[[#This Row],[PACE Job Number]],3,3)</f>
        <v>WSH</v>
      </c>
      <c r="C4448" t="s">
        <v>17</v>
      </c>
      <c r="D4448" s="1">
        <v>43434</v>
      </c>
    </row>
    <row r="4449" spans="1:4" x14ac:dyDescent="0.25">
      <c r="A4449" t="s">
        <v>158</v>
      </c>
      <c r="B4449" t="str">
        <f>MID(tbl_lock[[#This Row],[PACE Job Number]],3,3)</f>
        <v>WSH</v>
      </c>
      <c r="C4449" t="s">
        <v>17</v>
      </c>
      <c r="D4449" s="1">
        <v>43434</v>
      </c>
    </row>
    <row r="4450" spans="1:4" x14ac:dyDescent="0.25">
      <c r="A4450" t="s">
        <v>4578</v>
      </c>
      <c r="B4450" t="str">
        <f>MID(tbl_lock[[#This Row],[PACE Job Number]],3,3)</f>
        <v>WSH</v>
      </c>
      <c r="C4450" t="s">
        <v>17</v>
      </c>
      <c r="D4450" s="1">
        <v>43434</v>
      </c>
    </row>
    <row r="4451" spans="1:4" x14ac:dyDescent="0.25">
      <c r="A4451" t="s">
        <v>3418</v>
      </c>
      <c r="B4451" t="str">
        <f>MID(tbl_lock[[#This Row],[PACE Job Number]],3,3)</f>
        <v>WSH</v>
      </c>
      <c r="C4451" t="s">
        <v>17</v>
      </c>
      <c r="D4451" s="1">
        <v>43434</v>
      </c>
    </row>
    <row r="4452" spans="1:4" x14ac:dyDescent="0.25">
      <c r="A4452" t="s">
        <v>367</v>
      </c>
      <c r="B4452" t="str">
        <f>MID(tbl_lock[[#This Row],[PACE Job Number]],3,3)</f>
        <v>WSH</v>
      </c>
      <c r="C4452" t="s">
        <v>17</v>
      </c>
      <c r="D4452" s="1">
        <v>43420</v>
      </c>
    </row>
    <row r="4453" spans="1:4" x14ac:dyDescent="0.25">
      <c r="A4453" t="s">
        <v>45</v>
      </c>
      <c r="B4453" t="str">
        <f>MID(tbl_lock[[#This Row],[PACE Job Number]],3,3)</f>
        <v>WSH</v>
      </c>
      <c r="C4453" t="s">
        <v>17</v>
      </c>
      <c r="D4453" s="1">
        <v>43413</v>
      </c>
    </row>
    <row r="4454" spans="1:4" x14ac:dyDescent="0.25">
      <c r="A4454" t="s">
        <v>97</v>
      </c>
      <c r="B4454" t="str">
        <f>MID(tbl_lock[[#This Row],[PACE Job Number]],3,3)</f>
        <v>WSH</v>
      </c>
      <c r="C4454" t="s">
        <v>17</v>
      </c>
      <c r="D4454" s="1">
        <v>43434</v>
      </c>
    </row>
    <row r="4455" spans="1:4" x14ac:dyDescent="0.25">
      <c r="A4455" t="s">
        <v>4360</v>
      </c>
      <c r="B4455" t="str">
        <f>MID(tbl_lock[[#This Row],[PACE Job Number]],3,3)</f>
        <v>NTX</v>
      </c>
      <c r="C4455" t="s">
        <v>17</v>
      </c>
      <c r="D4455" s="1">
        <v>43426</v>
      </c>
    </row>
    <row r="4456" spans="1:4" x14ac:dyDescent="0.25">
      <c r="A4456" t="s">
        <v>3881</v>
      </c>
      <c r="B4456" t="str">
        <f>MID(tbl_lock[[#This Row],[PACE Job Number]],3,3)</f>
        <v>NTX</v>
      </c>
      <c r="C4456" t="s">
        <v>17</v>
      </c>
      <c r="D4456" s="1">
        <v>43428</v>
      </c>
    </row>
    <row r="4457" spans="1:4" x14ac:dyDescent="0.25">
      <c r="A4457" t="s">
        <v>2383</v>
      </c>
      <c r="B4457" t="str">
        <f>MID(tbl_lock[[#This Row],[PACE Job Number]],3,3)</f>
        <v>NTX</v>
      </c>
      <c r="C4457" t="s">
        <v>17</v>
      </c>
      <c r="D4457" s="1">
        <v>43429</v>
      </c>
    </row>
    <row r="4458" spans="1:4" x14ac:dyDescent="0.25">
      <c r="A4458" t="s">
        <v>4608</v>
      </c>
      <c r="B4458" t="str">
        <f>MID(tbl_lock[[#This Row],[PACE Job Number]],3,3)</f>
        <v>STX</v>
      </c>
      <c r="C4458" t="s">
        <v>17</v>
      </c>
      <c r="D4458" s="1">
        <v>43418</v>
      </c>
    </row>
    <row r="4459" spans="1:4" x14ac:dyDescent="0.25">
      <c r="A4459" t="s">
        <v>4609</v>
      </c>
      <c r="B4459" t="str">
        <f>MID(tbl_lock[[#This Row],[PACE Job Number]],3,3)</f>
        <v>STX</v>
      </c>
      <c r="C4459" t="s">
        <v>17</v>
      </c>
      <c r="D4459" s="1">
        <v>43418</v>
      </c>
    </row>
    <row r="4460" spans="1:4" x14ac:dyDescent="0.25">
      <c r="A4460" t="s">
        <v>595</v>
      </c>
      <c r="B4460" t="str">
        <f>MID(tbl_lock[[#This Row],[PACE Job Number]],3,3)</f>
        <v>STX</v>
      </c>
      <c r="C4460" t="s">
        <v>17</v>
      </c>
      <c r="D4460" s="1">
        <v>43418</v>
      </c>
    </row>
    <row r="4461" spans="1:4" x14ac:dyDescent="0.25">
      <c r="A4461" t="s">
        <v>687</v>
      </c>
      <c r="B4461" t="str">
        <f>MID(tbl_lock[[#This Row],[PACE Job Number]],3,3)</f>
        <v>STX</v>
      </c>
      <c r="C4461" t="s">
        <v>17</v>
      </c>
      <c r="D4461" s="1">
        <v>43418</v>
      </c>
    </row>
    <row r="4462" spans="1:4" x14ac:dyDescent="0.25">
      <c r="A4462" t="s">
        <v>259</v>
      </c>
      <c r="B4462" t="str">
        <f>MID(tbl_lock[[#This Row],[PACE Job Number]],3,3)</f>
        <v>WSH</v>
      </c>
      <c r="C4462" t="s">
        <v>17</v>
      </c>
      <c r="D4462" s="1">
        <v>43420</v>
      </c>
    </row>
    <row r="4463" spans="1:4" x14ac:dyDescent="0.25">
      <c r="A4463" t="s">
        <v>210</v>
      </c>
      <c r="B4463" t="str">
        <f>MID(tbl_lock[[#This Row],[PACE Job Number]],3,3)</f>
        <v>WSH</v>
      </c>
      <c r="C4463" t="s">
        <v>17</v>
      </c>
      <c r="D4463" s="1">
        <v>43420</v>
      </c>
    </row>
    <row r="4464" spans="1:4" x14ac:dyDescent="0.25">
      <c r="A4464" t="s">
        <v>3873</v>
      </c>
      <c r="B4464" t="str">
        <f>MID(tbl_lock[[#This Row],[PACE Job Number]],3,3)</f>
        <v>WSH</v>
      </c>
      <c r="C4464" t="s">
        <v>17</v>
      </c>
      <c r="D4464" s="1">
        <v>43434</v>
      </c>
    </row>
    <row r="4465" spans="1:4" x14ac:dyDescent="0.25">
      <c r="A4465" t="s">
        <v>228</v>
      </c>
      <c r="B4465" t="str">
        <f>MID(tbl_lock[[#This Row],[PACE Job Number]],3,3)</f>
        <v>WSH</v>
      </c>
      <c r="C4465" t="s">
        <v>17</v>
      </c>
      <c r="D4465" s="1">
        <v>43434</v>
      </c>
    </row>
    <row r="4466" spans="1:4" x14ac:dyDescent="0.25">
      <c r="A4466" t="s">
        <v>320</v>
      </c>
      <c r="B4466" t="str">
        <f>MID(tbl_lock[[#This Row],[PACE Job Number]],3,3)</f>
        <v>WSH</v>
      </c>
      <c r="C4466" t="s">
        <v>17</v>
      </c>
      <c r="D4466" s="1">
        <v>43434</v>
      </c>
    </row>
    <row r="4467" spans="1:4" x14ac:dyDescent="0.25">
      <c r="A4467" t="s">
        <v>4586</v>
      </c>
      <c r="B4467" t="str">
        <f>MID(tbl_lock[[#This Row],[PACE Job Number]],3,3)</f>
        <v>WSH</v>
      </c>
      <c r="C4467" t="s">
        <v>17</v>
      </c>
      <c r="D4467" s="1">
        <v>43434</v>
      </c>
    </row>
    <row r="4468" spans="1:4" x14ac:dyDescent="0.25">
      <c r="A4468" t="s">
        <v>3956</v>
      </c>
      <c r="B4468" t="str">
        <f>MID(tbl_lock[[#This Row],[PACE Job Number]],3,3)</f>
        <v>WSH</v>
      </c>
      <c r="C4468" t="s">
        <v>17</v>
      </c>
      <c r="D4468" s="1">
        <v>43434</v>
      </c>
    </row>
    <row r="4469" spans="1:4" x14ac:dyDescent="0.25">
      <c r="A4469" t="s">
        <v>5547</v>
      </c>
      <c r="B4469" t="str">
        <f>MID(tbl_lock[[#This Row],[PACE Job Number]],3,3)</f>
        <v>NTX</v>
      </c>
      <c r="C4469" t="s">
        <v>17</v>
      </c>
      <c r="D4469" s="1">
        <v>43429</v>
      </c>
    </row>
    <row r="4470" spans="1:4" x14ac:dyDescent="0.25">
      <c r="A4470" t="s">
        <v>4511</v>
      </c>
      <c r="B4470" t="str">
        <f>MID(tbl_lock[[#This Row],[PACE Job Number]],3,3)</f>
        <v>NTX</v>
      </c>
      <c r="C4470" t="s">
        <v>17</v>
      </c>
      <c r="D4470" s="1">
        <v>43406</v>
      </c>
    </row>
    <row r="4471" spans="1:4" x14ac:dyDescent="0.25">
      <c r="A4471" t="s">
        <v>3980</v>
      </c>
      <c r="B4471" t="str">
        <f>MID(tbl_lock[[#This Row],[PACE Job Number]],3,3)</f>
        <v>NTX</v>
      </c>
      <c r="C4471" t="s">
        <v>17</v>
      </c>
      <c r="D4471" s="1">
        <v>43408</v>
      </c>
    </row>
    <row r="4472" spans="1:4" x14ac:dyDescent="0.25">
      <c r="A4472" t="s">
        <v>334</v>
      </c>
      <c r="B4472" t="str">
        <f>MID(tbl_lock[[#This Row],[PACE Job Number]],3,3)</f>
        <v>WSH</v>
      </c>
      <c r="C4472" t="s">
        <v>17</v>
      </c>
      <c r="D4472" s="1">
        <v>43434</v>
      </c>
    </row>
    <row r="4473" spans="1:4" x14ac:dyDescent="0.25">
      <c r="A4473" t="s">
        <v>3519</v>
      </c>
      <c r="B4473" t="str">
        <f>MID(tbl_lock[[#This Row],[PACE Job Number]],3,3)</f>
        <v>WSH</v>
      </c>
      <c r="C4473" t="s">
        <v>17</v>
      </c>
      <c r="D4473" s="1">
        <v>43434</v>
      </c>
    </row>
    <row r="4474" spans="1:4" x14ac:dyDescent="0.25">
      <c r="A4474" t="s">
        <v>4541</v>
      </c>
      <c r="B4474" t="str">
        <f>MID(tbl_lock[[#This Row],[PACE Job Number]],3,3)</f>
        <v>WSH</v>
      </c>
      <c r="C4474" t="s">
        <v>17</v>
      </c>
      <c r="D4474" s="1">
        <v>43434</v>
      </c>
    </row>
    <row r="4475" spans="1:4" x14ac:dyDescent="0.25">
      <c r="A4475" t="s">
        <v>3924</v>
      </c>
      <c r="B4475" t="str">
        <f>MID(tbl_lock[[#This Row],[PACE Job Number]],3,3)</f>
        <v>WSH</v>
      </c>
      <c r="C4475" t="s">
        <v>17</v>
      </c>
      <c r="D4475" s="1">
        <v>43434</v>
      </c>
    </row>
    <row r="4476" spans="1:4" x14ac:dyDescent="0.25">
      <c r="A4476" t="s">
        <v>3456</v>
      </c>
      <c r="B4476" t="str">
        <f>MID(tbl_lock[[#This Row],[PACE Job Number]],3,3)</f>
        <v>WSH</v>
      </c>
      <c r="C4476" t="s">
        <v>17</v>
      </c>
      <c r="D4476" s="1">
        <v>43434</v>
      </c>
    </row>
    <row r="4477" spans="1:4" x14ac:dyDescent="0.25">
      <c r="A4477" t="s">
        <v>3432</v>
      </c>
      <c r="B4477" t="str">
        <f>MID(tbl_lock[[#This Row],[PACE Job Number]],3,3)</f>
        <v>WSH</v>
      </c>
      <c r="C4477" t="s">
        <v>17</v>
      </c>
      <c r="D4477" s="1">
        <v>43434</v>
      </c>
    </row>
    <row r="4478" spans="1:4" x14ac:dyDescent="0.25">
      <c r="A4478" t="s">
        <v>85</v>
      </c>
      <c r="B4478" t="str">
        <f>MID(tbl_lock[[#This Row],[PACE Job Number]],3,3)</f>
        <v>WSH</v>
      </c>
      <c r="C4478" t="s">
        <v>17</v>
      </c>
      <c r="D4478" s="1">
        <v>43413</v>
      </c>
    </row>
    <row r="4479" spans="1:4" x14ac:dyDescent="0.25">
      <c r="A4479" t="s">
        <v>4252</v>
      </c>
      <c r="B4479" t="str">
        <f>MID(tbl_lock[[#This Row],[PACE Job Number]],3,3)</f>
        <v>WSH</v>
      </c>
      <c r="C4479" t="s">
        <v>17</v>
      </c>
      <c r="D4479" s="1">
        <v>43434</v>
      </c>
    </row>
    <row r="4480" spans="1:4" x14ac:dyDescent="0.25">
      <c r="A4480" t="s">
        <v>5619</v>
      </c>
      <c r="B4480" t="str">
        <f>MID(tbl_lock[[#This Row],[PACE Job Number]],3,3)</f>
        <v>WSH</v>
      </c>
      <c r="C4480" t="s">
        <v>17</v>
      </c>
      <c r="D4480" s="1">
        <v>43406</v>
      </c>
    </row>
    <row r="4481" spans="1:4" x14ac:dyDescent="0.25">
      <c r="A4481" t="s">
        <v>107</v>
      </c>
      <c r="B4481" t="str">
        <f>MID(tbl_lock[[#This Row],[PACE Job Number]],3,3)</f>
        <v>WSH</v>
      </c>
      <c r="C4481" t="s">
        <v>17</v>
      </c>
      <c r="D4481" s="1">
        <v>43434</v>
      </c>
    </row>
    <row r="4482" spans="1:4" x14ac:dyDescent="0.25">
      <c r="A4482" t="s">
        <v>4255</v>
      </c>
      <c r="B4482" t="str">
        <f>MID(tbl_lock[[#This Row],[PACE Job Number]],3,3)</f>
        <v>WSH</v>
      </c>
      <c r="C4482" t="s">
        <v>17</v>
      </c>
      <c r="D4482" s="1">
        <v>43434</v>
      </c>
    </row>
    <row r="4483" spans="1:4" x14ac:dyDescent="0.25">
      <c r="A4483" t="s">
        <v>4258</v>
      </c>
      <c r="B4483" t="str">
        <f>MID(tbl_lock[[#This Row],[PACE Job Number]],3,3)</f>
        <v>WSH</v>
      </c>
      <c r="C4483" t="s">
        <v>17</v>
      </c>
      <c r="D4483" s="1">
        <v>43434</v>
      </c>
    </row>
    <row r="4484" spans="1:4" x14ac:dyDescent="0.25">
      <c r="A4484" t="s">
        <v>4648</v>
      </c>
      <c r="B4484" t="str">
        <f>MID(tbl_lock[[#This Row],[PACE Job Number]],3,3)</f>
        <v>WSH</v>
      </c>
      <c r="C4484" t="s">
        <v>17</v>
      </c>
      <c r="D4484" s="1">
        <v>43413</v>
      </c>
    </row>
    <row r="4485" spans="1:4" x14ac:dyDescent="0.25">
      <c r="A4485" t="s">
        <v>488</v>
      </c>
      <c r="B4485" t="str">
        <f>MID(tbl_lock[[#This Row],[PACE Job Number]],3,3)</f>
        <v>WSH</v>
      </c>
      <c r="C4485" t="s">
        <v>17</v>
      </c>
      <c r="D4485" s="1">
        <v>43434</v>
      </c>
    </row>
    <row r="4486" spans="1:4" x14ac:dyDescent="0.25">
      <c r="A4486" t="s">
        <v>4366</v>
      </c>
      <c r="B4486" t="str">
        <f>MID(tbl_lock[[#This Row],[PACE Job Number]],3,3)</f>
        <v>STX</v>
      </c>
      <c r="C4486" t="s">
        <v>17</v>
      </c>
      <c r="D4486" s="1">
        <v>43419</v>
      </c>
    </row>
    <row r="4487" spans="1:4" x14ac:dyDescent="0.25">
      <c r="A4487" t="s">
        <v>389</v>
      </c>
      <c r="B4487" t="str">
        <f>MID(tbl_lock[[#This Row],[PACE Job Number]],3,3)</f>
        <v>STX</v>
      </c>
      <c r="C4487" t="s">
        <v>17</v>
      </c>
      <c r="D4487" s="1">
        <v>43419</v>
      </c>
    </row>
    <row r="4488" spans="1:4" x14ac:dyDescent="0.25">
      <c r="A4488" t="s">
        <v>4367</v>
      </c>
      <c r="B4488" t="str">
        <f>MID(tbl_lock[[#This Row],[PACE Job Number]],3,3)</f>
        <v>STX</v>
      </c>
      <c r="C4488" t="s">
        <v>17</v>
      </c>
      <c r="D4488" s="1">
        <v>43419</v>
      </c>
    </row>
    <row r="4489" spans="1:4" x14ac:dyDescent="0.25">
      <c r="A4489" t="s">
        <v>515</v>
      </c>
      <c r="B4489" t="str">
        <f>MID(tbl_lock[[#This Row],[PACE Job Number]],3,3)</f>
        <v>STX</v>
      </c>
      <c r="C4489" t="s">
        <v>17</v>
      </c>
      <c r="D4489" s="1">
        <v>43405</v>
      </c>
    </row>
    <row r="4490" spans="1:4" x14ac:dyDescent="0.25">
      <c r="A4490" t="s">
        <v>662</v>
      </c>
      <c r="B4490" t="str">
        <f>MID(tbl_lock[[#This Row],[PACE Job Number]],3,3)</f>
        <v>STX</v>
      </c>
      <c r="C4490" t="s">
        <v>17</v>
      </c>
      <c r="D4490" s="1">
        <v>43405</v>
      </c>
    </row>
    <row r="4491" spans="1:4" x14ac:dyDescent="0.25">
      <c r="A4491" t="s">
        <v>3543</v>
      </c>
      <c r="B4491" t="str">
        <f>MID(tbl_lock[[#This Row],[PACE Job Number]],3,3)</f>
        <v>STX</v>
      </c>
      <c r="C4491" t="s">
        <v>17</v>
      </c>
      <c r="D4491" s="1">
        <v>43419</v>
      </c>
    </row>
    <row r="4492" spans="1:4" x14ac:dyDescent="0.25">
      <c r="A4492" t="s">
        <v>4368</v>
      </c>
      <c r="B4492" t="str">
        <f>MID(tbl_lock[[#This Row],[PACE Job Number]],3,3)</f>
        <v>STX</v>
      </c>
      <c r="C4492" t="s">
        <v>17</v>
      </c>
      <c r="D4492" s="1">
        <v>43434</v>
      </c>
    </row>
    <row r="4493" spans="1:4" x14ac:dyDescent="0.25">
      <c r="A4493" t="s">
        <v>3520</v>
      </c>
      <c r="B4493" t="str">
        <f>MID(tbl_lock[[#This Row],[PACE Job Number]],3,3)</f>
        <v>STX</v>
      </c>
      <c r="C4493" t="s">
        <v>17</v>
      </c>
      <c r="D4493" s="1">
        <v>43434</v>
      </c>
    </row>
    <row r="4494" spans="1:4" x14ac:dyDescent="0.25">
      <c r="A4494" t="s">
        <v>4197</v>
      </c>
      <c r="B4494" t="str">
        <f>MID(tbl_lock[[#This Row],[PACE Job Number]],3,3)</f>
        <v>WSH</v>
      </c>
      <c r="C4494" t="s">
        <v>17</v>
      </c>
      <c r="D4494" s="1">
        <v>43434</v>
      </c>
    </row>
    <row r="4495" spans="1:4" x14ac:dyDescent="0.25">
      <c r="A4495" t="s">
        <v>1768</v>
      </c>
      <c r="B4495" t="str">
        <f>MID(tbl_lock[[#This Row],[PACE Job Number]],3,3)</f>
        <v>NTX</v>
      </c>
      <c r="C4495" t="s">
        <v>17</v>
      </c>
      <c r="D4495" s="1">
        <v>43413</v>
      </c>
    </row>
    <row r="4496" spans="1:4" x14ac:dyDescent="0.25">
      <c r="A4496" t="s">
        <v>3482</v>
      </c>
      <c r="B4496" t="str">
        <f>MID(tbl_lock[[#This Row],[PACE Job Number]],3,3)</f>
        <v>NTX</v>
      </c>
      <c r="C4496" t="s">
        <v>17</v>
      </c>
      <c r="D4496" s="1">
        <v>43426</v>
      </c>
    </row>
    <row r="4497" spans="1:4" x14ac:dyDescent="0.25">
      <c r="A4497" t="s">
        <v>1882</v>
      </c>
      <c r="B4497" t="str">
        <f>MID(tbl_lock[[#This Row],[PACE Job Number]],3,3)</f>
        <v>NTX</v>
      </c>
      <c r="C4497" t="s">
        <v>17</v>
      </c>
      <c r="D4497" s="1">
        <v>43406</v>
      </c>
    </row>
    <row r="4498" spans="1:4" x14ac:dyDescent="0.25">
      <c r="A4498" t="s">
        <v>4635</v>
      </c>
      <c r="B4498" t="str">
        <f>MID(tbl_lock[[#This Row],[PACE Job Number]],3,3)</f>
        <v>NTX</v>
      </c>
      <c r="C4498" t="s">
        <v>17</v>
      </c>
      <c r="D4498" s="1">
        <v>43422</v>
      </c>
    </row>
    <row r="4499" spans="1:4" x14ac:dyDescent="0.25">
      <c r="A4499" t="s">
        <v>2462</v>
      </c>
      <c r="B4499" t="str">
        <f>MID(tbl_lock[[#This Row],[PACE Job Number]],3,3)</f>
        <v>NTX</v>
      </c>
      <c r="C4499" t="s">
        <v>17</v>
      </c>
      <c r="D4499" s="1">
        <v>43430</v>
      </c>
    </row>
    <row r="4500" spans="1:4" x14ac:dyDescent="0.25">
      <c r="A4500" t="s">
        <v>3466</v>
      </c>
      <c r="B4500" t="str">
        <f>MID(tbl_lock[[#This Row],[PACE Job Number]],3,3)</f>
        <v>NTX</v>
      </c>
      <c r="C4500" t="s">
        <v>17</v>
      </c>
      <c r="D4500" s="1">
        <v>43408</v>
      </c>
    </row>
    <row r="4501" spans="1:4" x14ac:dyDescent="0.25">
      <c r="A4501" t="s">
        <v>5620</v>
      </c>
      <c r="B4501" t="str">
        <f>MID(tbl_lock[[#This Row],[PACE Job Number]],3,3)</f>
        <v>NTX</v>
      </c>
      <c r="C4501" t="s">
        <v>17</v>
      </c>
      <c r="D4501" s="1">
        <v>43434</v>
      </c>
    </row>
    <row r="4502" spans="1:4" x14ac:dyDescent="0.25">
      <c r="A4502" t="s">
        <v>665</v>
      </c>
      <c r="B4502" t="str">
        <f>MID(tbl_lock[[#This Row],[PACE Job Number]],3,3)</f>
        <v>NTX</v>
      </c>
      <c r="C4502" t="s">
        <v>17</v>
      </c>
      <c r="D4502" s="1">
        <v>43434</v>
      </c>
    </row>
    <row r="4503" spans="1:4" x14ac:dyDescent="0.25">
      <c r="A4503" t="s">
        <v>4636</v>
      </c>
      <c r="B4503" t="str">
        <f>MID(tbl_lock[[#This Row],[PACE Job Number]],3,3)</f>
        <v>NTX</v>
      </c>
      <c r="C4503" t="s">
        <v>17</v>
      </c>
      <c r="D4503" s="1">
        <v>43431</v>
      </c>
    </row>
    <row r="4504" spans="1:4" x14ac:dyDescent="0.25">
      <c r="A4504" t="s">
        <v>3905</v>
      </c>
      <c r="B4504" t="str">
        <f>MID(tbl_lock[[#This Row],[PACE Job Number]],3,3)</f>
        <v>NTX</v>
      </c>
      <c r="C4504" t="s">
        <v>17</v>
      </c>
      <c r="D4504" s="1">
        <v>43408</v>
      </c>
    </row>
    <row r="4505" spans="1:4" x14ac:dyDescent="0.25">
      <c r="A4505" t="s">
        <v>2464</v>
      </c>
      <c r="B4505" t="str">
        <f>MID(tbl_lock[[#This Row],[PACE Job Number]],3,3)</f>
        <v>NTX</v>
      </c>
      <c r="C4505" t="s">
        <v>17</v>
      </c>
      <c r="D4505" s="1">
        <v>43408</v>
      </c>
    </row>
    <row r="4506" spans="1:4" x14ac:dyDescent="0.25">
      <c r="A4506" t="s">
        <v>4654</v>
      </c>
      <c r="B4506" t="str">
        <f>MID(tbl_lock[[#This Row],[PACE Job Number]],3,3)</f>
        <v>STX</v>
      </c>
      <c r="C4506" t="s">
        <v>17</v>
      </c>
      <c r="D4506" s="1">
        <v>43405</v>
      </c>
    </row>
    <row r="4507" spans="1:4" x14ac:dyDescent="0.25">
      <c r="A4507" t="s">
        <v>4557</v>
      </c>
      <c r="B4507" t="str">
        <f>MID(tbl_lock[[#This Row],[PACE Job Number]],3,3)</f>
        <v>STX</v>
      </c>
      <c r="C4507" t="s">
        <v>17</v>
      </c>
      <c r="D4507" s="1">
        <v>43405</v>
      </c>
    </row>
    <row r="4508" spans="1:4" x14ac:dyDescent="0.25">
      <c r="A4508" t="s">
        <v>4486</v>
      </c>
      <c r="B4508" t="str">
        <f>MID(tbl_lock[[#This Row],[PACE Job Number]],3,3)</f>
        <v>STX</v>
      </c>
      <c r="C4508" t="s">
        <v>17</v>
      </c>
      <c r="D4508" s="1">
        <v>43434</v>
      </c>
    </row>
    <row r="4509" spans="1:4" x14ac:dyDescent="0.25">
      <c r="A4509" t="s">
        <v>4487</v>
      </c>
      <c r="B4509" t="str">
        <f>MID(tbl_lock[[#This Row],[PACE Job Number]],3,3)</f>
        <v>STX</v>
      </c>
      <c r="C4509" t="s">
        <v>17</v>
      </c>
      <c r="D4509" s="1">
        <v>43434</v>
      </c>
    </row>
    <row r="4510" spans="1:4" x14ac:dyDescent="0.25">
      <c r="A4510" t="s">
        <v>224</v>
      </c>
      <c r="B4510" t="str">
        <f>MID(tbl_lock[[#This Row],[PACE Job Number]],3,3)</f>
        <v>NTX</v>
      </c>
      <c r="C4510" t="s">
        <v>17</v>
      </c>
      <c r="D4510" s="1">
        <v>43405</v>
      </c>
    </row>
    <row r="4511" spans="1:4" x14ac:dyDescent="0.25">
      <c r="A4511" t="s">
        <v>1781</v>
      </c>
      <c r="B4511" t="str">
        <f>MID(tbl_lock[[#This Row],[PACE Job Number]],3,3)</f>
        <v>NTX</v>
      </c>
      <c r="C4511" t="s">
        <v>17</v>
      </c>
      <c r="D4511" s="1">
        <v>43406</v>
      </c>
    </row>
    <row r="4512" spans="1:4" x14ac:dyDescent="0.25">
      <c r="A4512" t="s">
        <v>4516</v>
      </c>
      <c r="B4512" t="str">
        <f>MID(tbl_lock[[#This Row],[PACE Job Number]],3,3)</f>
        <v>NTX</v>
      </c>
      <c r="C4512" t="s">
        <v>17</v>
      </c>
      <c r="D4512" s="1">
        <v>43408</v>
      </c>
    </row>
    <row r="4513" spans="1:4" x14ac:dyDescent="0.25">
      <c r="A4513" t="s">
        <v>4517</v>
      </c>
      <c r="B4513" t="str">
        <f>MID(tbl_lock[[#This Row],[PACE Job Number]],3,3)</f>
        <v>NTX</v>
      </c>
      <c r="C4513" t="s">
        <v>17</v>
      </c>
      <c r="D4513" s="1">
        <v>43408</v>
      </c>
    </row>
    <row r="4514" spans="1:4" x14ac:dyDescent="0.25">
      <c r="A4514" t="s">
        <v>667</v>
      </c>
      <c r="B4514" t="str">
        <f>MID(tbl_lock[[#This Row],[PACE Job Number]],3,3)</f>
        <v>NTX</v>
      </c>
      <c r="C4514" t="s">
        <v>17</v>
      </c>
      <c r="D4514" s="1">
        <v>43408</v>
      </c>
    </row>
    <row r="4515" spans="1:4" x14ac:dyDescent="0.25">
      <c r="A4515" t="s">
        <v>5621</v>
      </c>
      <c r="B4515" t="str">
        <f>MID(tbl_lock[[#This Row],[PACE Job Number]],3,3)</f>
        <v>NTX</v>
      </c>
      <c r="C4515" t="s">
        <v>17</v>
      </c>
      <c r="D4515" s="1">
        <v>43427</v>
      </c>
    </row>
    <row r="4516" spans="1:4" x14ac:dyDescent="0.25">
      <c r="A4516" t="s">
        <v>447</v>
      </c>
      <c r="B4516" t="str">
        <f>MID(tbl_lock[[#This Row],[PACE Job Number]],3,3)</f>
        <v>WSH</v>
      </c>
      <c r="C4516" t="s">
        <v>17</v>
      </c>
      <c r="D4516" s="1">
        <v>43434</v>
      </c>
    </row>
    <row r="4517" spans="1:4" x14ac:dyDescent="0.25">
      <c r="A4517" t="s">
        <v>207</v>
      </c>
      <c r="B4517" t="str">
        <f>MID(tbl_lock[[#This Row],[PACE Job Number]],3,3)</f>
        <v>WSH</v>
      </c>
      <c r="C4517" t="s">
        <v>17</v>
      </c>
      <c r="D4517" s="1">
        <v>43434</v>
      </c>
    </row>
    <row r="4518" spans="1:4" x14ac:dyDescent="0.25">
      <c r="A4518" t="s">
        <v>3435</v>
      </c>
      <c r="B4518" t="str">
        <f>MID(tbl_lock[[#This Row],[PACE Job Number]],3,3)</f>
        <v>WSH</v>
      </c>
      <c r="C4518" t="s">
        <v>17</v>
      </c>
      <c r="D4518" s="1">
        <v>43434</v>
      </c>
    </row>
    <row r="4519" spans="1:4" x14ac:dyDescent="0.25">
      <c r="A4519" t="s">
        <v>4198</v>
      </c>
      <c r="B4519" t="str">
        <f>MID(tbl_lock[[#This Row],[PACE Job Number]],3,3)</f>
        <v>WSH</v>
      </c>
      <c r="C4519" t="s">
        <v>17</v>
      </c>
      <c r="D4519" s="1">
        <v>43434</v>
      </c>
    </row>
    <row r="4520" spans="1:4" x14ac:dyDescent="0.25">
      <c r="A4520" t="s">
        <v>29</v>
      </c>
      <c r="B4520" t="str">
        <f>MID(tbl_lock[[#This Row],[PACE Job Number]],3,3)</f>
        <v>WSH</v>
      </c>
      <c r="C4520" t="s">
        <v>17</v>
      </c>
      <c r="D4520" s="1">
        <v>43420</v>
      </c>
    </row>
    <row r="4521" spans="1:4" x14ac:dyDescent="0.25">
      <c r="A4521" t="s">
        <v>364</v>
      </c>
      <c r="B4521" t="str">
        <f>MID(tbl_lock[[#This Row],[PACE Job Number]],3,3)</f>
        <v>WSH</v>
      </c>
      <c r="C4521" t="s">
        <v>17</v>
      </c>
      <c r="D4521" s="1">
        <v>43434</v>
      </c>
    </row>
    <row r="4522" spans="1:4" x14ac:dyDescent="0.25">
      <c r="A4522" t="s">
        <v>111</v>
      </c>
      <c r="B4522" t="str">
        <f>MID(tbl_lock[[#This Row],[PACE Job Number]],3,3)</f>
        <v>WSH</v>
      </c>
      <c r="C4522" t="s">
        <v>17</v>
      </c>
      <c r="D4522" s="1">
        <v>43434</v>
      </c>
    </row>
    <row r="4523" spans="1:4" x14ac:dyDescent="0.25">
      <c r="A4523" t="s">
        <v>68</v>
      </c>
      <c r="B4523" t="str">
        <f>MID(tbl_lock[[#This Row],[PACE Job Number]],3,3)</f>
        <v>WSH</v>
      </c>
      <c r="C4523" t="s">
        <v>17</v>
      </c>
      <c r="D4523" s="1">
        <v>43434</v>
      </c>
    </row>
    <row r="4524" spans="1:4" x14ac:dyDescent="0.25">
      <c r="A4524" t="s">
        <v>495</v>
      </c>
      <c r="B4524" t="str">
        <f>MID(tbl_lock[[#This Row],[PACE Job Number]],3,3)</f>
        <v>WSH</v>
      </c>
      <c r="C4524" t="s">
        <v>17</v>
      </c>
      <c r="D4524" s="1">
        <v>43434</v>
      </c>
    </row>
    <row r="4525" spans="1:4" x14ac:dyDescent="0.25">
      <c r="A4525" t="s">
        <v>221</v>
      </c>
      <c r="B4525" t="str">
        <f>MID(tbl_lock[[#This Row],[PACE Job Number]],3,3)</f>
        <v>WSH</v>
      </c>
      <c r="C4525" t="s">
        <v>17</v>
      </c>
      <c r="D4525" s="1">
        <v>43434</v>
      </c>
    </row>
    <row r="4526" spans="1:4" x14ac:dyDescent="0.25">
      <c r="A4526" t="s">
        <v>171</v>
      </c>
      <c r="B4526" t="str">
        <f>MID(tbl_lock[[#This Row],[PACE Job Number]],3,3)</f>
        <v>WSH</v>
      </c>
      <c r="C4526" t="s">
        <v>17</v>
      </c>
      <c r="D4526" s="1">
        <v>43434</v>
      </c>
    </row>
    <row r="4527" spans="1:4" x14ac:dyDescent="0.25">
      <c r="A4527" t="s">
        <v>5588</v>
      </c>
      <c r="B4527" t="str">
        <f>MID(tbl_lock[[#This Row],[PACE Job Number]],3,3)</f>
        <v>WSH</v>
      </c>
      <c r="C4527" t="s">
        <v>17</v>
      </c>
      <c r="D4527" s="1">
        <v>43434</v>
      </c>
    </row>
    <row r="4528" spans="1:4" x14ac:dyDescent="0.25">
      <c r="A4528" t="s">
        <v>267</v>
      </c>
      <c r="B4528" t="str">
        <f>MID(tbl_lock[[#This Row],[PACE Job Number]],3,3)</f>
        <v>WSH</v>
      </c>
      <c r="C4528" t="s">
        <v>17</v>
      </c>
      <c r="D4528" s="1">
        <v>43413</v>
      </c>
    </row>
    <row r="4529" spans="1:4" x14ac:dyDescent="0.25">
      <c r="A4529" t="s">
        <v>57</v>
      </c>
      <c r="B4529" t="str">
        <f>MID(tbl_lock[[#This Row],[PACE Job Number]],3,3)</f>
        <v>WSH</v>
      </c>
      <c r="C4529" t="s">
        <v>17</v>
      </c>
      <c r="D4529" s="1">
        <v>43413</v>
      </c>
    </row>
    <row r="4530" spans="1:4" x14ac:dyDescent="0.25">
      <c r="A4530" t="s">
        <v>3527</v>
      </c>
      <c r="B4530" t="str">
        <f>MID(tbl_lock[[#This Row],[PACE Job Number]],3,3)</f>
        <v>WSH</v>
      </c>
      <c r="C4530" t="s">
        <v>17</v>
      </c>
      <c r="D4530" s="1">
        <v>43434</v>
      </c>
    </row>
    <row r="4531" spans="1:4" x14ac:dyDescent="0.25">
      <c r="A4531" t="s">
        <v>3433</v>
      </c>
      <c r="B4531" t="str">
        <f>MID(tbl_lock[[#This Row],[PACE Job Number]],3,3)</f>
        <v>WSH</v>
      </c>
      <c r="C4531" t="s">
        <v>17</v>
      </c>
      <c r="D4531" s="1">
        <v>43413</v>
      </c>
    </row>
    <row r="4532" spans="1:4" x14ac:dyDescent="0.25">
      <c r="A4532" t="s">
        <v>4640</v>
      </c>
      <c r="B4532" t="str">
        <f>MID(tbl_lock[[#This Row],[PACE Job Number]],3,3)</f>
        <v>WSH</v>
      </c>
      <c r="C4532" t="s">
        <v>17</v>
      </c>
      <c r="D4532" s="1">
        <v>43413</v>
      </c>
    </row>
    <row r="4533" spans="1:4" x14ac:dyDescent="0.25">
      <c r="A4533" t="s">
        <v>36</v>
      </c>
      <c r="B4533" t="str">
        <f>MID(tbl_lock[[#This Row],[PACE Job Number]],3,3)</f>
        <v>WSH</v>
      </c>
      <c r="C4533" t="s">
        <v>17</v>
      </c>
      <c r="D4533" s="1">
        <v>43434</v>
      </c>
    </row>
    <row r="4534" spans="1:4" x14ac:dyDescent="0.25">
      <c r="A4534" t="s">
        <v>5622</v>
      </c>
      <c r="B4534" t="str">
        <f>MID(tbl_lock[[#This Row],[PACE Job Number]],3,3)</f>
        <v>STX</v>
      </c>
      <c r="C4534" t="s">
        <v>17</v>
      </c>
      <c r="D4534" s="1">
        <v>43406</v>
      </c>
    </row>
    <row r="4535" spans="1:4" x14ac:dyDescent="0.25">
      <c r="A4535" t="s">
        <v>5589</v>
      </c>
      <c r="B4535" t="str">
        <f>MID(tbl_lock[[#This Row],[PACE Job Number]],3,3)</f>
        <v>STX</v>
      </c>
      <c r="C4535" t="s">
        <v>17</v>
      </c>
      <c r="D4535" s="1">
        <v>43434</v>
      </c>
    </row>
    <row r="4536" spans="1:4" x14ac:dyDescent="0.25">
      <c r="A4536" t="s">
        <v>5590</v>
      </c>
      <c r="B4536" t="str">
        <f>MID(tbl_lock[[#This Row],[PACE Job Number]],3,3)</f>
        <v>STX</v>
      </c>
      <c r="C4536" t="s">
        <v>17</v>
      </c>
      <c r="D4536" s="1">
        <v>43434</v>
      </c>
    </row>
    <row r="4537" spans="1:4" x14ac:dyDescent="0.25">
      <c r="A4537" t="s">
        <v>4488</v>
      </c>
      <c r="B4537" t="str">
        <f>MID(tbl_lock[[#This Row],[PACE Job Number]],3,3)</f>
        <v>STX</v>
      </c>
      <c r="C4537" t="s">
        <v>17</v>
      </c>
      <c r="D4537" s="1">
        <v>43419</v>
      </c>
    </row>
    <row r="4538" spans="1:4" x14ac:dyDescent="0.25">
      <c r="A4538" t="s">
        <v>5591</v>
      </c>
      <c r="B4538" t="str">
        <f>MID(tbl_lock[[#This Row],[PACE Job Number]],3,3)</f>
        <v>STX</v>
      </c>
      <c r="C4538" t="s">
        <v>17</v>
      </c>
      <c r="D4538" s="1">
        <v>43419</v>
      </c>
    </row>
    <row r="4539" spans="1:4" x14ac:dyDescent="0.25">
      <c r="A4539" t="s">
        <v>5592</v>
      </c>
      <c r="B4539" t="str">
        <f>MID(tbl_lock[[#This Row],[PACE Job Number]],3,3)</f>
        <v>STX</v>
      </c>
      <c r="C4539" t="s">
        <v>17</v>
      </c>
      <c r="D4539" s="1">
        <v>43419</v>
      </c>
    </row>
    <row r="4540" spans="1:4" x14ac:dyDescent="0.25">
      <c r="A4540" t="s">
        <v>4558</v>
      </c>
      <c r="B4540" t="str">
        <f>MID(tbl_lock[[#This Row],[PACE Job Number]],3,3)</f>
        <v>STX</v>
      </c>
      <c r="C4540" t="s">
        <v>17</v>
      </c>
      <c r="D4540" s="1">
        <v>43405</v>
      </c>
    </row>
    <row r="4541" spans="1:4" x14ac:dyDescent="0.25">
      <c r="A4541" t="s">
        <v>4490</v>
      </c>
      <c r="B4541" t="str">
        <f>MID(tbl_lock[[#This Row],[PACE Job Number]],3,3)</f>
        <v>STX</v>
      </c>
      <c r="C4541" t="s">
        <v>17</v>
      </c>
      <c r="D4541" s="1">
        <v>43434</v>
      </c>
    </row>
    <row r="4542" spans="1:4" x14ac:dyDescent="0.25">
      <c r="A4542" t="s">
        <v>410</v>
      </c>
      <c r="B4542" t="str">
        <f>MID(tbl_lock[[#This Row],[PACE Job Number]],3,3)</f>
        <v>STX</v>
      </c>
      <c r="C4542" t="s">
        <v>17</v>
      </c>
      <c r="D4542" s="1">
        <v>43418</v>
      </c>
    </row>
    <row r="4543" spans="1:4" x14ac:dyDescent="0.25">
      <c r="A4543" t="s">
        <v>3277</v>
      </c>
      <c r="B4543" t="str">
        <f>MID(tbl_lock[[#This Row],[PACE Job Number]],3,3)</f>
        <v>STX</v>
      </c>
      <c r="C4543" t="s">
        <v>17</v>
      </c>
      <c r="D4543" s="1">
        <v>43419</v>
      </c>
    </row>
    <row r="4544" spans="1:4" x14ac:dyDescent="0.25">
      <c r="A4544" t="s">
        <v>4594</v>
      </c>
      <c r="B4544" t="str">
        <f>MID(tbl_lock[[#This Row],[PACE Job Number]],3,3)</f>
        <v>STX</v>
      </c>
      <c r="C4544" t="s">
        <v>17</v>
      </c>
      <c r="D4544" s="1">
        <v>43434</v>
      </c>
    </row>
    <row r="4545" spans="1:4" x14ac:dyDescent="0.25">
      <c r="A4545" t="s">
        <v>3377</v>
      </c>
      <c r="B4545" t="str">
        <f>MID(tbl_lock[[#This Row],[PACE Job Number]],3,3)</f>
        <v>STX</v>
      </c>
      <c r="C4545" t="s">
        <v>17</v>
      </c>
      <c r="D4545" s="1">
        <v>43419</v>
      </c>
    </row>
    <row r="4546" spans="1:4" x14ac:dyDescent="0.25">
      <c r="A4546" t="s">
        <v>740</v>
      </c>
      <c r="B4546" t="str">
        <f>MID(tbl_lock[[#This Row],[PACE Job Number]],3,3)</f>
        <v>STX</v>
      </c>
      <c r="C4546" t="s">
        <v>17</v>
      </c>
      <c r="D4546" s="1">
        <v>43405</v>
      </c>
    </row>
    <row r="4547" spans="1:4" x14ac:dyDescent="0.25">
      <c r="A4547" t="s">
        <v>897</v>
      </c>
      <c r="B4547" t="str">
        <f>MID(tbl_lock[[#This Row],[PACE Job Number]],3,3)</f>
        <v>STX</v>
      </c>
      <c r="C4547" t="s">
        <v>17</v>
      </c>
      <c r="D4547" s="1">
        <v>43405</v>
      </c>
    </row>
    <row r="4548" spans="1:4" x14ac:dyDescent="0.25">
      <c r="A4548" t="s">
        <v>4492</v>
      </c>
      <c r="B4548" t="str">
        <f>MID(tbl_lock[[#This Row],[PACE Job Number]],3,3)</f>
        <v>STX</v>
      </c>
      <c r="C4548" t="s">
        <v>17</v>
      </c>
      <c r="D4548" s="1">
        <v>43434</v>
      </c>
    </row>
    <row r="4549" spans="1:4" x14ac:dyDescent="0.25">
      <c r="A4549" t="s">
        <v>4494</v>
      </c>
      <c r="B4549" t="str">
        <f>MID(tbl_lock[[#This Row],[PACE Job Number]],3,3)</f>
        <v>STX</v>
      </c>
      <c r="C4549" t="s">
        <v>17</v>
      </c>
      <c r="D4549" s="1">
        <v>43419</v>
      </c>
    </row>
    <row r="4550" spans="1:4" x14ac:dyDescent="0.25">
      <c r="A4550" t="s">
        <v>1130</v>
      </c>
      <c r="B4550" t="str">
        <f>MID(tbl_lock[[#This Row],[PACE Job Number]],3,3)</f>
        <v>STX</v>
      </c>
      <c r="C4550" t="s">
        <v>17</v>
      </c>
      <c r="D4550" s="1">
        <v>43418</v>
      </c>
    </row>
    <row r="4551" spans="1:4" x14ac:dyDescent="0.25">
      <c r="A4551" t="s">
        <v>5623</v>
      </c>
      <c r="B4551" t="str">
        <f>MID(tbl_lock[[#This Row],[PACE Job Number]],3,3)</f>
        <v>STX</v>
      </c>
      <c r="C4551" t="s">
        <v>17</v>
      </c>
      <c r="D4551" s="1">
        <v>43406</v>
      </c>
    </row>
    <row r="4552" spans="1:4" x14ac:dyDescent="0.25">
      <c r="A4552" t="s">
        <v>4499</v>
      </c>
      <c r="B4552" t="str">
        <f>MID(tbl_lock[[#This Row],[PACE Job Number]],3,3)</f>
        <v>STX</v>
      </c>
      <c r="C4552" t="s">
        <v>17</v>
      </c>
      <c r="D4552" s="1">
        <v>43419</v>
      </c>
    </row>
    <row r="4553" spans="1:4" x14ac:dyDescent="0.25">
      <c r="A4553" t="s">
        <v>133</v>
      </c>
      <c r="B4553" t="str">
        <f>MID(tbl_lock[[#This Row],[PACE Job Number]],3,3)</f>
        <v>STX</v>
      </c>
      <c r="C4553" t="s">
        <v>17</v>
      </c>
      <c r="D4553" s="1">
        <v>43419</v>
      </c>
    </row>
    <row r="4554" spans="1:4" x14ac:dyDescent="0.25">
      <c r="A4554" t="s">
        <v>3452</v>
      </c>
      <c r="B4554" t="str">
        <f>MID(tbl_lock[[#This Row],[PACE Job Number]],3,3)</f>
        <v>STX</v>
      </c>
      <c r="C4554" t="s">
        <v>17</v>
      </c>
      <c r="D4554" s="1">
        <v>43434</v>
      </c>
    </row>
    <row r="4555" spans="1:4" x14ac:dyDescent="0.25">
      <c r="A4555" t="s">
        <v>3476</v>
      </c>
      <c r="B4555" t="str">
        <f>MID(tbl_lock[[#This Row],[PACE Job Number]],3,3)</f>
        <v>STX</v>
      </c>
      <c r="C4555" t="s">
        <v>17</v>
      </c>
      <c r="D4555" s="1">
        <v>43434</v>
      </c>
    </row>
    <row r="4556" spans="1:4" x14ac:dyDescent="0.25">
      <c r="A4556" t="s">
        <v>4501</v>
      </c>
      <c r="B4556" t="str">
        <f>MID(tbl_lock[[#This Row],[PACE Job Number]],3,3)</f>
        <v>STX</v>
      </c>
      <c r="C4556" t="s">
        <v>17</v>
      </c>
      <c r="D4556" s="1">
        <v>43434</v>
      </c>
    </row>
    <row r="4557" spans="1:4" x14ac:dyDescent="0.25">
      <c r="A4557" t="s">
        <v>5624</v>
      </c>
      <c r="B4557" t="str">
        <f>MID(tbl_lock[[#This Row],[PACE Job Number]],3,3)</f>
        <v>NTX</v>
      </c>
      <c r="C4557" t="s">
        <v>17</v>
      </c>
      <c r="D4557" s="1">
        <v>43427</v>
      </c>
    </row>
    <row r="4558" spans="1:4" x14ac:dyDescent="0.25">
      <c r="A4558" t="s">
        <v>5625</v>
      </c>
      <c r="B4558" t="str">
        <f>MID(tbl_lock[[#This Row],[PACE Job Number]],3,3)</f>
        <v>NTX</v>
      </c>
      <c r="C4558" t="s">
        <v>17</v>
      </c>
      <c r="D4558" s="1">
        <v>43427</v>
      </c>
    </row>
    <row r="4559" spans="1:4" x14ac:dyDescent="0.25">
      <c r="A4559" t="s">
        <v>4322</v>
      </c>
      <c r="B4559" t="str">
        <f>MID(tbl_lock[[#This Row],[PACE Job Number]],3,3)</f>
        <v>STX</v>
      </c>
      <c r="C4559" t="s">
        <v>17</v>
      </c>
      <c r="D4559" s="1">
        <v>43419</v>
      </c>
    </row>
    <row r="4560" spans="1:4" x14ac:dyDescent="0.25">
      <c r="A4560" t="s">
        <v>4597</v>
      </c>
      <c r="B4560" t="str">
        <f>MID(tbl_lock[[#This Row],[PACE Job Number]],3,3)</f>
        <v>STX</v>
      </c>
      <c r="C4560" t="s">
        <v>17</v>
      </c>
      <c r="D4560" s="1">
        <v>43406</v>
      </c>
    </row>
    <row r="4561" spans="1:4" x14ac:dyDescent="0.25">
      <c r="A4561" t="s">
        <v>4598</v>
      </c>
      <c r="B4561" t="str">
        <f>MID(tbl_lock[[#This Row],[PACE Job Number]],3,3)</f>
        <v>STX</v>
      </c>
      <c r="C4561" t="s">
        <v>17</v>
      </c>
      <c r="D4561" s="1">
        <v>43406</v>
      </c>
    </row>
    <row r="4562" spans="1:4" x14ac:dyDescent="0.25">
      <c r="A4562" t="s">
        <v>3541</v>
      </c>
      <c r="B4562" t="str">
        <f>MID(tbl_lock[[#This Row],[PACE Job Number]],3,3)</f>
        <v>STX</v>
      </c>
      <c r="C4562" t="s">
        <v>17</v>
      </c>
      <c r="D4562" s="1">
        <v>43419</v>
      </c>
    </row>
    <row r="4563" spans="1:4" x14ac:dyDescent="0.25">
      <c r="A4563" t="s">
        <v>3542</v>
      </c>
      <c r="B4563" t="str">
        <f>MID(tbl_lock[[#This Row],[PACE Job Number]],3,3)</f>
        <v>STX</v>
      </c>
      <c r="C4563" t="s">
        <v>17</v>
      </c>
      <c r="D4563" s="1">
        <v>43419</v>
      </c>
    </row>
    <row r="4564" spans="1:4" x14ac:dyDescent="0.25">
      <c r="A4564" t="s">
        <v>4508</v>
      </c>
      <c r="B4564" t="str">
        <f>MID(tbl_lock[[#This Row],[PACE Job Number]],3,3)</f>
        <v>STX</v>
      </c>
      <c r="C4564" t="s">
        <v>17</v>
      </c>
      <c r="D4564" s="1">
        <v>43414</v>
      </c>
    </row>
    <row r="4565" spans="1:4" x14ac:dyDescent="0.25">
      <c r="A4565" t="s">
        <v>4032</v>
      </c>
      <c r="B4565" t="str">
        <f>MID(tbl_lock[[#This Row],[PACE Job Number]],3,3)</f>
        <v>STX</v>
      </c>
      <c r="C4565" t="s">
        <v>17</v>
      </c>
      <c r="D4565" s="1">
        <v>43434</v>
      </c>
    </row>
    <row r="4566" spans="1:4" x14ac:dyDescent="0.25">
      <c r="A4566" t="s">
        <v>4033</v>
      </c>
      <c r="B4566" t="str">
        <f>MID(tbl_lock[[#This Row],[PACE Job Number]],3,3)</f>
        <v>STX</v>
      </c>
      <c r="C4566" t="s">
        <v>17</v>
      </c>
      <c r="D4566" s="1">
        <v>43434</v>
      </c>
    </row>
    <row r="4567" spans="1:4" x14ac:dyDescent="0.25">
      <c r="A4567" t="s">
        <v>791</v>
      </c>
      <c r="B4567" t="str">
        <f>MID(tbl_lock[[#This Row],[PACE Job Number]],3,3)</f>
        <v>STX</v>
      </c>
      <c r="C4567" t="s">
        <v>17</v>
      </c>
      <c r="D4567" s="1">
        <v>43434</v>
      </c>
    </row>
    <row r="4568" spans="1:4" x14ac:dyDescent="0.25">
      <c r="A4568" t="s">
        <v>5456</v>
      </c>
      <c r="B4568" t="str">
        <f>MID(tbl_lock[[#This Row],[PACE Job Number]],3,3)</f>
        <v>STX</v>
      </c>
      <c r="C4568" t="s">
        <v>17</v>
      </c>
      <c r="D4568" s="1">
        <v>43434</v>
      </c>
    </row>
    <row r="4569" spans="1:4" x14ac:dyDescent="0.25">
      <c r="A4569" t="s">
        <v>4055</v>
      </c>
      <c r="B4569" t="str">
        <f>MID(tbl_lock[[#This Row],[PACE Job Number]],3,3)</f>
        <v>STX</v>
      </c>
      <c r="C4569" t="s">
        <v>17</v>
      </c>
      <c r="D4569" s="1">
        <v>43434</v>
      </c>
    </row>
    <row r="4570" spans="1:4" x14ac:dyDescent="0.25">
      <c r="A4570" t="s">
        <v>3309</v>
      </c>
      <c r="B4570" t="str">
        <f>MID(tbl_lock[[#This Row],[PACE Job Number]],3,3)</f>
        <v>STX</v>
      </c>
      <c r="C4570" t="s">
        <v>17</v>
      </c>
      <c r="D4570" s="1">
        <v>43419</v>
      </c>
    </row>
    <row r="4571" spans="1:4" x14ac:dyDescent="0.25">
      <c r="A4571" t="s">
        <v>4056</v>
      </c>
      <c r="B4571" t="str">
        <f>MID(tbl_lock[[#This Row],[PACE Job Number]],3,3)</f>
        <v>STX</v>
      </c>
      <c r="C4571" t="s">
        <v>17</v>
      </c>
      <c r="D4571" s="1">
        <v>43434</v>
      </c>
    </row>
    <row r="4572" spans="1:4" x14ac:dyDescent="0.25">
      <c r="A4572" t="s">
        <v>3315</v>
      </c>
      <c r="B4572" t="str">
        <f>MID(tbl_lock[[#This Row],[PACE Job Number]],3,3)</f>
        <v>STX</v>
      </c>
      <c r="C4572" t="s">
        <v>17</v>
      </c>
      <c r="D4572" s="1">
        <v>43419</v>
      </c>
    </row>
    <row r="4573" spans="1:4" x14ac:dyDescent="0.25">
      <c r="A4573" t="s">
        <v>4510</v>
      </c>
      <c r="B4573" t="str">
        <f>MID(tbl_lock[[#This Row],[PACE Job Number]],3,3)</f>
        <v>STX</v>
      </c>
      <c r="C4573" t="s">
        <v>17</v>
      </c>
      <c r="D4573" s="1">
        <v>43419</v>
      </c>
    </row>
    <row r="4574" spans="1:4" x14ac:dyDescent="0.25">
      <c r="A4574" t="s">
        <v>522</v>
      </c>
      <c r="B4574" t="str">
        <f>MID(tbl_lock[[#This Row],[PACE Job Number]],3,3)</f>
        <v>STX</v>
      </c>
      <c r="C4574" t="s">
        <v>17</v>
      </c>
      <c r="D4574" s="1">
        <v>43434</v>
      </c>
    </row>
    <row r="4575" spans="1:4" x14ac:dyDescent="0.25">
      <c r="A4575" t="s">
        <v>3364</v>
      </c>
      <c r="B4575" t="str">
        <f>MID(tbl_lock[[#This Row],[PACE Job Number]],3,3)</f>
        <v>STX</v>
      </c>
      <c r="C4575" t="s">
        <v>17</v>
      </c>
      <c r="D4575" s="1">
        <v>43419</v>
      </c>
    </row>
    <row r="4576" spans="1:4" x14ac:dyDescent="0.25">
      <c r="A4576" t="s">
        <v>5593</v>
      </c>
      <c r="B4576" t="str">
        <f>MID(tbl_lock[[#This Row],[PACE Job Number]],3,3)</f>
        <v>STX</v>
      </c>
      <c r="C4576" t="s">
        <v>17</v>
      </c>
      <c r="D4576" s="1">
        <v>43434</v>
      </c>
    </row>
    <row r="4577" spans="1:4" x14ac:dyDescent="0.25">
      <c r="A4577" t="s">
        <v>3518</v>
      </c>
      <c r="B4577" t="str">
        <f>MID(tbl_lock[[#This Row],[PACE Job Number]],3,3)</f>
        <v>STX</v>
      </c>
      <c r="C4577" t="s">
        <v>17</v>
      </c>
      <c r="D4577" s="1">
        <v>43434</v>
      </c>
    </row>
    <row r="4578" spans="1:4" x14ac:dyDescent="0.25">
      <c r="A4578" t="s">
        <v>551</v>
      </c>
      <c r="B4578" t="str">
        <f>MID(tbl_lock[[#This Row],[PACE Job Number]],3,3)</f>
        <v>STX</v>
      </c>
      <c r="C4578" t="s">
        <v>17</v>
      </c>
      <c r="D4578" s="1">
        <v>43419</v>
      </c>
    </row>
    <row r="4579" spans="1:4" x14ac:dyDescent="0.25">
      <c r="A4579" t="s">
        <v>3355</v>
      </c>
      <c r="B4579" t="str">
        <f>MID(tbl_lock[[#This Row],[PACE Job Number]],3,3)</f>
        <v>STX</v>
      </c>
      <c r="C4579" t="s">
        <v>17</v>
      </c>
      <c r="D4579" s="1">
        <v>43419</v>
      </c>
    </row>
    <row r="4580" spans="1:4" x14ac:dyDescent="0.25">
      <c r="A4580" t="s">
        <v>2318</v>
      </c>
      <c r="B4580" t="str">
        <f>MID(tbl_lock[[#This Row],[PACE Job Number]],3,3)</f>
        <v>NTX</v>
      </c>
      <c r="C4580" t="s">
        <v>17</v>
      </c>
      <c r="D4580" s="1">
        <v>43406</v>
      </c>
    </row>
    <row r="4581" spans="1:4" x14ac:dyDescent="0.25">
      <c r="A4581" t="s">
        <v>2319</v>
      </c>
      <c r="B4581" t="str">
        <f>MID(tbl_lock[[#This Row],[PACE Job Number]],3,3)</f>
        <v>NTX</v>
      </c>
      <c r="C4581" t="s">
        <v>17</v>
      </c>
      <c r="D4581" s="1">
        <v>43406</v>
      </c>
    </row>
    <row r="4582" spans="1:4" x14ac:dyDescent="0.25">
      <c r="A4582" t="s">
        <v>3882</v>
      </c>
      <c r="B4582" t="str">
        <f>MID(tbl_lock[[#This Row],[PACE Job Number]],3,3)</f>
        <v>NTX</v>
      </c>
      <c r="C4582" t="s">
        <v>17</v>
      </c>
      <c r="D4582" s="1">
        <v>43408</v>
      </c>
    </row>
    <row r="4583" spans="1:4" x14ac:dyDescent="0.25">
      <c r="A4583" t="s">
        <v>4369</v>
      </c>
      <c r="B4583" t="str">
        <f>MID(tbl_lock[[#This Row],[PACE Job Number]],3,3)</f>
        <v>NTX</v>
      </c>
      <c r="C4583" t="s">
        <v>17</v>
      </c>
      <c r="D4583" s="1">
        <v>43426</v>
      </c>
    </row>
    <row r="4584" spans="1:4" x14ac:dyDescent="0.25">
      <c r="A4584" t="s">
        <v>3530</v>
      </c>
      <c r="B4584" t="str">
        <f>MID(tbl_lock[[#This Row],[PACE Job Number]],3,3)</f>
        <v>NTX</v>
      </c>
      <c r="C4584" t="s">
        <v>17</v>
      </c>
      <c r="D4584" s="1">
        <v>43414</v>
      </c>
    </row>
    <row r="4585" spans="1:4" x14ac:dyDescent="0.25">
      <c r="A4585" t="s">
        <v>3516</v>
      </c>
      <c r="B4585" t="str">
        <f>MID(tbl_lock[[#This Row],[PACE Job Number]],3,3)</f>
        <v>NTX</v>
      </c>
      <c r="C4585" t="s">
        <v>17</v>
      </c>
      <c r="D4585" s="1">
        <v>43414</v>
      </c>
    </row>
    <row r="4586" spans="1:4" x14ac:dyDescent="0.25">
      <c r="A4586" t="s">
        <v>3957</v>
      </c>
      <c r="B4586" t="str">
        <f>MID(tbl_lock[[#This Row],[PACE Job Number]],3,3)</f>
        <v>WSH</v>
      </c>
      <c r="C4586" t="s">
        <v>17</v>
      </c>
      <c r="D4586" s="1">
        <v>43434</v>
      </c>
    </row>
    <row r="4587" spans="1:4" x14ac:dyDescent="0.25">
      <c r="A4587" t="s">
        <v>313</v>
      </c>
      <c r="B4587" t="str">
        <f>MID(tbl_lock[[#This Row],[PACE Job Number]],3,3)</f>
        <v>WSH</v>
      </c>
      <c r="C4587" t="s">
        <v>17</v>
      </c>
      <c r="D4587" s="1">
        <v>43434</v>
      </c>
    </row>
    <row r="4588" spans="1:4" x14ac:dyDescent="0.25">
      <c r="A4588" t="s">
        <v>316</v>
      </c>
      <c r="B4588" t="str">
        <f>MID(tbl_lock[[#This Row],[PACE Job Number]],3,3)</f>
        <v>WSH</v>
      </c>
      <c r="C4588" t="s">
        <v>17</v>
      </c>
      <c r="D4588" s="1">
        <v>43434</v>
      </c>
    </row>
    <row r="4589" spans="1:4" x14ac:dyDescent="0.25">
      <c r="A4589" t="s">
        <v>219</v>
      </c>
      <c r="B4589" t="str">
        <f>MID(tbl_lock[[#This Row],[PACE Job Number]],3,3)</f>
        <v>WSH</v>
      </c>
      <c r="C4589" t="s">
        <v>17</v>
      </c>
      <c r="D4589" s="1">
        <v>43434</v>
      </c>
    </row>
    <row r="4590" spans="1:4" x14ac:dyDescent="0.25">
      <c r="A4590" t="s">
        <v>3876</v>
      </c>
      <c r="B4590" t="str">
        <f>MID(tbl_lock[[#This Row],[PACE Job Number]],3,3)</f>
        <v>WSH</v>
      </c>
      <c r="C4590" t="s">
        <v>17</v>
      </c>
      <c r="D4590" s="1">
        <v>43434</v>
      </c>
    </row>
    <row r="4591" spans="1:4" x14ac:dyDescent="0.25">
      <c r="A4591" t="s">
        <v>3993</v>
      </c>
      <c r="B4591" t="str">
        <f>MID(tbl_lock[[#This Row],[PACE Job Number]],3,3)</f>
        <v>WSH</v>
      </c>
      <c r="C4591" t="s">
        <v>17</v>
      </c>
      <c r="D4591" s="1">
        <v>43434</v>
      </c>
    </row>
    <row r="4592" spans="1:4" x14ac:dyDescent="0.25">
      <c r="A4592" t="s">
        <v>4021</v>
      </c>
      <c r="B4592" t="str">
        <f>MID(tbl_lock[[#This Row],[PACE Job Number]],3,3)</f>
        <v>WSH</v>
      </c>
      <c r="C4592" t="s">
        <v>17</v>
      </c>
      <c r="D4592" s="1">
        <v>43434</v>
      </c>
    </row>
    <row r="4593" spans="1:4" x14ac:dyDescent="0.25">
      <c r="A4593" t="s">
        <v>3994</v>
      </c>
      <c r="B4593" t="str">
        <f>MID(tbl_lock[[#This Row],[PACE Job Number]],3,3)</f>
        <v>WSH</v>
      </c>
      <c r="C4593" t="s">
        <v>17</v>
      </c>
      <c r="D4593" s="1">
        <v>43407</v>
      </c>
    </row>
    <row r="4594" spans="1:4" x14ac:dyDescent="0.25">
      <c r="A4594" t="s">
        <v>3877</v>
      </c>
      <c r="B4594" t="str">
        <f>MID(tbl_lock[[#This Row],[PACE Job Number]],3,3)</f>
        <v>WSH</v>
      </c>
      <c r="C4594" t="s">
        <v>17</v>
      </c>
      <c r="D4594" s="1">
        <v>43434</v>
      </c>
    </row>
    <row r="4595" spans="1:4" x14ac:dyDescent="0.25">
      <c r="A4595" t="s">
        <v>5626</v>
      </c>
      <c r="B4595" t="str">
        <f>MID(tbl_lock[[#This Row],[PACE Job Number]],3,3)</f>
        <v>WSH</v>
      </c>
      <c r="C4595" t="s">
        <v>17</v>
      </c>
      <c r="D4595" s="1">
        <v>43406</v>
      </c>
    </row>
    <row r="4596" spans="1:4" x14ac:dyDescent="0.25">
      <c r="A4596" t="s">
        <v>115</v>
      </c>
      <c r="B4596" t="str">
        <f>MID(tbl_lock[[#This Row],[PACE Job Number]],3,3)</f>
        <v>WSH</v>
      </c>
      <c r="C4596" t="s">
        <v>17</v>
      </c>
      <c r="D4596" s="1">
        <v>43434</v>
      </c>
    </row>
    <row r="4597" spans="1:4" x14ac:dyDescent="0.25">
      <c r="A4597" t="s">
        <v>4285</v>
      </c>
      <c r="B4597" t="str">
        <f>MID(tbl_lock[[#This Row],[PACE Job Number]],3,3)</f>
        <v>WSH</v>
      </c>
      <c r="C4597" t="s">
        <v>17</v>
      </c>
      <c r="D4597" s="1">
        <v>43434</v>
      </c>
    </row>
    <row r="4598" spans="1:4" x14ac:dyDescent="0.25">
      <c r="A4598" t="s">
        <v>5627</v>
      </c>
      <c r="B4598" t="str">
        <f>MID(tbl_lock[[#This Row],[PACE Job Number]],3,3)</f>
        <v>WSH</v>
      </c>
      <c r="C4598" t="s">
        <v>17</v>
      </c>
      <c r="D4598" s="1">
        <v>43415</v>
      </c>
    </row>
    <row r="4599" spans="1:4" x14ac:dyDescent="0.25">
      <c r="A4599" t="s">
        <v>4286</v>
      </c>
      <c r="B4599" t="str">
        <f>MID(tbl_lock[[#This Row],[PACE Job Number]],3,3)</f>
        <v>WSH</v>
      </c>
      <c r="C4599" t="s">
        <v>17</v>
      </c>
      <c r="D4599" s="1">
        <v>43434</v>
      </c>
    </row>
    <row r="4600" spans="1:4" x14ac:dyDescent="0.25">
      <c r="A4600" t="s">
        <v>4287</v>
      </c>
      <c r="B4600" t="str">
        <f>MID(tbl_lock[[#This Row],[PACE Job Number]],3,3)</f>
        <v>WSH</v>
      </c>
      <c r="C4600" t="s">
        <v>17</v>
      </c>
      <c r="D4600" s="1">
        <v>43434</v>
      </c>
    </row>
    <row r="4601" spans="1:4" x14ac:dyDescent="0.25">
      <c r="A4601" t="s">
        <v>5628</v>
      </c>
      <c r="B4601" t="str">
        <f>MID(tbl_lock[[#This Row],[PACE Job Number]],3,3)</f>
        <v>WSH</v>
      </c>
      <c r="C4601" t="s">
        <v>17</v>
      </c>
      <c r="D4601" s="1">
        <v>43434</v>
      </c>
    </row>
    <row r="4602" spans="1:4" x14ac:dyDescent="0.25">
      <c r="A4602" t="s">
        <v>4288</v>
      </c>
      <c r="B4602" t="str">
        <f>MID(tbl_lock[[#This Row],[PACE Job Number]],3,3)</f>
        <v>WSH</v>
      </c>
      <c r="C4602" t="s">
        <v>17</v>
      </c>
      <c r="D4602" s="1">
        <v>43434</v>
      </c>
    </row>
    <row r="4603" spans="1:4" x14ac:dyDescent="0.25">
      <c r="A4603" t="s">
        <v>3990</v>
      </c>
      <c r="B4603" t="str">
        <f>MID(tbl_lock[[#This Row],[PACE Job Number]],3,3)</f>
        <v>WSH</v>
      </c>
      <c r="C4603" t="s">
        <v>17</v>
      </c>
      <c r="D4603" s="1">
        <v>43434</v>
      </c>
    </row>
    <row r="4604" spans="1:4" x14ac:dyDescent="0.25">
      <c r="A4604" t="s">
        <v>3944</v>
      </c>
      <c r="B4604" t="str">
        <f>MID(tbl_lock[[#This Row],[PACE Job Number]],3,3)</f>
        <v>WSH</v>
      </c>
      <c r="C4604" t="s">
        <v>17</v>
      </c>
      <c r="D4604" s="1">
        <v>43434</v>
      </c>
    </row>
    <row r="4605" spans="1:4" x14ac:dyDescent="0.25">
      <c r="A4605" t="s">
        <v>3840</v>
      </c>
      <c r="B4605" t="str">
        <f>MID(tbl_lock[[#This Row],[PACE Job Number]],3,3)</f>
        <v>WSH</v>
      </c>
      <c r="C4605" t="s">
        <v>17</v>
      </c>
      <c r="D4605" s="1">
        <v>43434</v>
      </c>
    </row>
    <row r="4606" spans="1:4" x14ac:dyDescent="0.25">
      <c r="A4606" t="s">
        <v>4370</v>
      </c>
      <c r="B4606" t="str">
        <f>MID(tbl_lock[[#This Row],[PACE Job Number]],3,3)</f>
        <v>NTX</v>
      </c>
      <c r="C4606" t="s">
        <v>17</v>
      </c>
      <c r="D4606" s="1">
        <v>43426</v>
      </c>
    </row>
    <row r="4607" spans="1:4" x14ac:dyDescent="0.25">
      <c r="A4607" t="s">
        <v>3447</v>
      </c>
      <c r="B4607" t="str">
        <f>MID(tbl_lock[[#This Row],[PACE Job Number]],3,3)</f>
        <v>NTX</v>
      </c>
      <c r="C4607" t="s">
        <v>17</v>
      </c>
      <c r="D4607" s="1">
        <v>43408</v>
      </c>
    </row>
    <row r="4608" spans="1:4" x14ac:dyDescent="0.25">
      <c r="A4608" t="s">
        <v>67</v>
      </c>
      <c r="B4608" t="str">
        <f>MID(tbl_lock[[#This Row],[PACE Job Number]],3,3)</f>
        <v>NTX</v>
      </c>
      <c r="C4608" t="s">
        <v>17</v>
      </c>
      <c r="D4608" s="1">
        <v>43422</v>
      </c>
    </row>
    <row r="4609" spans="1:4" x14ac:dyDescent="0.25">
      <c r="A4609" t="s">
        <v>294</v>
      </c>
      <c r="B4609" t="str">
        <f>MID(tbl_lock[[#This Row],[PACE Job Number]],3,3)</f>
        <v>NTX</v>
      </c>
      <c r="C4609" t="s">
        <v>17</v>
      </c>
      <c r="D4609" s="1">
        <v>43422</v>
      </c>
    </row>
    <row r="4610" spans="1:4" x14ac:dyDescent="0.25">
      <c r="A4610" t="s">
        <v>5629</v>
      </c>
      <c r="B4610" t="str">
        <f>MID(tbl_lock[[#This Row],[PACE Job Number]],3,3)</f>
        <v>STX</v>
      </c>
      <c r="C4610" t="s">
        <v>17</v>
      </c>
      <c r="D4610" s="1">
        <v>43406</v>
      </c>
    </row>
    <row r="4611" spans="1:4" x14ac:dyDescent="0.25">
      <c r="A4611" t="s">
        <v>3225</v>
      </c>
      <c r="B4611" t="str">
        <f>MID(tbl_lock[[#This Row],[PACE Job Number]],3,3)</f>
        <v>STX</v>
      </c>
      <c r="C4611" t="s">
        <v>17</v>
      </c>
      <c r="D4611" s="1">
        <v>43405</v>
      </c>
    </row>
    <row r="4612" spans="1:4" x14ac:dyDescent="0.25">
      <c r="A4612" t="s">
        <v>5596</v>
      </c>
      <c r="B4612" t="str">
        <f>MID(tbl_lock[[#This Row],[PACE Job Number]],3,3)</f>
        <v>STX</v>
      </c>
      <c r="C4612" t="s">
        <v>17</v>
      </c>
      <c r="D4612" s="1">
        <v>43434</v>
      </c>
    </row>
    <row r="4613" spans="1:4" x14ac:dyDescent="0.25">
      <c r="A4613" t="s">
        <v>4372</v>
      </c>
      <c r="B4613" t="str">
        <f>MID(tbl_lock[[#This Row],[PACE Job Number]],3,3)</f>
        <v>STX</v>
      </c>
      <c r="C4613" t="s">
        <v>17</v>
      </c>
      <c r="D4613" s="1">
        <v>43419</v>
      </c>
    </row>
    <row r="4614" spans="1:4" x14ac:dyDescent="0.25">
      <c r="A4614" t="s">
        <v>5597</v>
      </c>
      <c r="B4614" t="str">
        <f>MID(tbl_lock[[#This Row],[PACE Job Number]],3,3)</f>
        <v>STX</v>
      </c>
      <c r="C4614" t="s">
        <v>17</v>
      </c>
      <c r="D4614" s="1">
        <v>43419</v>
      </c>
    </row>
    <row r="4615" spans="1:4" x14ac:dyDescent="0.25">
      <c r="A4615" t="s">
        <v>655</v>
      </c>
      <c r="B4615" t="str">
        <f>MID(tbl_lock[[#This Row],[PACE Job Number]],3,3)</f>
        <v>STX</v>
      </c>
      <c r="C4615" t="s">
        <v>17</v>
      </c>
      <c r="D4615" s="1">
        <v>43434</v>
      </c>
    </row>
    <row r="4616" spans="1:4" x14ac:dyDescent="0.25">
      <c r="A4616" t="s">
        <v>4373</v>
      </c>
      <c r="B4616" t="str">
        <f>MID(tbl_lock[[#This Row],[PACE Job Number]],3,3)</f>
        <v>STX</v>
      </c>
      <c r="C4616" t="s">
        <v>17</v>
      </c>
      <c r="D4616" s="1">
        <v>43434</v>
      </c>
    </row>
    <row r="4617" spans="1:4" x14ac:dyDescent="0.25">
      <c r="A4617" t="s">
        <v>4374</v>
      </c>
      <c r="B4617" t="str">
        <f>MID(tbl_lock[[#This Row],[PACE Job Number]],3,3)</f>
        <v>STX</v>
      </c>
      <c r="C4617" t="s">
        <v>17</v>
      </c>
      <c r="D4617" s="1">
        <v>43419</v>
      </c>
    </row>
    <row r="4618" spans="1:4" x14ac:dyDescent="0.25">
      <c r="A4618" t="s">
        <v>4375</v>
      </c>
      <c r="B4618" t="str">
        <f>MID(tbl_lock[[#This Row],[PACE Job Number]],3,3)</f>
        <v>STX</v>
      </c>
      <c r="C4618" t="s">
        <v>17</v>
      </c>
      <c r="D4618" s="1">
        <v>43419</v>
      </c>
    </row>
    <row r="4619" spans="1:4" x14ac:dyDescent="0.25">
      <c r="A4619" t="s">
        <v>5598</v>
      </c>
      <c r="B4619" t="str">
        <f>MID(tbl_lock[[#This Row],[PACE Job Number]],3,3)</f>
        <v>STX</v>
      </c>
      <c r="C4619" t="s">
        <v>17</v>
      </c>
      <c r="D4619" s="1">
        <v>43419</v>
      </c>
    </row>
    <row r="4620" spans="1:4" x14ac:dyDescent="0.25">
      <c r="A4620" t="s">
        <v>4376</v>
      </c>
      <c r="B4620" t="str">
        <f>MID(tbl_lock[[#This Row],[PACE Job Number]],3,3)</f>
        <v>STX</v>
      </c>
      <c r="C4620" t="s">
        <v>17</v>
      </c>
      <c r="D4620" s="1">
        <v>43419</v>
      </c>
    </row>
    <row r="4621" spans="1:4" x14ac:dyDescent="0.25">
      <c r="A4621" t="s">
        <v>3843</v>
      </c>
      <c r="B4621" t="str">
        <f>MID(tbl_lock[[#This Row],[PACE Job Number]],3,3)</f>
        <v>WSH</v>
      </c>
      <c r="C4621" t="s">
        <v>17</v>
      </c>
      <c r="D4621" s="1">
        <v>43434</v>
      </c>
    </row>
    <row r="4622" spans="1:4" x14ac:dyDescent="0.25">
      <c r="A4622" t="s">
        <v>3423</v>
      </c>
      <c r="B4622" t="str">
        <f>MID(tbl_lock[[#This Row],[PACE Job Number]],3,3)</f>
        <v>NTX</v>
      </c>
      <c r="C4622" t="s">
        <v>17</v>
      </c>
      <c r="D4622" s="1">
        <v>43406</v>
      </c>
    </row>
    <row r="4623" spans="1:4" x14ac:dyDescent="0.25">
      <c r="A4623" t="s">
        <v>3979</v>
      </c>
      <c r="B4623" t="str">
        <f>MID(tbl_lock[[#This Row],[PACE Job Number]],3,3)</f>
        <v>NTX</v>
      </c>
      <c r="C4623" t="s">
        <v>17</v>
      </c>
      <c r="D4623" s="1">
        <v>43405</v>
      </c>
    </row>
    <row r="4624" spans="1:4" x14ac:dyDescent="0.25">
      <c r="A4624" t="s">
        <v>2470</v>
      </c>
      <c r="B4624" t="str">
        <f>MID(tbl_lock[[#This Row],[PACE Job Number]],3,3)</f>
        <v>NTX</v>
      </c>
      <c r="C4624" t="s">
        <v>17</v>
      </c>
      <c r="D4624" s="1">
        <v>43413</v>
      </c>
    </row>
    <row r="4625" spans="1:4" x14ac:dyDescent="0.25">
      <c r="A4625" t="s">
        <v>3419</v>
      </c>
      <c r="B4625" t="str">
        <f>MID(tbl_lock[[#This Row],[PACE Job Number]],3,3)</f>
        <v>NTX</v>
      </c>
      <c r="C4625" t="s">
        <v>17</v>
      </c>
      <c r="D4625" s="1">
        <v>43406</v>
      </c>
    </row>
    <row r="4626" spans="1:4" x14ac:dyDescent="0.25">
      <c r="A4626" t="s">
        <v>3415</v>
      </c>
      <c r="B4626" t="str">
        <f>MID(tbl_lock[[#This Row],[PACE Job Number]],3,3)</f>
        <v>NTX</v>
      </c>
      <c r="C4626" t="s">
        <v>17</v>
      </c>
      <c r="D4626" s="1">
        <v>43406</v>
      </c>
    </row>
    <row r="4627" spans="1:4" x14ac:dyDescent="0.25">
      <c r="A4627" t="s">
        <v>2474</v>
      </c>
      <c r="B4627" t="str">
        <f>MID(tbl_lock[[#This Row],[PACE Job Number]],3,3)</f>
        <v>NTX</v>
      </c>
      <c r="C4627" t="s">
        <v>17</v>
      </c>
      <c r="D4627" s="1">
        <v>43408</v>
      </c>
    </row>
    <row r="4628" spans="1:4" x14ac:dyDescent="0.25">
      <c r="A4628" t="s">
        <v>4639</v>
      </c>
      <c r="B4628" t="str">
        <f>MID(tbl_lock[[#This Row],[PACE Job Number]],3,3)</f>
        <v>NTX</v>
      </c>
      <c r="C4628" t="s">
        <v>17</v>
      </c>
      <c r="D4628" s="1">
        <v>43405</v>
      </c>
    </row>
    <row r="4629" spans="1:4" x14ac:dyDescent="0.25">
      <c r="A4629" t="s">
        <v>3445</v>
      </c>
      <c r="B4629" t="str">
        <f>MID(tbl_lock[[#This Row],[PACE Job Number]],3,3)</f>
        <v>NTX</v>
      </c>
      <c r="C4629" t="s">
        <v>17</v>
      </c>
      <c r="D4629" s="1">
        <v>43406</v>
      </c>
    </row>
    <row r="4630" spans="1:4" x14ac:dyDescent="0.25">
      <c r="A4630" t="s">
        <v>3981</v>
      </c>
      <c r="B4630" t="str">
        <f>MID(tbl_lock[[#This Row],[PACE Job Number]],3,3)</f>
        <v>NTX</v>
      </c>
      <c r="C4630" t="s">
        <v>17</v>
      </c>
      <c r="D4630" s="1">
        <v>43408</v>
      </c>
    </row>
    <row r="4631" spans="1:4" x14ac:dyDescent="0.25">
      <c r="A4631" t="s">
        <v>3982</v>
      </c>
      <c r="B4631" t="str">
        <f>MID(tbl_lock[[#This Row],[PACE Job Number]],3,3)</f>
        <v>NTX</v>
      </c>
      <c r="C4631" t="s">
        <v>17</v>
      </c>
      <c r="D4631" s="1">
        <v>43405</v>
      </c>
    </row>
    <row r="4632" spans="1:4" x14ac:dyDescent="0.25">
      <c r="A4632" t="s">
        <v>3948</v>
      </c>
      <c r="B4632" t="str">
        <f>MID(tbl_lock[[#This Row],[PACE Job Number]],3,3)</f>
        <v>STX</v>
      </c>
      <c r="C4632" t="s">
        <v>15</v>
      </c>
      <c r="D4632" s="1">
        <v>43430</v>
      </c>
    </row>
    <row r="4633" spans="1:4" x14ac:dyDescent="0.25">
      <c r="A4633" t="s">
        <v>3949</v>
      </c>
      <c r="B4633" t="str">
        <f>MID(tbl_lock[[#This Row],[PACE Job Number]],3,3)</f>
        <v>STX</v>
      </c>
      <c r="C4633" t="s">
        <v>15</v>
      </c>
      <c r="D4633" s="1">
        <v>43430</v>
      </c>
    </row>
    <row r="4634" spans="1:4" x14ac:dyDescent="0.25">
      <c r="A4634" t="s">
        <v>3950</v>
      </c>
      <c r="B4634" t="str">
        <f>MID(tbl_lock[[#This Row],[PACE Job Number]],3,3)</f>
        <v>STX</v>
      </c>
      <c r="C4634" t="s">
        <v>15</v>
      </c>
      <c r="D4634" s="1">
        <v>43430</v>
      </c>
    </row>
    <row r="4635" spans="1:4" x14ac:dyDescent="0.25">
      <c r="A4635" t="s">
        <v>3951</v>
      </c>
      <c r="B4635" t="str">
        <f>MID(tbl_lock[[#This Row],[PACE Job Number]],3,3)</f>
        <v>STX</v>
      </c>
      <c r="C4635" t="s">
        <v>15</v>
      </c>
      <c r="D4635" s="1">
        <v>43430</v>
      </c>
    </row>
    <row r="4636" spans="1:4" x14ac:dyDescent="0.25">
      <c r="A4636" t="s">
        <v>3952</v>
      </c>
      <c r="B4636" t="str">
        <f>MID(tbl_lock[[#This Row],[PACE Job Number]],3,3)</f>
        <v>STX</v>
      </c>
      <c r="C4636" t="s">
        <v>15</v>
      </c>
      <c r="D4636" s="1">
        <v>43430</v>
      </c>
    </row>
    <row r="4637" spans="1:4" x14ac:dyDescent="0.25">
      <c r="A4637" t="s">
        <v>3953</v>
      </c>
      <c r="B4637" t="str">
        <f>MID(tbl_lock[[#This Row],[PACE Job Number]],3,3)</f>
        <v>STX</v>
      </c>
      <c r="C4637" t="s">
        <v>15</v>
      </c>
      <c r="D4637" s="1">
        <v>43430</v>
      </c>
    </row>
    <row r="4638" spans="1:4" x14ac:dyDescent="0.25">
      <c r="A4638" t="s">
        <v>3397</v>
      </c>
      <c r="B4638" t="str">
        <f>MID(tbl_lock[[#This Row],[PACE Job Number]],3,3)</f>
        <v>STX</v>
      </c>
      <c r="C4638" t="s">
        <v>15</v>
      </c>
      <c r="D4638" s="1">
        <v>43418</v>
      </c>
    </row>
    <row r="4639" spans="1:4" x14ac:dyDescent="0.25">
      <c r="A4639" t="s">
        <v>3388</v>
      </c>
      <c r="B4639" t="str">
        <f>MID(tbl_lock[[#This Row],[PACE Job Number]],3,3)</f>
        <v>STX</v>
      </c>
      <c r="C4639" t="s">
        <v>15</v>
      </c>
      <c r="D4639" s="1">
        <v>43418</v>
      </c>
    </row>
    <row r="4640" spans="1:4" x14ac:dyDescent="0.25">
      <c r="A4640" t="s">
        <v>5630</v>
      </c>
      <c r="B4640" t="str">
        <f>MID(tbl_lock[[#This Row],[PACE Job Number]],3,3)</f>
        <v>STX</v>
      </c>
      <c r="C4640" t="s">
        <v>15</v>
      </c>
      <c r="D4640" s="1">
        <v>43406</v>
      </c>
    </row>
    <row r="4641" spans="1:4" x14ac:dyDescent="0.25">
      <c r="A4641" t="s">
        <v>5631</v>
      </c>
      <c r="B4641" t="str">
        <f>MID(tbl_lock[[#This Row],[PACE Job Number]],3,3)</f>
        <v>STX</v>
      </c>
      <c r="C4641" t="s">
        <v>15</v>
      </c>
      <c r="D4641" s="1">
        <v>43406</v>
      </c>
    </row>
    <row r="4642" spans="1:4" x14ac:dyDescent="0.25">
      <c r="A4642" t="s">
        <v>3514</v>
      </c>
      <c r="B4642" t="str">
        <f>MID(tbl_lock[[#This Row],[PACE Job Number]],3,3)</f>
        <v>STX</v>
      </c>
      <c r="C4642" t="s">
        <v>15</v>
      </c>
      <c r="D4642" s="1">
        <v>43410</v>
      </c>
    </row>
    <row r="4643" spans="1:4" x14ac:dyDescent="0.25">
      <c r="A4643" t="s">
        <v>2677</v>
      </c>
      <c r="B4643" t="str">
        <f>MID(tbl_lock[[#This Row],[PACE Job Number]],3,3)</f>
        <v>STX</v>
      </c>
      <c r="C4643" t="s">
        <v>15</v>
      </c>
      <c r="D4643" s="1">
        <v>43406</v>
      </c>
    </row>
    <row r="4644" spans="1:4" x14ac:dyDescent="0.25">
      <c r="A4644" t="s">
        <v>4060</v>
      </c>
      <c r="B4644" t="str">
        <f>MID(tbl_lock[[#This Row],[PACE Job Number]],3,3)</f>
        <v>STX</v>
      </c>
      <c r="C4644" t="s">
        <v>15</v>
      </c>
      <c r="D4644" s="1">
        <v>43419</v>
      </c>
    </row>
    <row r="4645" spans="1:4" x14ac:dyDescent="0.25">
      <c r="A4645" t="s">
        <v>258</v>
      </c>
      <c r="B4645" t="str">
        <f>MID(tbl_lock[[#This Row],[PACE Job Number]],3,3)</f>
        <v>STX</v>
      </c>
      <c r="C4645" t="s">
        <v>15</v>
      </c>
      <c r="D4645" s="1">
        <v>43430</v>
      </c>
    </row>
    <row r="4646" spans="1:4" x14ac:dyDescent="0.25">
      <c r="A4646" t="s">
        <v>908</v>
      </c>
      <c r="B4646" t="str">
        <f>MID(tbl_lock[[#This Row],[PACE Job Number]],3,3)</f>
        <v>STX</v>
      </c>
      <c r="C4646" t="s">
        <v>15</v>
      </c>
      <c r="D4646" s="1">
        <v>43406</v>
      </c>
    </row>
    <row r="4647" spans="1:4" x14ac:dyDescent="0.25">
      <c r="A4647" t="s">
        <v>249</v>
      </c>
      <c r="B4647" t="str">
        <f>MID(tbl_lock[[#This Row],[PACE Job Number]],3,3)</f>
        <v>STX</v>
      </c>
      <c r="C4647" t="s">
        <v>15</v>
      </c>
      <c r="D4647" s="1">
        <v>43418</v>
      </c>
    </row>
    <row r="4648" spans="1:4" x14ac:dyDescent="0.25">
      <c r="A4648" t="s">
        <v>3485</v>
      </c>
      <c r="B4648" t="str">
        <f>MID(tbl_lock[[#This Row],[PACE Job Number]],3,3)</f>
        <v>STX</v>
      </c>
      <c r="C4648" t="s">
        <v>15</v>
      </c>
      <c r="D4648" s="1">
        <v>43418</v>
      </c>
    </row>
    <row r="4649" spans="1:4" x14ac:dyDescent="0.25">
      <c r="A4649" t="s">
        <v>697</v>
      </c>
      <c r="B4649" t="str">
        <f>MID(tbl_lock[[#This Row],[PACE Job Number]],3,3)</f>
        <v>STX</v>
      </c>
      <c r="C4649" t="s">
        <v>15</v>
      </c>
      <c r="D4649" s="1">
        <v>43418</v>
      </c>
    </row>
    <row r="4650" spans="1:4" x14ac:dyDescent="0.25">
      <c r="A4650" t="s">
        <v>200</v>
      </c>
      <c r="B4650" t="str">
        <f>MID(tbl_lock[[#This Row],[PACE Job Number]],3,3)</f>
        <v>STX</v>
      </c>
      <c r="C4650" t="s">
        <v>15</v>
      </c>
      <c r="D4650" s="1">
        <v>43419</v>
      </c>
    </row>
    <row r="4651" spans="1:4" x14ac:dyDescent="0.25">
      <c r="A4651" t="s">
        <v>3230</v>
      </c>
      <c r="B4651" t="str">
        <f>MID(tbl_lock[[#This Row],[PACE Job Number]],3,3)</f>
        <v>STX</v>
      </c>
      <c r="C4651" t="s">
        <v>15</v>
      </c>
      <c r="D4651" s="1">
        <v>43430</v>
      </c>
    </row>
    <row r="4652" spans="1:4" x14ac:dyDescent="0.25">
      <c r="A4652" t="s">
        <v>3955</v>
      </c>
      <c r="B4652" t="str">
        <f>MID(tbl_lock[[#This Row],[PACE Job Number]],3,3)</f>
        <v>STX</v>
      </c>
      <c r="C4652" t="s">
        <v>15</v>
      </c>
      <c r="D4652" s="1">
        <v>43418</v>
      </c>
    </row>
    <row r="4653" spans="1:4" x14ac:dyDescent="0.25">
      <c r="A4653" t="s">
        <v>4044</v>
      </c>
      <c r="B4653" t="str">
        <f>MID(tbl_lock[[#This Row],[PACE Job Number]],3,3)</f>
        <v>STX</v>
      </c>
      <c r="C4653" t="s">
        <v>15</v>
      </c>
      <c r="D4653" s="1">
        <v>43410</v>
      </c>
    </row>
    <row r="4654" spans="1:4" x14ac:dyDescent="0.25">
      <c r="A4654" t="s">
        <v>3204</v>
      </c>
      <c r="B4654" t="str">
        <f>MID(tbl_lock[[#This Row],[PACE Job Number]],3,3)</f>
        <v>STX</v>
      </c>
      <c r="C4654" t="s">
        <v>15</v>
      </c>
      <c r="D4654" s="1">
        <v>43430</v>
      </c>
    </row>
    <row r="4655" spans="1:4" x14ac:dyDescent="0.25">
      <c r="A4655" t="s">
        <v>252</v>
      </c>
      <c r="B4655" t="str">
        <f>MID(tbl_lock[[#This Row],[PACE Job Number]],3,3)</f>
        <v>STX</v>
      </c>
      <c r="C4655" t="s">
        <v>15</v>
      </c>
      <c r="D4655" s="1">
        <v>43430</v>
      </c>
    </row>
    <row r="4656" spans="1:4" x14ac:dyDescent="0.25">
      <c r="A4656" t="s">
        <v>4612</v>
      </c>
      <c r="B4656" t="str">
        <f>MID(tbl_lock[[#This Row],[PACE Job Number]],3,3)</f>
        <v>STX</v>
      </c>
      <c r="C4656" t="s">
        <v>15</v>
      </c>
      <c r="D4656" s="1">
        <v>43418</v>
      </c>
    </row>
    <row r="4657" spans="1:4" x14ac:dyDescent="0.25">
      <c r="A4657" t="s">
        <v>4643</v>
      </c>
      <c r="B4657" t="str">
        <f>MID(tbl_lock[[#This Row],[PACE Job Number]],3,3)</f>
        <v>STX</v>
      </c>
      <c r="C4657" t="s">
        <v>15</v>
      </c>
      <c r="D4657" s="1">
        <v>43410</v>
      </c>
    </row>
    <row r="4658" spans="1:4" x14ac:dyDescent="0.25">
      <c r="A4658" t="s">
        <v>3465</v>
      </c>
      <c r="B4658" t="str">
        <f>MID(tbl_lock[[#This Row],[PACE Job Number]],3,3)</f>
        <v>STX</v>
      </c>
      <c r="C4658" t="s">
        <v>15</v>
      </c>
      <c r="D4658" s="1">
        <v>43430</v>
      </c>
    </row>
    <row r="4659" spans="1:4" x14ac:dyDescent="0.25">
      <c r="A4659" t="s">
        <v>4045</v>
      </c>
      <c r="B4659" t="str">
        <f>MID(tbl_lock[[#This Row],[PACE Job Number]],3,3)</f>
        <v>STX</v>
      </c>
      <c r="C4659" t="s">
        <v>15</v>
      </c>
      <c r="D4659" s="1">
        <v>43410</v>
      </c>
    </row>
    <row r="4660" spans="1:4" x14ac:dyDescent="0.25">
      <c r="A4660" t="s">
        <v>4613</v>
      </c>
      <c r="B4660" t="str">
        <f>MID(tbl_lock[[#This Row],[PACE Job Number]],3,3)</f>
        <v>STX</v>
      </c>
      <c r="C4660" t="s">
        <v>15</v>
      </c>
      <c r="D4660" s="1">
        <v>43418</v>
      </c>
    </row>
    <row r="4661" spans="1:4" x14ac:dyDescent="0.25">
      <c r="A4661" t="s">
        <v>373</v>
      </c>
      <c r="B4661" t="str">
        <f>MID(tbl_lock[[#This Row],[PACE Job Number]],3,3)</f>
        <v>WSH</v>
      </c>
      <c r="C4661" t="s">
        <v>15</v>
      </c>
      <c r="D4661" s="1">
        <v>43421</v>
      </c>
    </row>
    <row r="4662" spans="1:4" x14ac:dyDescent="0.25">
      <c r="A4662" t="s">
        <v>467</v>
      </c>
      <c r="B4662" t="str">
        <f>MID(tbl_lock[[#This Row],[PACE Job Number]],3,3)</f>
        <v>WSH</v>
      </c>
      <c r="C4662" t="s">
        <v>15</v>
      </c>
      <c r="D4662" s="1">
        <v>43434</v>
      </c>
    </row>
    <row r="4663" spans="1:4" x14ac:dyDescent="0.25">
      <c r="A4663" t="s">
        <v>3984</v>
      </c>
      <c r="B4663" t="str">
        <f>MID(tbl_lock[[#This Row],[PACE Job Number]],3,3)</f>
        <v>NTX</v>
      </c>
      <c r="C4663" t="s">
        <v>15</v>
      </c>
      <c r="D4663" s="1">
        <v>43425</v>
      </c>
    </row>
    <row r="4664" spans="1:4" x14ac:dyDescent="0.25">
      <c r="A4664" t="s">
        <v>61</v>
      </c>
      <c r="B4664" t="str">
        <f>MID(tbl_lock[[#This Row],[PACE Job Number]],3,3)</f>
        <v>NTX</v>
      </c>
      <c r="C4664" t="s">
        <v>15</v>
      </c>
      <c r="D4664" s="1">
        <v>43427</v>
      </c>
    </row>
    <row r="4665" spans="1:4" x14ac:dyDescent="0.25">
      <c r="A4665" t="s">
        <v>4304</v>
      </c>
      <c r="B4665" t="str">
        <f>MID(tbl_lock[[#This Row],[PACE Job Number]],3,3)</f>
        <v>NTX</v>
      </c>
      <c r="C4665" t="s">
        <v>15</v>
      </c>
      <c r="D4665" s="1">
        <v>43415</v>
      </c>
    </row>
    <row r="4666" spans="1:4" x14ac:dyDescent="0.25">
      <c r="A4666" t="s">
        <v>139</v>
      </c>
      <c r="B4666" t="str">
        <f>MID(tbl_lock[[#This Row],[PACE Job Number]],3,3)</f>
        <v>NTX</v>
      </c>
      <c r="C4666" t="s">
        <v>15</v>
      </c>
      <c r="D4666" s="1">
        <v>43427</v>
      </c>
    </row>
    <row r="4667" spans="1:4" x14ac:dyDescent="0.25">
      <c r="A4667" t="s">
        <v>4305</v>
      </c>
      <c r="B4667" t="str">
        <f>MID(tbl_lock[[#This Row],[PACE Job Number]],3,3)</f>
        <v>NTX</v>
      </c>
      <c r="C4667" t="s">
        <v>15</v>
      </c>
      <c r="D4667" s="1">
        <v>43406</v>
      </c>
    </row>
    <row r="4668" spans="1:4" x14ac:dyDescent="0.25">
      <c r="A4668" t="s">
        <v>5632</v>
      </c>
      <c r="B4668" t="str">
        <f>MID(tbl_lock[[#This Row],[PACE Job Number]],3,3)</f>
        <v>NTX</v>
      </c>
      <c r="C4668" t="s">
        <v>15</v>
      </c>
      <c r="D4668" s="1">
        <v>43411</v>
      </c>
    </row>
    <row r="4669" spans="1:4" x14ac:dyDescent="0.25">
      <c r="A4669" t="s">
        <v>4306</v>
      </c>
      <c r="B4669" t="str">
        <f>MID(tbl_lock[[#This Row],[PACE Job Number]],3,3)</f>
        <v>NTX</v>
      </c>
      <c r="C4669" t="s">
        <v>15</v>
      </c>
      <c r="D4669" s="1">
        <v>43408</v>
      </c>
    </row>
    <row r="4670" spans="1:4" x14ac:dyDescent="0.25">
      <c r="A4670" t="s">
        <v>4513</v>
      </c>
      <c r="B4670" t="str">
        <f>MID(tbl_lock[[#This Row],[PACE Job Number]],3,3)</f>
        <v>NTX</v>
      </c>
      <c r="C4670" t="s">
        <v>15</v>
      </c>
      <c r="D4670" s="1">
        <v>43412</v>
      </c>
    </row>
    <row r="4671" spans="1:4" x14ac:dyDescent="0.25">
      <c r="A4671" t="s">
        <v>4308</v>
      </c>
      <c r="B4671" t="str">
        <f>MID(tbl_lock[[#This Row],[PACE Job Number]],3,3)</f>
        <v>NTX</v>
      </c>
      <c r="C4671" t="s">
        <v>15</v>
      </c>
      <c r="D4671" s="1">
        <v>43412</v>
      </c>
    </row>
    <row r="4672" spans="1:4" x14ac:dyDescent="0.25">
      <c r="A4672" t="s">
        <v>4309</v>
      </c>
      <c r="B4672" t="str">
        <f>MID(tbl_lock[[#This Row],[PACE Job Number]],3,3)</f>
        <v>NTX</v>
      </c>
      <c r="C4672" t="s">
        <v>15</v>
      </c>
      <c r="D4672" s="1">
        <v>43431</v>
      </c>
    </row>
    <row r="4673" spans="1:4" x14ac:dyDescent="0.25">
      <c r="A4673" t="s">
        <v>4310</v>
      </c>
      <c r="B4673" t="str">
        <f>MID(tbl_lock[[#This Row],[PACE Job Number]],3,3)</f>
        <v>NTX</v>
      </c>
      <c r="C4673" t="s">
        <v>15</v>
      </c>
      <c r="D4673" s="1">
        <v>43431</v>
      </c>
    </row>
    <row r="4674" spans="1:4" x14ac:dyDescent="0.25">
      <c r="A4674" t="s">
        <v>4514</v>
      </c>
      <c r="B4674" t="str">
        <f>MID(tbl_lock[[#This Row],[PACE Job Number]],3,3)</f>
        <v>NTX</v>
      </c>
      <c r="C4674" t="s">
        <v>15</v>
      </c>
      <c r="D4674" s="1">
        <v>43425</v>
      </c>
    </row>
    <row r="4675" spans="1:4" x14ac:dyDescent="0.25">
      <c r="A4675" t="s">
        <v>2544</v>
      </c>
      <c r="B4675" t="str">
        <f>MID(tbl_lock[[#This Row],[PACE Job Number]],3,3)</f>
        <v>STX</v>
      </c>
      <c r="C4675" t="s">
        <v>15</v>
      </c>
      <c r="D4675" s="1">
        <v>43418</v>
      </c>
    </row>
    <row r="4676" spans="1:4" x14ac:dyDescent="0.25">
      <c r="A4676" t="s">
        <v>3474</v>
      </c>
      <c r="B4676" t="str">
        <f>MID(tbl_lock[[#This Row],[PACE Job Number]],3,3)</f>
        <v>STX</v>
      </c>
      <c r="C4676" t="s">
        <v>15</v>
      </c>
      <c r="D4676" s="1">
        <v>43419</v>
      </c>
    </row>
    <row r="4677" spans="1:4" x14ac:dyDescent="0.25">
      <c r="A4677" t="s">
        <v>4029</v>
      </c>
      <c r="B4677" t="str">
        <f>MID(tbl_lock[[#This Row],[PACE Job Number]],3,3)</f>
        <v>STX</v>
      </c>
      <c r="C4677" t="s">
        <v>15</v>
      </c>
      <c r="D4677" s="1">
        <v>43410</v>
      </c>
    </row>
    <row r="4678" spans="1:4" x14ac:dyDescent="0.25">
      <c r="A4678" t="s">
        <v>3460</v>
      </c>
      <c r="B4678" t="str">
        <f>MID(tbl_lock[[#This Row],[PACE Job Number]],3,3)</f>
        <v>STX</v>
      </c>
      <c r="C4678" t="s">
        <v>15</v>
      </c>
      <c r="D4678" s="1">
        <v>43418</v>
      </c>
    </row>
    <row r="4679" spans="1:4" x14ac:dyDescent="0.25">
      <c r="A4679" t="s">
        <v>165</v>
      </c>
      <c r="B4679" t="str">
        <f>MID(tbl_lock[[#This Row],[PACE Job Number]],3,3)</f>
        <v>STX</v>
      </c>
      <c r="C4679" t="s">
        <v>15</v>
      </c>
      <c r="D4679" s="1">
        <v>43418</v>
      </c>
    </row>
    <row r="4680" spans="1:4" x14ac:dyDescent="0.25">
      <c r="A4680" t="s">
        <v>73</v>
      </c>
      <c r="B4680" t="str">
        <f>MID(tbl_lock[[#This Row],[PACE Job Number]],3,3)</f>
        <v>STX</v>
      </c>
      <c r="C4680" t="s">
        <v>15</v>
      </c>
      <c r="D4680" s="1">
        <v>43430</v>
      </c>
    </row>
    <row r="4681" spans="1:4" x14ac:dyDescent="0.25">
      <c r="A4681" t="s">
        <v>4052</v>
      </c>
      <c r="B4681" t="str">
        <f>MID(tbl_lock[[#This Row],[PACE Job Number]],3,3)</f>
        <v>STX</v>
      </c>
      <c r="C4681" t="s">
        <v>15</v>
      </c>
      <c r="D4681" s="1">
        <v>43406</v>
      </c>
    </row>
    <row r="4682" spans="1:4" x14ac:dyDescent="0.25">
      <c r="A4682" t="s">
        <v>4053</v>
      </c>
      <c r="B4682" t="str">
        <f>MID(tbl_lock[[#This Row],[PACE Job Number]],3,3)</f>
        <v>STX</v>
      </c>
      <c r="C4682" t="s">
        <v>15</v>
      </c>
      <c r="D4682" s="1">
        <v>43406</v>
      </c>
    </row>
    <row r="4683" spans="1:4" x14ac:dyDescent="0.25">
      <c r="A4683" t="s">
        <v>180</v>
      </c>
      <c r="B4683" t="str">
        <f>MID(tbl_lock[[#This Row],[PACE Job Number]],3,3)</f>
        <v>STX</v>
      </c>
      <c r="C4683" t="s">
        <v>15</v>
      </c>
      <c r="D4683" s="1">
        <v>43419</v>
      </c>
    </row>
    <row r="4684" spans="1:4" x14ac:dyDescent="0.25">
      <c r="A4684" t="s">
        <v>120</v>
      </c>
      <c r="B4684" t="str">
        <f>MID(tbl_lock[[#This Row],[PACE Job Number]],3,3)</f>
        <v>STX</v>
      </c>
      <c r="C4684" t="s">
        <v>15</v>
      </c>
      <c r="D4684" s="1">
        <v>43419</v>
      </c>
    </row>
    <row r="4685" spans="1:4" x14ac:dyDescent="0.25">
      <c r="A4685" t="s">
        <v>3495</v>
      </c>
      <c r="B4685" t="str">
        <f>MID(tbl_lock[[#This Row],[PACE Job Number]],3,3)</f>
        <v>STX</v>
      </c>
      <c r="C4685" t="s">
        <v>15</v>
      </c>
      <c r="D4685" s="1">
        <v>43419</v>
      </c>
    </row>
    <row r="4686" spans="1:4" x14ac:dyDescent="0.25">
      <c r="A4686" t="s">
        <v>1366</v>
      </c>
      <c r="B4686" t="str">
        <f>MID(tbl_lock[[#This Row],[PACE Job Number]],3,3)</f>
        <v>STX</v>
      </c>
      <c r="C4686" t="s">
        <v>15</v>
      </c>
      <c r="D4686" s="1">
        <v>43410</v>
      </c>
    </row>
    <row r="4687" spans="1:4" x14ac:dyDescent="0.25">
      <c r="A4687" t="s">
        <v>2554</v>
      </c>
      <c r="B4687" t="str">
        <f>MID(tbl_lock[[#This Row],[PACE Job Number]],3,3)</f>
        <v>STX</v>
      </c>
      <c r="C4687" t="s">
        <v>15</v>
      </c>
      <c r="D4687" s="1">
        <v>43430</v>
      </c>
    </row>
    <row r="4688" spans="1:4" x14ac:dyDescent="0.25">
      <c r="A4688" t="s">
        <v>3484</v>
      </c>
      <c r="B4688" t="str">
        <f>MID(tbl_lock[[#This Row],[PACE Job Number]],3,3)</f>
        <v>STX</v>
      </c>
      <c r="C4688" t="s">
        <v>15</v>
      </c>
      <c r="D4688" s="1">
        <v>43419</v>
      </c>
    </row>
    <row r="4689" spans="1:4" x14ac:dyDescent="0.25">
      <c r="A4689" t="s">
        <v>3997</v>
      </c>
      <c r="B4689" t="str">
        <f>MID(tbl_lock[[#This Row],[PACE Job Number]],3,3)</f>
        <v>STX</v>
      </c>
      <c r="C4689" t="s">
        <v>15</v>
      </c>
      <c r="D4689" s="1">
        <v>43418</v>
      </c>
    </row>
    <row r="4690" spans="1:4" x14ac:dyDescent="0.25">
      <c r="A4690" t="s">
        <v>4030</v>
      </c>
      <c r="B4690" t="str">
        <f>MID(tbl_lock[[#This Row],[PACE Job Number]],3,3)</f>
        <v>STX</v>
      </c>
      <c r="C4690" t="s">
        <v>15</v>
      </c>
      <c r="D4690" s="1">
        <v>43410</v>
      </c>
    </row>
    <row r="4691" spans="1:4" x14ac:dyDescent="0.25">
      <c r="A4691" t="s">
        <v>94</v>
      </c>
      <c r="B4691" t="str">
        <f>MID(tbl_lock[[#This Row],[PACE Job Number]],3,3)</f>
        <v>STX</v>
      </c>
      <c r="C4691" t="s">
        <v>15</v>
      </c>
      <c r="D4691" s="1">
        <v>43410</v>
      </c>
    </row>
    <row r="4692" spans="1:4" x14ac:dyDescent="0.25">
      <c r="A4692" t="s">
        <v>761</v>
      </c>
      <c r="B4692" t="str">
        <f>MID(tbl_lock[[#This Row],[PACE Job Number]],3,3)</f>
        <v>STX</v>
      </c>
      <c r="C4692" t="s">
        <v>15</v>
      </c>
      <c r="D4692" s="1">
        <v>43419</v>
      </c>
    </row>
    <row r="4693" spans="1:4" x14ac:dyDescent="0.25">
      <c r="A4693" t="s">
        <v>4566</v>
      </c>
      <c r="B4693" t="str">
        <f>MID(tbl_lock[[#This Row],[PACE Job Number]],3,3)</f>
        <v>STX</v>
      </c>
      <c r="C4693" t="s">
        <v>15</v>
      </c>
      <c r="D4693" s="1">
        <v>43430</v>
      </c>
    </row>
    <row r="4694" spans="1:4" x14ac:dyDescent="0.25">
      <c r="A4694" t="s">
        <v>4567</v>
      </c>
      <c r="B4694" t="str">
        <f>MID(tbl_lock[[#This Row],[PACE Job Number]],3,3)</f>
        <v>STX</v>
      </c>
      <c r="C4694" t="s">
        <v>15</v>
      </c>
      <c r="D4694" s="1">
        <v>43430</v>
      </c>
    </row>
    <row r="4695" spans="1:4" x14ac:dyDescent="0.25">
      <c r="A4695" t="s">
        <v>4568</v>
      </c>
      <c r="B4695" t="str">
        <f>MID(tbl_lock[[#This Row],[PACE Job Number]],3,3)</f>
        <v>STX</v>
      </c>
      <c r="C4695" t="s">
        <v>15</v>
      </c>
      <c r="D4695" s="1">
        <v>43430</v>
      </c>
    </row>
    <row r="4696" spans="1:4" x14ac:dyDescent="0.25">
      <c r="A4696" t="s">
        <v>169</v>
      </c>
      <c r="B4696" t="str">
        <f>MID(tbl_lock[[#This Row],[PACE Job Number]],3,3)</f>
        <v>STX</v>
      </c>
      <c r="C4696" t="s">
        <v>15</v>
      </c>
      <c r="D4696" s="1">
        <v>43419</v>
      </c>
    </row>
    <row r="4697" spans="1:4" x14ac:dyDescent="0.25">
      <c r="A4697" t="s">
        <v>4596</v>
      </c>
      <c r="B4697" t="str">
        <f>MID(tbl_lock[[#This Row],[PACE Job Number]],3,3)</f>
        <v>STX</v>
      </c>
      <c r="C4697" t="s">
        <v>15</v>
      </c>
      <c r="D4697" s="1">
        <v>43418</v>
      </c>
    </row>
    <row r="4698" spans="1:4" x14ac:dyDescent="0.25">
      <c r="A4698" t="s">
        <v>4031</v>
      </c>
      <c r="B4698" t="str">
        <f>MID(tbl_lock[[#This Row],[PACE Job Number]],3,3)</f>
        <v>STX</v>
      </c>
      <c r="C4698" t="s">
        <v>15</v>
      </c>
      <c r="D4698" s="1">
        <v>43418</v>
      </c>
    </row>
    <row r="4699" spans="1:4" x14ac:dyDescent="0.25">
      <c r="A4699" t="s">
        <v>1290</v>
      </c>
      <c r="B4699" t="str">
        <f>MID(tbl_lock[[#This Row],[PACE Job Number]],3,3)</f>
        <v>WSH</v>
      </c>
      <c r="C4699" t="s">
        <v>15</v>
      </c>
      <c r="D4699" s="1">
        <v>43429</v>
      </c>
    </row>
    <row r="4700" spans="1:4" x14ac:dyDescent="0.25">
      <c r="A4700" t="s">
        <v>1271</v>
      </c>
      <c r="B4700" t="str">
        <f>MID(tbl_lock[[#This Row],[PACE Job Number]],3,3)</f>
        <v>WSH</v>
      </c>
      <c r="C4700" t="s">
        <v>15</v>
      </c>
      <c r="D4700" s="1">
        <v>43429</v>
      </c>
    </row>
    <row r="4701" spans="1:4" x14ac:dyDescent="0.25">
      <c r="A4701" t="s">
        <v>1297</v>
      </c>
      <c r="B4701" t="str">
        <f>MID(tbl_lock[[#This Row],[PACE Job Number]],3,3)</f>
        <v>WSH</v>
      </c>
      <c r="C4701" t="s">
        <v>15</v>
      </c>
      <c r="D4701" s="1">
        <v>43429</v>
      </c>
    </row>
    <row r="4702" spans="1:4" x14ac:dyDescent="0.25">
      <c r="A4702" t="s">
        <v>3534</v>
      </c>
      <c r="B4702" t="str">
        <f>MID(tbl_lock[[#This Row],[PACE Job Number]],3,3)</f>
        <v>WSH</v>
      </c>
      <c r="C4702" t="s">
        <v>15</v>
      </c>
      <c r="D4702" s="1">
        <v>43434</v>
      </c>
    </row>
    <row r="4703" spans="1:4" x14ac:dyDescent="0.25">
      <c r="A4703" t="s">
        <v>148</v>
      </c>
      <c r="B4703" t="str">
        <f>MID(tbl_lock[[#This Row],[PACE Job Number]],3,3)</f>
        <v>WSH</v>
      </c>
      <c r="C4703" t="s">
        <v>15</v>
      </c>
      <c r="D4703" s="1">
        <v>43434</v>
      </c>
    </row>
    <row r="4704" spans="1:4" x14ac:dyDescent="0.25">
      <c r="A4704" t="s">
        <v>457</v>
      </c>
      <c r="B4704" t="str">
        <f>MID(tbl_lock[[#This Row],[PACE Job Number]],3,3)</f>
        <v>WSH</v>
      </c>
      <c r="C4704" t="s">
        <v>15</v>
      </c>
      <c r="D4704" s="1">
        <v>43434</v>
      </c>
    </row>
    <row r="4705" spans="1:4" x14ac:dyDescent="0.25">
      <c r="A4705" t="s">
        <v>197</v>
      </c>
      <c r="B4705" t="str">
        <f>MID(tbl_lock[[#This Row],[PACE Job Number]],3,3)</f>
        <v>WSH</v>
      </c>
      <c r="C4705" t="s">
        <v>15</v>
      </c>
      <c r="D4705" s="1">
        <v>43432</v>
      </c>
    </row>
    <row r="4706" spans="1:4" x14ac:dyDescent="0.25">
      <c r="A4706" t="s">
        <v>4062</v>
      </c>
      <c r="B4706" t="str">
        <f>MID(tbl_lock[[#This Row],[PACE Job Number]],3,3)</f>
        <v>WSH</v>
      </c>
      <c r="C4706" t="s">
        <v>15</v>
      </c>
      <c r="D4706" s="1">
        <v>43434</v>
      </c>
    </row>
    <row r="4707" spans="1:4" x14ac:dyDescent="0.25">
      <c r="A4707" t="s">
        <v>4642</v>
      </c>
      <c r="B4707" t="str">
        <f>MID(tbl_lock[[#This Row],[PACE Job Number]],3,3)</f>
        <v>WSH</v>
      </c>
      <c r="C4707" t="s">
        <v>15</v>
      </c>
      <c r="D4707" s="1">
        <v>43421</v>
      </c>
    </row>
    <row r="4708" spans="1:4" x14ac:dyDescent="0.25">
      <c r="A4708" t="s">
        <v>439</v>
      </c>
      <c r="B4708" t="str">
        <f>MID(tbl_lock[[#This Row],[PACE Job Number]],3,3)</f>
        <v>WSH</v>
      </c>
      <c r="C4708" t="s">
        <v>15</v>
      </c>
      <c r="D4708" s="1">
        <v>43434</v>
      </c>
    </row>
    <row r="4709" spans="1:4" x14ac:dyDescent="0.25">
      <c r="A4709" t="s">
        <v>496</v>
      </c>
      <c r="B4709" t="str">
        <f>MID(tbl_lock[[#This Row],[PACE Job Number]],3,3)</f>
        <v>WSH</v>
      </c>
      <c r="C4709" t="s">
        <v>15</v>
      </c>
      <c r="D4709" s="1">
        <v>43434</v>
      </c>
    </row>
    <row r="4710" spans="1:4" x14ac:dyDescent="0.25">
      <c r="A4710" t="s">
        <v>51</v>
      </c>
      <c r="B4710" t="str">
        <f>MID(tbl_lock[[#This Row],[PACE Job Number]],3,3)</f>
        <v>WSH</v>
      </c>
      <c r="C4710" t="s">
        <v>15</v>
      </c>
      <c r="D4710" s="1">
        <v>43434</v>
      </c>
    </row>
    <row r="4711" spans="1:4" x14ac:dyDescent="0.25">
      <c r="A4711" t="s">
        <v>469</v>
      </c>
      <c r="B4711" t="str">
        <f>MID(tbl_lock[[#This Row],[PACE Job Number]],3,3)</f>
        <v>WSH</v>
      </c>
      <c r="C4711" t="s">
        <v>15</v>
      </c>
      <c r="D4711" s="1">
        <v>43434</v>
      </c>
    </row>
    <row r="4712" spans="1:4" x14ac:dyDescent="0.25">
      <c r="A4712" t="s">
        <v>4637</v>
      </c>
      <c r="B4712" t="str">
        <f>MID(tbl_lock[[#This Row],[PACE Job Number]],3,3)</f>
        <v>STX</v>
      </c>
      <c r="C4712" t="s">
        <v>15</v>
      </c>
      <c r="D4712" s="1">
        <v>43418</v>
      </c>
    </row>
    <row r="4713" spans="1:4" x14ac:dyDescent="0.25">
      <c r="A4713" t="s">
        <v>175</v>
      </c>
      <c r="B4713" t="str">
        <f>MID(tbl_lock[[#This Row],[PACE Job Number]],3,3)</f>
        <v>STX</v>
      </c>
      <c r="C4713" t="s">
        <v>15</v>
      </c>
      <c r="D4713" s="1">
        <v>43418</v>
      </c>
    </row>
    <row r="4714" spans="1:4" x14ac:dyDescent="0.25">
      <c r="A4714" t="s">
        <v>208</v>
      </c>
      <c r="B4714" t="str">
        <f>MID(tbl_lock[[#This Row],[PACE Job Number]],3,3)</f>
        <v>STX</v>
      </c>
      <c r="C4714" t="s">
        <v>15</v>
      </c>
      <c r="D4714" s="1">
        <v>43430</v>
      </c>
    </row>
    <row r="4715" spans="1:4" x14ac:dyDescent="0.25">
      <c r="A4715" t="s">
        <v>596</v>
      </c>
      <c r="B4715" t="str">
        <f>MID(tbl_lock[[#This Row],[PACE Job Number]],3,3)</f>
        <v>STX</v>
      </c>
      <c r="C4715" t="s">
        <v>15</v>
      </c>
      <c r="D4715" s="1">
        <v>43410</v>
      </c>
    </row>
    <row r="4716" spans="1:4" x14ac:dyDescent="0.25">
      <c r="A4716" t="s">
        <v>3274</v>
      </c>
      <c r="B4716" t="str">
        <f>MID(tbl_lock[[#This Row],[PACE Job Number]],3,3)</f>
        <v>STX</v>
      </c>
      <c r="C4716" t="s">
        <v>15</v>
      </c>
      <c r="D4716" s="1">
        <v>43419</v>
      </c>
    </row>
    <row r="4717" spans="1:4" x14ac:dyDescent="0.25">
      <c r="A4717" t="s">
        <v>146</v>
      </c>
      <c r="B4717" t="str">
        <f>MID(tbl_lock[[#This Row],[PACE Job Number]],3,3)</f>
        <v>STX</v>
      </c>
      <c r="C4717" t="s">
        <v>15</v>
      </c>
      <c r="D4717" s="1">
        <v>43430</v>
      </c>
    </row>
    <row r="4718" spans="1:4" x14ac:dyDescent="0.25">
      <c r="A4718" t="s">
        <v>362</v>
      </c>
      <c r="B4718" t="str">
        <f>MID(tbl_lock[[#This Row],[PACE Job Number]],3,3)</f>
        <v>STX</v>
      </c>
      <c r="C4718" t="s">
        <v>15</v>
      </c>
      <c r="D4718" s="1">
        <v>43430</v>
      </c>
    </row>
    <row r="4719" spans="1:4" x14ac:dyDescent="0.25">
      <c r="A4719" t="s">
        <v>3264</v>
      </c>
      <c r="B4719" t="str">
        <f>MID(tbl_lock[[#This Row],[PACE Job Number]],3,3)</f>
        <v>STX</v>
      </c>
      <c r="C4719" t="s">
        <v>15</v>
      </c>
      <c r="D4719" s="1">
        <v>43419</v>
      </c>
    </row>
    <row r="4720" spans="1:4" x14ac:dyDescent="0.25">
      <c r="A4720" t="s">
        <v>743</v>
      </c>
      <c r="B4720" t="str">
        <f>MID(tbl_lock[[#This Row],[PACE Job Number]],3,3)</f>
        <v>STX</v>
      </c>
      <c r="C4720" t="s">
        <v>15</v>
      </c>
      <c r="D4720" s="1">
        <v>43410</v>
      </c>
    </row>
    <row r="4721" spans="1:4" x14ac:dyDescent="0.25">
      <c r="A4721" t="s">
        <v>4599</v>
      </c>
      <c r="B4721" t="str">
        <f>MID(tbl_lock[[#This Row],[PACE Job Number]],3,3)</f>
        <v>STX</v>
      </c>
      <c r="C4721" t="s">
        <v>15</v>
      </c>
      <c r="D4721" s="1">
        <v>43430</v>
      </c>
    </row>
    <row r="4722" spans="1:4" x14ac:dyDescent="0.25">
      <c r="A4722" t="s">
        <v>543</v>
      </c>
      <c r="B4722" t="str">
        <f>MID(tbl_lock[[#This Row],[PACE Job Number]],3,3)</f>
        <v>STX</v>
      </c>
      <c r="C4722" t="s">
        <v>15</v>
      </c>
      <c r="D4722" s="1">
        <v>43410</v>
      </c>
    </row>
    <row r="4723" spans="1:4" x14ac:dyDescent="0.25">
      <c r="A4723" t="s">
        <v>1159</v>
      </c>
      <c r="B4723" t="str">
        <f>MID(tbl_lock[[#This Row],[PACE Job Number]],3,3)</f>
        <v>STX</v>
      </c>
      <c r="C4723" t="s">
        <v>15</v>
      </c>
      <c r="D4723" s="1">
        <v>43418</v>
      </c>
    </row>
    <row r="4724" spans="1:4" x14ac:dyDescent="0.25">
      <c r="A4724" t="s">
        <v>5602</v>
      </c>
      <c r="B4724" t="str">
        <f>MID(tbl_lock[[#This Row],[PACE Job Number]],3,3)</f>
        <v>STX</v>
      </c>
      <c r="C4724" t="s">
        <v>15</v>
      </c>
      <c r="D4724" s="1">
        <v>43410</v>
      </c>
    </row>
    <row r="4725" spans="1:4" x14ac:dyDescent="0.25">
      <c r="A4725" t="s">
        <v>2573</v>
      </c>
      <c r="B4725" t="str">
        <f>MID(tbl_lock[[#This Row],[PACE Job Number]],3,3)</f>
        <v>STX</v>
      </c>
      <c r="C4725" t="s">
        <v>15</v>
      </c>
      <c r="D4725" s="1">
        <v>43433</v>
      </c>
    </row>
    <row r="4726" spans="1:4" x14ac:dyDescent="0.25">
      <c r="A4726" t="s">
        <v>670</v>
      </c>
      <c r="B4726" t="str">
        <f>MID(tbl_lock[[#This Row],[PACE Job Number]],3,3)</f>
        <v>STX</v>
      </c>
      <c r="C4726" t="s">
        <v>15</v>
      </c>
      <c r="D4726" s="1">
        <v>43419</v>
      </c>
    </row>
    <row r="4727" spans="1:4" x14ac:dyDescent="0.25">
      <c r="A4727" t="s">
        <v>587</v>
      </c>
      <c r="B4727" t="str">
        <f>MID(tbl_lock[[#This Row],[PACE Job Number]],3,3)</f>
        <v>STX</v>
      </c>
      <c r="C4727" t="s">
        <v>15</v>
      </c>
      <c r="D4727" s="1">
        <v>43406</v>
      </c>
    </row>
    <row r="4728" spans="1:4" x14ac:dyDescent="0.25">
      <c r="A4728" t="s">
        <v>2584</v>
      </c>
      <c r="B4728" t="str">
        <f>MID(tbl_lock[[#This Row],[PACE Job Number]],3,3)</f>
        <v>STX</v>
      </c>
      <c r="C4728" t="s">
        <v>15</v>
      </c>
      <c r="D4728" s="1">
        <v>43406</v>
      </c>
    </row>
    <row r="4729" spans="1:4" x14ac:dyDescent="0.25">
      <c r="A4729" t="s">
        <v>3280</v>
      </c>
      <c r="B4729" t="str">
        <f>MID(tbl_lock[[#This Row],[PACE Job Number]],3,3)</f>
        <v>STX</v>
      </c>
      <c r="C4729" t="s">
        <v>15</v>
      </c>
      <c r="D4729" s="1">
        <v>43433</v>
      </c>
    </row>
    <row r="4730" spans="1:4" x14ac:dyDescent="0.25">
      <c r="A4730" t="s">
        <v>2591</v>
      </c>
      <c r="B4730" t="str">
        <f>MID(tbl_lock[[#This Row],[PACE Job Number]],3,3)</f>
        <v>STX</v>
      </c>
      <c r="C4730" t="s">
        <v>15</v>
      </c>
      <c r="D4730" s="1">
        <v>43406</v>
      </c>
    </row>
    <row r="4731" spans="1:4" x14ac:dyDescent="0.25">
      <c r="A4731" t="s">
        <v>5335</v>
      </c>
      <c r="B4731" t="str">
        <f>MID(tbl_lock[[#This Row],[PACE Job Number]],3,3)</f>
        <v>NTX</v>
      </c>
      <c r="C4731" t="s">
        <v>15</v>
      </c>
      <c r="D4731" s="1">
        <v>43412</v>
      </c>
    </row>
    <row r="4732" spans="1:4" x14ac:dyDescent="0.25">
      <c r="A4732" t="s">
        <v>3883</v>
      </c>
      <c r="B4732" t="str">
        <f>MID(tbl_lock[[#This Row],[PACE Job Number]],3,3)</f>
        <v>NTX</v>
      </c>
      <c r="C4732" t="s">
        <v>15</v>
      </c>
      <c r="D4732" s="1">
        <v>43427</v>
      </c>
    </row>
    <row r="4733" spans="1:4" x14ac:dyDescent="0.25">
      <c r="A4733" t="s">
        <v>2321</v>
      </c>
      <c r="B4733" t="str">
        <f>MID(tbl_lock[[#This Row],[PACE Job Number]],3,3)</f>
        <v>NTX</v>
      </c>
      <c r="C4733" t="s">
        <v>15</v>
      </c>
      <c r="D4733" s="1">
        <v>43413</v>
      </c>
    </row>
    <row r="4734" spans="1:4" x14ac:dyDescent="0.25">
      <c r="A4734" t="s">
        <v>4416</v>
      </c>
      <c r="B4734" t="str">
        <f>MID(tbl_lock[[#This Row],[PACE Job Number]],3,3)</f>
        <v>NTX</v>
      </c>
      <c r="C4734" t="s">
        <v>15</v>
      </c>
      <c r="D4734" s="1">
        <v>43415</v>
      </c>
    </row>
    <row r="4735" spans="1:4" x14ac:dyDescent="0.25">
      <c r="A4735" t="s">
        <v>3398</v>
      </c>
      <c r="B4735" t="str">
        <f>MID(tbl_lock[[#This Row],[PACE Job Number]],3,3)</f>
        <v>NTX</v>
      </c>
      <c r="C4735" t="s">
        <v>15</v>
      </c>
      <c r="D4735" s="1">
        <v>43431</v>
      </c>
    </row>
    <row r="4736" spans="1:4" x14ac:dyDescent="0.25">
      <c r="A4736" t="s">
        <v>170</v>
      </c>
      <c r="B4736" t="str">
        <f>MID(tbl_lock[[#This Row],[PACE Job Number]],3,3)</f>
        <v>NTX</v>
      </c>
      <c r="C4736" t="s">
        <v>15</v>
      </c>
      <c r="D4736" s="1">
        <v>43431</v>
      </c>
    </row>
    <row r="4737" spans="1:4" x14ac:dyDescent="0.25">
      <c r="A4737" t="s">
        <v>556</v>
      </c>
      <c r="B4737" t="str">
        <f>MID(tbl_lock[[#This Row],[PACE Job Number]],3,3)</f>
        <v>NTX</v>
      </c>
      <c r="C4737" t="s">
        <v>15</v>
      </c>
      <c r="D4737" s="1">
        <v>43406</v>
      </c>
    </row>
    <row r="4738" spans="1:4" x14ac:dyDescent="0.25">
      <c r="A4738" t="s">
        <v>1723</v>
      </c>
      <c r="B4738" t="str">
        <f>MID(tbl_lock[[#This Row],[PACE Job Number]],3,3)</f>
        <v>NTX</v>
      </c>
      <c r="C4738" t="s">
        <v>15</v>
      </c>
      <c r="D4738" s="1">
        <v>43408</v>
      </c>
    </row>
    <row r="4739" spans="1:4" x14ac:dyDescent="0.25">
      <c r="A4739" t="s">
        <v>1724</v>
      </c>
      <c r="B4739" t="str">
        <f>MID(tbl_lock[[#This Row],[PACE Job Number]],3,3)</f>
        <v>NTX</v>
      </c>
      <c r="C4739" t="s">
        <v>15</v>
      </c>
      <c r="D4739" s="1">
        <v>43425</v>
      </c>
    </row>
    <row r="4740" spans="1:4" x14ac:dyDescent="0.25">
      <c r="A4740" t="s">
        <v>4546</v>
      </c>
      <c r="B4740" t="str">
        <f>MID(tbl_lock[[#This Row],[PACE Job Number]],3,3)</f>
        <v>NTX</v>
      </c>
      <c r="C4740" t="s">
        <v>15</v>
      </c>
      <c r="D4740" s="1">
        <v>43413</v>
      </c>
    </row>
    <row r="4741" spans="1:4" x14ac:dyDescent="0.25">
      <c r="A4741" t="s">
        <v>2324</v>
      </c>
      <c r="B4741" t="str">
        <f>MID(tbl_lock[[#This Row],[PACE Job Number]],3,3)</f>
        <v>NTX</v>
      </c>
      <c r="C4741" t="s">
        <v>15</v>
      </c>
      <c r="D4741" s="1">
        <v>43413</v>
      </c>
    </row>
    <row r="4742" spans="1:4" x14ac:dyDescent="0.25">
      <c r="A4742" t="s">
        <v>3968</v>
      </c>
      <c r="B4742" t="str">
        <f>MID(tbl_lock[[#This Row],[PACE Job Number]],3,3)</f>
        <v>NTX</v>
      </c>
      <c r="C4742" t="s">
        <v>15</v>
      </c>
      <c r="D4742" s="1">
        <v>43413</v>
      </c>
    </row>
    <row r="4743" spans="1:4" x14ac:dyDescent="0.25">
      <c r="A4743" t="s">
        <v>518</v>
      </c>
      <c r="B4743" t="str">
        <f>MID(tbl_lock[[#This Row],[PACE Job Number]],3,3)</f>
        <v>NTX</v>
      </c>
      <c r="C4743" t="s">
        <v>15</v>
      </c>
      <c r="D4743" s="1">
        <v>43413</v>
      </c>
    </row>
    <row r="4744" spans="1:4" x14ac:dyDescent="0.25">
      <c r="A4744" t="s">
        <v>3884</v>
      </c>
      <c r="B4744" t="str">
        <f>MID(tbl_lock[[#This Row],[PACE Job Number]],3,3)</f>
        <v>NTX</v>
      </c>
      <c r="C4744" t="s">
        <v>15</v>
      </c>
      <c r="D4744" s="1">
        <v>43429</v>
      </c>
    </row>
    <row r="4745" spans="1:4" x14ac:dyDescent="0.25">
      <c r="A4745" t="s">
        <v>3399</v>
      </c>
      <c r="B4745" t="str">
        <f>MID(tbl_lock[[#This Row],[PACE Job Number]],3,3)</f>
        <v>NTX</v>
      </c>
      <c r="C4745" t="s">
        <v>15</v>
      </c>
      <c r="D4745" s="1">
        <v>43431</v>
      </c>
    </row>
    <row r="4746" spans="1:4" x14ac:dyDescent="0.25">
      <c r="A4746" t="s">
        <v>4417</v>
      </c>
      <c r="B4746" t="str">
        <f>MID(tbl_lock[[#This Row],[PACE Job Number]],3,3)</f>
        <v>NTX</v>
      </c>
      <c r="C4746" t="s">
        <v>15</v>
      </c>
      <c r="D4746" s="1">
        <v>43412</v>
      </c>
    </row>
    <row r="4747" spans="1:4" x14ac:dyDescent="0.25">
      <c r="A4747" t="s">
        <v>4024</v>
      </c>
      <c r="B4747" t="str">
        <f>MID(tbl_lock[[#This Row],[PACE Job Number]],3,3)</f>
        <v>NTX</v>
      </c>
      <c r="C4747" t="s">
        <v>15</v>
      </c>
      <c r="D4747" s="1">
        <v>43417</v>
      </c>
    </row>
    <row r="4748" spans="1:4" x14ac:dyDescent="0.25">
      <c r="A4748" t="s">
        <v>2405</v>
      </c>
      <c r="B4748" t="str">
        <f>MID(tbl_lock[[#This Row],[PACE Job Number]],3,3)</f>
        <v>NTX</v>
      </c>
      <c r="C4748" t="s">
        <v>15</v>
      </c>
      <c r="D4748" s="1">
        <v>43417</v>
      </c>
    </row>
    <row r="4749" spans="1:4" x14ac:dyDescent="0.25">
      <c r="A4749" t="s">
        <v>3960</v>
      </c>
      <c r="B4749" t="str">
        <f>MID(tbl_lock[[#This Row],[PACE Job Number]],3,3)</f>
        <v>NTX</v>
      </c>
      <c r="C4749" t="s">
        <v>15</v>
      </c>
      <c r="D4749" s="1">
        <v>43413</v>
      </c>
    </row>
    <row r="4750" spans="1:4" x14ac:dyDescent="0.25">
      <c r="A4750" t="s">
        <v>4536</v>
      </c>
      <c r="B4750" t="str">
        <f>MID(tbl_lock[[#This Row],[PACE Job Number]],3,3)</f>
        <v>NTX</v>
      </c>
      <c r="C4750" t="s">
        <v>15</v>
      </c>
      <c r="D4750" s="1">
        <v>43425</v>
      </c>
    </row>
    <row r="4751" spans="1:4" x14ac:dyDescent="0.25">
      <c r="A4751" t="s">
        <v>4385</v>
      </c>
      <c r="B4751" t="str">
        <f>MID(tbl_lock[[#This Row],[PACE Job Number]],3,3)</f>
        <v>NTX</v>
      </c>
      <c r="C4751" t="s">
        <v>15</v>
      </c>
      <c r="D4751" s="1">
        <v>43427</v>
      </c>
    </row>
    <row r="4752" spans="1:4" x14ac:dyDescent="0.25">
      <c r="A4752" t="s">
        <v>2280</v>
      </c>
      <c r="B4752" t="str">
        <f>MID(tbl_lock[[#This Row],[PACE Job Number]],3,3)</f>
        <v>NTX</v>
      </c>
      <c r="C4752" t="s">
        <v>15</v>
      </c>
      <c r="D4752" s="1">
        <v>43427</v>
      </c>
    </row>
    <row r="4753" spans="1:4" x14ac:dyDescent="0.25">
      <c r="A4753" t="s">
        <v>4025</v>
      </c>
      <c r="B4753" t="str">
        <f>MID(tbl_lock[[#This Row],[PACE Job Number]],3,3)</f>
        <v>NTX</v>
      </c>
      <c r="C4753" t="s">
        <v>15</v>
      </c>
      <c r="D4753" s="1">
        <v>43417</v>
      </c>
    </row>
    <row r="4754" spans="1:4" x14ac:dyDescent="0.25">
      <c r="A4754" t="s">
        <v>183</v>
      </c>
      <c r="B4754" t="str">
        <f>MID(tbl_lock[[#This Row],[PACE Job Number]],3,3)</f>
        <v>NTX</v>
      </c>
      <c r="C4754" t="s">
        <v>15</v>
      </c>
      <c r="D4754" s="1">
        <v>43417</v>
      </c>
    </row>
    <row r="4755" spans="1:4" x14ac:dyDescent="0.25">
      <c r="A4755" t="s">
        <v>4537</v>
      </c>
      <c r="B4755" t="str">
        <f>MID(tbl_lock[[#This Row],[PACE Job Number]],3,3)</f>
        <v>NTX</v>
      </c>
      <c r="C4755" t="s">
        <v>15</v>
      </c>
      <c r="D4755" s="1">
        <v>43425</v>
      </c>
    </row>
    <row r="4756" spans="1:4" x14ac:dyDescent="0.25">
      <c r="A4756" t="s">
        <v>2409</v>
      </c>
      <c r="B4756" t="str">
        <f>MID(tbl_lock[[#This Row],[PACE Job Number]],3,3)</f>
        <v>NTX</v>
      </c>
      <c r="C4756" t="s">
        <v>15</v>
      </c>
      <c r="D4756" s="1">
        <v>43417</v>
      </c>
    </row>
    <row r="4757" spans="1:4" x14ac:dyDescent="0.25">
      <c r="A4757" t="s">
        <v>2410</v>
      </c>
      <c r="B4757" t="str">
        <f>MID(tbl_lock[[#This Row],[PACE Job Number]],3,3)</f>
        <v>NTX</v>
      </c>
      <c r="C4757" t="s">
        <v>15</v>
      </c>
      <c r="D4757" s="1">
        <v>43431</v>
      </c>
    </row>
    <row r="4758" spans="1:4" x14ac:dyDescent="0.25">
      <c r="A4758" t="s">
        <v>4389</v>
      </c>
      <c r="B4758" t="str">
        <f>MID(tbl_lock[[#This Row],[PACE Job Number]],3,3)</f>
        <v>NTX</v>
      </c>
      <c r="C4758" t="s">
        <v>15</v>
      </c>
      <c r="D4758" s="1">
        <v>43427</v>
      </c>
    </row>
    <row r="4759" spans="1:4" x14ac:dyDescent="0.25">
      <c r="A4759" t="s">
        <v>3369</v>
      </c>
      <c r="B4759" t="str">
        <f>MID(tbl_lock[[#This Row],[PACE Job Number]],3,3)</f>
        <v>NTX</v>
      </c>
      <c r="C4759" t="s">
        <v>15</v>
      </c>
      <c r="D4759" s="1">
        <v>43425</v>
      </c>
    </row>
    <row r="4760" spans="1:4" x14ac:dyDescent="0.25">
      <c r="A4760" t="s">
        <v>302</v>
      </c>
      <c r="B4760" t="str">
        <f>MID(tbl_lock[[#This Row],[PACE Job Number]],3,3)</f>
        <v>STX</v>
      </c>
      <c r="C4760" t="s">
        <v>15</v>
      </c>
      <c r="D4760" s="1">
        <v>43418</v>
      </c>
    </row>
    <row r="4761" spans="1:4" x14ac:dyDescent="0.25">
      <c r="A4761" t="s">
        <v>203</v>
      </c>
      <c r="B4761" t="str">
        <f>MID(tbl_lock[[#This Row],[PACE Job Number]],3,3)</f>
        <v>STX</v>
      </c>
      <c r="C4761" t="s">
        <v>15</v>
      </c>
      <c r="D4761" s="1">
        <v>43419</v>
      </c>
    </row>
    <row r="4762" spans="1:4" x14ac:dyDescent="0.25">
      <c r="A4762" t="s">
        <v>4015</v>
      </c>
      <c r="B4762" t="str">
        <f>MID(tbl_lock[[#This Row],[PACE Job Number]],3,3)</f>
        <v>STX</v>
      </c>
      <c r="C4762" t="s">
        <v>15</v>
      </c>
      <c r="D4762" s="1">
        <v>43430</v>
      </c>
    </row>
    <row r="4763" spans="1:4" x14ac:dyDescent="0.25">
      <c r="A4763" t="s">
        <v>58</v>
      </c>
      <c r="B4763" t="str">
        <f>MID(tbl_lock[[#This Row],[PACE Job Number]],3,3)</f>
        <v>STX</v>
      </c>
      <c r="C4763" t="s">
        <v>15</v>
      </c>
      <c r="D4763" s="1">
        <v>43430</v>
      </c>
    </row>
    <row r="4764" spans="1:4" x14ac:dyDescent="0.25">
      <c r="A4764" t="s">
        <v>540</v>
      </c>
      <c r="B4764" t="str">
        <f>MID(tbl_lock[[#This Row],[PACE Job Number]],3,3)</f>
        <v>STX</v>
      </c>
      <c r="C4764" t="s">
        <v>15</v>
      </c>
      <c r="D4764" s="1">
        <v>43418</v>
      </c>
    </row>
    <row r="4765" spans="1:4" x14ac:dyDescent="0.25">
      <c r="A4765" t="s">
        <v>3336</v>
      </c>
      <c r="B4765" t="str">
        <f>MID(tbl_lock[[#This Row],[PACE Job Number]],3,3)</f>
        <v>STX</v>
      </c>
      <c r="C4765" t="s">
        <v>15</v>
      </c>
      <c r="D4765" s="1">
        <v>43419</v>
      </c>
    </row>
    <row r="4766" spans="1:4" x14ac:dyDescent="0.25">
      <c r="A4766" t="s">
        <v>5633</v>
      </c>
      <c r="B4766" t="str">
        <f>MID(tbl_lock[[#This Row],[PACE Job Number]],3,3)</f>
        <v>STX</v>
      </c>
      <c r="C4766" t="s">
        <v>15</v>
      </c>
      <c r="D4766" s="1">
        <v>43406</v>
      </c>
    </row>
    <row r="4767" spans="1:4" x14ac:dyDescent="0.25">
      <c r="A4767" t="s">
        <v>3935</v>
      </c>
      <c r="B4767" t="str">
        <f>MID(tbl_lock[[#This Row],[PACE Job Number]],3,3)</f>
        <v>STX</v>
      </c>
      <c r="C4767" t="s">
        <v>15</v>
      </c>
      <c r="D4767" s="1">
        <v>43430</v>
      </c>
    </row>
    <row r="4768" spans="1:4" x14ac:dyDescent="0.25">
      <c r="A4768" t="s">
        <v>3407</v>
      </c>
      <c r="B4768" t="str">
        <f>MID(tbl_lock[[#This Row],[PACE Job Number]],3,3)</f>
        <v>STX</v>
      </c>
      <c r="C4768" t="s">
        <v>15</v>
      </c>
      <c r="D4768" s="1">
        <v>43418</v>
      </c>
    </row>
    <row r="4769" spans="1:4" x14ac:dyDescent="0.25">
      <c r="A4769" t="s">
        <v>147</v>
      </c>
      <c r="B4769" t="str">
        <f>MID(tbl_lock[[#This Row],[PACE Job Number]],3,3)</f>
        <v>STX</v>
      </c>
      <c r="C4769" t="s">
        <v>15</v>
      </c>
      <c r="D4769" s="1">
        <v>43418</v>
      </c>
    </row>
    <row r="4770" spans="1:4" x14ac:dyDescent="0.25">
      <c r="A4770" t="s">
        <v>4016</v>
      </c>
      <c r="B4770" t="str">
        <f>MID(tbl_lock[[#This Row],[PACE Job Number]],3,3)</f>
        <v>STX</v>
      </c>
      <c r="C4770" t="s">
        <v>15</v>
      </c>
      <c r="D4770" s="1">
        <v>43430</v>
      </c>
    </row>
    <row r="4771" spans="1:4" x14ac:dyDescent="0.25">
      <c r="A4771" t="s">
        <v>3936</v>
      </c>
      <c r="B4771" t="str">
        <f>MID(tbl_lock[[#This Row],[PACE Job Number]],3,3)</f>
        <v>STX</v>
      </c>
      <c r="C4771" t="s">
        <v>15</v>
      </c>
      <c r="D4771" s="1">
        <v>43430</v>
      </c>
    </row>
    <row r="4772" spans="1:4" x14ac:dyDescent="0.25">
      <c r="A4772" t="s">
        <v>3937</v>
      </c>
      <c r="B4772" t="str">
        <f>MID(tbl_lock[[#This Row],[PACE Job Number]],3,3)</f>
        <v>STX</v>
      </c>
      <c r="C4772" t="s">
        <v>15</v>
      </c>
      <c r="D4772" s="1">
        <v>43430</v>
      </c>
    </row>
    <row r="4773" spans="1:4" x14ac:dyDescent="0.25">
      <c r="A4773" t="s">
        <v>3938</v>
      </c>
      <c r="B4773" t="str">
        <f>MID(tbl_lock[[#This Row],[PACE Job Number]],3,3)</f>
        <v>STX</v>
      </c>
      <c r="C4773" t="s">
        <v>15</v>
      </c>
      <c r="D4773" s="1">
        <v>43430</v>
      </c>
    </row>
    <row r="4774" spans="1:4" x14ac:dyDescent="0.25">
      <c r="A4774" t="s">
        <v>4040</v>
      </c>
      <c r="B4774" t="str">
        <f>MID(tbl_lock[[#This Row],[PACE Job Number]],3,3)</f>
        <v>STX</v>
      </c>
      <c r="C4774" t="s">
        <v>15</v>
      </c>
      <c r="D4774" s="1">
        <v>43410</v>
      </c>
    </row>
    <row r="4775" spans="1:4" x14ac:dyDescent="0.25">
      <c r="A4775" t="s">
        <v>2685</v>
      </c>
      <c r="B4775" t="str">
        <f>MID(tbl_lock[[#This Row],[PACE Job Number]],3,3)</f>
        <v>STX</v>
      </c>
      <c r="C4775" t="s">
        <v>15</v>
      </c>
      <c r="D4775" s="1">
        <v>43406</v>
      </c>
    </row>
    <row r="4776" spans="1:4" x14ac:dyDescent="0.25">
      <c r="A4776" t="s">
        <v>4646</v>
      </c>
      <c r="B4776" t="str">
        <f>MID(tbl_lock[[#This Row],[PACE Job Number]],3,3)</f>
        <v>STX</v>
      </c>
      <c r="C4776" t="s">
        <v>15</v>
      </c>
      <c r="D4776" s="1">
        <v>43410</v>
      </c>
    </row>
    <row r="4777" spans="1:4" x14ac:dyDescent="0.25">
      <c r="A4777" t="s">
        <v>4660</v>
      </c>
      <c r="B4777" t="str">
        <f>MID(tbl_lock[[#This Row],[PACE Job Number]],3,3)</f>
        <v>ANM</v>
      </c>
      <c r="C4777" t="s">
        <v>15</v>
      </c>
      <c r="D4777" s="1">
        <v>43434</v>
      </c>
    </row>
    <row r="4778" spans="1:4" x14ac:dyDescent="0.25">
      <c r="A4778" t="s">
        <v>4607</v>
      </c>
      <c r="B4778" t="str">
        <f>MID(tbl_lock[[#This Row],[PACE Job Number]],3,3)</f>
        <v>ANM</v>
      </c>
      <c r="C4778" t="s">
        <v>15</v>
      </c>
      <c r="D4778" s="1">
        <v>43434</v>
      </c>
    </row>
    <row r="4779" spans="1:4" x14ac:dyDescent="0.25">
      <c r="A4779" t="s">
        <v>5634</v>
      </c>
      <c r="B4779" t="str">
        <f>MID(tbl_lock[[#This Row],[PACE Job Number]],3,3)</f>
        <v>ANM</v>
      </c>
      <c r="C4779" t="s">
        <v>15</v>
      </c>
      <c r="D4779" s="1">
        <v>43434</v>
      </c>
    </row>
    <row r="4780" spans="1:4" x14ac:dyDescent="0.25">
      <c r="A4780" t="s">
        <v>3880</v>
      </c>
      <c r="B4780" t="str">
        <f>MID(tbl_lock[[#This Row],[PACE Job Number]],3,3)</f>
        <v>NTX</v>
      </c>
      <c r="C4780" t="s">
        <v>15</v>
      </c>
      <c r="D4780" s="1">
        <v>43413</v>
      </c>
    </row>
    <row r="4781" spans="1:4" x14ac:dyDescent="0.25">
      <c r="A4781" t="s">
        <v>3945</v>
      </c>
      <c r="B4781" t="str">
        <f>MID(tbl_lock[[#This Row],[PACE Job Number]],3,3)</f>
        <v>NTX</v>
      </c>
      <c r="C4781" t="s">
        <v>15</v>
      </c>
      <c r="D4781" s="1">
        <v>43425</v>
      </c>
    </row>
    <row r="4782" spans="1:4" x14ac:dyDescent="0.25">
      <c r="A4782" t="s">
        <v>732</v>
      </c>
      <c r="B4782" t="str">
        <f>MID(tbl_lock[[#This Row],[PACE Job Number]],3,3)</f>
        <v>NTX</v>
      </c>
      <c r="C4782" t="s">
        <v>15</v>
      </c>
      <c r="D4782" s="1">
        <v>43425</v>
      </c>
    </row>
    <row r="4783" spans="1:4" x14ac:dyDescent="0.25">
      <c r="A4783" t="s">
        <v>2114</v>
      </c>
      <c r="B4783" t="str">
        <f>MID(tbl_lock[[#This Row],[PACE Job Number]],3,3)</f>
        <v>NTX</v>
      </c>
      <c r="C4783" t="s">
        <v>15</v>
      </c>
      <c r="D4783" s="1">
        <v>43433</v>
      </c>
    </row>
    <row r="4784" spans="1:4" x14ac:dyDescent="0.25">
      <c r="A4784" t="s">
        <v>4519</v>
      </c>
      <c r="B4784" t="str">
        <f>MID(tbl_lock[[#This Row],[PACE Job Number]],3,3)</f>
        <v>NTX</v>
      </c>
      <c r="C4784" t="s">
        <v>15</v>
      </c>
      <c r="D4784" s="1">
        <v>43415</v>
      </c>
    </row>
    <row r="4785" spans="1:4" x14ac:dyDescent="0.25">
      <c r="A4785" t="s">
        <v>5603</v>
      </c>
      <c r="B4785" t="str">
        <f>MID(tbl_lock[[#This Row],[PACE Job Number]],3,3)</f>
        <v>STX</v>
      </c>
      <c r="C4785" t="s">
        <v>15</v>
      </c>
      <c r="D4785" s="1">
        <v>43406</v>
      </c>
    </row>
    <row r="4786" spans="1:4" x14ac:dyDescent="0.25">
      <c r="A4786" t="s">
        <v>3348</v>
      </c>
      <c r="B4786" t="str">
        <f>MID(tbl_lock[[#This Row],[PACE Job Number]],3,3)</f>
        <v>STX</v>
      </c>
      <c r="C4786" t="s">
        <v>15</v>
      </c>
      <c r="D4786" s="1">
        <v>43419</v>
      </c>
    </row>
    <row r="4787" spans="1:4" x14ac:dyDescent="0.25">
      <c r="A4787" t="s">
        <v>353</v>
      </c>
      <c r="B4787" t="str">
        <f>MID(tbl_lock[[#This Row],[PACE Job Number]],3,3)</f>
        <v>STX</v>
      </c>
      <c r="C4787" t="s">
        <v>15</v>
      </c>
      <c r="D4787" s="1">
        <v>43418</v>
      </c>
    </row>
    <row r="4788" spans="1:4" x14ac:dyDescent="0.25">
      <c r="A4788" t="s">
        <v>3097</v>
      </c>
      <c r="B4788" t="str">
        <f>MID(tbl_lock[[#This Row],[PACE Job Number]],3,3)</f>
        <v>STX</v>
      </c>
      <c r="C4788" t="s">
        <v>15</v>
      </c>
      <c r="D4788" s="1">
        <v>43430</v>
      </c>
    </row>
    <row r="4789" spans="1:4" x14ac:dyDescent="0.25">
      <c r="A4789" t="s">
        <v>3224</v>
      </c>
      <c r="B4789" t="str">
        <f>MID(tbl_lock[[#This Row],[PACE Job Number]],3,3)</f>
        <v>STX</v>
      </c>
      <c r="C4789" t="s">
        <v>15</v>
      </c>
      <c r="D4789" s="1">
        <v>43430</v>
      </c>
    </row>
    <row r="4790" spans="1:4" x14ac:dyDescent="0.25">
      <c r="A4790" t="s">
        <v>247</v>
      </c>
      <c r="B4790" t="str">
        <f>MID(tbl_lock[[#This Row],[PACE Job Number]],3,3)</f>
        <v>STX</v>
      </c>
      <c r="C4790" t="s">
        <v>15</v>
      </c>
      <c r="D4790" s="1">
        <v>43430</v>
      </c>
    </row>
    <row r="4791" spans="1:4" x14ac:dyDescent="0.25">
      <c r="A4791" t="s">
        <v>5635</v>
      </c>
      <c r="B4791" t="str">
        <f>MID(tbl_lock[[#This Row],[PACE Job Number]],3,3)</f>
        <v>STX</v>
      </c>
      <c r="C4791" t="s">
        <v>15</v>
      </c>
      <c r="D4791" s="1">
        <v>43406</v>
      </c>
    </row>
    <row r="4792" spans="1:4" x14ac:dyDescent="0.25">
      <c r="A4792" t="s">
        <v>3103</v>
      </c>
      <c r="B4792" t="str">
        <f>MID(tbl_lock[[#This Row],[PACE Job Number]],3,3)</f>
        <v>STX</v>
      </c>
      <c r="C4792" t="s">
        <v>15</v>
      </c>
      <c r="D4792" s="1">
        <v>43430</v>
      </c>
    </row>
    <row r="4793" spans="1:4" x14ac:dyDescent="0.25">
      <c r="A4793" t="s">
        <v>4579</v>
      </c>
      <c r="B4793" t="str">
        <f>MID(tbl_lock[[#This Row],[PACE Job Number]],3,3)</f>
        <v>STX</v>
      </c>
      <c r="C4793" t="s">
        <v>15</v>
      </c>
      <c r="D4793" s="1">
        <v>43406</v>
      </c>
    </row>
    <row r="4794" spans="1:4" x14ac:dyDescent="0.25">
      <c r="A4794" t="s">
        <v>3239</v>
      </c>
      <c r="B4794" t="str">
        <f>MID(tbl_lock[[#This Row],[PACE Job Number]],3,3)</f>
        <v>STX</v>
      </c>
      <c r="C4794" t="s">
        <v>15</v>
      </c>
      <c r="D4794" s="1">
        <v>43430</v>
      </c>
    </row>
    <row r="4795" spans="1:4" x14ac:dyDescent="0.25">
      <c r="A4795" t="s">
        <v>3317</v>
      </c>
      <c r="B4795" t="str">
        <f>MID(tbl_lock[[#This Row],[PACE Job Number]],3,3)</f>
        <v>STX</v>
      </c>
      <c r="C4795" t="s">
        <v>15</v>
      </c>
      <c r="D4795" s="1">
        <v>43419</v>
      </c>
    </row>
    <row r="4796" spans="1:4" x14ac:dyDescent="0.25">
      <c r="A4796" t="s">
        <v>3311</v>
      </c>
      <c r="B4796" t="str">
        <f>MID(tbl_lock[[#This Row],[PACE Job Number]],3,3)</f>
        <v>STX</v>
      </c>
      <c r="C4796" t="s">
        <v>15</v>
      </c>
      <c r="D4796" s="1">
        <v>43419</v>
      </c>
    </row>
    <row r="4797" spans="1:4" x14ac:dyDescent="0.25">
      <c r="A4797" t="s">
        <v>3939</v>
      </c>
      <c r="B4797" t="str">
        <f>MID(tbl_lock[[#This Row],[PACE Job Number]],3,3)</f>
        <v>STX</v>
      </c>
      <c r="C4797" t="s">
        <v>15</v>
      </c>
      <c r="D4797" s="1">
        <v>43418</v>
      </c>
    </row>
    <row r="4798" spans="1:4" x14ac:dyDescent="0.25">
      <c r="A4798" t="s">
        <v>763</v>
      </c>
      <c r="B4798" t="str">
        <f>MID(tbl_lock[[#This Row],[PACE Job Number]],3,3)</f>
        <v>STX</v>
      </c>
      <c r="C4798" t="s">
        <v>15</v>
      </c>
      <c r="D4798" s="1">
        <v>43418</v>
      </c>
    </row>
    <row r="4799" spans="1:4" x14ac:dyDescent="0.25">
      <c r="A4799" t="s">
        <v>3940</v>
      </c>
      <c r="B4799" t="str">
        <f>MID(tbl_lock[[#This Row],[PACE Job Number]],3,3)</f>
        <v>STX</v>
      </c>
      <c r="C4799" t="s">
        <v>15</v>
      </c>
      <c r="D4799" s="1">
        <v>43430</v>
      </c>
    </row>
    <row r="4800" spans="1:4" x14ac:dyDescent="0.25">
      <c r="A4800" t="s">
        <v>3115</v>
      </c>
      <c r="B4800" t="str">
        <f>MID(tbl_lock[[#This Row],[PACE Job Number]],3,3)</f>
        <v>STX</v>
      </c>
      <c r="C4800" t="s">
        <v>15</v>
      </c>
      <c r="D4800" s="1">
        <v>43430</v>
      </c>
    </row>
    <row r="4801" spans="1:4" x14ac:dyDescent="0.25">
      <c r="A4801" t="s">
        <v>3941</v>
      </c>
      <c r="B4801" t="str">
        <f>MID(tbl_lock[[#This Row],[PACE Job Number]],3,3)</f>
        <v>STX</v>
      </c>
      <c r="C4801" t="s">
        <v>15</v>
      </c>
      <c r="D4801" s="1">
        <v>43418</v>
      </c>
    </row>
    <row r="4802" spans="1:4" x14ac:dyDescent="0.25">
      <c r="A4802" t="s">
        <v>3942</v>
      </c>
      <c r="B4802" t="str">
        <f>MID(tbl_lock[[#This Row],[PACE Job Number]],3,3)</f>
        <v>STX</v>
      </c>
      <c r="C4802" t="s">
        <v>15</v>
      </c>
      <c r="D4802" s="1">
        <v>43418</v>
      </c>
    </row>
    <row r="4803" spans="1:4" x14ac:dyDescent="0.25">
      <c r="A4803" t="s">
        <v>279</v>
      </c>
      <c r="B4803" t="str">
        <f>MID(tbl_lock[[#This Row],[PACE Job Number]],3,3)</f>
        <v>WSH</v>
      </c>
      <c r="C4803" t="s">
        <v>15</v>
      </c>
      <c r="D4803" s="1">
        <v>43433</v>
      </c>
    </row>
    <row r="4804" spans="1:4" x14ac:dyDescent="0.25">
      <c r="A4804" t="s">
        <v>449</v>
      </c>
      <c r="B4804" t="str">
        <f>MID(tbl_lock[[#This Row],[PACE Job Number]],3,3)</f>
        <v>WSH</v>
      </c>
      <c r="C4804" t="s">
        <v>15</v>
      </c>
      <c r="D4804" s="1">
        <v>43434</v>
      </c>
    </row>
    <row r="4805" spans="1:4" x14ac:dyDescent="0.25">
      <c r="A4805" t="s">
        <v>90</v>
      </c>
      <c r="B4805" t="str">
        <f>MID(tbl_lock[[#This Row],[PACE Job Number]],3,3)</f>
        <v>WSH</v>
      </c>
      <c r="C4805" t="s">
        <v>15</v>
      </c>
      <c r="D4805" s="1">
        <v>43433</v>
      </c>
    </row>
    <row r="4806" spans="1:4" x14ac:dyDescent="0.25">
      <c r="A4806" t="s">
        <v>4035</v>
      </c>
      <c r="B4806" t="str">
        <f>MID(tbl_lock[[#This Row],[PACE Job Number]],3,3)</f>
        <v>WSH</v>
      </c>
      <c r="C4806" t="s">
        <v>15</v>
      </c>
      <c r="D4806" s="1">
        <v>43421</v>
      </c>
    </row>
    <row r="4807" spans="1:4" x14ac:dyDescent="0.25">
      <c r="A4807" t="s">
        <v>39</v>
      </c>
      <c r="B4807" t="str">
        <f>MID(tbl_lock[[#This Row],[PACE Job Number]],3,3)</f>
        <v>NTX</v>
      </c>
      <c r="C4807" t="s">
        <v>15</v>
      </c>
      <c r="D4807" s="1">
        <v>43427</v>
      </c>
    </row>
    <row r="4808" spans="1:4" x14ac:dyDescent="0.25">
      <c r="A4808" t="s">
        <v>4520</v>
      </c>
      <c r="B4808" t="str">
        <f>MID(tbl_lock[[#This Row],[PACE Job Number]],3,3)</f>
        <v>NTX</v>
      </c>
      <c r="C4808" t="s">
        <v>15</v>
      </c>
      <c r="D4808" s="1">
        <v>43413</v>
      </c>
    </row>
    <row r="4809" spans="1:4" x14ac:dyDescent="0.25">
      <c r="A4809" t="s">
        <v>154</v>
      </c>
      <c r="B4809" t="str">
        <f>MID(tbl_lock[[#This Row],[PACE Job Number]],3,3)</f>
        <v>NTX</v>
      </c>
      <c r="C4809" t="s">
        <v>15</v>
      </c>
      <c r="D4809" s="1">
        <v>43427</v>
      </c>
    </row>
    <row r="4810" spans="1:4" x14ac:dyDescent="0.25">
      <c r="A4810" t="s">
        <v>1898</v>
      </c>
      <c r="B4810" t="str">
        <f>MID(tbl_lock[[#This Row],[PACE Job Number]],3,3)</f>
        <v>NTX</v>
      </c>
      <c r="C4810" t="s">
        <v>15</v>
      </c>
      <c r="D4810" s="1">
        <v>43413</v>
      </c>
    </row>
    <row r="4811" spans="1:4" x14ac:dyDescent="0.25">
      <c r="A4811" t="s">
        <v>4521</v>
      </c>
      <c r="B4811" t="str">
        <f>MID(tbl_lock[[#This Row],[PACE Job Number]],3,3)</f>
        <v>NTX</v>
      </c>
      <c r="C4811" t="s">
        <v>15</v>
      </c>
      <c r="D4811" s="1">
        <v>43413</v>
      </c>
    </row>
    <row r="4812" spans="1:4" x14ac:dyDescent="0.25">
      <c r="A4812" t="s">
        <v>1661</v>
      </c>
      <c r="B4812" t="str">
        <f>MID(tbl_lock[[#This Row],[PACE Job Number]],3,3)</f>
        <v>NTX</v>
      </c>
      <c r="C4812" t="s">
        <v>15</v>
      </c>
      <c r="D4812" s="1">
        <v>43408</v>
      </c>
    </row>
    <row r="4813" spans="1:4" x14ac:dyDescent="0.25">
      <c r="A4813" t="s">
        <v>2614</v>
      </c>
      <c r="B4813" t="str">
        <f>MID(tbl_lock[[#This Row],[PACE Job Number]],3,3)</f>
        <v>STX</v>
      </c>
      <c r="C4813" t="s">
        <v>15</v>
      </c>
      <c r="D4813" s="1">
        <v>43425</v>
      </c>
    </row>
    <row r="4814" spans="1:4" x14ac:dyDescent="0.25">
      <c r="A4814" t="s">
        <v>3107</v>
      </c>
      <c r="B4814" t="str">
        <f>MID(tbl_lock[[#This Row],[PACE Job Number]],3,3)</f>
        <v>STX</v>
      </c>
      <c r="C4814" t="s">
        <v>15</v>
      </c>
      <c r="D4814" s="1">
        <v>43433</v>
      </c>
    </row>
    <row r="4815" spans="1:4" x14ac:dyDescent="0.25">
      <c r="A4815" t="s">
        <v>503</v>
      </c>
      <c r="B4815" t="str">
        <f>MID(tbl_lock[[#This Row],[PACE Job Number]],3,3)</f>
        <v>WSH</v>
      </c>
      <c r="C4815" t="s">
        <v>15</v>
      </c>
      <c r="D4815" s="1">
        <v>43421</v>
      </c>
    </row>
    <row r="4816" spans="1:4" x14ac:dyDescent="0.25">
      <c r="A4816" t="s">
        <v>451</v>
      </c>
      <c r="B4816" t="str">
        <f>MID(tbl_lock[[#This Row],[PACE Job Number]],3,3)</f>
        <v>WSH</v>
      </c>
      <c r="C4816" t="s">
        <v>15</v>
      </c>
      <c r="D4816" s="1">
        <v>43434</v>
      </c>
    </row>
    <row r="4817" spans="1:4" x14ac:dyDescent="0.25">
      <c r="A4817" t="s">
        <v>79</v>
      </c>
      <c r="B4817" t="str">
        <f>MID(tbl_lock[[#This Row],[PACE Job Number]],3,3)</f>
        <v>WSH</v>
      </c>
      <c r="C4817" t="s">
        <v>15</v>
      </c>
      <c r="D4817" s="1">
        <v>43432</v>
      </c>
    </row>
    <row r="4818" spans="1:4" x14ac:dyDescent="0.25">
      <c r="A4818" t="s">
        <v>4644</v>
      </c>
      <c r="B4818" t="str">
        <f>MID(tbl_lock[[#This Row],[PACE Job Number]],3,3)</f>
        <v>WSH</v>
      </c>
      <c r="C4818" t="s">
        <v>15</v>
      </c>
      <c r="D4818" s="1">
        <v>43421</v>
      </c>
    </row>
    <row r="4819" spans="1:4" x14ac:dyDescent="0.25">
      <c r="A4819" t="s">
        <v>303</v>
      </c>
      <c r="B4819" t="str">
        <f>MID(tbl_lock[[#This Row],[PACE Job Number]],3,3)</f>
        <v>WSH</v>
      </c>
      <c r="C4819" t="s">
        <v>15</v>
      </c>
      <c r="D4819" s="1">
        <v>43434</v>
      </c>
    </row>
    <row r="4820" spans="1:4" x14ac:dyDescent="0.25">
      <c r="A4820" t="s">
        <v>4036</v>
      </c>
      <c r="B4820" t="str">
        <f>MID(tbl_lock[[#This Row],[PACE Job Number]],3,3)</f>
        <v>WSH</v>
      </c>
      <c r="C4820" t="s">
        <v>15</v>
      </c>
      <c r="D4820" s="1">
        <v>43421</v>
      </c>
    </row>
    <row r="4821" spans="1:4" x14ac:dyDescent="0.25">
      <c r="A4821" t="s">
        <v>409</v>
      </c>
      <c r="B4821" t="str">
        <f>MID(tbl_lock[[#This Row],[PACE Job Number]],3,3)</f>
        <v>WSH</v>
      </c>
      <c r="C4821" t="s">
        <v>15</v>
      </c>
      <c r="D4821" s="1">
        <v>43434</v>
      </c>
    </row>
    <row r="4822" spans="1:4" x14ac:dyDescent="0.25">
      <c r="A4822" t="s">
        <v>159</v>
      </c>
      <c r="B4822" t="str">
        <f>MID(tbl_lock[[#This Row],[PACE Job Number]],3,3)</f>
        <v>WSH</v>
      </c>
      <c r="C4822" t="s">
        <v>15</v>
      </c>
      <c r="D4822" s="1">
        <v>43434</v>
      </c>
    </row>
    <row r="4823" spans="1:4" x14ac:dyDescent="0.25">
      <c r="A4823" t="s">
        <v>3528</v>
      </c>
      <c r="B4823" t="str">
        <f>MID(tbl_lock[[#This Row],[PACE Job Number]],3,3)</f>
        <v>WSH</v>
      </c>
      <c r="C4823" t="s">
        <v>15</v>
      </c>
      <c r="D4823" s="1">
        <v>43421</v>
      </c>
    </row>
    <row r="4824" spans="1:4" x14ac:dyDescent="0.25">
      <c r="A4824" t="s">
        <v>4645</v>
      </c>
      <c r="B4824" t="str">
        <f>MID(tbl_lock[[#This Row],[PACE Job Number]],3,3)</f>
        <v>WSH</v>
      </c>
      <c r="C4824" t="s">
        <v>15</v>
      </c>
      <c r="D4824" s="1">
        <v>43434</v>
      </c>
    </row>
    <row r="4825" spans="1:4" x14ac:dyDescent="0.25">
      <c r="A4825" t="s">
        <v>185</v>
      </c>
      <c r="B4825" t="str">
        <f>MID(tbl_lock[[#This Row],[PACE Job Number]],3,3)</f>
        <v>WSH</v>
      </c>
      <c r="C4825" t="s">
        <v>15</v>
      </c>
      <c r="D4825" s="1">
        <v>43432</v>
      </c>
    </row>
    <row r="4826" spans="1:4" x14ac:dyDescent="0.25">
      <c r="A4826" t="s">
        <v>4576</v>
      </c>
      <c r="B4826" t="str">
        <f>MID(tbl_lock[[#This Row],[PACE Job Number]],3,3)</f>
        <v>WSH</v>
      </c>
      <c r="C4826" t="s">
        <v>15</v>
      </c>
      <c r="D4826" s="1">
        <v>43434</v>
      </c>
    </row>
    <row r="4827" spans="1:4" x14ac:dyDescent="0.25">
      <c r="A4827" t="s">
        <v>201</v>
      </c>
      <c r="B4827" t="str">
        <f>MID(tbl_lock[[#This Row],[PACE Job Number]],3,3)</f>
        <v>WSH</v>
      </c>
      <c r="C4827" t="s">
        <v>15</v>
      </c>
      <c r="D4827" s="1">
        <v>43434</v>
      </c>
    </row>
    <row r="4828" spans="1:4" x14ac:dyDescent="0.25">
      <c r="A4828" t="s">
        <v>3920</v>
      </c>
      <c r="B4828" t="str">
        <f>MID(tbl_lock[[#This Row],[PACE Job Number]],3,3)</f>
        <v>WSH</v>
      </c>
      <c r="C4828" t="s">
        <v>15</v>
      </c>
      <c r="D4828" s="1">
        <v>43434</v>
      </c>
    </row>
    <row r="4829" spans="1:4" x14ac:dyDescent="0.25">
      <c r="A4829" t="s">
        <v>3531</v>
      </c>
      <c r="B4829" t="str">
        <f>MID(tbl_lock[[#This Row],[PACE Job Number]],3,3)</f>
        <v>WSH</v>
      </c>
      <c r="C4829" t="s">
        <v>15</v>
      </c>
      <c r="D4829" s="1">
        <v>43421</v>
      </c>
    </row>
    <row r="4830" spans="1:4" x14ac:dyDescent="0.25">
      <c r="A4830" t="s">
        <v>5348</v>
      </c>
      <c r="B4830" t="str">
        <f>MID(tbl_lock[[#This Row],[PACE Job Number]],3,3)</f>
        <v>NTX</v>
      </c>
      <c r="C4830" t="s">
        <v>15</v>
      </c>
      <c r="D4830" s="1">
        <v>43425</v>
      </c>
    </row>
    <row r="4831" spans="1:4" x14ac:dyDescent="0.25">
      <c r="A4831" t="s">
        <v>5349</v>
      </c>
      <c r="B4831" t="str">
        <f>MID(tbl_lock[[#This Row],[PACE Job Number]],3,3)</f>
        <v>NTX</v>
      </c>
      <c r="C4831" t="s">
        <v>15</v>
      </c>
      <c r="D4831" s="1">
        <v>43425</v>
      </c>
    </row>
    <row r="4832" spans="1:4" x14ac:dyDescent="0.25">
      <c r="A4832" t="s">
        <v>4058</v>
      </c>
      <c r="B4832" t="str">
        <f>MID(tbl_lock[[#This Row],[PACE Job Number]],3,3)</f>
        <v>STX</v>
      </c>
      <c r="C4832" t="s">
        <v>15</v>
      </c>
      <c r="D4832" s="1">
        <v>43433</v>
      </c>
    </row>
    <row r="4833" spans="1:4" x14ac:dyDescent="0.25">
      <c r="A4833" t="s">
        <v>808</v>
      </c>
      <c r="B4833" t="str">
        <f>MID(tbl_lock[[#This Row],[PACE Job Number]],3,3)</f>
        <v>STX</v>
      </c>
      <c r="C4833" t="s">
        <v>15</v>
      </c>
      <c r="D4833" s="1">
        <v>43418</v>
      </c>
    </row>
    <row r="4834" spans="1:4" x14ac:dyDescent="0.25">
      <c r="A4834" t="s">
        <v>3505</v>
      </c>
      <c r="B4834" t="str">
        <f>MID(tbl_lock[[#This Row],[PACE Job Number]],3,3)</f>
        <v>STX</v>
      </c>
      <c r="C4834" t="s">
        <v>15</v>
      </c>
      <c r="D4834" s="1">
        <v>43430</v>
      </c>
    </row>
    <row r="4835" spans="1:4" x14ac:dyDescent="0.25">
      <c r="A4835" t="s">
        <v>511</v>
      </c>
      <c r="B4835" t="str">
        <f>MID(tbl_lock[[#This Row],[PACE Job Number]],3,3)</f>
        <v>STX</v>
      </c>
      <c r="C4835" t="s">
        <v>15</v>
      </c>
      <c r="D4835" s="1">
        <v>43410</v>
      </c>
    </row>
    <row r="4836" spans="1:4" x14ac:dyDescent="0.25">
      <c r="A4836" t="s">
        <v>2595</v>
      </c>
      <c r="B4836" t="str">
        <f>MID(tbl_lock[[#This Row],[PACE Job Number]],3,3)</f>
        <v>STX</v>
      </c>
      <c r="C4836" t="s">
        <v>15</v>
      </c>
      <c r="D4836" s="1">
        <v>43406</v>
      </c>
    </row>
    <row r="4837" spans="1:4" x14ac:dyDescent="0.25">
      <c r="A4837" t="s">
        <v>3234</v>
      </c>
      <c r="B4837" t="str">
        <f>MID(tbl_lock[[#This Row],[PACE Job Number]],3,3)</f>
        <v>STX</v>
      </c>
      <c r="C4837" t="s">
        <v>15</v>
      </c>
      <c r="D4837" s="1">
        <v>43433</v>
      </c>
    </row>
    <row r="4838" spans="1:4" x14ac:dyDescent="0.25">
      <c r="A4838" t="s">
        <v>5606</v>
      </c>
      <c r="B4838" t="str">
        <f>MID(tbl_lock[[#This Row],[PACE Job Number]],3,3)</f>
        <v>STX</v>
      </c>
      <c r="C4838" t="s">
        <v>15</v>
      </c>
      <c r="D4838" s="1">
        <v>43410</v>
      </c>
    </row>
    <row r="4839" spans="1:4" x14ac:dyDescent="0.25">
      <c r="A4839" t="s">
        <v>671</v>
      </c>
      <c r="B4839" t="str">
        <f>MID(tbl_lock[[#This Row],[PACE Job Number]],3,3)</f>
        <v>STX</v>
      </c>
      <c r="C4839" t="s">
        <v>15</v>
      </c>
      <c r="D4839" s="1">
        <v>43419</v>
      </c>
    </row>
    <row r="4840" spans="1:4" x14ac:dyDescent="0.25">
      <c r="A4840" t="s">
        <v>2092</v>
      </c>
      <c r="B4840" t="str">
        <f>MID(tbl_lock[[#This Row],[PACE Job Number]],3,3)</f>
        <v>NTX</v>
      </c>
      <c r="C4840" t="s">
        <v>15</v>
      </c>
      <c r="D4840" s="1">
        <v>43433</v>
      </c>
    </row>
    <row r="4841" spans="1:4" x14ac:dyDescent="0.25">
      <c r="A4841" t="s">
        <v>336</v>
      </c>
      <c r="B4841" t="str">
        <f>MID(tbl_lock[[#This Row],[PACE Job Number]],3,3)</f>
        <v>NTX</v>
      </c>
      <c r="C4841" t="s">
        <v>15</v>
      </c>
      <c r="D4841" s="1">
        <v>43416</v>
      </c>
    </row>
    <row r="4842" spans="1:4" x14ac:dyDescent="0.25">
      <c r="A4842" t="s">
        <v>4555</v>
      </c>
      <c r="B4842" t="str">
        <f>MID(tbl_lock[[#This Row],[PACE Job Number]],3,3)</f>
        <v>NTX</v>
      </c>
      <c r="C4842" t="s">
        <v>15</v>
      </c>
      <c r="D4842" s="1">
        <v>43425</v>
      </c>
    </row>
    <row r="4843" spans="1:4" x14ac:dyDescent="0.25">
      <c r="A4843" t="s">
        <v>339</v>
      </c>
      <c r="B4843" t="str">
        <f>MID(tbl_lock[[#This Row],[PACE Job Number]],3,3)</f>
        <v>NTX</v>
      </c>
      <c r="C4843" t="s">
        <v>15</v>
      </c>
      <c r="D4843" s="1">
        <v>43427</v>
      </c>
    </row>
    <row r="4844" spans="1:4" x14ac:dyDescent="0.25">
      <c r="A4844" t="s">
        <v>3977</v>
      </c>
      <c r="B4844" t="str">
        <f>MID(tbl_lock[[#This Row],[PACE Job Number]],3,3)</f>
        <v>NTX</v>
      </c>
      <c r="C4844" t="s">
        <v>15</v>
      </c>
      <c r="D4844" s="1">
        <v>43425</v>
      </c>
    </row>
    <row r="4845" spans="1:4" x14ac:dyDescent="0.25">
      <c r="A4845" t="s">
        <v>220</v>
      </c>
      <c r="B4845" t="str">
        <f>MID(tbl_lock[[#This Row],[PACE Job Number]],3,3)</f>
        <v>NTX</v>
      </c>
      <c r="C4845" t="s">
        <v>15</v>
      </c>
      <c r="D4845" s="1">
        <v>43427</v>
      </c>
    </row>
    <row r="4846" spans="1:4" x14ac:dyDescent="0.25">
      <c r="A4846" t="s">
        <v>1737</v>
      </c>
      <c r="B4846" t="str">
        <f>MID(tbl_lock[[#This Row],[PACE Job Number]],3,3)</f>
        <v>NTX</v>
      </c>
      <c r="C4846" t="s">
        <v>15</v>
      </c>
      <c r="D4846" s="1">
        <v>43430</v>
      </c>
    </row>
    <row r="4847" spans="1:4" x14ac:dyDescent="0.25">
      <c r="A4847" t="s">
        <v>4556</v>
      </c>
      <c r="B4847" t="str">
        <f>MID(tbl_lock[[#This Row],[PACE Job Number]],3,3)</f>
        <v>NTX</v>
      </c>
      <c r="C4847" t="s">
        <v>15</v>
      </c>
      <c r="D4847" s="1">
        <v>43415</v>
      </c>
    </row>
    <row r="4848" spans="1:4" x14ac:dyDescent="0.25">
      <c r="A4848" t="s">
        <v>2153</v>
      </c>
      <c r="B4848" t="str">
        <f>MID(tbl_lock[[#This Row],[PACE Job Number]],3,3)</f>
        <v>NTX</v>
      </c>
      <c r="C4848" t="s">
        <v>15</v>
      </c>
      <c r="D4848" s="1">
        <v>43425</v>
      </c>
    </row>
    <row r="4849" spans="1:4" x14ac:dyDescent="0.25">
      <c r="A4849" t="s">
        <v>4583</v>
      </c>
      <c r="B4849" t="str">
        <f>MID(tbl_lock[[#This Row],[PACE Job Number]],3,3)</f>
        <v>NTX</v>
      </c>
      <c r="C4849" t="s">
        <v>15</v>
      </c>
      <c r="D4849" s="1">
        <v>43417</v>
      </c>
    </row>
    <row r="4850" spans="1:4" x14ac:dyDescent="0.25">
      <c r="A4850" t="s">
        <v>4547</v>
      </c>
      <c r="B4850" t="str">
        <f>MID(tbl_lock[[#This Row],[PACE Job Number]],3,3)</f>
        <v>NTX</v>
      </c>
      <c r="C4850" t="s">
        <v>15</v>
      </c>
      <c r="D4850" s="1">
        <v>43431</v>
      </c>
    </row>
    <row r="4851" spans="1:4" x14ac:dyDescent="0.25">
      <c r="A4851" t="s">
        <v>4548</v>
      </c>
      <c r="B4851" t="str">
        <f>MID(tbl_lock[[#This Row],[PACE Job Number]],3,3)</f>
        <v>NTX</v>
      </c>
      <c r="C4851" t="s">
        <v>15</v>
      </c>
      <c r="D4851" s="1">
        <v>43425</v>
      </c>
    </row>
    <row r="4852" spans="1:4" x14ac:dyDescent="0.25">
      <c r="A4852" t="s">
        <v>277</v>
      </c>
      <c r="B4852" t="str">
        <f>MID(tbl_lock[[#This Row],[PACE Job Number]],3,3)</f>
        <v>NTX</v>
      </c>
      <c r="C4852" t="s">
        <v>15</v>
      </c>
      <c r="D4852" s="1">
        <v>43417</v>
      </c>
    </row>
    <row r="4853" spans="1:4" x14ac:dyDescent="0.25">
      <c r="A4853" t="s">
        <v>2427</v>
      </c>
      <c r="B4853" t="str">
        <f>MID(tbl_lock[[#This Row],[PACE Job Number]],3,3)</f>
        <v>NTX</v>
      </c>
      <c r="C4853" t="s">
        <v>15</v>
      </c>
      <c r="D4853" s="1">
        <v>43417</v>
      </c>
    </row>
    <row r="4854" spans="1:4" x14ac:dyDescent="0.25">
      <c r="A4854" t="s">
        <v>4549</v>
      </c>
      <c r="B4854" t="str">
        <f>MID(tbl_lock[[#This Row],[PACE Job Number]],3,3)</f>
        <v>NTX</v>
      </c>
      <c r="C4854" t="s">
        <v>15</v>
      </c>
      <c r="D4854" s="1">
        <v>43433</v>
      </c>
    </row>
    <row r="4855" spans="1:4" x14ac:dyDescent="0.25">
      <c r="A4855" t="s">
        <v>4422</v>
      </c>
      <c r="B4855" t="str">
        <f>MID(tbl_lock[[#This Row],[PACE Job Number]],3,3)</f>
        <v>NTX</v>
      </c>
      <c r="C4855" t="s">
        <v>15</v>
      </c>
      <c r="D4855" s="1">
        <v>43427</v>
      </c>
    </row>
    <row r="4856" spans="1:4" x14ac:dyDescent="0.25">
      <c r="A4856" t="s">
        <v>3403</v>
      </c>
      <c r="B4856" t="str">
        <f>MID(tbl_lock[[#This Row],[PACE Job Number]],3,3)</f>
        <v>NTX</v>
      </c>
      <c r="C4856" t="s">
        <v>15</v>
      </c>
      <c r="D4856" s="1">
        <v>43425</v>
      </c>
    </row>
    <row r="4857" spans="1:4" x14ac:dyDescent="0.25">
      <c r="A4857" t="s">
        <v>333</v>
      </c>
      <c r="B4857" t="str">
        <f>MID(tbl_lock[[#This Row],[PACE Job Number]],3,3)</f>
        <v>NTX</v>
      </c>
      <c r="C4857" t="s">
        <v>15</v>
      </c>
      <c r="D4857" s="1">
        <v>43413</v>
      </c>
    </row>
    <row r="4858" spans="1:4" x14ac:dyDescent="0.25">
      <c r="A4858" t="s">
        <v>322</v>
      </c>
      <c r="B4858" t="str">
        <f>MID(tbl_lock[[#This Row],[PACE Job Number]],3,3)</f>
        <v>NTX</v>
      </c>
      <c r="C4858" t="s">
        <v>15</v>
      </c>
      <c r="D4858" s="1">
        <v>43413</v>
      </c>
    </row>
    <row r="4859" spans="1:4" x14ac:dyDescent="0.25">
      <c r="A4859" t="s">
        <v>1874</v>
      </c>
      <c r="B4859" t="str">
        <f>MID(tbl_lock[[#This Row],[PACE Job Number]],3,3)</f>
        <v>NTX</v>
      </c>
      <c r="C4859" t="s">
        <v>15</v>
      </c>
      <c r="D4859" s="1">
        <v>43418</v>
      </c>
    </row>
    <row r="4860" spans="1:4" x14ac:dyDescent="0.25">
      <c r="A4860" t="s">
        <v>330</v>
      </c>
      <c r="B4860" t="str">
        <f>MID(tbl_lock[[#This Row],[PACE Job Number]],3,3)</f>
        <v>NTX</v>
      </c>
      <c r="C4860" t="s">
        <v>15</v>
      </c>
      <c r="D4860" s="1">
        <v>43413</v>
      </c>
    </row>
    <row r="4861" spans="1:4" x14ac:dyDescent="0.25">
      <c r="A4861" t="s">
        <v>194</v>
      </c>
      <c r="B4861" t="str">
        <f>MID(tbl_lock[[#This Row],[PACE Job Number]],3,3)</f>
        <v>WSH</v>
      </c>
      <c r="C4861" t="s">
        <v>15</v>
      </c>
      <c r="D4861" s="1">
        <v>43422</v>
      </c>
    </row>
    <row r="4862" spans="1:4" x14ac:dyDescent="0.25">
      <c r="A4862" t="s">
        <v>5636</v>
      </c>
      <c r="B4862" t="str">
        <f>MID(tbl_lock[[#This Row],[PACE Job Number]],3,3)</f>
        <v>ANM</v>
      </c>
      <c r="C4862" t="s">
        <v>15</v>
      </c>
      <c r="D4862" s="1">
        <v>43434</v>
      </c>
    </row>
    <row r="4863" spans="1:4" x14ac:dyDescent="0.25">
      <c r="A4863" t="s">
        <v>5607</v>
      </c>
      <c r="B4863" t="str">
        <f>MID(tbl_lock[[#This Row],[PACE Job Number]],3,3)</f>
        <v>ANM</v>
      </c>
      <c r="C4863" t="s">
        <v>15</v>
      </c>
      <c r="D4863" s="1">
        <v>43434</v>
      </c>
    </row>
    <row r="4864" spans="1:4" x14ac:dyDescent="0.25">
      <c r="A4864" t="s">
        <v>5637</v>
      </c>
      <c r="B4864" t="str">
        <f>MID(tbl_lock[[#This Row],[PACE Job Number]],3,3)</f>
        <v>ANM</v>
      </c>
      <c r="C4864" t="s">
        <v>15</v>
      </c>
      <c r="D4864" s="1">
        <v>43434</v>
      </c>
    </row>
    <row r="4865" spans="1:4" x14ac:dyDescent="0.25">
      <c r="A4865" t="s">
        <v>5638</v>
      </c>
      <c r="B4865" t="str">
        <f>MID(tbl_lock[[#This Row],[PACE Job Number]],3,3)</f>
        <v>ANM</v>
      </c>
      <c r="C4865" t="s">
        <v>15</v>
      </c>
      <c r="D4865" s="1">
        <v>43434</v>
      </c>
    </row>
    <row r="4866" spans="1:4" x14ac:dyDescent="0.25">
      <c r="A4866" t="s">
        <v>4610</v>
      </c>
      <c r="B4866" t="str">
        <f>MID(tbl_lock[[#This Row],[PACE Job Number]],3,3)</f>
        <v>ANM</v>
      </c>
      <c r="C4866" t="s">
        <v>15</v>
      </c>
      <c r="D4866" s="1">
        <v>43434</v>
      </c>
    </row>
    <row r="4867" spans="1:4" x14ac:dyDescent="0.25">
      <c r="A4867" t="s">
        <v>839</v>
      </c>
      <c r="B4867" t="str">
        <f>MID(tbl_lock[[#This Row],[PACE Job Number]],3,3)</f>
        <v>ANM</v>
      </c>
      <c r="C4867" t="s">
        <v>15</v>
      </c>
      <c r="D4867" s="1">
        <v>43434</v>
      </c>
    </row>
    <row r="4868" spans="1:4" x14ac:dyDescent="0.25">
      <c r="A4868" t="s">
        <v>441</v>
      </c>
      <c r="B4868" t="str">
        <f>MID(tbl_lock[[#This Row],[PACE Job Number]],3,3)</f>
        <v>ANM</v>
      </c>
      <c r="C4868" t="s">
        <v>15</v>
      </c>
      <c r="D4868" s="1">
        <v>43434</v>
      </c>
    </row>
    <row r="4869" spans="1:4" x14ac:dyDescent="0.25">
      <c r="A4869" t="s">
        <v>386</v>
      </c>
      <c r="B4869" t="str">
        <f>MID(tbl_lock[[#This Row],[PACE Job Number]],3,3)</f>
        <v>ANM</v>
      </c>
      <c r="C4869" t="s">
        <v>15</v>
      </c>
      <c r="D4869" s="1">
        <v>43434</v>
      </c>
    </row>
    <row r="4870" spans="1:4" x14ac:dyDescent="0.25">
      <c r="A4870" t="s">
        <v>1875</v>
      </c>
      <c r="B4870" t="str">
        <f>MID(tbl_lock[[#This Row],[PACE Job Number]],3,3)</f>
        <v>NTX</v>
      </c>
      <c r="C4870" t="s">
        <v>15</v>
      </c>
      <c r="D4870" s="1">
        <v>43427</v>
      </c>
    </row>
    <row r="4871" spans="1:4" x14ac:dyDescent="0.25">
      <c r="A4871" t="s">
        <v>4627</v>
      </c>
      <c r="B4871" t="str">
        <f>MID(tbl_lock[[#This Row],[PACE Job Number]],3,3)</f>
        <v>STX</v>
      </c>
      <c r="C4871" t="s">
        <v>15</v>
      </c>
      <c r="D4871" s="1">
        <v>43418</v>
      </c>
    </row>
    <row r="4872" spans="1:4" x14ac:dyDescent="0.25">
      <c r="A4872" t="s">
        <v>4649</v>
      </c>
      <c r="B4872" t="str">
        <f>MID(tbl_lock[[#This Row],[PACE Job Number]],3,3)</f>
        <v>STX</v>
      </c>
      <c r="C4872" t="s">
        <v>15</v>
      </c>
      <c r="D4872" s="1">
        <v>43418</v>
      </c>
    </row>
    <row r="4873" spans="1:4" x14ac:dyDescent="0.25">
      <c r="A4873" t="s">
        <v>3529</v>
      </c>
      <c r="B4873" t="str">
        <f>MID(tbl_lock[[#This Row],[PACE Job Number]],3,3)</f>
        <v>STX</v>
      </c>
      <c r="C4873" t="s">
        <v>15</v>
      </c>
      <c r="D4873" s="1">
        <v>43410</v>
      </c>
    </row>
    <row r="4874" spans="1:4" x14ac:dyDescent="0.25">
      <c r="A4874" t="s">
        <v>3504</v>
      </c>
      <c r="B4874" t="str">
        <f>MID(tbl_lock[[#This Row],[PACE Job Number]],3,3)</f>
        <v>STX</v>
      </c>
      <c r="C4874" t="s">
        <v>15</v>
      </c>
      <c r="D4874" s="1">
        <v>43419</v>
      </c>
    </row>
    <row r="4875" spans="1:4" x14ac:dyDescent="0.25">
      <c r="A4875" t="s">
        <v>4628</v>
      </c>
      <c r="B4875" t="str">
        <f>MID(tbl_lock[[#This Row],[PACE Job Number]],3,3)</f>
        <v>STX</v>
      </c>
      <c r="C4875" t="s">
        <v>15</v>
      </c>
      <c r="D4875" s="1">
        <v>43419</v>
      </c>
    </row>
    <row r="4876" spans="1:4" x14ac:dyDescent="0.25">
      <c r="A4876" t="s">
        <v>3442</v>
      </c>
      <c r="B4876" t="str">
        <f>MID(tbl_lock[[#This Row],[PACE Job Number]],3,3)</f>
        <v>STX</v>
      </c>
      <c r="C4876" t="s">
        <v>15</v>
      </c>
      <c r="D4876" s="1">
        <v>43419</v>
      </c>
    </row>
    <row r="4877" spans="1:4" x14ac:dyDescent="0.25">
      <c r="A4877" t="s">
        <v>3536</v>
      </c>
      <c r="B4877" t="str">
        <f>MID(tbl_lock[[#This Row],[PACE Job Number]],3,3)</f>
        <v>STX</v>
      </c>
      <c r="C4877" t="s">
        <v>15</v>
      </c>
      <c r="D4877" s="1">
        <v>43433</v>
      </c>
    </row>
    <row r="4878" spans="1:4" x14ac:dyDescent="0.25">
      <c r="A4878" t="s">
        <v>3271</v>
      </c>
      <c r="B4878" t="str">
        <f>MID(tbl_lock[[#This Row],[PACE Job Number]],3,3)</f>
        <v>STX</v>
      </c>
      <c r="C4878" t="s">
        <v>15</v>
      </c>
      <c r="D4878" s="1">
        <v>43410</v>
      </c>
    </row>
    <row r="4879" spans="1:4" x14ac:dyDescent="0.25">
      <c r="A4879" t="s">
        <v>4584</v>
      </c>
      <c r="B4879" t="str">
        <f>MID(tbl_lock[[#This Row],[PACE Job Number]],3,3)</f>
        <v>STX</v>
      </c>
      <c r="C4879" t="s">
        <v>15</v>
      </c>
      <c r="D4879" s="1">
        <v>43430</v>
      </c>
    </row>
    <row r="4880" spans="1:4" x14ac:dyDescent="0.25">
      <c r="A4880" t="s">
        <v>269</v>
      </c>
      <c r="B4880" t="str">
        <f>MID(tbl_lock[[#This Row],[PACE Job Number]],3,3)</f>
        <v>STX</v>
      </c>
      <c r="C4880" t="s">
        <v>15</v>
      </c>
      <c r="D4880" s="1">
        <v>43419</v>
      </c>
    </row>
    <row r="4881" spans="1:4" x14ac:dyDescent="0.25">
      <c r="A4881" t="s">
        <v>4629</v>
      </c>
      <c r="B4881" t="str">
        <f>MID(tbl_lock[[#This Row],[PACE Job Number]],3,3)</f>
        <v>STX</v>
      </c>
      <c r="C4881" t="s">
        <v>15</v>
      </c>
      <c r="D4881" s="1">
        <v>43430</v>
      </c>
    </row>
    <row r="4882" spans="1:4" x14ac:dyDescent="0.25">
      <c r="A4882" t="s">
        <v>2720</v>
      </c>
      <c r="B4882" t="str">
        <f>MID(tbl_lock[[#This Row],[PACE Job Number]],3,3)</f>
        <v>STX</v>
      </c>
      <c r="C4882" t="s">
        <v>15</v>
      </c>
      <c r="D4882" s="1">
        <v>43430</v>
      </c>
    </row>
    <row r="4883" spans="1:4" x14ac:dyDescent="0.25">
      <c r="A4883" t="s">
        <v>3508</v>
      </c>
      <c r="B4883" t="str">
        <f>MID(tbl_lock[[#This Row],[PACE Job Number]],3,3)</f>
        <v>STX</v>
      </c>
      <c r="C4883" t="s">
        <v>15</v>
      </c>
      <c r="D4883" s="1">
        <v>43410</v>
      </c>
    </row>
    <row r="4884" spans="1:4" x14ac:dyDescent="0.25">
      <c r="A4884" t="s">
        <v>96</v>
      </c>
      <c r="B4884" t="str">
        <f>MID(tbl_lock[[#This Row],[PACE Job Number]],3,3)</f>
        <v>STX</v>
      </c>
      <c r="C4884" t="s">
        <v>15</v>
      </c>
      <c r="D4884" s="1">
        <v>43418</v>
      </c>
    </row>
    <row r="4885" spans="1:4" x14ac:dyDescent="0.25">
      <c r="A4885" t="s">
        <v>2719</v>
      </c>
      <c r="B4885" t="str">
        <f>MID(tbl_lock[[#This Row],[PACE Job Number]],3,3)</f>
        <v>STX</v>
      </c>
      <c r="C4885" t="s">
        <v>15</v>
      </c>
      <c r="D4885" s="1">
        <v>43418</v>
      </c>
    </row>
    <row r="4886" spans="1:4" x14ac:dyDescent="0.25">
      <c r="A4886" t="s">
        <v>260</v>
      </c>
      <c r="B4886" t="str">
        <f>MID(tbl_lock[[#This Row],[PACE Job Number]],3,3)</f>
        <v>STX</v>
      </c>
      <c r="C4886" t="s">
        <v>15</v>
      </c>
      <c r="D4886" s="1">
        <v>43410</v>
      </c>
    </row>
    <row r="4887" spans="1:4" x14ac:dyDescent="0.25">
      <c r="A4887" t="s">
        <v>4630</v>
      </c>
      <c r="B4887" t="str">
        <f>MID(tbl_lock[[#This Row],[PACE Job Number]],3,3)</f>
        <v>STX</v>
      </c>
      <c r="C4887" t="s">
        <v>15</v>
      </c>
      <c r="D4887" s="1">
        <v>43419</v>
      </c>
    </row>
    <row r="4888" spans="1:4" x14ac:dyDescent="0.25">
      <c r="A4888" t="s">
        <v>4631</v>
      </c>
      <c r="B4888" t="str">
        <f>MID(tbl_lock[[#This Row],[PACE Job Number]],3,3)</f>
        <v>STX</v>
      </c>
      <c r="C4888" t="s">
        <v>15</v>
      </c>
      <c r="D4888" s="1">
        <v>43418</v>
      </c>
    </row>
    <row r="4889" spans="1:4" x14ac:dyDescent="0.25">
      <c r="A4889" t="s">
        <v>3405</v>
      </c>
      <c r="B4889" t="str">
        <f>MID(tbl_lock[[#This Row],[PACE Job Number]],3,3)</f>
        <v>STX</v>
      </c>
      <c r="C4889" t="s">
        <v>15</v>
      </c>
      <c r="D4889" s="1">
        <v>43430</v>
      </c>
    </row>
    <row r="4890" spans="1:4" x14ac:dyDescent="0.25">
      <c r="A4890" t="s">
        <v>5611</v>
      </c>
      <c r="B4890" t="str">
        <f>MID(tbl_lock[[#This Row],[PACE Job Number]],3,3)</f>
        <v>ANM</v>
      </c>
      <c r="C4890" t="s">
        <v>15</v>
      </c>
      <c r="D4890" s="1">
        <v>43434</v>
      </c>
    </row>
    <row r="4891" spans="1:4" x14ac:dyDescent="0.25">
      <c r="A4891" t="s">
        <v>4575</v>
      </c>
      <c r="B4891" t="str">
        <f>MID(tbl_lock[[#This Row],[PACE Job Number]],3,3)</f>
        <v>NTX</v>
      </c>
      <c r="C4891" t="s">
        <v>15</v>
      </c>
      <c r="D4891" s="1">
        <v>43413</v>
      </c>
    </row>
    <row r="4892" spans="1:4" x14ac:dyDescent="0.25">
      <c r="A4892" t="s">
        <v>1809</v>
      </c>
      <c r="B4892" t="str">
        <f>MID(tbl_lock[[#This Row],[PACE Job Number]],3,3)</f>
        <v>NTX</v>
      </c>
      <c r="C4892" t="s">
        <v>15</v>
      </c>
      <c r="D4892" s="1">
        <v>43415</v>
      </c>
    </row>
    <row r="4893" spans="1:4" x14ac:dyDescent="0.25">
      <c r="A4893" t="s">
        <v>4339</v>
      </c>
      <c r="B4893" t="str">
        <f>MID(tbl_lock[[#This Row],[PACE Job Number]],3,3)</f>
        <v>NTX</v>
      </c>
      <c r="C4893" t="s">
        <v>15</v>
      </c>
      <c r="D4893" s="1">
        <v>43415</v>
      </c>
    </row>
    <row r="4894" spans="1:4" x14ac:dyDescent="0.25">
      <c r="A4894" t="s">
        <v>3992</v>
      </c>
      <c r="B4894" t="str">
        <f>MID(tbl_lock[[#This Row],[PACE Job Number]],3,3)</f>
        <v>NTX</v>
      </c>
      <c r="C4894" t="s">
        <v>15</v>
      </c>
      <c r="D4894" s="1">
        <v>43413</v>
      </c>
    </row>
    <row r="4895" spans="1:4" x14ac:dyDescent="0.25">
      <c r="A4895" t="s">
        <v>335</v>
      </c>
      <c r="B4895" t="str">
        <f>MID(tbl_lock[[#This Row],[PACE Job Number]],3,3)</f>
        <v>NTX</v>
      </c>
      <c r="C4895" t="s">
        <v>15</v>
      </c>
      <c r="D4895" s="1">
        <v>43416</v>
      </c>
    </row>
    <row r="4896" spans="1:4" x14ac:dyDescent="0.25">
      <c r="A4896" t="s">
        <v>4523</v>
      </c>
      <c r="B4896" t="str">
        <f>MID(tbl_lock[[#This Row],[PACE Job Number]],3,3)</f>
        <v>NTX</v>
      </c>
      <c r="C4896" t="s">
        <v>15</v>
      </c>
      <c r="D4896" s="1">
        <v>43433</v>
      </c>
    </row>
    <row r="4897" spans="1:4" x14ac:dyDescent="0.25">
      <c r="A4897" t="s">
        <v>713</v>
      </c>
      <c r="B4897" t="str">
        <f>MID(tbl_lock[[#This Row],[PACE Job Number]],3,3)</f>
        <v>NTX</v>
      </c>
      <c r="C4897" t="s">
        <v>15</v>
      </c>
      <c r="D4897" s="1">
        <v>43425</v>
      </c>
    </row>
    <row r="4898" spans="1:4" x14ac:dyDescent="0.25">
      <c r="A4898" t="s">
        <v>2369</v>
      </c>
      <c r="B4898" t="str">
        <f>MID(tbl_lock[[#This Row],[PACE Job Number]],3,3)</f>
        <v>NTX</v>
      </c>
      <c r="C4898" t="s">
        <v>15</v>
      </c>
      <c r="D4898" s="1">
        <v>43429</v>
      </c>
    </row>
    <row r="4899" spans="1:4" x14ac:dyDescent="0.25">
      <c r="A4899" t="s">
        <v>1812</v>
      </c>
      <c r="B4899" t="str">
        <f>MID(tbl_lock[[#This Row],[PACE Job Number]],3,3)</f>
        <v>NTX</v>
      </c>
      <c r="C4899" t="s">
        <v>15</v>
      </c>
      <c r="D4899" s="1">
        <v>43425</v>
      </c>
    </row>
    <row r="4900" spans="1:4" x14ac:dyDescent="0.25">
      <c r="A4900" t="s">
        <v>4524</v>
      </c>
      <c r="B4900" t="str">
        <f>MID(tbl_lock[[#This Row],[PACE Job Number]],3,3)</f>
        <v>NTX</v>
      </c>
      <c r="C4900" t="s">
        <v>15</v>
      </c>
      <c r="D4900" s="1">
        <v>43425</v>
      </c>
    </row>
    <row r="4901" spans="1:4" x14ac:dyDescent="0.25">
      <c r="A4901" t="s">
        <v>4650</v>
      </c>
      <c r="B4901" t="str">
        <f>MID(tbl_lock[[#This Row],[PACE Job Number]],3,3)</f>
        <v>STX</v>
      </c>
      <c r="C4901" t="s">
        <v>15</v>
      </c>
      <c r="D4901" s="1">
        <v>43405</v>
      </c>
    </row>
    <row r="4902" spans="1:4" x14ac:dyDescent="0.25">
      <c r="A4902" t="s">
        <v>4651</v>
      </c>
      <c r="B4902" t="str">
        <f>MID(tbl_lock[[#This Row],[PACE Job Number]],3,3)</f>
        <v>STX</v>
      </c>
      <c r="C4902" t="s">
        <v>15</v>
      </c>
      <c r="D4902" s="1">
        <v>43410</v>
      </c>
    </row>
    <row r="4903" spans="1:4" x14ac:dyDescent="0.25">
      <c r="A4903" t="s">
        <v>3384</v>
      </c>
      <c r="B4903" t="str">
        <f>MID(tbl_lock[[#This Row],[PACE Job Number]],3,3)</f>
        <v>STX</v>
      </c>
      <c r="C4903" t="s">
        <v>15</v>
      </c>
      <c r="D4903" s="1">
        <v>43430</v>
      </c>
    </row>
    <row r="4904" spans="1:4" x14ac:dyDescent="0.25">
      <c r="A4904" t="s">
        <v>4652</v>
      </c>
      <c r="B4904" t="str">
        <f>MID(tbl_lock[[#This Row],[PACE Job Number]],3,3)</f>
        <v>STX</v>
      </c>
      <c r="C4904" t="s">
        <v>15</v>
      </c>
      <c r="D4904" s="1">
        <v>43405</v>
      </c>
    </row>
    <row r="4905" spans="1:4" x14ac:dyDescent="0.25">
      <c r="A4905" t="s">
        <v>4653</v>
      </c>
      <c r="B4905" t="str">
        <f>MID(tbl_lock[[#This Row],[PACE Job Number]],3,3)</f>
        <v>STX</v>
      </c>
      <c r="C4905" t="s">
        <v>15</v>
      </c>
      <c r="D4905" s="1">
        <v>43410</v>
      </c>
    </row>
    <row r="4906" spans="1:4" x14ac:dyDescent="0.25">
      <c r="A4906" t="s">
        <v>393</v>
      </c>
      <c r="B4906" t="str">
        <f>MID(tbl_lock[[#This Row],[PACE Job Number]],3,3)</f>
        <v>WSH</v>
      </c>
      <c r="C4906" t="s">
        <v>15</v>
      </c>
      <c r="D4906" s="1">
        <v>43434</v>
      </c>
    </row>
    <row r="4907" spans="1:4" x14ac:dyDescent="0.25">
      <c r="A4907" t="s">
        <v>4580</v>
      </c>
      <c r="B4907" t="str">
        <f>MID(tbl_lock[[#This Row],[PACE Job Number]],3,3)</f>
        <v>WSH</v>
      </c>
      <c r="C4907" t="s">
        <v>15</v>
      </c>
      <c r="D4907" s="1">
        <v>43434</v>
      </c>
    </row>
    <row r="4908" spans="1:4" x14ac:dyDescent="0.25">
      <c r="A4908" t="s">
        <v>5639</v>
      </c>
      <c r="B4908" t="str">
        <f>MID(tbl_lock[[#This Row],[PACE Job Number]],3,3)</f>
        <v>WSH</v>
      </c>
      <c r="C4908" t="s">
        <v>15</v>
      </c>
      <c r="D4908" s="1">
        <v>43421</v>
      </c>
    </row>
    <row r="4909" spans="1:4" x14ac:dyDescent="0.25">
      <c r="A4909" t="s">
        <v>4038</v>
      </c>
      <c r="B4909" t="str">
        <f>MID(tbl_lock[[#This Row],[PACE Job Number]],3,3)</f>
        <v>WSH</v>
      </c>
      <c r="C4909" t="s">
        <v>15</v>
      </c>
      <c r="D4909" s="1">
        <v>43421</v>
      </c>
    </row>
    <row r="4910" spans="1:4" x14ac:dyDescent="0.25">
      <c r="A4910" t="s">
        <v>708</v>
      </c>
      <c r="B4910" t="str">
        <f>MID(tbl_lock[[#This Row],[PACE Job Number]],3,3)</f>
        <v>WSH</v>
      </c>
      <c r="C4910" t="s">
        <v>15</v>
      </c>
      <c r="D4910" s="1">
        <v>43434</v>
      </c>
    </row>
    <row r="4911" spans="1:4" x14ac:dyDescent="0.25">
      <c r="A4911" t="s">
        <v>3525</v>
      </c>
      <c r="B4911" t="str">
        <f>MID(tbl_lock[[#This Row],[PACE Job Number]],3,3)</f>
        <v>WSH</v>
      </c>
      <c r="C4911" t="s">
        <v>15</v>
      </c>
      <c r="D4911" s="1">
        <v>43429</v>
      </c>
    </row>
    <row r="4912" spans="1:4" x14ac:dyDescent="0.25">
      <c r="A4912" t="s">
        <v>1900</v>
      </c>
      <c r="B4912" t="str">
        <f>MID(tbl_lock[[#This Row],[PACE Job Number]],3,3)</f>
        <v>NTX</v>
      </c>
      <c r="C4912" t="s">
        <v>15</v>
      </c>
      <c r="D4912" s="1">
        <v>43413</v>
      </c>
    </row>
    <row r="4913" spans="1:4" x14ac:dyDescent="0.25">
      <c r="A4913" t="s">
        <v>2124</v>
      </c>
      <c r="B4913" t="str">
        <f>MID(tbl_lock[[#This Row],[PACE Job Number]],3,3)</f>
        <v>NTX</v>
      </c>
      <c r="C4913" t="s">
        <v>15</v>
      </c>
      <c r="D4913" s="1">
        <v>43433</v>
      </c>
    </row>
    <row r="4914" spans="1:4" x14ac:dyDescent="0.25">
      <c r="A4914" t="s">
        <v>3989</v>
      </c>
      <c r="B4914" t="str">
        <f>MID(tbl_lock[[#This Row],[PACE Job Number]],3,3)</f>
        <v>NTX</v>
      </c>
      <c r="C4914" t="s">
        <v>15</v>
      </c>
      <c r="D4914" s="1">
        <v>43416</v>
      </c>
    </row>
    <row r="4915" spans="1:4" x14ac:dyDescent="0.25">
      <c r="A4915" t="s">
        <v>144</v>
      </c>
      <c r="B4915" t="str">
        <f>MID(tbl_lock[[#This Row],[PACE Job Number]],3,3)</f>
        <v>NTX</v>
      </c>
      <c r="C4915" t="s">
        <v>15</v>
      </c>
      <c r="D4915" s="1">
        <v>43431</v>
      </c>
    </row>
    <row r="4916" spans="1:4" x14ac:dyDescent="0.25">
      <c r="A4916" t="s">
        <v>4525</v>
      </c>
      <c r="B4916" t="str">
        <f>MID(tbl_lock[[#This Row],[PACE Job Number]],3,3)</f>
        <v>NTX</v>
      </c>
      <c r="C4916" t="s">
        <v>15</v>
      </c>
      <c r="D4916" s="1">
        <v>43413</v>
      </c>
    </row>
    <row r="4917" spans="1:4" x14ac:dyDescent="0.25">
      <c r="A4917" t="s">
        <v>69</v>
      </c>
      <c r="B4917" t="str">
        <f>MID(tbl_lock[[#This Row],[PACE Job Number]],3,3)</f>
        <v>NTX</v>
      </c>
      <c r="C4917" t="s">
        <v>15</v>
      </c>
      <c r="D4917" s="1">
        <v>43431</v>
      </c>
    </row>
    <row r="4918" spans="1:4" x14ac:dyDescent="0.25">
      <c r="A4918" t="s">
        <v>3932</v>
      </c>
      <c r="B4918" t="str">
        <f>MID(tbl_lock[[#This Row],[PACE Job Number]],3,3)</f>
        <v>NTX</v>
      </c>
      <c r="C4918" t="s">
        <v>15</v>
      </c>
      <c r="D4918" s="1">
        <v>43425</v>
      </c>
    </row>
    <row r="4919" spans="1:4" x14ac:dyDescent="0.25">
      <c r="A4919" t="s">
        <v>5613</v>
      </c>
      <c r="B4919" t="str">
        <f>MID(tbl_lock[[#This Row],[PACE Job Number]],3,3)</f>
        <v>STX</v>
      </c>
      <c r="C4919" t="s">
        <v>15</v>
      </c>
      <c r="D4919" s="1">
        <v>43410</v>
      </c>
    </row>
    <row r="4920" spans="1:4" x14ac:dyDescent="0.25">
      <c r="A4920" t="s">
        <v>2606</v>
      </c>
      <c r="B4920" t="str">
        <f>MID(tbl_lock[[#This Row],[PACE Job Number]],3,3)</f>
        <v>STX</v>
      </c>
      <c r="C4920" t="s">
        <v>15</v>
      </c>
      <c r="D4920" s="1">
        <v>43406</v>
      </c>
    </row>
    <row r="4921" spans="1:4" x14ac:dyDescent="0.25">
      <c r="A4921" t="s">
        <v>385</v>
      </c>
      <c r="B4921" t="str">
        <f>MID(tbl_lock[[#This Row],[PACE Job Number]],3,3)</f>
        <v>WSH</v>
      </c>
      <c r="C4921" t="s">
        <v>15</v>
      </c>
      <c r="D4921" s="1">
        <v>43433</v>
      </c>
    </row>
    <row r="4922" spans="1:4" x14ac:dyDescent="0.25">
      <c r="A4922" t="s">
        <v>454</v>
      </c>
      <c r="B4922" t="str">
        <f>MID(tbl_lock[[#This Row],[PACE Job Number]],3,3)</f>
        <v>WSH</v>
      </c>
      <c r="C4922" t="s">
        <v>15</v>
      </c>
      <c r="D4922" s="1">
        <v>43433</v>
      </c>
    </row>
    <row r="4923" spans="1:4" x14ac:dyDescent="0.25">
      <c r="A4923" t="s">
        <v>3991</v>
      </c>
      <c r="B4923" t="str">
        <f>MID(tbl_lock[[#This Row],[PACE Job Number]],3,3)</f>
        <v>WSH</v>
      </c>
      <c r="C4923" t="s">
        <v>15</v>
      </c>
      <c r="D4923" s="1">
        <v>43434</v>
      </c>
    </row>
    <row r="4924" spans="1:4" x14ac:dyDescent="0.25">
      <c r="A4924" t="s">
        <v>4061</v>
      </c>
      <c r="B4924" t="str">
        <f>MID(tbl_lock[[#This Row],[PACE Job Number]],3,3)</f>
        <v>NTX</v>
      </c>
      <c r="C4924" t="s">
        <v>15</v>
      </c>
      <c r="D4924" s="1">
        <v>43413</v>
      </c>
    </row>
    <row r="4925" spans="1:4" x14ac:dyDescent="0.25">
      <c r="A4925" t="s">
        <v>2343</v>
      </c>
      <c r="B4925" t="str">
        <f>MID(tbl_lock[[#This Row],[PACE Job Number]],3,3)</f>
        <v>NTX</v>
      </c>
      <c r="C4925" t="s">
        <v>15</v>
      </c>
      <c r="D4925" s="1">
        <v>43413</v>
      </c>
    </row>
    <row r="4926" spans="1:4" x14ac:dyDescent="0.25">
      <c r="A4926" t="s">
        <v>2344</v>
      </c>
      <c r="B4926" t="str">
        <f>MID(tbl_lock[[#This Row],[PACE Job Number]],3,3)</f>
        <v>NTX</v>
      </c>
      <c r="C4926" t="s">
        <v>15</v>
      </c>
      <c r="D4926" s="1">
        <v>43429</v>
      </c>
    </row>
    <row r="4927" spans="1:4" x14ac:dyDescent="0.25">
      <c r="A4927" t="s">
        <v>710</v>
      </c>
      <c r="B4927" t="str">
        <f>MID(tbl_lock[[#This Row],[PACE Job Number]],3,3)</f>
        <v>NTX</v>
      </c>
      <c r="C4927" t="s">
        <v>15</v>
      </c>
      <c r="D4927" s="1">
        <v>43425</v>
      </c>
    </row>
    <row r="4928" spans="1:4" x14ac:dyDescent="0.25">
      <c r="A4928" t="s">
        <v>4569</v>
      </c>
      <c r="B4928" t="str">
        <f>MID(tbl_lock[[#This Row],[PACE Job Number]],3,3)</f>
        <v>ANM</v>
      </c>
      <c r="C4928" t="s">
        <v>15</v>
      </c>
      <c r="D4928" s="1">
        <v>43405</v>
      </c>
    </row>
    <row r="4929" spans="1:4" x14ac:dyDescent="0.25">
      <c r="A4929" t="s">
        <v>3220</v>
      </c>
      <c r="B4929" t="str">
        <f>MID(tbl_lock[[#This Row],[PACE Job Number]],3,3)</f>
        <v>STX</v>
      </c>
      <c r="C4929" t="s">
        <v>15</v>
      </c>
      <c r="D4929" s="1">
        <v>43418</v>
      </c>
    </row>
    <row r="4930" spans="1:4" x14ac:dyDescent="0.25">
      <c r="A4930" t="s">
        <v>3250</v>
      </c>
      <c r="B4930" t="str">
        <f>MID(tbl_lock[[#This Row],[PACE Job Number]],3,3)</f>
        <v>STX</v>
      </c>
      <c r="C4930" t="s">
        <v>15</v>
      </c>
      <c r="D4930" s="1">
        <v>43433</v>
      </c>
    </row>
    <row r="4931" spans="1:4" x14ac:dyDescent="0.25">
      <c r="A4931" t="s">
        <v>4605</v>
      </c>
      <c r="B4931" t="str">
        <f>MID(tbl_lock[[#This Row],[PACE Job Number]],3,3)</f>
        <v>STX</v>
      </c>
      <c r="C4931" t="s">
        <v>15</v>
      </c>
      <c r="D4931" s="1">
        <v>43430</v>
      </c>
    </row>
    <row r="4932" spans="1:4" x14ac:dyDescent="0.25">
      <c r="A4932" t="s">
        <v>577</v>
      </c>
      <c r="B4932" t="str">
        <f>MID(tbl_lock[[#This Row],[PACE Job Number]],3,3)</f>
        <v>STX</v>
      </c>
      <c r="C4932" t="s">
        <v>15</v>
      </c>
      <c r="D4932" s="1">
        <v>43410</v>
      </c>
    </row>
    <row r="4933" spans="1:4" x14ac:dyDescent="0.25">
      <c r="A4933" t="s">
        <v>1160</v>
      </c>
      <c r="B4933" t="str">
        <f>MID(tbl_lock[[#This Row],[PACE Job Number]],3,3)</f>
        <v>STX</v>
      </c>
      <c r="C4933" t="s">
        <v>15</v>
      </c>
      <c r="D4933" s="1">
        <v>43418</v>
      </c>
    </row>
    <row r="4934" spans="1:4" x14ac:dyDescent="0.25">
      <c r="A4934" t="s">
        <v>745</v>
      </c>
      <c r="B4934" t="str">
        <f>MID(tbl_lock[[#This Row],[PACE Job Number]],3,3)</f>
        <v>STX</v>
      </c>
      <c r="C4934" t="s">
        <v>15</v>
      </c>
      <c r="D4934" s="1">
        <v>43406</v>
      </c>
    </row>
    <row r="4935" spans="1:4" x14ac:dyDescent="0.25">
      <c r="A4935" t="s">
        <v>5614</v>
      </c>
      <c r="B4935" t="str">
        <f>MID(tbl_lock[[#This Row],[PACE Job Number]],3,3)</f>
        <v>STX</v>
      </c>
      <c r="C4935" t="s">
        <v>15</v>
      </c>
      <c r="D4935" s="1">
        <v>43410</v>
      </c>
    </row>
    <row r="4936" spans="1:4" x14ac:dyDescent="0.25">
      <c r="A4936" t="s">
        <v>721</v>
      </c>
      <c r="B4936" t="str">
        <f>MID(tbl_lock[[#This Row],[PACE Job Number]],3,3)</f>
        <v>STX</v>
      </c>
      <c r="C4936" t="s">
        <v>15</v>
      </c>
      <c r="D4936" s="1">
        <v>43410</v>
      </c>
    </row>
    <row r="4937" spans="1:4" x14ac:dyDescent="0.25">
      <c r="A4937" t="s">
        <v>538</v>
      </c>
      <c r="B4937" t="str">
        <f>MID(tbl_lock[[#This Row],[PACE Job Number]],3,3)</f>
        <v>STX</v>
      </c>
      <c r="C4937" t="s">
        <v>15</v>
      </c>
      <c r="D4937" s="1">
        <v>43410</v>
      </c>
    </row>
    <row r="4938" spans="1:4" x14ac:dyDescent="0.25">
      <c r="A4938" t="s">
        <v>114</v>
      </c>
      <c r="B4938" t="str">
        <f>MID(tbl_lock[[#This Row],[PACE Job Number]],3,3)</f>
        <v>NTX</v>
      </c>
      <c r="C4938" t="s">
        <v>15</v>
      </c>
      <c r="D4938" s="1">
        <v>43413</v>
      </c>
    </row>
    <row r="4939" spans="1:4" x14ac:dyDescent="0.25">
      <c r="A4939" t="s">
        <v>2347</v>
      </c>
      <c r="B4939" t="str">
        <f>MID(tbl_lock[[#This Row],[PACE Job Number]],3,3)</f>
        <v>NTX</v>
      </c>
      <c r="C4939" t="s">
        <v>15</v>
      </c>
      <c r="D4939" s="1">
        <v>43427</v>
      </c>
    </row>
    <row r="4940" spans="1:4" x14ac:dyDescent="0.25">
      <c r="A4940" t="s">
        <v>516</v>
      </c>
      <c r="B4940" t="str">
        <f>MID(tbl_lock[[#This Row],[PACE Job Number]],3,3)</f>
        <v>NTX</v>
      </c>
      <c r="C4940" t="s">
        <v>15</v>
      </c>
      <c r="D4940" s="1">
        <v>43425</v>
      </c>
    </row>
    <row r="4941" spans="1:4" x14ac:dyDescent="0.25">
      <c r="A4941" t="s">
        <v>1755</v>
      </c>
      <c r="B4941" t="str">
        <f>MID(tbl_lock[[#This Row],[PACE Job Number]],3,3)</f>
        <v>NTX</v>
      </c>
      <c r="C4941" t="s">
        <v>15</v>
      </c>
      <c r="D4941" s="1">
        <v>43415</v>
      </c>
    </row>
    <row r="4942" spans="1:4" x14ac:dyDescent="0.25">
      <c r="A4942" t="s">
        <v>1757</v>
      </c>
      <c r="B4942" t="str">
        <f>MID(tbl_lock[[#This Row],[PACE Job Number]],3,3)</f>
        <v>NTX</v>
      </c>
      <c r="C4942" t="s">
        <v>15</v>
      </c>
      <c r="D4942" s="1">
        <v>43425</v>
      </c>
    </row>
    <row r="4943" spans="1:4" x14ac:dyDescent="0.25">
      <c r="A4943" t="s">
        <v>658</v>
      </c>
      <c r="B4943" t="str">
        <f>MID(tbl_lock[[#This Row],[PACE Job Number]],3,3)</f>
        <v>NTX</v>
      </c>
      <c r="C4943" t="s">
        <v>15</v>
      </c>
      <c r="D4943" s="1">
        <v>43425</v>
      </c>
    </row>
    <row r="4944" spans="1:4" x14ac:dyDescent="0.25">
      <c r="A4944" t="s">
        <v>2152</v>
      </c>
      <c r="B4944" t="str">
        <f>MID(tbl_lock[[#This Row],[PACE Job Number]],3,3)</f>
        <v>NTX</v>
      </c>
      <c r="C4944" t="s">
        <v>15</v>
      </c>
      <c r="D4944" s="1">
        <v>43433</v>
      </c>
    </row>
    <row r="4945" spans="1:4" x14ac:dyDescent="0.25">
      <c r="A4945" t="s">
        <v>328</v>
      </c>
      <c r="B4945" t="str">
        <f>MID(tbl_lock[[#This Row],[PACE Job Number]],3,3)</f>
        <v>NTX</v>
      </c>
      <c r="C4945" t="s">
        <v>15</v>
      </c>
      <c r="D4945" s="1">
        <v>43416</v>
      </c>
    </row>
    <row r="4946" spans="1:4" x14ac:dyDescent="0.25">
      <c r="A4946" t="s">
        <v>4007</v>
      </c>
      <c r="B4946" t="str">
        <f>MID(tbl_lock[[#This Row],[PACE Job Number]],3,3)</f>
        <v>NTX</v>
      </c>
      <c r="C4946" t="s">
        <v>15</v>
      </c>
      <c r="D4946" s="1">
        <v>43416</v>
      </c>
    </row>
    <row r="4947" spans="1:4" x14ac:dyDescent="0.25">
      <c r="A4947" t="s">
        <v>1879</v>
      </c>
      <c r="B4947" t="str">
        <f>MID(tbl_lock[[#This Row],[PACE Job Number]],3,3)</f>
        <v>NTX</v>
      </c>
      <c r="C4947" t="s">
        <v>15</v>
      </c>
      <c r="D4947" s="1">
        <v>43418</v>
      </c>
    </row>
    <row r="4948" spans="1:4" x14ac:dyDescent="0.25">
      <c r="A4948" t="s">
        <v>4423</v>
      </c>
      <c r="B4948" t="str">
        <f>MID(tbl_lock[[#This Row],[PACE Job Number]],3,3)</f>
        <v>NTX</v>
      </c>
      <c r="C4948" t="s">
        <v>15</v>
      </c>
      <c r="D4948" s="1">
        <v>43406</v>
      </c>
    </row>
    <row r="4949" spans="1:4" x14ac:dyDescent="0.25">
      <c r="A4949" t="s">
        <v>446</v>
      </c>
      <c r="B4949" t="str">
        <f>MID(tbl_lock[[#This Row],[PACE Job Number]],3,3)</f>
        <v>NTX</v>
      </c>
      <c r="C4949" t="s">
        <v>15</v>
      </c>
      <c r="D4949" s="1">
        <v>43430</v>
      </c>
    </row>
    <row r="4950" spans="1:4" x14ac:dyDescent="0.25">
      <c r="A4950" t="s">
        <v>4445</v>
      </c>
      <c r="B4950" t="str">
        <f>MID(tbl_lock[[#This Row],[PACE Job Number]],3,3)</f>
        <v>NTX</v>
      </c>
      <c r="C4950" t="s">
        <v>15</v>
      </c>
      <c r="D4950" s="1">
        <v>43407</v>
      </c>
    </row>
    <row r="4951" spans="1:4" x14ac:dyDescent="0.25">
      <c r="A4951" t="s">
        <v>4446</v>
      </c>
      <c r="B4951" t="str">
        <f>MID(tbl_lock[[#This Row],[PACE Job Number]],3,3)</f>
        <v>NTX</v>
      </c>
      <c r="C4951" t="s">
        <v>15</v>
      </c>
      <c r="D4951" s="1">
        <v>43425</v>
      </c>
    </row>
    <row r="4952" spans="1:4" x14ac:dyDescent="0.25">
      <c r="A4952" t="s">
        <v>783</v>
      </c>
      <c r="B4952" t="str">
        <f>MID(tbl_lock[[#This Row],[PACE Job Number]],3,3)</f>
        <v>NTX</v>
      </c>
      <c r="C4952" t="s">
        <v>15</v>
      </c>
      <c r="D4952" s="1">
        <v>43430</v>
      </c>
    </row>
    <row r="4953" spans="1:4" x14ac:dyDescent="0.25">
      <c r="A4953" t="s">
        <v>4451</v>
      </c>
      <c r="B4953" t="str">
        <f>MID(tbl_lock[[#This Row],[PACE Job Number]],3,3)</f>
        <v>NTX</v>
      </c>
      <c r="C4953" t="s">
        <v>15</v>
      </c>
      <c r="D4953" s="1">
        <v>43414</v>
      </c>
    </row>
    <row r="4954" spans="1:4" x14ac:dyDescent="0.25">
      <c r="A4954" t="s">
        <v>230</v>
      </c>
      <c r="B4954" t="str">
        <f>MID(tbl_lock[[#This Row],[PACE Job Number]],3,3)</f>
        <v>NTX</v>
      </c>
      <c r="C4954" t="s">
        <v>15</v>
      </c>
      <c r="D4954" s="1">
        <v>43432</v>
      </c>
    </row>
    <row r="4955" spans="1:4" x14ac:dyDescent="0.25">
      <c r="A4955" t="s">
        <v>392</v>
      </c>
      <c r="B4955" t="str">
        <f>MID(tbl_lock[[#This Row],[PACE Job Number]],3,3)</f>
        <v>NTX</v>
      </c>
      <c r="C4955" t="s">
        <v>15</v>
      </c>
      <c r="D4955" s="1">
        <v>43431</v>
      </c>
    </row>
    <row r="4956" spans="1:4" x14ac:dyDescent="0.25">
      <c r="A4956" t="s">
        <v>4552</v>
      </c>
      <c r="B4956" t="str">
        <f>MID(tbl_lock[[#This Row],[PACE Job Number]],3,3)</f>
        <v>NTX</v>
      </c>
      <c r="C4956" t="s">
        <v>15</v>
      </c>
      <c r="D4956" s="1">
        <v>43413</v>
      </c>
    </row>
    <row r="4957" spans="1:4" x14ac:dyDescent="0.25">
      <c r="A4957" t="s">
        <v>2156</v>
      </c>
      <c r="B4957" t="str">
        <f>MID(tbl_lock[[#This Row],[PACE Job Number]],3,3)</f>
        <v>NTX</v>
      </c>
      <c r="C4957" t="s">
        <v>15</v>
      </c>
      <c r="D4957" s="1">
        <v>43417</v>
      </c>
    </row>
    <row r="4958" spans="1:4" x14ac:dyDescent="0.25">
      <c r="A4958" t="s">
        <v>3887</v>
      </c>
      <c r="B4958" t="str">
        <f>MID(tbl_lock[[#This Row],[PACE Job Number]],3,3)</f>
        <v>NTX</v>
      </c>
      <c r="C4958" t="s">
        <v>15</v>
      </c>
      <c r="D4958" s="1">
        <v>43413</v>
      </c>
    </row>
    <row r="4959" spans="1:4" x14ac:dyDescent="0.25">
      <c r="A4959" t="s">
        <v>4553</v>
      </c>
      <c r="B4959" t="str">
        <f>MID(tbl_lock[[#This Row],[PACE Job Number]],3,3)</f>
        <v>NTX</v>
      </c>
      <c r="C4959" t="s">
        <v>15</v>
      </c>
      <c r="D4959" s="1">
        <v>43413</v>
      </c>
    </row>
    <row r="4960" spans="1:4" x14ac:dyDescent="0.25">
      <c r="A4960" t="s">
        <v>3888</v>
      </c>
      <c r="B4960" t="str">
        <f>MID(tbl_lock[[#This Row],[PACE Job Number]],3,3)</f>
        <v>NTX</v>
      </c>
      <c r="C4960" t="s">
        <v>15</v>
      </c>
      <c r="D4960" s="1">
        <v>43413</v>
      </c>
    </row>
    <row r="4961" spans="1:4" x14ac:dyDescent="0.25">
      <c r="A4961" t="s">
        <v>2157</v>
      </c>
      <c r="B4961" t="str">
        <f>MID(tbl_lock[[#This Row],[PACE Job Number]],3,3)</f>
        <v>NTX</v>
      </c>
      <c r="C4961" t="s">
        <v>15</v>
      </c>
      <c r="D4961" s="1">
        <v>43417</v>
      </c>
    </row>
    <row r="4962" spans="1:4" x14ac:dyDescent="0.25">
      <c r="A4962" t="s">
        <v>2158</v>
      </c>
      <c r="B4962" t="str">
        <f>MID(tbl_lock[[#This Row],[PACE Job Number]],3,3)</f>
        <v>NTX</v>
      </c>
      <c r="C4962" t="s">
        <v>15</v>
      </c>
      <c r="D4962" s="1">
        <v>43417</v>
      </c>
    </row>
    <row r="4963" spans="1:4" x14ac:dyDescent="0.25">
      <c r="A4963" t="s">
        <v>245</v>
      </c>
      <c r="B4963" t="str">
        <f>MID(tbl_lock[[#This Row],[PACE Job Number]],3,3)</f>
        <v>NTX</v>
      </c>
      <c r="C4963" t="s">
        <v>15</v>
      </c>
      <c r="D4963" s="1">
        <v>43413</v>
      </c>
    </row>
    <row r="4964" spans="1:4" x14ac:dyDescent="0.25">
      <c r="A4964" t="s">
        <v>3894</v>
      </c>
      <c r="B4964" t="str">
        <f>MID(tbl_lock[[#This Row],[PACE Job Number]],3,3)</f>
        <v>NTX</v>
      </c>
      <c r="C4964" t="s">
        <v>15</v>
      </c>
      <c r="D4964" s="1">
        <v>43413</v>
      </c>
    </row>
    <row r="4965" spans="1:4" x14ac:dyDescent="0.25">
      <c r="A4965" t="s">
        <v>3895</v>
      </c>
      <c r="B4965" t="str">
        <f>MID(tbl_lock[[#This Row],[PACE Job Number]],3,3)</f>
        <v>NTX</v>
      </c>
      <c r="C4965" t="s">
        <v>15</v>
      </c>
      <c r="D4965" s="1">
        <v>43413</v>
      </c>
    </row>
    <row r="4966" spans="1:4" x14ac:dyDescent="0.25">
      <c r="A4966" t="s">
        <v>4453</v>
      </c>
      <c r="B4966" t="str">
        <f>MID(tbl_lock[[#This Row],[PACE Job Number]],3,3)</f>
        <v>NTX</v>
      </c>
      <c r="C4966" t="s">
        <v>15</v>
      </c>
      <c r="D4966" s="1">
        <v>43407</v>
      </c>
    </row>
    <row r="4967" spans="1:4" x14ac:dyDescent="0.25">
      <c r="A4967" t="s">
        <v>3896</v>
      </c>
      <c r="B4967" t="str">
        <f>MID(tbl_lock[[#This Row],[PACE Job Number]],3,3)</f>
        <v>NTX</v>
      </c>
      <c r="C4967" t="s">
        <v>15</v>
      </c>
      <c r="D4967" s="1">
        <v>43413</v>
      </c>
    </row>
    <row r="4968" spans="1:4" x14ac:dyDescent="0.25">
      <c r="A4968" t="s">
        <v>3533</v>
      </c>
      <c r="B4968" t="str">
        <f>MID(tbl_lock[[#This Row],[PACE Job Number]],3,3)</f>
        <v>NTX</v>
      </c>
      <c r="C4968" t="s">
        <v>15</v>
      </c>
      <c r="D4968" s="1">
        <v>43413</v>
      </c>
    </row>
    <row r="4969" spans="1:4" x14ac:dyDescent="0.25">
      <c r="A4969" t="s">
        <v>5382</v>
      </c>
      <c r="B4969" t="str">
        <f>MID(tbl_lock[[#This Row],[PACE Job Number]],3,3)</f>
        <v>NTX</v>
      </c>
      <c r="C4969" t="s">
        <v>15</v>
      </c>
      <c r="D4969" s="1">
        <v>43413</v>
      </c>
    </row>
    <row r="4970" spans="1:4" x14ac:dyDescent="0.25">
      <c r="A4970" t="s">
        <v>435</v>
      </c>
      <c r="B4970" t="str">
        <f>MID(tbl_lock[[#This Row],[PACE Job Number]],3,3)</f>
        <v>NTX</v>
      </c>
      <c r="C4970" t="s">
        <v>15</v>
      </c>
      <c r="D4970" s="1">
        <v>43431</v>
      </c>
    </row>
    <row r="4971" spans="1:4" x14ac:dyDescent="0.25">
      <c r="A4971" t="s">
        <v>4632</v>
      </c>
      <c r="B4971" t="str">
        <f>MID(tbl_lock[[#This Row],[PACE Job Number]],3,3)</f>
        <v>NTX</v>
      </c>
      <c r="C4971" t="s">
        <v>15</v>
      </c>
      <c r="D4971" s="1">
        <v>43430</v>
      </c>
    </row>
    <row r="4972" spans="1:4" x14ac:dyDescent="0.25">
      <c r="A4972" t="s">
        <v>3459</v>
      </c>
      <c r="B4972" t="str">
        <f>MID(tbl_lock[[#This Row],[PACE Job Number]],3,3)</f>
        <v>NTX</v>
      </c>
      <c r="C4972" t="s">
        <v>15</v>
      </c>
      <c r="D4972" s="1">
        <v>43427</v>
      </c>
    </row>
    <row r="4973" spans="1:4" x14ac:dyDescent="0.25">
      <c r="A4973" t="s">
        <v>2442</v>
      </c>
      <c r="B4973" t="str">
        <f>MID(tbl_lock[[#This Row],[PACE Job Number]],3,3)</f>
        <v>NTX</v>
      </c>
      <c r="C4973" t="s">
        <v>15</v>
      </c>
      <c r="D4973" s="1">
        <v>43407</v>
      </c>
    </row>
    <row r="4974" spans="1:4" x14ac:dyDescent="0.25">
      <c r="A4974" t="s">
        <v>774</v>
      </c>
      <c r="B4974" t="str">
        <f>MID(tbl_lock[[#This Row],[PACE Job Number]],3,3)</f>
        <v>NTX</v>
      </c>
      <c r="C4974" t="s">
        <v>15</v>
      </c>
      <c r="D4974" s="1">
        <v>43413</v>
      </c>
    </row>
    <row r="4975" spans="1:4" x14ac:dyDescent="0.25">
      <c r="A4975" t="s">
        <v>4633</v>
      </c>
      <c r="B4975" t="str">
        <f>MID(tbl_lock[[#This Row],[PACE Job Number]],3,3)</f>
        <v>NTX</v>
      </c>
      <c r="C4975" t="s">
        <v>15</v>
      </c>
      <c r="D4975" s="1">
        <v>43429</v>
      </c>
    </row>
    <row r="4976" spans="1:4" x14ac:dyDescent="0.25">
      <c r="A4976" t="s">
        <v>2444</v>
      </c>
      <c r="B4976" t="str">
        <f>MID(tbl_lock[[#This Row],[PACE Job Number]],3,3)</f>
        <v>NTX</v>
      </c>
      <c r="C4976" t="s">
        <v>15</v>
      </c>
      <c r="D4976" s="1">
        <v>43407</v>
      </c>
    </row>
    <row r="4977" spans="1:4" x14ac:dyDescent="0.25">
      <c r="A4977" t="s">
        <v>2445</v>
      </c>
      <c r="B4977" t="str">
        <f>MID(tbl_lock[[#This Row],[PACE Job Number]],3,3)</f>
        <v>NTX</v>
      </c>
      <c r="C4977" t="s">
        <v>15</v>
      </c>
      <c r="D4977" s="1">
        <v>43407</v>
      </c>
    </row>
    <row r="4978" spans="1:4" x14ac:dyDescent="0.25">
      <c r="A4978" t="s">
        <v>3897</v>
      </c>
      <c r="B4978" t="str">
        <f>MID(tbl_lock[[#This Row],[PACE Job Number]],3,3)</f>
        <v>NTX</v>
      </c>
      <c r="C4978" t="s">
        <v>15</v>
      </c>
      <c r="D4978" s="1">
        <v>43429</v>
      </c>
    </row>
    <row r="4979" spans="1:4" x14ac:dyDescent="0.25">
      <c r="A4979" t="s">
        <v>3375</v>
      </c>
      <c r="B4979" t="str">
        <f>MID(tbl_lock[[#This Row],[PACE Job Number]],3,3)</f>
        <v>NTX</v>
      </c>
      <c r="C4979" t="s">
        <v>15</v>
      </c>
      <c r="D4979" s="1">
        <v>43431</v>
      </c>
    </row>
    <row r="4980" spans="1:4" x14ac:dyDescent="0.25">
      <c r="A4980" t="s">
        <v>4461</v>
      </c>
      <c r="B4980" t="str">
        <f>MID(tbl_lock[[#This Row],[PACE Job Number]],3,3)</f>
        <v>NTX</v>
      </c>
      <c r="C4980" t="s">
        <v>15</v>
      </c>
      <c r="D4980" s="1">
        <v>43430</v>
      </c>
    </row>
    <row r="4981" spans="1:4" x14ac:dyDescent="0.25">
      <c r="A4981" t="s">
        <v>3449</v>
      </c>
      <c r="B4981" t="str">
        <f>MID(tbl_lock[[#This Row],[PACE Job Number]],3,3)</f>
        <v>NTX</v>
      </c>
      <c r="C4981" t="s">
        <v>15</v>
      </c>
      <c r="D4981" s="1">
        <v>43413</v>
      </c>
    </row>
    <row r="4982" spans="1:4" x14ac:dyDescent="0.25">
      <c r="A4982" t="s">
        <v>3969</v>
      </c>
      <c r="B4982" t="str">
        <f>MID(tbl_lock[[#This Row],[PACE Job Number]],3,3)</f>
        <v>NTX</v>
      </c>
      <c r="C4982" t="s">
        <v>15</v>
      </c>
      <c r="D4982" s="1">
        <v>43431</v>
      </c>
    </row>
    <row r="4983" spans="1:4" x14ac:dyDescent="0.25">
      <c r="A4983" t="s">
        <v>1891</v>
      </c>
      <c r="B4983" t="str">
        <f>MID(tbl_lock[[#This Row],[PACE Job Number]],3,3)</f>
        <v>NTX</v>
      </c>
      <c r="C4983" t="s">
        <v>15</v>
      </c>
      <c r="D4983" s="1">
        <v>43427</v>
      </c>
    </row>
    <row r="4984" spans="1:4" x14ac:dyDescent="0.25">
      <c r="A4984" t="s">
        <v>792</v>
      </c>
      <c r="B4984" t="str">
        <f>MID(tbl_lock[[#This Row],[PACE Job Number]],3,3)</f>
        <v>NTX</v>
      </c>
      <c r="C4984" t="s">
        <v>15</v>
      </c>
      <c r="D4984" s="1">
        <v>43413</v>
      </c>
    </row>
    <row r="4985" spans="1:4" x14ac:dyDescent="0.25">
      <c r="A4985" t="s">
        <v>3885</v>
      </c>
      <c r="B4985" t="str">
        <f>MID(tbl_lock[[#This Row],[PACE Job Number]],3,3)</f>
        <v>NTX</v>
      </c>
      <c r="C4985" t="s">
        <v>15</v>
      </c>
      <c r="D4985" s="1">
        <v>43413</v>
      </c>
    </row>
    <row r="4986" spans="1:4" x14ac:dyDescent="0.25">
      <c r="A4986" t="s">
        <v>3506</v>
      </c>
      <c r="B4986" t="str">
        <f>MID(tbl_lock[[#This Row],[PACE Job Number]],3,3)</f>
        <v>NTX</v>
      </c>
      <c r="C4986" t="s">
        <v>15</v>
      </c>
      <c r="D4986" s="1">
        <v>43419</v>
      </c>
    </row>
    <row r="4987" spans="1:4" x14ac:dyDescent="0.25">
      <c r="A4987" t="s">
        <v>3886</v>
      </c>
      <c r="B4987" t="str">
        <f>MID(tbl_lock[[#This Row],[PACE Job Number]],3,3)</f>
        <v>NTX</v>
      </c>
      <c r="C4987" t="s">
        <v>15</v>
      </c>
      <c r="D4987" s="1">
        <v>43425</v>
      </c>
    </row>
    <row r="4988" spans="1:4" x14ac:dyDescent="0.25">
      <c r="A4988" t="s">
        <v>700</v>
      </c>
      <c r="B4988" t="str">
        <f>MID(tbl_lock[[#This Row],[PACE Job Number]],3,3)</f>
        <v>NTX</v>
      </c>
      <c r="C4988" t="s">
        <v>15</v>
      </c>
      <c r="D4988" s="1">
        <v>43406</v>
      </c>
    </row>
    <row r="4989" spans="1:4" x14ac:dyDescent="0.25">
      <c r="A4989" t="s">
        <v>3970</v>
      </c>
      <c r="B4989" t="str">
        <f>MID(tbl_lock[[#This Row],[PACE Job Number]],3,3)</f>
        <v>NTX</v>
      </c>
      <c r="C4989" t="s">
        <v>15</v>
      </c>
      <c r="D4989" s="1">
        <v>43431</v>
      </c>
    </row>
    <row r="4990" spans="1:4" x14ac:dyDescent="0.25">
      <c r="A4990" t="s">
        <v>1892</v>
      </c>
      <c r="B4990" t="str">
        <f>MID(tbl_lock[[#This Row],[PACE Job Number]],3,3)</f>
        <v>NTX</v>
      </c>
      <c r="C4990" t="s">
        <v>15</v>
      </c>
      <c r="D4990" s="1">
        <v>43427</v>
      </c>
    </row>
    <row r="4991" spans="1:4" x14ac:dyDescent="0.25">
      <c r="A4991" t="s">
        <v>3437</v>
      </c>
      <c r="B4991" t="str">
        <f>MID(tbl_lock[[#This Row],[PACE Job Number]],3,3)</f>
        <v>NTX</v>
      </c>
      <c r="C4991" t="s">
        <v>15</v>
      </c>
      <c r="D4991" s="1">
        <v>43413</v>
      </c>
    </row>
    <row r="4992" spans="1:4" x14ac:dyDescent="0.25">
      <c r="A4992" t="s">
        <v>614</v>
      </c>
      <c r="B4992" t="str">
        <f>MID(tbl_lock[[#This Row],[PACE Job Number]],3,3)</f>
        <v>NTX</v>
      </c>
      <c r="C4992" t="s">
        <v>15</v>
      </c>
      <c r="D4992" s="1">
        <v>43413</v>
      </c>
    </row>
    <row r="4993" spans="1:4" x14ac:dyDescent="0.25">
      <c r="A4993" t="s">
        <v>5640</v>
      </c>
      <c r="B4993" t="str">
        <f>MID(tbl_lock[[#This Row],[PACE Job Number]],3,3)</f>
        <v>NTX</v>
      </c>
      <c r="C4993" t="s">
        <v>15</v>
      </c>
      <c r="D4993" s="1">
        <v>43407</v>
      </c>
    </row>
    <row r="4994" spans="1:4" x14ac:dyDescent="0.25">
      <c r="A4994" t="s">
        <v>643</v>
      </c>
      <c r="B4994" t="str">
        <f>MID(tbl_lock[[#This Row],[PACE Job Number]],3,3)</f>
        <v>NTX</v>
      </c>
      <c r="C4994" t="s">
        <v>15</v>
      </c>
      <c r="D4994" s="1">
        <v>43413</v>
      </c>
    </row>
    <row r="4995" spans="1:4" x14ac:dyDescent="0.25">
      <c r="A4995" t="s">
        <v>4439</v>
      </c>
      <c r="B4995" t="str">
        <f>MID(tbl_lock[[#This Row],[PACE Job Number]],3,3)</f>
        <v>NTX</v>
      </c>
      <c r="C4995" t="s">
        <v>15</v>
      </c>
      <c r="D4995" s="1">
        <v>43412</v>
      </c>
    </row>
    <row r="4996" spans="1:4" x14ac:dyDescent="0.25">
      <c r="A4996" t="s">
        <v>1729</v>
      </c>
      <c r="B4996" t="str">
        <f>MID(tbl_lock[[#This Row],[PACE Job Number]],3,3)</f>
        <v>NTX</v>
      </c>
      <c r="C4996" t="s">
        <v>15</v>
      </c>
      <c r="D4996" s="1">
        <v>43425</v>
      </c>
    </row>
    <row r="4997" spans="1:4" x14ac:dyDescent="0.25">
      <c r="A4997" t="s">
        <v>3892</v>
      </c>
      <c r="B4997" t="str">
        <f>MID(tbl_lock[[#This Row],[PACE Job Number]],3,3)</f>
        <v>NTX</v>
      </c>
      <c r="C4997" t="s">
        <v>15</v>
      </c>
      <c r="D4997" s="1">
        <v>43425</v>
      </c>
    </row>
    <row r="4998" spans="1:4" x14ac:dyDescent="0.25">
      <c r="A4998" t="s">
        <v>281</v>
      </c>
      <c r="B4998" t="str">
        <f>MID(tbl_lock[[#This Row],[PACE Job Number]],3,3)</f>
        <v>NTX</v>
      </c>
      <c r="C4998" t="s">
        <v>15</v>
      </c>
      <c r="D4998" s="1">
        <v>43431</v>
      </c>
    </row>
    <row r="4999" spans="1:4" x14ac:dyDescent="0.25">
      <c r="A4999" t="s">
        <v>1731</v>
      </c>
      <c r="B4999" t="str">
        <f>MID(tbl_lock[[#This Row],[PACE Job Number]],3,3)</f>
        <v>NTX</v>
      </c>
      <c r="C4999" t="s">
        <v>15</v>
      </c>
      <c r="D4999" s="1">
        <v>43408</v>
      </c>
    </row>
    <row r="5000" spans="1:4" x14ac:dyDescent="0.25">
      <c r="A5000" t="s">
        <v>3454</v>
      </c>
      <c r="B5000" t="str">
        <f>MID(tbl_lock[[#This Row],[PACE Job Number]],3,3)</f>
        <v>NTX</v>
      </c>
      <c r="C5000" t="s">
        <v>15</v>
      </c>
      <c r="D5000" s="1">
        <v>43413</v>
      </c>
    </row>
    <row r="5001" spans="1:4" x14ac:dyDescent="0.25">
      <c r="A5001" t="s">
        <v>1893</v>
      </c>
      <c r="B5001" t="str">
        <f>MID(tbl_lock[[#This Row],[PACE Job Number]],3,3)</f>
        <v>NTX</v>
      </c>
      <c r="C5001" t="s">
        <v>15</v>
      </c>
      <c r="D5001" s="1">
        <v>43427</v>
      </c>
    </row>
    <row r="5002" spans="1:4" x14ac:dyDescent="0.25">
      <c r="A5002" t="s">
        <v>1894</v>
      </c>
      <c r="B5002" t="str">
        <f>MID(tbl_lock[[#This Row],[PACE Job Number]],3,3)</f>
        <v>NTX</v>
      </c>
      <c r="C5002" t="s">
        <v>15</v>
      </c>
      <c r="D5002" s="1">
        <v>43427</v>
      </c>
    </row>
    <row r="5003" spans="1:4" x14ac:dyDescent="0.25">
      <c r="A5003" t="s">
        <v>3976</v>
      </c>
      <c r="B5003" t="str">
        <f>MID(tbl_lock[[#This Row],[PACE Job Number]],3,3)</f>
        <v>NTX</v>
      </c>
      <c r="C5003" t="s">
        <v>15</v>
      </c>
      <c r="D5003" s="1">
        <v>43413</v>
      </c>
    </row>
    <row r="5004" spans="1:4" x14ac:dyDescent="0.25">
      <c r="A5004" t="s">
        <v>3893</v>
      </c>
      <c r="B5004" t="str">
        <f>MID(tbl_lock[[#This Row],[PACE Job Number]],3,3)</f>
        <v>NTX</v>
      </c>
      <c r="C5004" t="s">
        <v>15</v>
      </c>
      <c r="D5004" s="1">
        <v>43425</v>
      </c>
    </row>
    <row r="5005" spans="1:4" x14ac:dyDescent="0.25">
      <c r="A5005" t="s">
        <v>229</v>
      </c>
      <c r="B5005" t="str">
        <f>MID(tbl_lock[[#This Row],[PACE Job Number]],3,3)</f>
        <v>NTX</v>
      </c>
      <c r="C5005" t="s">
        <v>15</v>
      </c>
      <c r="D5005" s="1">
        <v>43426</v>
      </c>
    </row>
    <row r="5006" spans="1:4" x14ac:dyDescent="0.25">
      <c r="A5006" t="s">
        <v>1903</v>
      </c>
      <c r="B5006" t="str">
        <f>MID(tbl_lock[[#This Row],[PACE Job Number]],3,3)</f>
        <v>NTX</v>
      </c>
      <c r="C5006" t="s">
        <v>15</v>
      </c>
      <c r="D5006" s="1">
        <v>43425</v>
      </c>
    </row>
    <row r="5007" spans="1:4" x14ac:dyDescent="0.25">
      <c r="A5007" t="s">
        <v>265</v>
      </c>
      <c r="B5007" t="str">
        <f>MID(tbl_lock[[#This Row],[PACE Job Number]],3,3)</f>
        <v>NTX</v>
      </c>
      <c r="C5007" t="s">
        <v>15</v>
      </c>
      <c r="D5007" s="1">
        <v>43417</v>
      </c>
    </row>
    <row r="5008" spans="1:4" x14ac:dyDescent="0.25">
      <c r="A5008" t="s">
        <v>2413</v>
      </c>
      <c r="B5008" t="str">
        <f>MID(tbl_lock[[#This Row],[PACE Job Number]],3,3)</f>
        <v>NTX</v>
      </c>
      <c r="C5008" t="s">
        <v>15</v>
      </c>
      <c r="D5008" s="1">
        <v>43417</v>
      </c>
    </row>
    <row r="5009" spans="1:4" x14ac:dyDescent="0.25">
      <c r="A5009" t="s">
        <v>2281</v>
      </c>
      <c r="B5009" t="str">
        <f>MID(tbl_lock[[#This Row],[PACE Job Number]],3,3)</f>
        <v>NTX</v>
      </c>
      <c r="C5009" t="s">
        <v>15</v>
      </c>
      <c r="D5009" s="1">
        <v>43427</v>
      </c>
    </row>
    <row r="5010" spans="1:4" x14ac:dyDescent="0.25">
      <c r="A5010" t="s">
        <v>4542</v>
      </c>
      <c r="B5010" t="str">
        <f>MID(tbl_lock[[#This Row],[PACE Job Number]],3,3)</f>
        <v>NTX</v>
      </c>
      <c r="C5010" t="s">
        <v>15</v>
      </c>
      <c r="D5010" s="1">
        <v>43425</v>
      </c>
    </row>
    <row r="5011" spans="1:4" x14ac:dyDescent="0.25">
      <c r="A5011" t="s">
        <v>4543</v>
      </c>
      <c r="B5011" t="str">
        <f>MID(tbl_lock[[#This Row],[PACE Job Number]],3,3)</f>
        <v>NTX</v>
      </c>
      <c r="C5011" t="s">
        <v>15</v>
      </c>
      <c r="D5011" s="1">
        <v>43433</v>
      </c>
    </row>
    <row r="5012" spans="1:4" x14ac:dyDescent="0.25">
      <c r="A5012" t="s">
        <v>1904</v>
      </c>
      <c r="B5012" t="str">
        <f>MID(tbl_lock[[#This Row],[PACE Job Number]],3,3)</f>
        <v>NTX</v>
      </c>
      <c r="C5012" t="s">
        <v>15</v>
      </c>
      <c r="D5012" s="1">
        <v>43425</v>
      </c>
    </row>
    <row r="5013" spans="1:4" x14ac:dyDescent="0.25">
      <c r="A5013" t="s">
        <v>4026</v>
      </c>
      <c r="B5013" t="str">
        <f>MID(tbl_lock[[#This Row],[PACE Job Number]],3,3)</f>
        <v>NTX</v>
      </c>
      <c r="C5013" t="s">
        <v>15</v>
      </c>
      <c r="D5013" s="1">
        <v>43417</v>
      </c>
    </row>
    <row r="5014" spans="1:4" x14ac:dyDescent="0.25">
      <c r="A5014" t="s">
        <v>2415</v>
      </c>
      <c r="B5014" t="str">
        <f>MID(tbl_lock[[#This Row],[PACE Job Number]],3,3)</f>
        <v>NTX</v>
      </c>
      <c r="C5014" t="s">
        <v>15</v>
      </c>
      <c r="D5014" s="1">
        <v>43431</v>
      </c>
    </row>
    <row r="5015" spans="1:4" x14ac:dyDescent="0.25">
      <c r="A5015" t="s">
        <v>2417</v>
      </c>
      <c r="B5015" t="str">
        <f>MID(tbl_lock[[#This Row],[PACE Job Number]],3,3)</f>
        <v>NTX</v>
      </c>
      <c r="C5015" t="s">
        <v>15</v>
      </c>
      <c r="D5015" s="1">
        <v>43431</v>
      </c>
    </row>
    <row r="5016" spans="1:4" x14ac:dyDescent="0.25">
      <c r="A5016" t="s">
        <v>4404</v>
      </c>
      <c r="B5016" t="str">
        <f>MID(tbl_lock[[#This Row],[PACE Job Number]],3,3)</f>
        <v>NTX</v>
      </c>
      <c r="C5016" t="s">
        <v>15</v>
      </c>
      <c r="D5016" s="1">
        <v>43427</v>
      </c>
    </row>
    <row r="5017" spans="1:4" x14ac:dyDescent="0.25">
      <c r="A5017" t="s">
        <v>3386</v>
      </c>
      <c r="B5017" t="str">
        <f>MID(tbl_lock[[#This Row],[PACE Job Number]],3,3)</f>
        <v>NTX</v>
      </c>
      <c r="C5017" t="s">
        <v>15</v>
      </c>
      <c r="D5017" s="1">
        <v>43425</v>
      </c>
    </row>
    <row r="5018" spans="1:4" x14ac:dyDescent="0.25">
      <c r="A5018" t="s">
        <v>1905</v>
      </c>
      <c r="B5018" t="str">
        <f>MID(tbl_lock[[#This Row],[PACE Job Number]],3,3)</f>
        <v>NTX</v>
      </c>
      <c r="C5018" t="s">
        <v>15</v>
      </c>
      <c r="D5018" s="1">
        <v>43425</v>
      </c>
    </row>
    <row r="5019" spans="1:4" x14ac:dyDescent="0.25">
      <c r="A5019" t="s">
        <v>2283</v>
      </c>
      <c r="B5019" t="str">
        <f>MID(tbl_lock[[#This Row],[PACE Job Number]],3,3)</f>
        <v>NTX</v>
      </c>
      <c r="C5019" t="s">
        <v>15</v>
      </c>
      <c r="D5019" s="1">
        <v>43427</v>
      </c>
    </row>
    <row r="5020" spans="1:4" x14ac:dyDescent="0.25">
      <c r="A5020" t="s">
        <v>3538</v>
      </c>
      <c r="B5020" t="str">
        <f>MID(tbl_lock[[#This Row],[PACE Job Number]],3,3)</f>
        <v>WSH</v>
      </c>
      <c r="C5020" t="s">
        <v>15</v>
      </c>
      <c r="D5020" s="1">
        <v>43434</v>
      </c>
    </row>
    <row r="5021" spans="1:4" x14ac:dyDescent="0.25">
      <c r="A5021" t="s">
        <v>4054</v>
      </c>
      <c r="B5021" t="str">
        <f>MID(tbl_lock[[#This Row],[PACE Job Number]],3,3)</f>
        <v>WSH</v>
      </c>
      <c r="C5021" t="s">
        <v>15</v>
      </c>
      <c r="D5021" s="1">
        <v>43421</v>
      </c>
    </row>
    <row r="5022" spans="1:4" x14ac:dyDescent="0.25">
      <c r="A5022" t="s">
        <v>1158</v>
      </c>
      <c r="B5022" t="str">
        <f>MID(tbl_lock[[#This Row],[PACE Job Number]],3,3)</f>
        <v>WSH</v>
      </c>
      <c r="C5022" t="s">
        <v>15</v>
      </c>
      <c r="D5022" s="1">
        <v>43434</v>
      </c>
    </row>
    <row r="5023" spans="1:4" x14ac:dyDescent="0.25">
      <c r="A5023" t="s">
        <v>1302</v>
      </c>
      <c r="B5023" t="str">
        <f>MID(tbl_lock[[#This Row],[PACE Job Number]],3,3)</f>
        <v>WSH</v>
      </c>
      <c r="C5023" t="s">
        <v>15</v>
      </c>
      <c r="D5023" s="1">
        <v>43429</v>
      </c>
    </row>
    <row r="5024" spans="1:4" x14ac:dyDescent="0.25">
      <c r="A5024" t="s">
        <v>4602</v>
      </c>
      <c r="B5024" t="str">
        <f>MID(tbl_lock[[#This Row],[PACE Job Number]],3,3)</f>
        <v>WSH</v>
      </c>
      <c r="C5024" t="s">
        <v>15</v>
      </c>
      <c r="D5024" s="1">
        <v>43434</v>
      </c>
    </row>
    <row r="5025" spans="1:4" x14ac:dyDescent="0.25">
      <c r="A5025" t="s">
        <v>1213</v>
      </c>
      <c r="B5025" t="str">
        <f>MID(tbl_lock[[#This Row],[PACE Job Number]],3,3)</f>
        <v>WSH</v>
      </c>
      <c r="C5025" t="s">
        <v>15</v>
      </c>
      <c r="D5025" s="1">
        <v>43429</v>
      </c>
    </row>
    <row r="5026" spans="1:4" x14ac:dyDescent="0.25">
      <c r="A5026" t="s">
        <v>5641</v>
      </c>
      <c r="B5026" t="str">
        <f>MID(tbl_lock[[#This Row],[PACE Job Number]],3,3)</f>
        <v>ANM</v>
      </c>
      <c r="C5026" t="s">
        <v>15</v>
      </c>
      <c r="D5026" s="1">
        <v>43434</v>
      </c>
    </row>
    <row r="5027" spans="1:4" x14ac:dyDescent="0.25">
      <c r="A5027" t="s">
        <v>4046</v>
      </c>
      <c r="B5027" t="str">
        <f>MID(tbl_lock[[#This Row],[PACE Job Number]],3,3)</f>
        <v>STX</v>
      </c>
      <c r="C5027" t="s">
        <v>15</v>
      </c>
      <c r="D5027" s="1">
        <v>43410</v>
      </c>
    </row>
    <row r="5028" spans="1:4" x14ac:dyDescent="0.25">
      <c r="A5028" t="s">
        <v>4047</v>
      </c>
      <c r="B5028" t="str">
        <f>MID(tbl_lock[[#This Row],[PACE Job Number]],3,3)</f>
        <v>STX</v>
      </c>
      <c r="C5028" t="s">
        <v>15</v>
      </c>
      <c r="D5028" s="1">
        <v>43410</v>
      </c>
    </row>
    <row r="5029" spans="1:4" x14ac:dyDescent="0.25">
      <c r="A5029" t="s">
        <v>4048</v>
      </c>
      <c r="B5029" t="str">
        <f>MID(tbl_lock[[#This Row],[PACE Job Number]],3,3)</f>
        <v>STX</v>
      </c>
      <c r="C5029" t="s">
        <v>15</v>
      </c>
      <c r="D5029" s="1">
        <v>43410</v>
      </c>
    </row>
    <row r="5030" spans="1:4" x14ac:dyDescent="0.25">
      <c r="A5030" t="s">
        <v>4655</v>
      </c>
      <c r="B5030" t="str">
        <f>MID(tbl_lock[[#This Row],[PACE Job Number]],3,3)</f>
        <v>STX</v>
      </c>
      <c r="C5030" t="s">
        <v>15</v>
      </c>
      <c r="D5030" s="1">
        <v>43410</v>
      </c>
    </row>
    <row r="5031" spans="1:4" x14ac:dyDescent="0.25">
      <c r="A5031" t="s">
        <v>4656</v>
      </c>
      <c r="B5031" t="str">
        <f>MID(tbl_lock[[#This Row],[PACE Job Number]],3,3)</f>
        <v>STX</v>
      </c>
      <c r="C5031" t="s">
        <v>15</v>
      </c>
      <c r="D5031" s="1">
        <v>43405</v>
      </c>
    </row>
    <row r="5032" spans="1:4" x14ac:dyDescent="0.25">
      <c r="A5032" t="s">
        <v>3390</v>
      </c>
      <c r="B5032" t="str">
        <f>MID(tbl_lock[[#This Row],[PACE Job Number]],3,3)</f>
        <v>STX</v>
      </c>
      <c r="C5032" t="s">
        <v>15</v>
      </c>
      <c r="D5032" s="1">
        <v>43430</v>
      </c>
    </row>
    <row r="5033" spans="1:4" x14ac:dyDescent="0.25">
      <c r="A5033" t="s">
        <v>4049</v>
      </c>
      <c r="B5033" t="str">
        <f>MID(tbl_lock[[#This Row],[PACE Job Number]],3,3)</f>
        <v>STX</v>
      </c>
      <c r="C5033" t="s">
        <v>15</v>
      </c>
      <c r="D5033" s="1">
        <v>43406</v>
      </c>
    </row>
    <row r="5034" spans="1:4" x14ac:dyDescent="0.25">
      <c r="A5034" t="s">
        <v>4657</v>
      </c>
      <c r="B5034" t="str">
        <f>MID(tbl_lock[[#This Row],[PACE Job Number]],3,3)</f>
        <v>STX</v>
      </c>
      <c r="C5034" t="s">
        <v>15</v>
      </c>
      <c r="D5034" s="1">
        <v>43405</v>
      </c>
    </row>
    <row r="5035" spans="1:4" x14ac:dyDescent="0.25">
      <c r="A5035" t="s">
        <v>4658</v>
      </c>
      <c r="B5035" t="str">
        <f>MID(tbl_lock[[#This Row],[PACE Job Number]],3,3)</f>
        <v>STX</v>
      </c>
      <c r="C5035" t="s">
        <v>15</v>
      </c>
      <c r="D5035" s="1">
        <v>43410</v>
      </c>
    </row>
    <row r="5036" spans="1:4" x14ac:dyDescent="0.25">
      <c r="A5036" t="s">
        <v>639</v>
      </c>
      <c r="B5036" t="str">
        <f>MID(tbl_lock[[#This Row],[PACE Job Number]],3,3)</f>
        <v>STX</v>
      </c>
      <c r="C5036" t="s">
        <v>15</v>
      </c>
      <c r="D5036" s="1">
        <v>43410</v>
      </c>
    </row>
    <row r="5037" spans="1:4" x14ac:dyDescent="0.25">
      <c r="A5037" t="s">
        <v>4050</v>
      </c>
      <c r="B5037" t="str">
        <f>MID(tbl_lock[[#This Row],[PACE Job Number]],3,3)</f>
        <v>STX</v>
      </c>
      <c r="C5037" t="s">
        <v>15</v>
      </c>
      <c r="D5037" s="1">
        <v>43410</v>
      </c>
    </row>
    <row r="5038" spans="1:4" x14ac:dyDescent="0.25">
      <c r="A5038" t="s">
        <v>1095</v>
      </c>
      <c r="B5038" t="str">
        <f>MID(tbl_lock[[#This Row],[PACE Job Number]],3,3)</f>
        <v>STX</v>
      </c>
      <c r="C5038" t="s">
        <v>15</v>
      </c>
      <c r="D5038" s="1">
        <v>43419</v>
      </c>
    </row>
    <row r="5039" spans="1:4" x14ac:dyDescent="0.25">
      <c r="A5039" t="s">
        <v>842</v>
      </c>
      <c r="B5039" t="str">
        <f>MID(tbl_lock[[#This Row],[PACE Job Number]],3,3)</f>
        <v>STX</v>
      </c>
      <c r="C5039" t="s">
        <v>15</v>
      </c>
      <c r="D5039" s="1">
        <v>43418</v>
      </c>
    </row>
    <row r="5040" spans="1:4" x14ac:dyDescent="0.25">
      <c r="A5040" t="s">
        <v>3966</v>
      </c>
      <c r="B5040" t="str">
        <f>MID(tbl_lock[[#This Row],[PACE Job Number]],3,3)</f>
        <v>NTX</v>
      </c>
      <c r="C5040" t="s">
        <v>15</v>
      </c>
      <c r="D5040" s="1">
        <v>43413</v>
      </c>
    </row>
    <row r="5041" spans="1:4" x14ac:dyDescent="0.25">
      <c r="A5041" t="s">
        <v>3371</v>
      </c>
      <c r="B5041" t="str">
        <f>MID(tbl_lock[[#This Row],[PACE Job Number]],3,3)</f>
        <v>NTX</v>
      </c>
      <c r="C5041" t="s">
        <v>15</v>
      </c>
      <c r="D5041" s="1">
        <v>43425</v>
      </c>
    </row>
    <row r="5042" spans="1:4" x14ac:dyDescent="0.25">
      <c r="A5042" t="s">
        <v>565</v>
      </c>
      <c r="B5042" t="str">
        <f>MID(tbl_lock[[#This Row],[PACE Job Number]],3,3)</f>
        <v>STX</v>
      </c>
      <c r="C5042" t="s">
        <v>15</v>
      </c>
      <c r="D5042" s="1">
        <v>43418</v>
      </c>
    </row>
    <row r="5043" spans="1:4" x14ac:dyDescent="0.25">
      <c r="A5043" t="s">
        <v>4647</v>
      </c>
      <c r="B5043" t="str">
        <f>MID(tbl_lock[[#This Row],[PACE Job Number]],3,3)</f>
        <v>STX</v>
      </c>
      <c r="C5043" t="s">
        <v>15</v>
      </c>
      <c r="D5043" s="1">
        <v>43410</v>
      </c>
    </row>
    <row r="5044" spans="1:4" x14ac:dyDescent="0.25">
      <c r="A5044" t="s">
        <v>691</v>
      </c>
      <c r="B5044" t="str">
        <f>MID(tbl_lock[[#This Row],[PACE Job Number]],3,3)</f>
        <v>STX</v>
      </c>
      <c r="C5044" t="s">
        <v>15</v>
      </c>
      <c r="D5044" s="1">
        <v>43418</v>
      </c>
    </row>
    <row r="5045" spans="1:4" x14ac:dyDescent="0.25">
      <c r="A5045" t="s">
        <v>218</v>
      </c>
      <c r="B5045" t="str">
        <f>MID(tbl_lock[[#This Row],[PACE Job Number]],3,3)</f>
        <v>STX</v>
      </c>
      <c r="C5045" t="s">
        <v>15</v>
      </c>
      <c r="D5045" s="1">
        <v>43430</v>
      </c>
    </row>
    <row r="5046" spans="1:4" x14ac:dyDescent="0.25">
      <c r="A5046" t="s">
        <v>3471</v>
      </c>
      <c r="B5046" t="str">
        <f>MID(tbl_lock[[#This Row],[PACE Job Number]],3,3)</f>
        <v>STX</v>
      </c>
      <c r="C5046" t="s">
        <v>15</v>
      </c>
      <c r="D5046" s="1">
        <v>43418</v>
      </c>
    </row>
    <row r="5047" spans="1:4" x14ac:dyDescent="0.25">
      <c r="A5047" t="s">
        <v>4622</v>
      </c>
      <c r="B5047" t="str">
        <f>MID(tbl_lock[[#This Row],[PACE Job Number]],3,3)</f>
        <v>STX</v>
      </c>
      <c r="C5047" t="s">
        <v>15</v>
      </c>
      <c r="D5047" s="1">
        <v>43430</v>
      </c>
    </row>
    <row r="5048" spans="1:4" x14ac:dyDescent="0.25">
      <c r="A5048" t="s">
        <v>3395</v>
      </c>
      <c r="B5048" t="str">
        <f>MID(tbl_lock[[#This Row],[PACE Job Number]],3,3)</f>
        <v>STX</v>
      </c>
      <c r="C5048" t="s">
        <v>15</v>
      </c>
      <c r="D5048" s="1">
        <v>43418</v>
      </c>
    </row>
    <row r="5049" spans="1:4" x14ac:dyDescent="0.25">
      <c r="A5049" t="s">
        <v>344</v>
      </c>
      <c r="B5049" t="str">
        <f>MID(tbl_lock[[#This Row],[PACE Job Number]],3,3)</f>
        <v>STX</v>
      </c>
      <c r="C5049" t="s">
        <v>15</v>
      </c>
      <c r="D5049" s="1">
        <v>43419</v>
      </c>
    </row>
    <row r="5050" spans="1:4" x14ac:dyDescent="0.25">
      <c r="A5050" t="s">
        <v>4623</v>
      </c>
      <c r="B5050" t="str">
        <f>MID(tbl_lock[[#This Row],[PACE Job Number]],3,3)</f>
        <v>STX</v>
      </c>
      <c r="C5050" t="s">
        <v>15</v>
      </c>
      <c r="D5050" s="1">
        <v>43418</v>
      </c>
    </row>
    <row r="5051" spans="1:4" x14ac:dyDescent="0.25">
      <c r="A5051" t="s">
        <v>4624</v>
      </c>
      <c r="B5051" t="str">
        <f>MID(tbl_lock[[#This Row],[PACE Job Number]],3,3)</f>
        <v>STX</v>
      </c>
      <c r="C5051" t="s">
        <v>15</v>
      </c>
      <c r="D5051" s="1">
        <v>43418</v>
      </c>
    </row>
    <row r="5052" spans="1:4" x14ac:dyDescent="0.25">
      <c r="A5052" t="s">
        <v>4625</v>
      </c>
      <c r="B5052" t="str">
        <f>MID(tbl_lock[[#This Row],[PACE Job Number]],3,3)</f>
        <v>STX</v>
      </c>
      <c r="C5052" t="s">
        <v>15</v>
      </c>
      <c r="D5052" s="1">
        <v>43430</v>
      </c>
    </row>
    <row r="5053" spans="1:4" x14ac:dyDescent="0.25">
      <c r="A5053" t="s">
        <v>3526</v>
      </c>
      <c r="B5053" t="str">
        <f>MID(tbl_lock[[#This Row],[PACE Job Number]],3,3)</f>
        <v>STX</v>
      </c>
      <c r="C5053" t="s">
        <v>15</v>
      </c>
      <c r="D5053" s="1">
        <v>43410</v>
      </c>
    </row>
    <row r="5054" spans="1:4" x14ac:dyDescent="0.25">
      <c r="A5054" t="s">
        <v>4626</v>
      </c>
      <c r="B5054" t="str">
        <f>MID(tbl_lock[[#This Row],[PACE Job Number]],3,3)</f>
        <v>STX</v>
      </c>
      <c r="C5054" t="s">
        <v>15</v>
      </c>
      <c r="D5054" s="1">
        <v>43430</v>
      </c>
    </row>
    <row r="5055" spans="1:4" x14ac:dyDescent="0.25">
      <c r="A5055" t="s">
        <v>747</v>
      </c>
      <c r="B5055" t="str">
        <f>MID(tbl_lock[[#This Row],[PACE Job Number]],3,3)</f>
        <v>STX</v>
      </c>
      <c r="C5055" t="s">
        <v>15</v>
      </c>
      <c r="D5055" s="1">
        <v>43418</v>
      </c>
    </row>
    <row r="5056" spans="1:4" x14ac:dyDescent="0.25">
      <c r="A5056" t="s">
        <v>3540</v>
      </c>
      <c r="B5056" t="str">
        <f>MID(tbl_lock[[#This Row],[PACE Job Number]],3,3)</f>
        <v>STX</v>
      </c>
      <c r="C5056" t="s">
        <v>15</v>
      </c>
      <c r="D5056" s="1">
        <v>43406</v>
      </c>
    </row>
    <row r="5057" spans="1:4" x14ac:dyDescent="0.25">
      <c r="A5057" t="s">
        <v>209</v>
      </c>
      <c r="B5057" t="str">
        <f>MID(tbl_lock[[#This Row],[PACE Job Number]],3,3)</f>
        <v>STX</v>
      </c>
      <c r="C5057" t="s">
        <v>15</v>
      </c>
      <c r="D5057" s="1">
        <v>43419</v>
      </c>
    </row>
    <row r="5058" spans="1:4" x14ac:dyDescent="0.25">
      <c r="A5058" t="s">
        <v>676</v>
      </c>
      <c r="B5058" t="str">
        <f>MID(tbl_lock[[#This Row],[PACE Job Number]],3,3)</f>
        <v>STX</v>
      </c>
      <c r="C5058" t="s">
        <v>15</v>
      </c>
      <c r="D5058" s="1">
        <v>43419</v>
      </c>
    </row>
    <row r="5059" spans="1:4" x14ac:dyDescent="0.25">
      <c r="A5059" t="s">
        <v>3959</v>
      </c>
      <c r="B5059" t="str">
        <f>MID(tbl_lock[[#This Row],[PACE Job Number]],3,3)</f>
        <v>NTX</v>
      </c>
      <c r="C5059" t="s">
        <v>15</v>
      </c>
      <c r="D5059" s="1">
        <v>43428</v>
      </c>
    </row>
    <row r="5060" spans="1:4" x14ac:dyDescent="0.25">
      <c r="A5060" t="s">
        <v>3373</v>
      </c>
      <c r="B5060" t="str">
        <f>MID(tbl_lock[[#This Row],[PACE Job Number]],3,3)</f>
        <v>NTX</v>
      </c>
      <c r="C5060" t="s">
        <v>15</v>
      </c>
      <c r="D5060" s="1">
        <v>43425</v>
      </c>
    </row>
    <row r="5061" spans="1:4" x14ac:dyDescent="0.25">
      <c r="A5061" t="s">
        <v>70</v>
      </c>
      <c r="B5061" t="str">
        <f>MID(tbl_lock[[#This Row],[PACE Job Number]],3,3)</f>
        <v>NTX</v>
      </c>
      <c r="C5061" t="s">
        <v>15</v>
      </c>
      <c r="D5061" s="1">
        <v>43427</v>
      </c>
    </row>
    <row r="5062" spans="1:4" x14ac:dyDescent="0.25">
      <c r="A5062" t="s">
        <v>1825</v>
      </c>
      <c r="B5062" t="str">
        <f>MID(tbl_lock[[#This Row],[PACE Job Number]],3,3)</f>
        <v>NTX</v>
      </c>
      <c r="C5062" t="s">
        <v>15</v>
      </c>
      <c r="D5062" s="1">
        <v>43415</v>
      </c>
    </row>
    <row r="5063" spans="1:4" x14ac:dyDescent="0.25">
      <c r="A5063" t="s">
        <v>1826</v>
      </c>
      <c r="B5063" t="str">
        <f>MID(tbl_lock[[#This Row],[PACE Job Number]],3,3)</f>
        <v>NTX</v>
      </c>
      <c r="C5063" t="s">
        <v>15</v>
      </c>
      <c r="D5063" s="1">
        <v>43430</v>
      </c>
    </row>
    <row r="5064" spans="1:4" x14ac:dyDescent="0.25">
      <c r="A5064" t="s">
        <v>583</v>
      </c>
      <c r="B5064" t="str">
        <f>MID(tbl_lock[[#This Row],[PACE Job Number]],3,3)</f>
        <v>NTX</v>
      </c>
      <c r="C5064" t="s">
        <v>15</v>
      </c>
      <c r="D5064" s="1">
        <v>43425</v>
      </c>
    </row>
    <row r="5065" spans="1:4" x14ac:dyDescent="0.25">
      <c r="A5065" t="s">
        <v>1575</v>
      </c>
      <c r="B5065" t="str">
        <f>MID(tbl_lock[[#This Row],[PACE Job Number]],3,3)</f>
        <v>NTX</v>
      </c>
      <c r="C5065" t="s">
        <v>15</v>
      </c>
      <c r="D5065" s="1">
        <v>43408</v>
      </c>
    </row>
    <row r="5066" spans="1:4" x14ac:dyDescent="0.25">
      <c r="A5066" t="s">
        <v>80</v>
      </c>
      <c r="B5066" t="str">
        <f>MID(tbl_lock[[#This Row],[PACE Job Number]],3,3)</f>
        <v>NTX</v>
      </c>
      <c r="C5066" t="s">
        <v>15</v>
      </c>
      <c r="D5066" s="1">
        <v>43416</v>
      </c>
    </row>
    <row r="5067" spans="1:4" x14ac:dyDescent="0.25">
      <c r="A5067" t="s">
        <v>244</v>
      </c>
      <c r="B5067" t="str">
        <f>MID(tbl_lock[[#This Row],[PACE Job Number]],3,3)</f>
        <v>NTX</v>
      </c>
      <c r="C5067" t="s">
        <v>15</v>
      </c>
      <c r="D5067" s="1">
        <v>43427</v>
      </c>
    </row>
    <row r="5068" spans="1:4" x14ac:dyDescent="0.25">
      <c r="A5068" t="s">
        <v>4528</v>
      </c>
      <c r="B5068" t="str">
        <f>MID(tbl_lock[[#This Row],[PACE Job Number]],3,3)</f>
        <v>NTX</v>
      </c>
      <c r="C5068" t="s">
        <v>15</v>
      </c>
      <c r="D5068" s="1">
        <v>43415</v>
      </c>
    </row>
    <row r="5069" spans="1:4" x14ac:dyDescent="0.25">
      <c r="A5069" t="s">
        <v>4529</v>
      </c>
      <c r="B5069" t="str">
        <f>MID(tbl_lock[[#This Row],[PACE Job Number]],3,3)</f>
        <v>NTX</v>
      </c>
      <c r="C5069" t="s">
        <v>15</v>
      </c>
      <c r="D5069" s="1">
        <v>43433</v>
      </c>
    </row>
    <row r="5070" spans="1:4" x14ac:dyDescent="0.25">
      <c r="A5070" t="s">
        <v>2381</v>
      </c>
      <c r="B5070" t="str">
        <f>MID(tbl_lock[[#This Row],[PACE Job Number]],3,3)</f>
        <v>NTX</v>
      </c>
      <c r="C5070" t="s">
        <v>15</v>
      </c>
      <c r="D5070" s="1">
        <v>43429</v>
      </c>
    </row>
    <row r="5071" spans="1:4" x14ac:dyDescent="0.25">
      <c r="A5071" t="s">
        <v>368</v>
      </c>
      <c r="B5071" t="str">
        <f>MID(tbl_lock[[#This Row],[PACE Job Number]],3,3)</f>
        <v>WSH</v>
      </c>
      <c r="C5071" t="s">
        <v>15</v>
      </c>
      <c r="D5071" s="1">
        <v>43434</v>
      </c>
    </row>
    <row r="5072" spans="1:4" x14ac:dyDescent="0.25">
      <c r="A5072" t="s">
        <v>4019</v>
      </c>
      <c r="B5072" t="str">
        <f>MID(tbl_lock[[#This Row],[PACE Job Number]],3,3)</f>
        <v>WSH</v>
      </c>
      <c r="C5072" t="s">
        <v>15</v>
      </c>
      <c r="D5072" s="1">
        <v>43434</v>
      </c>
    </row>
    <row r="5073" spans="1:4" x14ac:dyDescent="0.25">
      <c r="A5073" t="s">
        <v>4268</v>
      </c>
      <c r="B5073" t="str">
        <f>MID(tbl_lock[[#This Row],[PACE Job Number]],3,3)</f>
        <v>WSH</v>
      </c>
      <c r="C5073" t="s">
        <v>15</v>
      </c>
      <c r="D5073" s="1">
        <v>43433</v>
      </c>
    </row>
    <row r="5074" spans="1:4" x14ac:dyDescent="0.25">
      <c r="A5074" t="s">
        <v>3524</v>
      </c>
      <c r="B5074" t="str">
        <f>MID(tbl_lock[[#This Row],[PACE Job Number]],3,3)</f>
        <v>WSH</v>
      </c>
      <c r="C5074" t="s">
        <v>15</v>
      </c>
      <c r="D5074" s="1">
        <v>43429</v>
      </c>
    </row>
    <row r="5075" spans="1:4" x14ac:dyDescent="0.25">
      <c r="A5075" t="s">
        <v>95</v>
      </c>
      <c r="B5075" t="str">
        <f>MID(tbl_lock[[#This Row],[PACE Job Number]],3,3)</f>
        <v>WSH</v>
      </c>
      <c r="C5075" t="s">
        <v>15</v>
      </c>
      <c r="D5075" s="1">
        <v>43433</v>
      </c>
    </row>
    <row r="5076" spans="1:4" x14ac:dyDescent="0.25">
      <c r="A5076" t="s">
        <v>1251</v>
      </c>
      <c r="B5076" t="str">
        <f>MID(tbl_lock[[#This Row],[PACE Job Number]],3,3)</f>
        <v>WSH</v>
      </c>
      <c r="C5076" t="s">
        <v>15</v>
      </c>
      <c r="D5076" s="1">
        <v>43422</v>
      </c>
    </row>
    <row r="5077" spans="1:4" x14ac:dyDescent="0.25">
      <c r="A5077" t="s">
        <v>1080</v>
      </c>
      <c r="B5077" t="str">
        <f>MID(tbl_lock[[#This Row],[PACE Job Number]],3,3)</f>
        <v>WSH</v>
      </c>
      <c r="C5077" t="s">
        <v>15</v>
      </c>
      <c r="D5077" s="1">
        <v>43429</v>
      </c>
    </row>
    <row r="5078" spans="1:4" x14ac:dyDescent="0.25">
      <c r="A5078" t="s">
        <v>458</v>
      </c>
      <c r="B5078" t="str">
        <f>MID(tbl_lock[[#This Row],[PACE Job Number]],3,3)</f>
        <v>WSH</v>
      </c>
      <c r="C5078" t="s">
        <v>15</v>
      </c>
      <c r="D5078" s="1">
        <v>43433</v>
      </c>
    </row>
    <row r="5079" spans="1:4" x14ac:dyDescent="0.25">
      <c r="A5079" t="s">
        <v>217</v>
      </c>
      <c r="B5079" t="str">
        <f>MID(tbl_lock[[#This Row],[PACE Job Number]],3,3)</f>
        <v>WSH</v>
      </c>
      <c r="C5079" t="s">
        <v>15</v>
      </c>
      <c r="D5079" s="1">
        <v>43434</v>
      </c>
    </row>
    <row r="5080" spans="1:4" x14ac:dyDescent="0.25">
      <c r="A5080" t="s">
        <v>5642</v>
      </c>
      <c r="B5080" t="str">
        <f>MID(tbl_lock[[#This Row],[PACE Job Number]],3,3)</f>
        <v>WSH</v>
      </c>
      <c r="C5080" t="s">
        <v>15</v>
      </c>
      <c r="D5080" s="1">
        <v>43421</v>
      </c>
    </row>
    <row r="5081" spans="1:4" x14ac:dyDescent="0.25">
      <c r="A5081" t="s">
        <v>92</v>
      </c>
      <c r="B5081" t="str">
        <f>MID(tbl_lock[[#This Row],[PACE Job Number]],3,3)</f>
        <v>WSH</v>
      </c>
      <c r="C5081" t="s">
        <v>15</v>
      </c>
      <c r="D5081" s="1">
        <v>43433</v>
      </c>
    </row>
    <row r="5082" spans="1:4" x14ac:dyDescent="0.25">
      <c r="A5082" t="s">
        <v>4020</v>
      </c>
      <c r="B5082" t="str">
        <f>MID(tbl_lock[[#This Row],[PACE Job Number]],3,3)</f>
        <v>WSH</v>
      </c>
      <c r="C5082" t="s">
        <v>15</v>
      </c>
      <c r="D5082" s="1">
        <v>43434</v>
      </c>
    </row>
    <row r="5083" spans="1:4" x14ac:dyDescent="0.25">
      <c r="A5083" t="s">
        <v>355</v>
      </c>
      <c r="B5083" t="str">
        <f>MID(tbl_lock[[#This Row],[PACE Job Number]],3,3)</f>
        <v>WSH</v>
      </c>
      <c r="C5083" t="s">
        <v>15</v>
      </c>
      <c r="D5083" s="1">
        <v>43434</v>
      </c>
    </row>
    <row r="5084" spans="1:4" x14ac:dyDescent="0.25">
      <c r="A5084" t="s">
        <v>1510</v>
      </c>
      <c r="B5084" t="str">
        <f>MID(tbl_lock[[#This Row],[PACE Job Number]],3,3)</f>
        <v>STX</v>
      </c>
      <c r="C5084" t="s">
        <v>15</v>
      </c>
      <c r="D5084" s="1">
        <v>43410</v>
      </c>
    </row>
    <row r="5085" spans="1:4" x14ac:dyDescent="0.25">
      <c r="A5085" t="s">
        <v>4661</v>
      </c>
      <c r="B5085" t="str">
        <f>MID(tbl_lock[[#This Row],[PACE Job Number]],3,3)</f>
        <v>STX</v>
      </c>
      <c r="C5085" t="s">
        <v>15</v>
      </c>
      <c r="D5085" s="1">
        <v>43410</v>
      </c>
    </row>
    <row r="5086" spans="1:4" x14ac:dyDescent="0.25">
      <c r="A5086" t="s">
        <v>3513</v>
      </c>
      <c r="B5086" t="str">
        <f>MID(tbl_lock[[#This Row],[PACE Job Number]],3,3)</f>
        <v>STX</v>
      </c>
      <c r="C5086" t="s">
        <v>15</v>
      </c>
      <c r="D5086" s="1">
        <v>43433</v>
      </c>
    </row>
    <row r="5087" spans="1:4" x14ac:dyDescent="0.25">
      <c r="A5087" t="s">
        <v>1260</v>
      </c>
      <c r="B5087" t="str">
        <f>MID(tbl_lock[[#This Row],[PACE Job Number]],3,3)</f>
        <v>WSH</v>
      </c>
      <c r="C5087" t="s">
        <v>15</v>
      </c>
      <c r="D5087" s="1">
        <v>43429</v>
      </c>
    </row>
    <row r="5088" spans="1:4" x14ac:dyDescent="0.25">
      <c r="A5088" t="s">
        <v>481</v>
      </c>
      <c r="B5088" t="str">
        <f>MID(tbl_lock[[#This Row],[PACE Job Number]],3,3)</f>
        <v>WSH</v>
      </c>
      <c r="C5088" t="s">
        <v>15</v>
      </c>
      <c r="D5088" s="1">
        <v>43421</v>
      </c>
    </row>
    <row r="5089" spans="1:4" x14ac:dyDescent="0.25">
      <c r="A5089" t="s">
        <v>116</v>
      </c>
      <c r="B5089" t="str">
        <f>MID(tbl_lock[[#This Row],[PACE Job Number]],3,3)</f>
        <v>WSH</v>
      </c>
      <c r="C5089" t="s">
        <v>15</v>
      </c>
      <c r="D5089" s="1">
        <v>43421</v>
      </c>
    </row>
    <row r="5090" spans="1:4" x14ac:dyDescent="0.25">
      <c r="A5090" t="s">
        <v>4059</v>
      </c>
      <c r="B5090" t="str">
        <f>MID(tbl_lock[[#This Row],[PACE Job Number]],3,3)</f>
        <v>WSH</v>
      </c>
      <c r="C5090" t="s">
        <v>15</v>
      </c>
      <c r="D5090" s="1">
        <v>43434</v>
      </c>
    </row>
    <row r="5091" spans="1:4" x14ac:dyDescent="0.25">
      <c r="A5091" t="s">
        <v>108</v>
      </c>
      <c r="B5091" t="str">
        <f>MID(tbl_lock[[#This Row],[PACE Job Number]],3,3)</f>
        <v>WSH</v>
      </c>
      <c r="C5091" t="s">
        <v>15</v>
      </c>
      <c r="D5091" s="1">
        <v>43434</v>
      </c>
    </row>
    <row r="5092" spans="1:4" x14ac:dyDescent="0.25">
      <c r="A5092" t="s">
        <v>4359</v>
      </c>
      <c r="B5092" t="str">
        <f>MID(tbl_lock[[#This Row],[PACE Job Number]],3,3)</f>
        <v>NTX</v>
      </c>
      <c r="C5092" t="s">
        <v>15</v>
      </c>
      <c r="D5092" s="1">
        <v>43415</v>
      </c>
    </row>
    <row r="5093" spans="1:4" x14ac:dyDescent="0.25">
      <c r="A5093" t="s">
        <v>3996</v>
      </c>
      <c r="B5093" t="str">
        <f>MID(tbl_lock[[#This Row],[PACE Job Number]],3,3)</f>
        <v>NTX</v>
      </c>
      <c r="C5093" t="s">
        <v>15</v>
      </c>
      <c r="D5093" s="1">
        <v>43413</v>
      </c>
    </row>
    <row r="5094" spans="1:4" x14ac:dyDescent="0.25">
      <c r="A5094" t="s">
        <v>3502</v>
      </c>
      <c r="B5094" t="str">
        <f>MID(tbl_lock[[#This Row],[PACE Job Number]],3,3)</f>
        <v>NTX</v>
      </c>
      <c r="C5094" t="s">
        <v>15</v>
      </c>
      <c r="D5094" s="1">
        <v>43428</v>
      </c>
    </row>
    <row r="5095" spans="1:4" x14ac:dyDescent="0.25">
      <c r="A5095" t="s">
        <v>3464</v>
      </c>
      <c r="B5095" t="str">
        <f>MID(tbl_lock[[#This Row],[PACE Job Number]],3,3)</f>
        <v>NTX</v>
      </c>
      <c r="C5095" t="s">
        <v>15</v>
      </c>
      <c r="D5095" s="1">
        <v>43428</v>
      </c>
    </row>
    <row r="5096" spans="1:4" x14ac:dyDescent="0.25">
      <c r="A5096" t="s">
        <v>3477</v>
      </c>
      <c r="B5096" t="str">
        <f>MID(tbl_lock[[#This Row],[PACE Job Number]],3,3)</f>
        <v>NTX</v>
      </c>
      <c r="C5096" t="s">
        <v>15</v>
      </c>
      <c r="D5096" s="1">
        <v>43425</v>
      </c>
    </row>
    <row r="5097" spans="1:4" x14ac:dyDescent="0.25">
      <c r="A5097" t="s">
        <v>4604</v>
      </c>
      <c r="B5097" t="str">
        <f>MID(tbl_lock[[#This Row],[PACE Job Number]],3,3)</f>
        <v>NTX</v>
      </c>
      <c r="C5097" t="s">
        <v>15</v>
      </c>
      <c r="D5097" s="1">
        <v>43431</v>
      </c>
    </row>
    <row r="5098" spans="1:4" x14ac:dyDescent="0.25">
      <c r="A5098" t="s">
        <v>2631</v>
      </c>
      <c r="B5098" t="str">
        <f>MID(tbl_lock[[#This Row],[PACE Job Number]],3,3)</f>
        <v>STX</v>
      </c>
      <c r="C5098" t="s">
        <v>15</v>
      </c>
      <c r="D5098" s="1">
        <v>43433</v>
      </c>
    </row>
    <row r="5099" spans="1:4" x14ac:dyDescent="0.25">
      <c r="A5099" t="s">
        <v>748</v>
      </c>
      <c r="B5099" t="str">
        <f>MID(tbl_lock[[#This Row],[PACE Job Number]],3,3)</f>
        <v>STX</v>
      </c>
      <c r="C5099" t="s">
        <v>15</v>
      </c>
      <c r="D5099" s="1">
        <v>43419</v>
      </c>
    </row>
    <row r="5100" spans="1:4" x14ac:dyDescent="0.25">
      <c r="A5100" t="s">
        <v>2638</v>
      </c>
      <c r="B5100" t="str">
        <f>MID(tbl_lock[[#This Row],[PACE Job Number]],3,3)</f>
        <v>STX</v>
      </c>
      <c r="C5100" t="s">
        <v>15</v>
      </c>
      <c r="D5100" s="1">
        <v>43425</v>
      </c>
    </row>
    <row r="5101" spans="1:4" x14ac:dyDescent="0.25">
      <c r="A5101" t="s">
        <v>160</v>
      </c>
      <c r="B5101" t="str">
        <f>MID(tbl_lock[[#This Row],[PACE Job Number]],3,3)</f>
        <v>WSH</v>
      </c>
      <c r="C5101" t="s">
        <v>15</v>
      </c>
      <c r="D5101" s="1">
        <v>43429</v>
      </c>
    </row>
    <row r="5102" spans="1:4" x14ac:dyDescent="0.25">
      <c r="A5102" t="s">
        <v>182</v>
      </c>
      <c r="B5102" t="str">
        <f>MID(tbl_lock[[#This Row],[PACE Job Number]],3,3)</f>
        <v>WSH</v>
      </c>
      <c r="C5102" t="s">
        <v>15</v>
      </c>
      <c r="D5102" s="1">
        <v>43433</v>
      </c>
    </row>
    <row r="5103" spans="1:4" x14ac:dyDescent="0.25">
      <c r="A5103" t="s">
        <v>130</v>
      </c>
      <c r="B5103" t="str">
        <f>MID(tbl_lock[[#This Row],[PACE Job Number]],3,3)</f>
        <v>WSH</v>
      </c>
      <c r="C5103" t="s">
        <v>15</v>
      </c>
      <c r="D5103" s="1">
        <v>43429</v>
      </c>
    </row>
    <row r="5104" spans="1:4" x14ac:dyDescent="0.25">
      <c r="A5104" t="s">
        <v>4511</v>
      </c>
      <c r="B5104" t="str">
        <f>MID(tbl_lock[[#This Row],[PACE Job Number]],3,3)</f>
        <v>NTX</v>
      </c>
      <c r="C5104" t="s">
        <v>15</v>
      </c>
      <c r="D5104" s="1">
        <v>43413</v>
      </c>
    </row>
    <row r="5105" spans="1:4" x14ac:dyDescent="0.25">
      <c r="A5105" t="s">
        <v>1896</v>
      </c>
      <c r="B5105" t="str">
        <f>MID(tbl_lock[[#This Row],[PACE Job Number]],3,3)</f>
        <v>NTX</v>
      </c>
      <c r="C5105" t="s">
        <v>15</v>
      </c>
      <c r="D5105" s="1">
        <v>43413</v>
      </c>
    </row>
    <row r="5106" spans="1:4" x14ac:dyDescent="0.25">
      <c r="A5106" t="s">
        <v>234</v>
      </c>
      <c r="B5106" t="str">
        <f>MID(tbl_lock[[#This Row],[PACE Job Number]],3,3)</f>
        <v>NTX</v>
      </c>
      <c r="C5106" t="s">
        <v>15</v>
      </c>
      <c r="D5106" s="1">
        <v>43427</v>
      </c>
    </row>
    <row r="5107" spans="1:4" x14ac:dyDescent="0.25">
      <c r="A5107" t="s">
        <v>3980</v>
      </c>
      <c r="B5107" t="str">
        <f>MID(tbl_lock[[#This Row],[PACE Job Number]],3,3)</f>
        <v>NTX</v>
      </c>
      <c r="C5107" t="s">
        <v>15</v>
      </c>
      <c r="D5107" s="1">
        <v>43425</v>
      </c>
    </row>
    <row r="5108" spans="1:4" x14ac:dyDescent="0.25">
      <c r="A5108" t="s">
        <v>444</v>
      </c>
      <c r="B5108" t="str">
        <f>MID(tbl_lock[[#This Row],[PACE Job Number]],3,3)</f>
        <v>WSH</v>
      </c>
      <c r="C5108" t="s">
        <v>15</v>
      </c>
      <c r="D5108" s="1">
        <v>43434</v>
      </c>
    </row>
    <row r="5109" spans="1:4" x14ac:dyDescent="0.25">
      <c r="A5109" t="s">
        <v>1299</v>
      </c>
      <c r="B5109" t="str">
        <f>MID(tbl_lock[[#This Row],[PACE Job Number]],3,3)</f>
        <v>WSH</v>
      </c>
      <c r="C5109" t="s">
        <v>15</v>
      </c>
      <c r="D5109" s="1">
        <v>43429</v>
      </c>
    </row>
    <row r="5110" spans="1:4" x14ac:dyDescent="0.25">
      <c r="A5110" t="s">
        <v>4621</v>
      </c>
      <c r="B5110" t="str">
        <f>MID(tbl_lock[[#This Row],[PACE Job Number]],3,3)</f>
        <v>WSH</v>
      </c>
      <c r="C5110" t="s">
        <v>15</v>
      </c>
      <c r="D5110" s="1">
        <v>43434</v>
      </c>
    </row>
    <row r="5111" spans="1:4" x14ac:dyDescent="0.25">
      <c r="A5111" t="s">
        <v>1266</v>
      </c>
      <c r="B5111" t="str">
        <f>MID(tbl_lock[[#This Row],[PACE Job Number]],3,3)</f>
        <v>WSH</v>
      </c>
      <c r="C5111" t="s">
        <v>15</v>
      </c>
      <c r="D5111" s="1">
        <v>43422</v>
      </c>
    </row>
    <row r="5112" spans="1:4" x14ac:dyDescent="0.25">
      <c r="A5112" t="s">
        <v>973</v>
      </c>
      <c r="B5112" t="str">
        <f>MID(tbl_lock[[#This Row],[PACE Job Number]],3,3)</f>
        <v>WSH</v>
      </c>
      <c r="C5112" t="s">
        <v>15</v>
      </c>
      <c r="D5112" s="1">
        <v>43422</v>
      </c>
    </row>
    <row r="5113" spans="1:4" x14ac:dyDescent="0.25">
      <c r="A5113" t="s">
        <v>4037</v>
      </c>
      <c r="B5113" t="str">
        <f>MID(tbl_lock[[#This Row],[PACE Job Number]],3,3)</f>
        <v>WSH</v>
      </c>
      <c r="C5113" t="s">
        <v>15</v>
      </c>
      <c r="D5113" s="1">
        <v>43434</v>
      </c>
    </row>
    <row r="5114" spans="1:4" x14ac:dyDescent="0.25">
      <c r="A5114" t="s">
        <v>4041</v>
      </c>
      <c r="B5114" t="str">
        <f>MID(tbl_lock[[#This Row],[PACE Job Number]],3,3)</f>
        <v>STX</v>
      </c>
      <c r="C5114" t="s">
        <v>15</v>
      </c>
      <c r="D5114" s="1">
        <v>43433</v>
      </c>
    </row>
    <row r="5115" spans="1:4" x14ac:dyDescent="0.25">
      <c r="A5115" t="s">
        <v>2636</v>
      </c>
      <c r="B5115" t="str">
        <f>MID(tbl_lock[[#This Row],[PACE Job Number]],3,3)</f>
        <v>STX</v>
      </c>
      <c r="C5115" t="s">
        <v>15</v>
      </c>
      <c r="D5115" s="1">
        <v>43425</v>
      </c>
    </row>
    <row r="5116" spans="1:4" x14ac:dyDescent="0.25">
      <c r="A5116" t="s">
        <v>1115</v>
      </c>
      <c r="B5116" t="str">
        <f>MID(tbl_lock[[#This Row],[PACE Job Number]],3,3)</f>
        <v>STX</v>
      </c>
      <c r="C5116" t="s">
        <v>15</v>
      </c>
      <c r="D5116" s="1">
        <v>43433</v>
      </c>
    </row>
    <row r="5117" spans="1:4" x14ac:dyDescent="0.25">
      <c r="A5117" t="s">
        <v>515</v>
      </c>
      <c r="B5117" t="str">
        <f>MID(tbl_lock[[#This Row],[PACE Job Number]],3,3)</f>
        <v>STX</v>
      </c>
      <c r="C5117" t="s">
        <v>15</v>
      </c>
      <c r="D5117" s="1">
        <v>43406</v>
      </c>
    </row>
    <row r="5118" spans="1:4" x14ac:dyDescent="0.25">
      <c r="A5118" t="s">
        <v>539</v>
      </c>
      <c r="B5118" t="str">
        <f>MID(tbl_lock[[#This Row],[PACE Job Number]],3,3)</f>
        <v>STX</v>
      </c>
      <c r="C5118" t="s">
        <v>15</v>
      </c>
      <c r="D5118" s="1">
        <v>43419</v>
      </c>
    </row>
    <row r="5119" spans="1:4" x14ac:dyDescent="0.25">
      <c r="A5119" t="s">
        <v>3273</v>
      </c>
      <c r="B5119" t="str">
        <f>MID(tbl_lock[[#This Row],[PACE Job Number]],3,3)</f>
        <v>STX</v>
      </c>
      <c r="C5119" t="s">
        <v>15</v>
      </c>
      <c r="D5119" s="1">
        <v>43410</v>
      </c>
    </row>
    <row r="5120" spans="1:4" x14ac:dyDescent="0.25">
      <c r="A5120" t="s">
        <v>613</v>
      </c>
      <c r="B5120" t="str">
        <f>MID(tbl_lock[[#This Row],[PACE Job Number]],3,3)</f>
        <v>STX</v>
      </c>
      <c r="C5120" t="s">
        <v>15</v>
      </c>
      <c r="D5120" s="1">
        <v>43433</v>
      </c>
    </row>
    <row r="5121" spans="1:4" x14ac:dyDescent="0.25">
      <c r="A5121" t="s">
        <v>4042</v>
      </c>
      <c r="B5121" t="str">
        <f>MID(tbl_lock[[#This Row],[PACE Job Number]],3,3)</f>
        <v>STX</v>
      </c>
      <c r="C5121" t="s">
        <v>15</v>
      </c>
      <c r="D5121" s="1">
        <v>43410</v>
      </c>
    </row>
    <row r="5122" spans="1:4" x14ac:dyDescent="0.25">
      <c r="A5122" t="s">
        <v>3520</v>
      </c>
      <c r="B5122" t="str">
        <f>MID(tbl_lock[[#This Row],[PACE Job Number]],3,3)</f>
        <v>STX</v>
      </c>
      <c r="C5122" t="s">
        <v>15</v>
      </c>
      <c r="D5122" s="1">
        <v>43410</v>
      </c>
    </row>
    <row r="5123" spans="1:4" x14ac:dyDescent="0.25">
      <c r="A5123" t="s">
        <v>4197</v>
      </c>
      <c r="B5123" t="str">
        <f>MID(tbl_lock[[#This Row],[PACE Job Number]],3,3)</f>
        <v>WSH</v>
      </c>
      <c r="C5123" t="s">
        <v>15</v>
      </c>
      <c r="D5123" s="1">
        <v>43433</v>
      </c>
    </row>
    <row r="5124" spans="1:4" x14ac:dyDescent="0.25">
      <c r="A5124" t="s">
        <v>4559</v>
      </c>
      <c r="B5124" t="str">
        <f>MID(tbl_lock[[#This Row],[PACE Job Number]],3,3)</f>
        <v>NTX</v>
      </c>
      <c r="C5124" t="s">
        <v>15</v>
      </c>
      <c r="D5124" s="1">
        <v>43415</v>
      </c>
    </row>
    <row r="5125" spans="1:4" x14ac:dyDescent="0.25">
      <c r="A5125" t="s">
        <v>1768</v>
      </c>
      <c r="B5125" t="str">
        <f>MID(tbl_lock[[#This Row],[PACE Job Number]],3,3)</f>
        <v>NTX</v>
      </c>
      <c r="C5125" t="s">
        <v>15</v>
      </c>
      <c r="D5125" s="1">
        <v>43430</v>
      </c>
    </row>
    <row r="5126" spans="1:4" x14ac:dyDescent="0.25">
      <c r="A5126" t="s">
        <v>149</v>
      </c>
      <c r="B5126" t="str">
        <f>MID(tbl_lock[[#This Row],[PACE Job Number]],3,3)</f>
        <v>NTX</v>
      </c>
      <c r="C5126" t="s">
        <v>15</v>
      </c>
      <c r="D5126" s="1">
        <v>43427</v>
      </c>
    </row>
    <row r="5127" spans="1:4" x14ac:dyDescent="0.25">
      <c r="A5127" t="s">
        <v>3521</v>
      </c>
      <c r="B5127" t="str">
        <f>MID(tbl_lock[[#This Row],[PACE Job Number]],3,3)</f>
        <v>NTX</v>
      </c>
      <c r="C5127" t="s">
        <v>15</v>
      </c>
      <c r="D5127" s="1">
        <v>43413</v>
      </c>
    </row>
    <row r="5128" spans="1:4" x14ac:dyDescent="0.25">
      <c r="A5128" t="s">
        <v>2353</v>
      </c>
      <c r="B5128" t="str">
        <f>MID(tbl_lock[[#This Row],[PACE Job Number]],3,3)</f>
        <v>NTX</v>
      </c>
      <c r="C5128" t="s">
        <v>15</v>
      </c>
      <c r="D5128" s="1">
        <v>43415</v>
      </c>
    </row>
    <row r="5129" spans="1:4" x14ac:dyDescent="0.25">
      <c r="A5129" t="s">
        <v>653</v>
      </c>
      <c r="B5129" t="str">
        <f>MID(tbl_lock[[#This Row],[PACE Job Number]],3,3)</f>
        <v>NTX</v>
      </c>
      <c r="C5129" t="s">
        <v>15</v>
      </c>
      <c r="D5129" s="1">
        <v>43414</v>
      </c>
    </row>
    <row r="5130" spans="1:4" x14ac:dyDescent="0.25">
      <c r="A5130" t="s">
        <v>472</v>
      </c>
      <c r="B5130" t="str">
        <f>MID(tbl_lock[[#This Row],[PACE Job Number]],3,3)</f>
        <v>NTX</v>
      </c>
      <c r="C5130" t="s">
        <v>15</v>
      </c>
      <c r="D5130" s="1">
        <v>43415</v>
      </c>
    </row>
    <row r="5131" spans="1:4" x14ac:dyDescent="0.25">
      <c r="A5131" t="s">
        <v>1773</v>
      </c>
      <c r="B5131" t="str">
        <f>MID(tbl_lock[[#This Row],[PACE Job Number]],3,3)</f>
        <v>NTX</v>
      </c>
      <c r="C5131" t="s">
        <v>15</v>
      </c>
      <c r="D5131" s="1">
        <v>43425</v>
      </c>
    </row>
    <row r="5132" spans="1:4" x14ac:dyDescent="0.25">
      <c r="A5132" t="s">
        <v>371</v>
      </c>
      <c r="B5132" t="str">
        <f>MID(tbl_lock[[#This Row],[PACE Job Number]],3,3)</f>
        <v>NTX</v>
      </c>
      <c r="C5132" t="s">
        <v>15</v>
      </c>
      <c r="D5132" s="1">
        <v>43431</v>
      </c>
    </row>
    <row r="5133" spans="1:4" x14ac:dyDescent="0.25">
      <c r="A5133" t="s">
        <v>1776</v>
      </c>
      <c r="B5133" t="str">
        <f>MID(tbl_lock[[#This Row],[PACE Job Number]],3,3)</f>
        <v>NTX</v>
      </c>
      <c r="C5133" t="s">
        <v>15</v>
      </c>
      <c r="D5133" s="1">
        <v>43408</v>
      </c>
    </row>
    <row r="5134" spans="1:4" x14ac:dyDescent="0.25">
      <c r="A5134" t="s">
        <v>714</v>
      </c>
      <c r="B5134" t="str">
        <f>MID(tbl_lock[[#This Row],[PACE Job Number]],3,3)</f>
        <v>NTX</v>
      </c>
      <c r="C5134" t="s">
        <v>15</v>
      </c>
      <c r="D5134" s="1">
        <v>43413</v>
      </c>
    </row>
    <row r="5135" spans="1:4" x14ac:dyDescent="0.25">
      <c r="A5135" t="s">
        <v>5643</v>
      </c>
      <c r="B5135" t="str">
        <f>MID(tbl_lock[[#This Row],[PACE Job Number]],3,3)</f>
        <v>NTX</v>
      </c>
      <c r="C5135" t="s">
        <v>15</v>
      </c>
      <c r="D5135" s="1">
        <v>43434</v>
      </c>
    </row>
    <row r="5136" spans="1:4" x14ac:dyDescent="0.25">
      <c r="A5136" t="s">
        <v>4462</v>
      </c>
      <c r="B5136" t="str">
        <f>MID(tbl_lock[[#This Row],[PACE Job Number]],3,3)</f>
        <v>NTX</v>
      </c>
      <c r="C5136" t="s">
        <v>15</v>
      </c>
      <c r="D5136" s="1">
        <v>43430</v>
      </c>
    </row>
    <row r="5137" spans="1:4" x14ac:dyDescent="0.25">
      <c r="A5137" t="s">
        <v>4477</v>
      </c>
      <c r="B5137" t="str">
        <f>MID(tbl_lock[[#This Row],[PACE Job Number]],3,3)</f>
        <v>NTX</v>
      </c>
      <c r="C5137" t="s">
        <v>15</v>
      </c>
      <c r="D5137" s="1">
        <v>43431</v>
      </c>
    </row>
    <row r="5138" spans="1:4" x14ac:dyDescent="0.25">
      <c r="A5138" t="s">
        <v>2453</v>
      </c>
      <c r="B5138" t="str">
        <f>MID(tbl_lock[[#This Row],[PACE Job Number]],3,3)</f>
        <v>NTX</v>
      </c>
      <c r="C5138" t="s">
        <v>15</v>
      </c>
      <c r="D5138" s="1">
        <v>43406</v>
      </c>
    </row>
    <row r="5139" spans="1:4" x14ac:dyDescent="0.25">
      <c r="A5139" t="s">
        <v>4479</v>
      </c>
      <c r="B5139" t="str">
        <f>MID(tbl_lock[[#This Row],[PACE Job Number]],3,3)</f>
        <v>NTX</v>
      </c>
      <c r="C5139" t="s">
        <v>15</v>
      </c>
      <c r="D5139" s="1">
        <v>43431</v>
      </c>
    </row>
    <row r="5140" spans="1:4" x14ac:dyDescent="0.25">
      <c r="A5140" t="s">
        <v>2454</v>
      </c>
      <c r="B5140" t="str">
        <f>MID(tbl_lock[[#This Row],[PACE Job Number]],3,3)</f>
        <v>NTX</v>
      </c>
      <c r="C5140" t="s">
        <v>15</v>
      </c>
      <c r="D5140" s="1">
        <v>43417</v>
      </c>
    </row>
    <row r="5141" spans="1:4" x14ac:dyDescent="0.25">
      <c r="A5141" t="s">
        <v>3492</v>
      </c>
      <c r="B5141" t="str">
        <f>MID(tbl_lock[[#This Row],[PACE Job Number]],3,3)</f>
        <v>NTX</v>
      </c>
      <c r="C5141" t="s">
        <v>15</v>
      </c>
      <c r="D5141" s="1">
        <v>43425</v>
      </c>
    </row>
    <row r="5142" spans="1:4" x14ac:dyDescent="0.25">
      <c r="A5142" t="s">
        <v>1882</v>
      </c>
      <c r="B5142" t="str">
        <f>MID(tbl_lock[[#This Row],[PACE Job Number]],3,3)</f>
        <v>NTX</v>
      </c>
      <c r="C5142" t="s">
        <v>15</v>
      </c>
      <c r="D5142" s="1">
        <v>43427</v>
      </c>
    </row>
    <row r="5143" spans="1:4" x14ac:dyDescent="0.25">
      <c r="A5143" t="s">
        <v>3978</v>
      </c>
      <c r="B5143" t="str">
        <f>MID(tbl_lock[[#This Row],[PACE Job Number]],3,3)</f>
        <v>NTX</v>
      </c>
      <c r="C5143" t="s">
        <v>15</v>
      </c>
      <c r="D5143" s="1">
        <v>43413</v>
      </c>
    </row>
    <row r="5144" spans="1:4" x14ac:dyDescent="0.25">
      <c r="A5144" t="s">
        <v>4480</v>
      </c>
      <c r="B5144" t="str">
        <f>MID(tbl_lock[[#This Row],[PACE Job Number]],3,3)</f>
        <v>NTX</v>
      </c>
      <c r="C5144" t="s">
        <v>15</v>
      </c>
      <c r="D5144" s="1">
        <v>43431</v>
      </c>
    </row>
    <row r="5145" spans="1:4" x14ac:dyDescent="0.25">
      <c r="A5145" t="s">
        <v>4481</v>
      </c>
      <c r="B5145" t="str">
        <f>MID(tbl_lock[[#This Row],[PACE Job Number]],3,3)</f>
        <v>NTX</v>
      </c>
      <c r="C5145" t="s">
        <v>15</v>
      </c>
      <c r="D5145" s="1">
        <v>43431</v>
      </c>
    </row>
    <row r="5146" spans="1:4" x14ac:dyDescent="0.25">
      <c r="A5146" t="s">
        <v>4483</v>
      </c>
      <c r="B5146" t="str">
        <f>MID(tbl_lock[[#This Row],[PACE Job Number]],3,3)</f>
        <v>NTX</v>
      </c>
      <c r="C5146" t="s">
        <v>15</v>
      </c>
      <c r="D5146" s="1">
        <v>43431</v>
      </c>
    </row>
    <row r="5147" spans="1:4" x14ac:dyDescent="0.25">
      <c r="A5147" t="s">
        <v>4034</v>
      </c>
      <c r="B5147" t="str">
        <f>MID(tbl_lock[[#This Row],[PACE Job Number]],3,3)</f>
        <v>NTX</v>
      </c>
      <c r="C5147" t="s">
        <v>15</v>
      </c>
      <c r="D5147" s="1">
        <v>43417</v>
      </c>
    </row>
    <row r="5148" spans="1:4" x14ac:dyDescent="0.25">
      <c r="A5148" t="s">
        <v>4484</v>
      </c>
      <c r="B5148" t="str">
        <f>MID(tbl_lock[[#This Row],[PACE Job Number]],3,3)</f>
        <v>NTX</v>
      </c>
      <c r="C5148" t="s">
        <v>15</v>
      </c>
      <c r="D5148" s="1">
        <v>43431</v>
      </c>
    </row>
    <row r="5149" spans="1:4" x14ac:dyDescent="0.25">
      <c r="A5149" t="s">
        <v>3466</v>
      </c>
      <c r="B5149" t="str">
        <f>MID(tbl_lock[[#This Row],[PACE Job Number]],3,3)</f>
        <v>NTX</v>
      </c>
      <c r="C5149" t="s">
        <v>15</v>
      </c>
      <c r="D5149" s="1">
        <v>43425</v>
      </c>
    </row>
    <row r="5150" spans="1:4" x14ac:dyDescent="0.25">
      <c r="A5150" t="s">
        <v>3905</v>
      </c>
      <c r="B5150" t="str">
        <f>MID(tbl_lock[[#This Row],[PACE Job Number]],3,3)</f>
        <v>NTX</v>
      </c>
      <c r="C5150" t="s">
        <v>15</v>
      </c>
      <c r="D5150" s="1">
        <v>43425</v>
      </c>
    </row>
    <row r="5151" spans="1:4" x14ac:dyDescent="0.25">
      <c r="A5151" t="s">
        <v>2464</v>
      </c>
      <c r="B5151" t="str">
        <f>MID(tbl_lock[[#This Row],[PACE Job Number]],3,3)</f>
        <v>NTX</v>
      </c>
      <c r="C5151" t="s">
        <v>15</v>
      </c>
      <c r="D5151" s="1">
        <v>43425</v>
      </c>
    </row>
    <row r="5152" spans="1:4" x14ac:dyDescent="0.25">
      <c r="A5152" t="s">
        <v>4654</v>
      </c>
      <c r="B5152" t="str">
        <f>MID(tbl_lock[[#This Row],[PACE Job Number]],3,3)</f>
        <v>STX</v>
      </c>
      <c r="C5152" t="s">
        <v>15</v>
      </c>
      <c r="D5152" s="1">
        <v>43406</v>
      </c>
    </row>
    <row r="5153" spans="1:4" x14ac:dyDescent="0.25">
      <c r="A5153" t="s">
        <v>224</v>
      </c>
      <c r="B5153" t="str">
        <f>MID(tbl_lock[[#This Row],[PACE Job Number]],3,3)</f>
        <v>NTX</v>
      </c>
      <c r="C5153" t="s">
        <v>15</v>
      </c>
      <c r="D5153" s="1">
        <v>43416</v>
      </c>
    </row>
    <row r="5154" spans="1:4" x14ac:dyDescent="0.25">
      <c r="A5154" t="s">
        <v>2356</v>
      </c>
      <c r="B5154" t="str">
        <f>MID(tbl_lock[[#This Row],[PACE Job Number]],3,3)</f>
        <v>NTX</v>
      </c>
      <c r="C5154" t="s">
        <v>15</v>
      </c>
      <c r="D5154" s="1">
        <v>43431</v>
      </c>
    </row>
    <row r="5155" spans="1:4" x14ac:dyDescent="0.25">
      <c r="A5155" t="s">
        <v>1781</v>
      </c>
      <c r="B5155" t="str">
        <f>MID(tbl_lock[[#This Row],[PACE Job Number]],3,3)</f>
        <v>NTX</v>
      </c>
      <c r="C5155" t="s">
        <v>15</v>
      </c>
      <c r="D5155" s="1">
        <v>43427</v>
      </c>
    </row>
    <row r="5156" spans="1:4" x14ac:dyDescent="0.25">
      <c r="A5156" t="s">
        <v>1783</v>
      </c>
      <c r="B5156" t="str">
        <f>MID(tbl_lock[[#This Row],[PACE Job Number]],3,3)</f>
        <v>NTX</v>
      </c>
      <c r="C5156" t="s">
        <v>15</v>
      </c>
      <c r="D5156" s="1">
        <v>43418</v>
      </c>
    </row>
    <row r="5157" spans="1:4" x14ac:dyDescent="0.25">
      <c r="A5157" t="s">
        <v>3436</v>
      </c>
      <c r="B5157" t="str">
        <f>MID(tbl_lock[[#This Row],[PACE Job Number]],3,3)</f>
        <v>NTX</v>
      </c>
      <c r="C5157" t="s">
        <v>15</v>
      </c>
      <c r="D5157" s="1">
        <v>43416</v>
      </c>
    </row>
    <row r="5158" spans="1:4" x14ac:dyDescent="0.25">
      <c r="A5158" t="s">
        <v>3923</v>
      </c>
      <c r="B5158" t="str">
        <f>MID(tbl_lock[[#This Row],[PACE Job Number]],3,3)</f>
        <v>NTX</v>
      </c>
      <c r="C5158" t="s">
        <v>15</v>
      </c>
      <c r="D5158" s="1">
        <v>43427</v>
      </c>
    </row>
    <row r="5159" spans="1:4" x14ac:dyDescent="0.25">
      <c r="A5159" t="s">
        <v>4014</v>
      </c>
      <c r="B5159" t="str">
        <f>MID(tbl_lock[[#This Row],[PACE Job Number]],3,3)</f>
        <v>NTX</v>
      </c>
      <c r="C5159" t="s">
        <v>15</v>
      </c>
      <c r="D5159" s="1">
        <v>43416</v>
      </c>
    </row>
    <row r="5160" spans="1:4" x14ac:dyDescent="0.25">
      <c r="A5160" t="s">
        <v>4516</v>
      </c>
      <c r="B5160" t="str">
        <f>MID(tbl_lock[[#This Row],[PACE Job Number]],3,3)</f>
        <v>NTX</v>
      </c>
      <c r="C5160" t="s">
        <v>15</v>
      </c>
      <c r="D5160" s="1">
        <v>43425</v>
      </c>
    </row>
    <row r="5161" spans="1:4" x14ac:dyDescent="0.25">
      <c r="A5161" t="s">
        <v>603</v>
      </c>
      <c r="B5161" t="str">
        <f>MID(tbl_lock[[#This Row],[PACE Job Number]],3,3)</f>
        <v>NTX</v>
      </c>
      <c r="C5161" t="s">
        <v>15</v>
      </c>
      <c r="D5161" s="1">
        <v>43415</v>
      </c>
    </row>
    <row r="5162" spans="1:4" x14ac:dyDescent="0.25">
      <c r="A5162" t="s">
        <v>4324</v>
      </c>
      <c r="B5162" t="str">
        <f>MID(tbl_lock[[#This Row],[PACE Job Number]],3,3)</f>
        <v>NTX</v>
      </c>
      <c r="C5162" t="s">
        <v>15</v>
      </c>
      <c r="D5162" s="1">
        <v>43406</v>
      </c>
    </row>
    <row r="5163" spans="1:4" x14ac:dyDescent="0.25">
      <c r="A5163" t="s">
        <v>1784</v>
      </c>
      <c r="B5163" t="str">
        <f>MID(tbl_lock[[#This Row],[PACE Job Number]],3,3)</f>
        <v>NTX</v>
      </c>
      <c r="C5163" t="s">
        <v>15</v>
      </c>
      <c r="D5163" s="1">
        <v>43411</v>
      </c>
    </row>
    <row r="5164" spans="1:4" x14ac:dyDescent="0.25">
      <c r="A5164" t="s">
        <v>1785</v>
      </c>
      <c r="B5164" t="str">
        <f>MID(tbl_lock[[#This Row],[PACE Job Number]],3,3)</f>
        <v>NTX</v>
      </c>
      <c r="C5164" t="s">
        <v>15</v>
      </c>
      <c r="D5164" s="1">
        <v>43425</v>
      </c>
    </row>
    <row r="5165" spans="1:4" x14ac:dyDescent="0.25">
      <c r="A5165" t="s">
        <v>4517</v>
      </c>
      <c r="B5165" t="str">
        <f>MID(tbl_lock[[#This Row],[PACE Job Number]],3,3)</f>
        <v>NTX</v>
      </c>
      <c r="C5165" t="s">
        <v>15</v>
      </c>
      <c r="D5165" s="1">
        <v>43425</v>
      </c>
    </row>
    <row r="5166" spans="1:4" x14ac:dyDescent="0.25">
      <c r="A5166" t="s">
        <v>2362</v>
      </c>
      <c r="B5166" t="str">
        <f>MID(tbl_lock[[#This Row],[PACE Job Number]],3,3)</f>
        <v>NTX</v>
      </c>
      <c r="C5166" t="s">
        <v>15</v>
      </c>
      <c r="D5166" s="1">
        <v>43427</v>
      </c>
    </row>
    <row r="5167" spans="1:4" x14ac:dyDescent="0.25">
      <c r="A5167" t="s">
        <v>667</v>
      </c>
      <c r="B5167" t="str">
        <f>MID(tbl_lock[[#This Row],[PACE Job Number]],3,3)</f>
        <v>NTX</v>
      </c>
      <c r="C5167" t="s">
        <v>15</v>
      </c>
      <c r="D5167" s="1">
        <v>43425</v>
      </c>
    </row>
    <row r="5168" spans="1:4" x14ac:dyDescent="0.25">
      <c r="A5168" t="s">
        <v>2363</v>
      </c>
      <c r="B5168" t="str">
        <f>MID(tbl_lock[[#This Row],[PACE Job Number]],3,3)</f>
        <v>NTX</v>
      </c>
      <c r="C5168" t="s">
        <v>15</v>
      </c>
      <c r="D5168" s="1">
        <v>43427</v>
      </c>
    </row>
    <row r="5169" spans="1:4" x14ac:dyDescent="0.25">
      <c r="A5169" t="s">
        <v>2482</v>
      </c>
      <c r="B5169" t="str">
        <f>MID(tbl_lock[[#This Row],[PACE Job Number]],3,3)</f>
        <v>NTX</v>
      </c>
      <c r="C5169" t="s">
        <v>15</v>
      </c>
      <c r="D5169" s="1">
        <v>43407</v>
      </c>
    </row>
    <row r="5170" spans="1:4" x14ac:dyDescent="0.25">
      <c r="A5170" t="s">
        <v>2495</v>
      </c>
      <c r="B5170" t="str">
        <f>MID(tbl_lock[[#This Row],[PACE Job Number]],3,3)</f>
        <v>NTX</v>
      </c>
      <c r="C5170" t="s">
        <v>15</v>
      </c>
      <c r="D5170" s="1">
        <v>43424</v>
      </c>
    </row>
    <row r="5171" spans="1:4" x14ac:dyDescent="0.25">
      <c r="A5171" t="s">
        <v>76</v>
      </c>
      <c r="B5171" t="str">
        <f>MID(tbl_lock[[#This Row],[PACE Job Number]],3,3)</f>
        <v>WSH</v>
      </c>
      <c r="C5171" t="s">
        <v>15</v>
      </c>
      <c r="D5171" s="1">
        <v>43434</v>
      </c>
    </row>
    <row r="5172" spans="1:4" x14ac:dyDescent="0.25">
      <c r="A5172" t="s">
        <v>1296</v>
      </c>
      <c r="B5172" t="str">
        <f>MID(tbl_lock[[#This Row],[PACE Job Number]],3,3)</f>
        <v>WSH</v>
      </c>
      <c r="C5172" t="s">
        <v>15</v>
      </c>
      <c r="D5172" s="1">
        <v>43429</v>
      </c>
    </row>
    <row r="5173" spans="1:4" x14ac:dyDescent="0.25">
      <c r="A5173" t="s">
        <v>1215</v>
      </c>
      <c r="B5173" t="str">
        <f>MID(tbl_lock[[#This Row],[PACE Job Number]],3,3)</f>
        <v>WSH</v>
      </c>
      <c r="C5173" t="s">
        <v>15</v>
      </c>
      <c r="D5173" s="1">
        <v>43429</v>
      </c>
    </row>
    <row r="5174" spans="1:4" x14ac:dyDescent="0.25">
      <c r="A5174" t="s">
        <v>3998</v>
      </c>
      <c r="B5174" t="str">
        <f>MID(tbl_lock[[#This Row],[PACE Job Number]],3,3)</f>
        <v>WSH</v>
      </c>
      <c r="C5174" t="s">
        <v>15</v>
      </c>
      <c r="D5174" s="1">
        <v>43434</v>
      </c>
    </row>
    <row r="5175" spans="1:4" x14ac:dyDescent="0.25">
      <c r="A5175" t="s">
        <v>375</v>
      </c>
      <c r="B5175" t="str">
        <f>MID(tbl_lock[[#This Row],[PACE Job Number]],3,3)</f>
        <v>WSH</v>
      </c>
      <c r="C5175" t="s">
        <v>15</v>
      </c>
      <c r="D5175" s="1">
        <v>43434</v>
      </c>
    </row>
    <row r="5176" spans="1:4" x14ac:dyDescent="0.25">
      <c r="A5176" t="s">
        <v>408</v>
      </c>
      <c r="B5176" t="str">
        <f>MID(tbl_lock[[#This Row],[PACE Job Number]],3,3)</f>
        <v>WSH</v>
      </c>
      <c r="C5176" t="s">
        <v>15</v>
      </c>
      <c r="D5176" s="1">
        <v>43434</v>
      </c>
    </row>
    <row r="5177" spans="1:4" x14ac:dyDescent="0.25">
      <c r="A5177" t="s">
        <v>1317</v>
      </c>
      <c r="B5177" t="str">
        <f>MID(tbl_lock[[#This Row],[PACE Job Number]],3,3)</f>
        <v>WSH</v>
      </c>
      <c r="C5177" t="s">
        <v>15</v>
      </c>
      <c r="D5177" s="1">
        <v>43429</v>
      </c>
    </row>
    <row r="5178" spans="1:4" x14ac:dyDescent="0.25">
      <c r="A5178" t="s">
        <v>4659</v>
      </c>
      <c r="B5178" t="str">
        <f>MID(tbl_lock[[#This Row],[PACE Job Number]],3,3)</f>
        <v>WSH</v>
      </c>
      <c r="C5178" t="s">
        <v>15</v>
      </c>
      <c r="D5178" s="1">
        <v>43434</v>
      </c>
    </row>
    <row r="5179" spans="1:4" x14ac:dyDescent="0.25">
      <c r="A5179" t="s">
        <v>311</v>
      </c>
      <c r="B5179" t="str">
        <f>MID(tbl_lock[[#This Row],[PACE Job Number]],3,3)</f>
        <v>WSH</v>
      </c>
      <c r="C5179" t="s">
        <v>15</v>
      </c>
      <c r="D5179" s="1">
        <v>43434</v>
      </c>
    </row>
    <row r="5180" spans="1:4" x14ac:dyDescent="0.25">
      <c r="A5180" t="s">
        <v>436</v>
      </c>
      <c r="B5180" t="str">
        <f>MID(tbl_lock[[#This Row],[PACE Job Number]],3,3)</f>
        <v>WSH</v>
      </c>
      <c r="C5180" t="s">
        <v>15</v>
      </c>
      <c r="D5180" s="1">
        <v>43434</v>
      </c>
    </row>
    <row r="5181" spans="1:4" x14ac:dyDescent="0.25">
      <c r="A5181" t="s">
        <v>381</v>
      </c>
      <c r="B5181" t="str">
        <f>MID(tbl_lock[[#This Row],[PACE Job Number]],3,3)</f>
        <v>WSH</v>
      </c>
      <c r="C5181" t="s">
        <v>15</v>
      </c>
      <c r="D5181" s="1">
        <v>43434</v>
      </c>
    </row>
    <row r="5182" spans="1:4" x14ac:dyDescent="0.25">
      <c r="A5182" t="s">
        <v>3539</v>
      </c>
      <c r="B5182" t="str">
        <f>MID(tbl_lock[[#This Row],[PACE Job Number]],3,3)</f>
        <v>WSH</v>
      </c>
      <c r="C5182" t="s">
        <v>15</v>
      </c>
      <c r="D5182" s="1">
        <v>43434</v>
      </c>
    </row>
    <row r="5183" spans="1:4" x14ac:dyDescent="0.25">
      <c r="A5183" t="s">
        <v>3999</v>
      </c>
      <c r="B5183" t="str">
        <f>MID(tbl_lock[[#This Row],[PACE Job Number]],3,3)</f>
        <v>WSH</v>
      </c>
      <c r="C5183" t="s">
        <v>15</v>
      </c>
      <c r="D5183" s="1">
        <v>43434</v>
      </c>
    </row>
    <row r="5184" spans="1:4" x14ac:dyDescent="0.25">
      <c r="A5184" t="s">
        <v>1232</v>
      </c>
      <c r="B5184" t="str">
        <f>MID(tbl_lock[[#This Row],[PACE Job Number]],3,3)</f>
        <v>WSH</v>
      </c>
      <c r="C5184" t="s">
        <v>15</v>
      </c>
      <c r="D5184" s="1">
        <v>43429</v>
      </c>
    </row>
    <row r="5185" spans="1:4" x14ac:dyDescent="0.25">
      <c r="A5185" t="s">
        <v>383</v>
      </c>
      <c r="B5185" t="str">
        <f>MID(tbl_lock[[#This Row],[PACE Job Number]],3,3)</f>
        <v>WSH</v>
      </c>
      <c r="C5185" t="s">
        <v>15</v>
      </c>
      <c r="D5185" s="1">
        <v>43434</v>
      </c>
    </row>
    <row r="5186" spans="1:4" x14ac:dyDescent="0.25">
      <c r="A5186" t="s">
        <v>504</v>
      </c>
      <c r="B5186" t="str">
        <f>MID(tbl_lock[[#This Row],[PACE Job Number]],3,3)</f>
        <v>WSH</v>
      </c>
      <c r="C5186" t="s">
        <v>15</v>
      </c>
      <c r="D5186" s="1">
        <v>43421</v>
      </c>
    </row>
    <row r="5187" spans="1:4" x14ac:dyDescent="0.25">
      <c r="A5187" t="s">
        <v>1289</v>
      </c>
      <c r="B5187" t="str">
        <f>MID(tbl_lock[[#This Row],[PACE Job Number]],3,3)</f>
        <v>WSH</v>
      </c>
      <c r="C5187" t="s">
        <v>15</v>
      </c>
      <c r="D5187" s="1">
        <v>43429</v>
      </c>
    </row>
    <row r="5188" spans="1:4" x14ac:dyDescent="0.25">
      <c r="A5188" t="s">
        <v>1360</v>
      </c>
      <c r="B5188" t="str">
        <f>MID(tbl_lock[[#This Row],[PACE Job Number]],3,3)</f>
        <v>WSH</v>
      </c>
      <c r="C5188" t="s">
        <v>15</v>
      </c>
      <c r="D5188" s="1">
        <v>43429</v>
      </c>
    </row>
    <row r="5189" spans="1:4" x14ac:dyDescent="0.25">
      <c r="A5189" t="s">
        <v>500</v>
      </c>
      <c r="B5189" t="str">
        <f>MID(tbl_lock[[#This Row],[PACE Job Number]],3,3)</f>
        <v>WSH</v>
      </c>
      <c r="C5189" t="s">
        <v>15</v>
      </c>
      <c r="D5189" s="1">
        <v>43434</v>
      </c>
    </row>
    <row r="5190" spans="1:4" x14ac:dyDescent="0.25">
      <c r="A5190" t="s">
        <v>403</v>
      </c>
      <c r="B5190" t="str">
        <f>MID(tbl_lock[[#This Row],[PACE Job Number]],3,3)</f>
        <v>WSH</v>
      </c>
      <c r="C5190" t="s">
        <v>15</v>
      </c>
      <c r="D5190" s="1">
        <v>43434</v>
      </c>
    </row>
    <row r="5191" spans="1:4" x14ac:dyDescent="0.25">
      <c r="A5191" t="s">
        <v>163</v>
      </c>
      <c r="B5191" t="str">
        <f>MID(tbl_lock[[#This Row],[PACE Job Number]],3,3)</f>
        <v>WSH</v>
      </c>
      <c r="C5191" t="s">
        <v>15</v>
      </c>
      <c r="D5191" s="1">
        <v>43421</v>
      </c>
    </row>
    <row r="5192" spans="1:4" x14ac:dyDescent="0.25">
      <c r="A5192" t="s">
        <v>4662</v>
      </c>
      <c r="B5192" t="str">
        <f>MID(tbl_lock[[#This Row],[PACE Job Number]],3,3)</f>
        <v>STX</v>
      </c>
      <c r="C5192" t="s">
        <v>15</v>
      </c>
      <c r="D5192" s="1">
        <v>43410</v>
      </c>
    </row>
    <row r="5193" spans="1:4" x14ac:dyDescent="0.25">
      <c r="A5193" t="s">
        <v>4051</v>
      </c>
      <c r="B5193" t="str">
        <f>MID(tbl_lock[[#This Row],[PACE Job Number]],3,3)</f>
        <v>STX</v>
      </c>
      <c r="C5193" t="s">
        <v>15</v>
      </c>
      <c r="D5193" s="1">
        <v>43406</v>
      </c>
    </row>
    <row r="5194" spans="1:4" x14ac:dyDescent="0.25">
      <c r="A5194" t="s">
        <v>3444</v>
      </c>
      <c r="B5194" t="str">
        <f>MID(tbl_lock[[#This Row],[PACE Job Number]],3,3)</f>
        <v>STX</v>
      </c>
      <c r="C5194" t="s">
        <v>15</v>
      </c>
      <c r="D5194" s="1">
        <v>43419</v>
      </c>
    </row>
    <row r="5195" spans="1:4" x14ac:dyDescent="0.25">
      <c r="A5195" t="s">
        <v>250</v>
      </c>
      <c r="B5195" t="str">
        <f>MID(tbl_lock[[#This Row],[PACE Job Number]],3,3)</f>
        <v>STX</v>
      </c>
      <c r="C5195" t="s">
        <v>15</v>
      </c>
      <c r="D5195" s="1">
        <v>43418</v>
      </c>
    </row>
    <row r="5196" spans="1:4" x14ac:dyDescent="0.25">
      <c r="A5196" t="s">
        <v>4027</v>
      </c>
      <c r="B5196" t="str">
        <f>MID(tbl_lock[[#This Row],[PACE Job Number]],3,3)</f>
        <v>STX</v>
      </c>
      <c r="C5196" t="s">
        <v>15</v>
      </c>
      <c r="D5196" s="1">
        <v>43419</v>
      </c>
    </row>
    <row r="5197" spans="1:4" x14ac:dyDescent="0.25">
      <c r="A5197" t="s">
        <v>2540</v>
      </c>
      <c r="B5197" t="str">
        <f>MID(tbl_lock[[#This Row],[PACE Job Number]],3,3)</f>
        <v>STX</v>
      </c>
      <c r="C5197" t="s">
        <v>15</v>
      </c>
      <c r="D5197" s="1">
        <v>43418</v>
      </c>
    </row>
    <row r="5198" spans="1:4" x14ac:dyDescent="0.25">
      <c r="A5198" t="s">
        <v>2537</v>
      </c>
      <c r="B5198" t="str">
        <f>MID(tbl_lock[[#This Row],[PACE Job Number]],3,3)</f>
        <v>STX</v>
      </c>
      <c r="C5198" t="s">
        <v>15</v>
      </c>
      <c r="D5198" s="1">
        <v>43418</v>
      </c>
    </row>
    <row r="5199" spans="1:4" x14ac:dyDescent="0.25">
      <c r="A5199" t="s">
        <v>4028</v>
      </c>
      <c r="B5199" t="str">
        <f>MID(tbl_lock[[#This Row],[PACE Job Number]],3,3)</f>
        <v>STX</v>
      </c>
      <c r="C5199" t="s">
        <v>15</v>
      </c>
      <c r="D5199" s="1">
        <v>43419</v>
      </c>
    </row>
    <row r="5200" spans="1:4" x14ac:dyDescent="0.25">
      <c r="A5200" t="s">
        <v>3522</v>
      </c>
      <c r="B5200" t="str">
        <f>MID(tbl_lock[[#This Row],[PACE Job Number]],3,3)</f>
        <v>STX</v>
      </c>
      <c r="C5200" t="s">
        <v>15</v>
      </c>
      <c r="D5200" s="1">
        <v>43433</v>
      </c>
    </row>
    <row r="5201" spans="1:4" x14ac:dyDescent="0.25">
      <c r="A5201" t="s">
        <v>4663</v>
      </c>
      <c r="B5201" t="str">
        <f>MID(tbl_lock[[#This Row],[PACE Job Number]],3,3)</f>
        <v>STX</v>
      </c>
      <c r="C5201" t="s">
        <v>15</v>
      </c>
      <c r="D5201" s="1">
        <v>43410</v>
      </c>
    </row>
    <row r="5202" spans="1:4" x14ac:dyDescent="0.25">
      <c r="A5202" t="s">
        <v>3476</v>
      </c>
      <c r="B5202" t="str">
        <f>MID(tbl_lock[[#This Row],[PACE Job Number]],3,3)</f>
        <v>STX</v>
      </c>
      <c r="C5202" t="s">
        <v>15</v>
      </c>
      <c r="D5202" s="1">
        <v>43410</v>
      </c>
    </row>
    <row r="5203" spans="1:4" x14ac:dyDescent="0.25">
      <c r="A5203" t="s">
        <v>2497</v>
      </c>
      <c r="B5203" t="str">
        <f>MID(tbl_lock[[#This Row],[PACE Job Number]],3,3)</f>
        <v>NTX</v>
      </c>
      <c r="C5203" t="s">
        <v>15</v>
      </c>
      <c r="D5203" s="1">
        <v>43424</v>
      </c>
    </row>
    <row r="5204" spans="1:4" x14ac:dyDescent="0.25">
      <c r="A5204" t="s">
        <v>4560</v>
      </c>
      <c r="B5204" t="str">
        <f>MID(tbl_lock[[#This Row],[PACE Job Number]],3,3)</f>
        <v>NTX</v>
      </c>
      <c r="C5204" t="s">
        <v>15</v>
      </c>
      <c r="D5204" s="1">
        <v>43425</v>
      </c>
    </row>
    <row r="5205" spans="1:4" x14ac:dyDescent="0.25">
      <c r="A5205" t="s">
        <v>3826</v>
      </c>
      <c r="B5205" t="str">
        <f>MID(tbl_lock[[#This Row],[PACE Job Number]],3,3)</f>
        <v>NTX</v>
      </c>
      <c r="C5205" t="s">
        <v>15</v>
      </c>
      <c r="D5205" s="1">
        <v>43429</v>
      </c>
    </row>
    <row r="5206" spans="1:4" x14ac:dyDescent="0.25">
      <c r="A5206" t="s">
        <v>4503</v>
      </c>
      <c r="B5206" t="str">
        <f>MID(tbl_lock[[#This Row],[PACE Job Number]],3,3)</f>
        <v>NTX</v>
      </c>
      <c r="C5206" t="s">
        <v>15</v>
      </c>
      <c r="D5206" s="1">
        <v>43428</v>
      </c>
    </row>
    <row r="5207" spans="1:4" x14ac:dyDescent="0.25">
      <c r="A5207" t="s">
        <v>4504</v>
      </c>
      <c r="B5207" t="str">
        <f>MID(tbl_lock[[#This Row],[PACE Job Number]],3,3)</f>
        <v>NTX</v>
      </c>
      <c r="C5207" t="s">
        <v>15</v>
      </c>
      <c r="D5207" s="1">
        <v>43431</v>
      </c>
    </row>
    <row r="5208" spans="1:4" x14ac:dyDescent="0.25">
      <c r="A5208" t="s">
        <v>3827</v>
      </c>
      <c r="B5208" t="str">
        <f>MID(tbl_lock[[#This Row],[PACE Job Number]],3,3)</f>
        <v>NTX</v>
      </c>
      <c r="C5208" t="s">
        <v>15</v>
      </c>
      <c r="D5208" s="1">
        <v>43429</v>
      </c>
    </row>
    <row r="5209" spans="1:4" x14ac:dyDescent="0.25">
      <c r="A5209" t="s">
        <v>2488</v>
      </c>
      <c r="B5209" t="str">
        <f>MID(tbl_lock[[#This Row],[PACE Job Number]],3,3)</f>
        <v>NTX</v>
      </c>
      <c r="C5209" t="s">
        <v>15</v>
      </c>
      <c r="D5209" s="1">
        <v>43407</v>
      </c>
    </row>
    <row r="5210" spans="1:4" x14ac:dyDescent="0.25">
      <c r="A5210" t="s">
        <v>3493</v>
      </c>
      <c r="B5210" t="str">
        <f>MID(tbl_lock[[#This Row],[PACE Job Number]],3,3)</f>
        <v>NTX</v>
      </c>
      <c r="C5210" t="s">
        <v>15</v>
      </c>
      <c r="D5210" s="1">
        <v>43412</v>
      </c>
    </row>
    <row r="5211" spans="1:4" x14ac:dyDescent="0.25">
      <c r="A5211" t="s">
        <v>2140</v>
      </c>
      <c r="B5211" t="str">
        <f>MID(tbl_lock[[#This Row],[PACE Job Number]],3,3)</f>
        <v>NTX</v>
      </c>
      <c r="C5211" t="s">
        <v>15</v>
      </c>
      <c r="D5211" s="1">
        <v>43433</v>
      </c>
    </row>
    <row r="5212" spans="1:4" x14ac:dyDescent="0.25">
      <c r="A5212" t="s">
        <v>198</v>
      </c>
      <c r="B5212" t="str">
        <f>MID(tbl_lock[[#This Row],[PACE Job Number]],3,3)</f>
        <v>NTX</v>
      </c>
      <c r="C5212" t="s">
        <v>15</v>
      </c>
      <c r="D5212" s="1">
        <v>43426</v>
      </c>
    </row>
    <row r="5213" spans="1:4" x14ac:dyDescent="0.25">
      <c r="A5213" t="s">
        <v>4506</v>
      </c>
      <c r="B5213" t="str">
        <f>MID(tbl_lock[[#This Row],[PACE Job Number]],3,3)</f>
        <v>NTX</v>
      </c>
      <c r="C5213" t="s">
        <v>15</v>
      </c>
      <c r="D5213" s="1">
        <v>43428</v>
      </c>
    </row>
    <row r="5214" spans="1:4" x14ac:dyDescent="0.25">
      <c r="A5214" t="s">
        <v>4507</v>
      </c>
      <c r="B5214" t="str">
        <f>MID(tbl_lock[[#This Row],[PACE Job Number]],3,3)</f>
        <v>NTX</v>
      </c>
      <c r="C5214" t="s">
        <v>15</v>
      </c>
      <c r="D5214" s="1">
        <v>43413</v>
      </c>
    </row>
    <row r="5215" spans="1:4" x14ac:dyDescent="0.25">
      <c r="A5215" t="s">
        <v>3985</v>
      </c>
      <c r="B5215" t="str">
        <f>MID(tbl_lock[[#This Row],[PACE Job Number]],3,3)</f>
        <v>NTX</v>
      </c>
      <c r="C5215" t="s">
        <v>15</v>
      </c>
      <c r="D5215" s="1">
        <v>43407</v>
      </c>
    </row>
    <row r="5216" spans="1:4" x14ac:dyDescent="0.25">
      <c r="A5216" t="s">
        <v>4597</v>
      </c>
      <c r="B5216" t="str">
        <f>MID(tbl_lock[[#This Row],[PACE Job Number]],3,3)</f>
        <v>STX</v>
      </c>
      <c r="C5216" t="s">
        <v>15</v>
      </c>
      <c r="D5216" s="1">
        <v>43418</v>
      </c>
    </row>
    <row r="5217" spans="1:4" x14ac:dyDescent="0.25">
      <c r="A5217" t="s">
        <v>4598</v>
      </c>
      <c r="B5217" t="str">
        <f>MID(tbl_lock[[#This Row],[PACE Job Number]],3,3)</f>
        <v>STX</v>
      </c>
      <c r="C5217" t="s">
        <v>15</v>
      </c>
      <c r="D5217" s="1">
        <v>43418</v>
      </c>
    </row>
    <row r="5218" spans="1:4" x14ac:dyDescent="0.25">
      <c r="A5218" t="s">
        <v>741</v>
      </c>
      <c r="B5218" t="str">
        <f>MID(tbl_lock[[#This Row],[PACE Job Number]],3,3)</f>
        <v>STX</v>
      </c>
      <c r="C5218" t="s">
        <v>15</v>
      </c>
      <c r="D5218" s="1">
        <v>43410</v>
      </c>
    </row>
    <row r="5219" spans="1:4" x14ac:dyDescent="0.25">
      <c r="A5219" t="s">
        <v>666</v>
      </c>
      <c r="B5219" t="str">
        <f>MID(tbl_lock[[#This Row],[PACE Job Number]],3,3)</f>
        <v>STX</v>
      </c>
      <c r="C5219" t="s">
        <v>15</v>
      </c>
      <c r="D5219" s="1">
        <v>43410</v>
      </c>
    </row>
    <row r="5220" spans="1:4" x14ac:dyDescent="0.25">
      <c r="A5220" t="s">
        <v>192</v>
      </c>
      <c r="B5220" t="str">
        <f>MID(tbl_lock[[#This Row],[PACE Job Number]],3,3)</f>
        <v>STX</v>
      </c>
      <c r="C5220" t="s">
        <v>15</v>
      </c>
      <c r="D5220" s="1">
        <v>43430</v>
      </c>
    </row>
    <row r="5221" spans="1:4" x14ac:dyDescent="0.25">
      <c r="A5221" t="s">
        <v>174</v>
      </c>
      <c r="B5221" t="str">
        <f>MID(tbl_lock[[#This Row],[PACE Job Number]],3,3)</f>
        <v>STX</v>
      </c>
      <c r="C5221" t="s">
        <v>15</v>
      </c>
      <c r="D5221" s="1">
        <v>43430</v>
      </c>
    </row>
    <row r="5222" spans="1:4" x14ac:dyDescent="0.25">
      <c r="A5222" t="s">
        <v>4032</v>
      </c>
      <c r="B5222" t="str">
        <f>MID(tbl_lock[[#This Row],[PACE Job Number]],3,3)</f>
        <v>STX</v>
      </c>
      <c r="C5222" t="s">
        <v>15</v>
      </c>
      <c r="D5222" s="1">
        <v>43418</v>
      </c>
    </row>
    <row r="5223" spans="1:4" x14ac:dyDescent="0.25">
      <c r="A5223" t="s">
        <v>4033</v>
      </c>
      <c r="B5223" t="str">
        <f>MID(tbl_lock[[#This Row],[PACE Job Number]],3,3)</f>
        <v>STX</v>
      </c>
      <c r="C5223" t="s">
        <v>15</v>
      </c>
      <c r="D5223" s="1">
        <v>43418</v>
      </c>
    </row>
    <row r="5224" spans="1:4" x14ac:dyDescent="0.25">
      <c r="A5224" t="s">
        <v>791</v>
      </c>
      <c r="B5224" t="str">
        <f>MID(tbl_lock[[#This Row],[PACE Job Number]],3,3)</f>
        <v>STX</v>
      </c>
      <c r="C5224" t="s">
        <v>15</v>
      </c>
      <c r="D5224" s="1">
        <v>43410</v>
      </c>
    </row>
    <row r="5225" spans="1:4" x14ac:dyDescent="0.25">
      <c r="A5225" t="s">
        <v>205</v>
      </c>
      <c r="B5225" t="str">
        <f>MID(tbl_lock[[#This Row],[PACE Job Number]],3,3)</f>
        <v>STX</v>
      </c>
      <c r="C5225" t="s">
        <v>15</v>
      </c>
      <c r="D5225" s="1">
        <v>43430</v>
      </c>
    </row>
    <row r="5226" spans="1:4" x14ac:dyDescent="0.25">
      <c r="A5226" t="s">
        <v>112</v>
      </c>
      <c r="B5226" t="str">
        <f>MID(tbl_lock[[#This Row],[PACE Job Number]],3,3)</f>
        <v>STX</v>
      </c>
      <c r="C5226" t="s">
        <v>15</v>
      </c>
      <c r="D5226" s="1">
        <v>43430</v>
      </c>
    </row>
    <row r="5227" spans="1:4" x14ac:dyDescent="0.25">
      <c r="A5227" t="s">
        <v>4055</v>
      </c>
      <c r="B5227" t="str">
        <f>MID(tbl_lock[[#This Row],[PACE Job Number]],3,3)</f>
        <v>STX</v>
      </c>
      <c r="C5227" t="s">
        <v>15</v>
      </c>
      <c r="D5227" s="1">
        <v>43410</v>
      </c>
    </row>
    <row r="5228" spans="1:4" x14ac:dyDescent="0.25">
      <c r="A5228" t="s">
        <v>4056</v>
      </c>
      <c r="B5228" t="str">
        <f>MID(tbl_lock[[#This Row],[PACE Job Number]],3,3)</f>
        <v>STX</v>
      </c>
      <c r="C5228" t="s">
        <v>15</v>
      </c>
      <c r="D5228" s="1">
        <v>43410</v>
      </c>
    </row>
    <row r="5229" spans="1:4" x14ac:dyDescent="0.25">
      <c r="A5229" t="s">
        <v>4057</v>
      </c>
      <c r="B5229" t="str">
        <f>MID(tbl_lock[[#This Row],[PACE Job Number]],3,3)</f>
        <v>STX</v>
      </c>
      <c r="C5229" t="s">
        <v>15</v>
      </c>
      <c r="D5229" s="1">
        <v>43410</v>
      </c>
    </row>
    <row r="5230" spans="1:4" x14ac:dyDescent="0.25">
      <c r="A5230" t="s">
        <v>522</v>
      </c>
      <c r="B5230" t="str">
        <f>MID(tbl_lock[[#This Row],[PACE Job Number]],3,3)</f>
        <v>STX</v>
      </c>
      <c r="C5230" t="s">
        <v>15</v>
      </c>
      <c r="D5230" s="1">
        <v>43410</v>
      </c>
    </row>
    <row r="5231" spans="1:4" x14ac:dyDescent="0.25">
      <c r="A5231" t="s">
        <v>3457</v>
      </c>
      <c r="B5231" t="str">
        <f>MID(tbl_lock[[#This Row],[PACE Job Number]],3,3)</f>
        <v>STX</v>
      </c>
      <c r="C5231" t="s">
        <v>15</v>
      </c>
      <c r="D5231" s="1">
        <v>43419</v>
      </c>
    </row>
    <row r="5232" spans="1:4" x14ac:dyDescent="0.25">
      <c r="A5232" t="s">
        <v>3518</v>
      </c>
      <c r="B5232" t="str">
        <f>MID(tbl_lock[[#This Row],[PACE Job Number]],3,3)</f>
        <v>STX</v>
      </c>
      <c r="C5232" t="s">
        <v>15</v>
      </c>
      <c r="D5232" s="1">
        <v>43410</v>
      </c>
    </row>
    <row r="5233" spans="1:4" x14ac:dyDescent="0.25">
      <c r="A5233" t="s">
        <v>620</v>
      </c>
      <c r="B5233" t="str">
        <f>MID(tbl_lock[[#This Row],[PACE Job Number]],3,3)</f>
        <v>STX</v>
      </c>
      <c r="C5233" t="s">
        <v>15</v>
      </c>
      <c r="D5233" s="1">
        <v>43410</v>
      </c>
    </row>
    <row r="5234" spans="1:4" x14ac:dyDescent="0.25">
      <c r="A5234" t="s">
        <v>3963</v>
      </c>
      <c r="B5234" t="str">
        <f>MID(tbl_lock[[#This Row],[PACE Job Number]],3,3)</f>
        <v>NTX</v>
      </c>
      <c r="C5234" t="s">
        <v>15</v>
      </c>
      <c r="D5234" s="1">
        <v>43428</v>
      </c>
    </row>
    <row r="5235" spans="1:4" x14ac:dyDescent="0.25">
      <c r="A5235" t="s">
        <v>4401</v>
      </c>
      <c r="B5235" t="str">
        <f>MID(tbl_lock[[#This Row],[PACE Job Number]],3,3)</f>
        <v>NTX</v>
      </c>
      <c r="C5235" t="s">
        <v>15</v>
      </c>
      <c r="D5235" s="1">
        <v>43415</v>
      </c>
    </row>
    <row r="5236" spans="1:4" x14ac:dyDescent="0.25">
      <c r="A5236" t="s">
        <v>2318</v>
      </c>
      <c r="B5236" t="str">
        <f>MID(tbl_lock[[#This Row],[PACE Job Number]],3,3)</f>
        <v>NTX</v>
      </c>
      <c r="C5236" t="s">
        <v>15</v>
      </c>
      <c r="D5236" s="1">
        <v>43427</v>
      </c>
    </row>
    <row r="5237" spans="1:4" x14ac:dyDescent="0.25">
      <c r="A5237" t="s">
        <v>2319</v>
      </c>
      <c r="B5237" t="str">
        <f>MID(tbl_lock[[#This Row],[PACE Job Number]],3,3)</f>
        <v>NTX</v>
      </c>
      <c r="C5237" t="s">
        <v>15</v>
      </c>
      <c r="D5237" s="1">
        <v>43427</v>
      </c>
    </row>
    <row r="5238" spans="1:4" x14ac:dyDescent="0.25">
      <c r="A5238" t="s">
        <v>4362</v>
      </c>
      <c r="B5238" t="str">
        <f>MID(tbl_lock[[#This Row],[PACE Job Number]],3,3)</f>
        <v>NTX</v>
      </c>
      <c r="C5238" t="s">
        <v>15</v>
      </c>
      <c r="D5238" s="1">
        <v>43408</v>
      </c>
    </row>
    <row r="5239" spans="1:4" x14ac:dyDescent="0.25">
      <c r="A5239" t="s">
        <v>4363</v>
      </c>
      <c r="B5239" t="str">
        <f>MID(tbl_lock[[#This Row],[PACE Job Number]],3,3)</f>
        <v>NTX</v>
      </c>
      <c r="C5239" t="s">
        <v>15</v>
      </c>
      <c r="D5239" s="1">
        <v>43408</v>
      </c>
    </row>
    <row r="5240" spans="1:4" x14ac:dyDescent="0.25">
      <c r="A5240" t="s">
        <v>3882</v>
      </c>
      <c r="B5240" t="str">
        <f>MID(tbl_lock[[#This Row],[PACE Job Number]],3,3)</f>
        <v>NTX</v>
      </c>
      <c r="C5240" t="s">
        <v>15</v>
      </c>
      <c r="D5240" s="1">
        <v>43425</v>
      </c>
    </row>
    <row r="5241" spans="1:4" x14ac:dyDescent="0.25">
      <c r="A5241" t="s">
        <v>4532</v>
      </c>
      <c r="B5241" t="str">
        <f>MID(tbl_lock[[#This Row],[PACE Job Number]],3,3)</f>
        <v>NTX</v>
      </c>
      <c r="C5241" t="s">
        <v>15</v>
      </c>
      <c r="D5241" s="1">
        <v>43433</v>
      </c>
    </row>
    <row r="5242" spans="1:4" x14ac:dyDescent="0.25">
      <c r="A5242" t="s">
        <v>3468</v>
      </c>
      <c r="B5242" t="str">
        <f>MID(tbl_lock[[#This Row],[PACE Job Number]],3,3)</f>
        <v>NTX</v>
      </c>
      <c r="C5242" t="s">
        <v>15</v>
      </c>
      <c r="D5242" s="1">
        <v>43425</v>
      </c>
    </row>
    <row r="5243" spans="1:4" x14ac:dyDescent="0.25">
      <c r="A5243" t="s">
        <v>3511</v>
      </c>
      <c r="B5243" t="str">
        <f>MID(tbl_lock[[#This Row],[PACE Job Number]],3,3)</f>
        <v>NTX</v>
      </c>
      <c r="C5243" t="s">
        <v>15</v>
      </c>
      <c r="D5243" s="1">
        <v>43425</v>
      </c>
    </row>
    <row r="5244" spans="1:4" x14ac:dyDescent="0.25">
      <c r="A5244" t="s">
        <v>4533</v>
      </c>
      <c r="B5244" t="str">
        <f>MID(tbl_lock[[#This Row],[PACE Job Number]],3,3)</f>
        <v>NTX</v>
      </c>
      <c r="C5244" t="s">
        <v>15</v>
      </c>
      <c r="D5244" s="1">
        <v>43433</v>
      </c>
    </row>
    <row r="5245" spans="1:4" x14ac:dyDescent="0.25">
      <c r="A5245" t="s">
        <v>3509</v>
      </c>
      <c r="B5245" t="str">
        <f>MID(tbl_lock[[#This Row],[PACE Job Number]],3,3)</f>
        <v>NTX</v>
      </c>
      <c r="C5245" t="s">
        <v>15</v>
      </c>
      <c r="D5245" s="1">
        <v>43425</v>
      </c>
    </row>
    <row r="5246" spans="1:4" x14ac:dyDescent="0.25">
      <c r="A5246" t="s">
        <v>1540</v>
      </c>
      <c r="B5246" t="str">
        <f>MID(tbl_lock[[#This Row],[PACE Job Number]],3,3)</f>
        <v>WSH</v>
      </c>
      <c r="C5246" t="s">
        <v>15</v>
      </c>
      <c r="D5246" s="1">
        <v>43434</v>
      </c>
    </row>
    <row r="5247" spans="1:4" x14ac:dyDescent="0.25">
      <c r="A5247" t="s">
        <v>134</v>
      </c>
      <c r="B5247" t="str">
        <f>MID(tbl_lock[[#This Row],[PACE Job Number]],3,3)</f>
        <v>WSH</v>
      </c>
      <c r="C5247" t="s">
        <v>15</v>
      </c>
      <c r="D5247" s="1">
        <v>43429</v>
      </c>
    </row>
    <row r="5248" spans="1:4" x14ac:dyDescent="0.25">
      <c r="A5248" t="s">
        <v>5644</v>
      </c>
      <c r="B5248" t="str">
        <f>MID(tbl_lock[[#This Row],[PACE Job Number]],3,3)</f>
        <v>WSH</v>
      </c>
      <c r="C5248" t="s">
        <v>15</v>
      </c>
      <c r="D5248" s="1">
        <v>43421</v>
      </c>
    </row>
    <row r="5249" spans="1:4" x14ac:dyDescent="0.25">
      <c r="A5249" t="s">
        <v>4022</v>
      </c>
      <c r="B5249" t="str">
        <f>MID(tbl_lock[[#This Row],[PACE Job Number]],3,3)</f>
        <v>WSH</v>
      </c>
      <c r="C5249" t="s">
        <v>15</v>
      </c>
      <c r="D5249" s="1">
        <v>43434</v>
      </c>
    </row>
    <row r="5250" spans="1:4" x14ac:dyDescent="0.25">
      <c r="A5250" t="s">
        <v>4023</v>
      </c>
      <c r="B5250" t="str">
        <f>MID(tbl_lock[[#This Row],[PACE Job Number]],3,3)</f>
        <v>WSH</v>
      </c>
      <c r="C5250" t="s">
        <v>15</v>
      </c>
      <c r="D5250" s="1">
        <v>43434</v>
      </c>
    </row>
    <row r="5251" spans="1:4" x14ac:dyDescent="0.25">
      <c r="A5251" t="s">
        <v>3841</v>
      </c>
      <c r="B5251" t="str">
        <f>MID(tbl_lock[[#This Row],[PACE Job Number]],3,3)</f>
        <v>WSH</v>
      </c>
      <c r="C5251" t="s">
        <v>15</v>
      </c>
      <c r="D5251" s="1">
        <v>43434</v>
      </c>
    </row>
    <row r="5252" spans="1:4" x14ac:dyDescent="0.25">
      <c r="A5252" t="s">
        <v>4017</v>
      </c>
      <c r="B5252" t="str">
        <f>MID(tbl_lock[[#This Row],[PACE Job Number]],3,3)</f>
        <v>WSH</v>
      </c>
      <c r="C5252" t="s">
        <v>15</v>
      </c>
      <c r="D5252" s="1">
        <v>43434</v>
      </c>
    </row>
    <row r="5253" spans="1:4" x14ac:dyDescent="0.25">
      <c r="A5253" t="s">
        <v>542</v>
      </c>
      <c r="B5253" t="str">
        <f>MID(tbl_lock[[#This Row],[PACE Job Number]],3,3)</f>
        <v>STX</v>
      </c>
      <c r="C5253" t="s">
        <v>15</v>
      </c>
      <c r="D5253" s="1">
        <v>43410</v>
      </c>
    </row>
    <row r="5254" spans="1:4" x14ac:dyDescent="0.25">
      <c r="A5254" t="s">
        <v>3447</v>
      </c>
      <c r="B5254" t="str">
        <f>MID(tbl_lock[[#This Row],[PACE Job Number]],3,3)</f>
        <v>NTX</v>
      </c>
      <c r="C5254" t="s">
        <v>15</v>
      </c>
      <c r="D5254" s="1">
        <v>43425</v>
      </c>
    </row>
    <row r="5255" spans="1:4" x14ac:dyDescent="0.25">
      <c r="A5255" t="s">
        <v>3500</v>
      </c>
      <c r="B5255" t="str">
        <f>MID(tbl_lock[[#This Row],[PACE Job Number]],3,3)</f>
        <v>NTX</v>
      </c>
      <c r="C5255" t="s">
        <v>15</v>
      </c>
      <c r="D5255" s="1">
        <v>43428</v>
      </c>
    </row>
    <row r="5256" spans="1:4" x14ac:dyDescent="0.25">
      <c r="A5256" t="s">
        <v>105</v>
      </c>
      <c r="B5256" t="str">
        <f>MID(tbl_lock[[#This Row],[PACE Job Number]],3,3)</f>
        <v>NTX</v>
      </c>
      <c r="C5256" t="s">
        <v>15</v>
      </c>
      <c r="D5256" s="1">
        <v>43417</v>
      </c>
    </row>
    <row r="5257" spans="1:4" x14ac:dyDescent="0.25">
      <c r="A5257" t="s">
        <v>4018</v>
      </c>
      <c r="B5257" t="str">
        <f>MID(tbl_lock[[#This Row],[PACE Job Number]],3,3)</f>
        <v>STX</v>
      </c>
      <c r="C5257" t="s">
        <v>15</v>
      </c>
      <c r="D5257" s="1">
        <v>43419</v>
      </c>
    </row>
    <row r="5258" spans="1:4" x14ac:dyDescent="0.25">
      <c r="A5258" t="s">
        <v>3225</v>
      </c>
      <c r="B5258" t="str">
        <f>MID(tbl_lock[[#This Row],[PACE Job Number]],3,3)</f>
        <v>STX</v>
      </c>
      <c r="C5258" t="s">
        <v>15</v>
      </c>
      <c r="D5258" s="1">
        <v>43419</v>
      </c>
    </row>
    <row r="5259" spans="1:4" x14ac:dyDescent="0.25">
      <c r="A5259" t="s">
        <v>672</v>
      </c>
      <c r="B5259" t="str">
        <f>MID(tbl_lock[[#This Row],[PACE Job Number]],3,3)</f>
        <v>STX</v>
      </c>
      <c r="C5259" t="s">
        <v>15</v>
      </c>
      <c r="D5259" s="1">
        <v>43410</v>
      </c>
    </row>
    <row r="5260" spans="1:4" x14ac:dyDescent="0.25">
      <c r="A5260" t="s">
        <v>655</v>
      </c>
      <c r="B5260" t="str">
        <f>MID(tbl_lock[[#This Row],[PACE Job Number]],3,3)</f>
        <v>STX</v>
      </c>
      <c r="C5260" t="s">
        <v>15</v>
      </c>
      <c r="D5260" s="1">
        <v>43410</v>
      </c>
    </row>
    <row r="5261" spans="1:4" x14ac:dyDescent="0.25">
      <c r="A5261" t="s">
        <v>3842</v>
      </c>
      <c r="B5261" t="str">
        <f>MID(tbl_lock[[#This Row],[PACE Job Number]],3,3)</f>
        <v>WSH</v>
      </c>
      <c r="C5261" t="s">
        <v>15</v>
      </c>
      <c r="D5261" s="1">
        <v>43434</v>
      </c>
    </row>
    <row r="5262" spans="1:4" x14ac:dyDescent="0.25">
      <c r="A5262" t="s">
        <v>4485</v>
      </c>
      <c r="B5262" t="str">
        <f>MID(tbl_lock[[#This Row],[PACE Job Number]],3,3)</f>
        <v>NTX</v>
      </c>
      <c r="C5262" t="s">
        <v>15</v>
      </c>
      <c r="D5262" s="1">
        <v>43431</v>
      </c>
    </row>
    <row r="5263" spans="1:4" x14ac:dyDescent="0.25">
      <c r="A5263" t="s">
        <v>3453</v>
      </c>
      <c r="B5263" t="str">
        <f>MID(tbl_lock[[#This Row],[PACE Job Number]],3,3)</f>
        <v>NTX</v>
      </c>
      <c r="C5263" t="s">
        <v>15</v>
      </c>
      <c r="D5263" s="1">
        <v>43406</v>
      </c>
    </row>
    <row r="5264" spans="1:4" x14ac:dyDescent="0.25">
      <c r="A5264" t="s">
        <v>450</v>
      </c>
      <c r="B5264" t="str">
        <f>MID(tbl_lock[[#This Row],[PACE Job Number]],3,3)</f>
        <v>NTX</v>
      </c>
      <c r="C5264" t="s">
        <v>15</v>
      </c>
      <c r="D5264" s="1">
        <v>43413</v>
      </c>
    </row>
    <row r="5265" spans="1:4" x14ac:dyDescent="0.25">
      <c r="A5265" t="s">
        <v>3488</v>
      </c>
      <c r="B5265" t="str">
        <f>MID(tbl_lock[[#This Row],[PACE Job Number]],3,3)</f>
        <v>NTX</v>
      </c>
      <c r="C5265" t="s">
        <v>15</v>
      </c>
      <c r="D5265" s="1">
        <v>43413</v>
      </c>
    </row>
    <row r="5266" spans="1:4" x14ac:dyDescent="0.25">
      <c r="A5266" t="s">
        <v>3423</v>
      </c>
      <c r="B5266" t="str">
        <f>MID(tbl_lock[[#This Row],[PACE Job Number]],3,3)</f>
        <v>NTX</v>
      </c>
      <c r="C5266" t="s">
        <v>15</v>
      </c>
      <c r="D5266" s="1">
        <v>43413</v>
      </c>
    </row>
    <row r="5267" spans="1:4" x14ac:dyDescent="0.25">
      <c r="A5267" t="s">
        <v>3419</v>
      </c>
      <c r="B5267" t="str">
        <f>MID(tbl_lock[[#This Row],[PACE Job Number]],3,3)</f>
        <v>NTX</v>
      </c>
      <c r="C5267" t="s">
        <v>15</v>
      </c>
      <c r="D5267" s="1">
        <v>43413</v>
      </c>
    </row>
    <row r="5268" spans="1:4" x14ac:dyDescent="0.25">
      <c r="A5268" t="s">
        <v>3415</v>
      </c>
      <c r="B5268" t="str">
        <f>MID(tbl_lock[[#This Row],[PACE Job Number]],3,3)</f>
        <v>NTX</v>
      </c>
      <c r="C5268" t="s">
        <v>15</v>
      </c>
      <c r="D5268" s="1">
        <v>43413</v>
      </c>
    </row>
    <row r="5269" spans="1:4" x14ac:dyDescent="0.25">
      <c r="A5269" t="s">
        <v>3906</v>
      </c>
      <c r="B5269" t="str">
        <f>MID(tbl_lock[[#This Row],[PACE Job Number]],3,3)</f>
        <v>NTX</v>
      </c>
      <c r="C5269" t="s">
        <v>15</v>
      </c>
      <c r="D5269" s="1">
        <v>43406</v>
      </c>
    </row>
    <row r="5270" spans="1:4" x14ac:dyDescent="0.25">
      <c r="A5270" t="s">
        <v>4298</v>
      </c>
      <c r="B5270" t="str">
        <f>MID(tbl_lock[[#This Row],[PACE Job Number]],3,3)</f>
        <v>NTX</v>
      </c>
      <c r="C5270" t="s">
        <v>15</v>
      </c>
      <c r="D5270" s="1">
        <v>43431</v>
      </c>
    </row>
    <row r="5271" spans="1:4" x14ac:dyDescent="0.25">
      <c r="A5271" t="s">
        <v>2474</v>
      </c>
      <c r="B5271" t="str">
        <f>MID(tbl_lock[[#This Row],[PACE Job Number]],3,3)</f>
        <v>NTX</v>
      </c>
      <c r="C5271" t="s">
        <v>15</v>
      </c>
      <c r="D5271" s="1">
        <v>43425</v>
      </c>
    </row>
    <row r="5272" spans="1:4" x14ac:dyDescent="0.25">
      <c r="A5272" t="s">
        <v>3445</v>
      </c>
      <c r="B5272" t="str">
        <f>MID(tbl_lock[[#This Row],[PACE Job Number]],3,3)</f>
        <v>NTX</v>
      </c>
      <c r="C5272" t="s">
        <v>15</v>
      </c>
      <c r="D5272" s="1">
        <v>43413</v>
      </c>
    </row>
    <row r="5273" spans="1:4" x14ac:dyDescent="0.25">
      <c r="A5273" t="s">
        <v>3981</v>
      </c>
      <c r="B5273" t="str">
        <f>MID(tbl_lock[[#This Row],[PACE Job Number]],3,3)</f>
        <v>NTX</v>
      </c>
      <c r="C5273" t="s">
        <v>15</v>
      </c>
      <c r="D5273" s="1">
        <v>43425</v>
      </c>
    </row>
    <row r="5274" spans="1:4" x14ac:dyDescent="0.25">
      <c r="A5274" t="s">
        <v>3491</v>
      </c>
      <c r="B5274" t="str">
        <f>MID(tbl_lock[[#This Row],[PACE Job Number]],3,3)</f>
        <v>NTX</v>
      </c>
      <c r="C5274" t="s">
        <v>15</v>
      </c>
      <c r="D5274" s="1">
        <v>43413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5190"/>
  <sheetViews>
    <sheetView workbookViewId="0">
      <pane ySplit="1" topLeftCell="A2" activePane="bottomLeft" state="frozenSplit"/>
      <selection pane="bottomLeft" activeCell="A2" sqref="A2"/>
    </sheetView>
  </sheetViews>
  <sheetFormatPr defaultRowHeight="15" x14ac:dyDescent="0.25"/>
  <cols>
    <col min="1" max="1" width="13.5703125" bestFit="1" customWidth="1"/>
    <col min="4" max="4" width="9.7109375" bestFit="1" customWidth="1"/>
  </cols>
  <sheetData>
    <row r="1" spans="1:4" ht="30" x14ac:dyDescent="0.25">
      <c r="A1" s="11" t="s">
        <v>20</v>
      </c>
      <c r="B1" s="11" t="s">
        <v>3</v>
      </c>
      <c r="C1" s="11" t="s">
        <v>8</v>
      </c>
      <c r="D1" s="11" t="s">
        <v>1678</v>
      </c>
    </row>
    <row r="2" spans="1:4" x14ac:dyDescent="0.25">
      <c r="A2" t="s">
        <v>1721</v>
      </c>
      <c r="C2" t="s">
        <v>11</v>
      </c>
      <c r="D2" s="1">
        <v>43245</v>
      </c>
    </row>
    <row r="3" spans="1:4" x14ac:dyDescent="0.25">
      <c r="A3" t="s">
        <v>1594</v>
      </c>
      <c r="C3" t="s">
        <v>11</v>
      </c>
      <c r="D3" s="1">
        <v>43244</v>
      </c>
    </row>
    <row r="4" spans="1:4" x14ac:dyDescent="0.25">
      <c r="A4" t="s">
        <v>1571</v>
      </c>
      <c r="C4" t="s">
        <v>11</v>
      </c>
      <c r="D4" s="1">
        <v>43244</v>
      </c>
    </row>
    <row r="5" spans="1:4" x14ac:dyDescent="0.25">
      <c r="A5" t="s">
        <v>1599</v>
      </c>
      <c r="C5" t="s">
        <v>11</v>
      </c>
      <c r="D5" s="1">
        <v>43244</v>
      </c>
    </row>
    <row r="6" spans="1:4" x14ac:dyDescent="0.25">
      <c r="A6" t="s">
        <v>949</v>
      </c>
      <c r="C6" t="s">
        <v>11</v>
      </c>
      <c r="D6" s="1">
        <v>43241</v>
      </c>
    </row>
    <row r="7" spans="1:4" x14ac:dyDescent="0.25">
      <c r="A7" t="s">
        <v>1722</v>
      </c>
      <c r="C7" t="s">
        <v>11</v>
      </c>
      <c r="D7" s="1">
        <v>43237</v>
      </c>
    </row>
    <row r="8" spans="1:4" x14ac:dyDescent="0.25">
      <c r="A8" t="s">
        <v>1628</v>
      </c>
      <c r="C8" t="s">
        <v>11</v>
      </c>
      <c r="D8" s="1">
        <v>43244</v>
      </c>
    </row>
    <row r="9" spans="1:4" x14ac:dyDescent="0.25">
      <c r="A9" t="s">
        <v>1629</v>
      </c>
      <c r="C9" t="s">
        <v>11</v>
      </c>
      <c r="D9" s="1">
        <v>43244</v>
      </c>
    </row>
    <row r="10" spans="1:4" x14ac:dyDescent="0.25">
      <c r="A10" t="s">
        <v>920</v>
      </c>
      <c r="C10" t="s">
        <v>11</v>
      </c>
      <c r="D10" s="1">
        <v>43237</v>
      </c>
    </row>
    <row r="11" spans="1:4" x14ac:dyDescent="0.25">
      <c r="A11" t="s">
        <v>1477</v>
      </c>
      <c r="C11" t="s">
        <v>11</v>
      </c>
      <c r="D11" s="1">
        <v>43225</v>
      </c>
    </row>
    <row r="12" spans="1:4" x14ac:dyDescent="0.25">
      <c r="A12" t="s">
        <v>921</v>
      </c>
      <c r="C12" t="s">
        <v>11</v>
      </c>
      <c r="D12" s="1">
        <v>43237</v>
      </c>
    </row>
    <row r="13" spans="1:4" x14ac:dyDescent="0.25">
      <c r="A13" t="s">
        <v>1093</v>
      </c>
      <c r="C13" t="s">
        <v>11</v>
      </c>
      <c r="D13" s="1">
        <v>43237</v>
      </c>
    </row>
    <row r="14" spans="1:4" x14ac:dyDescent="0.25">
      <c r="A14" t="s">
        <v>1110</v>
      </c>
      <c r="C14" t="s">
        <v>11</v>
      </c>
      <c r="D14" s="1">
        <v>43234</v>
      </c>
    </row>
    <row r="15" spans="1:4" x14ac:dyDescent="0.25">
      <c r="A15" t="s">
        <v>1364</v>
      </c>
      <c r="C15" t="s">
        <v>11</v>
      </c>
      <c r="D15" s="1">
        <v>43225</v>
      </c>
    </row>
    <row r="16" spans="1:4" x14ac:dyDescent="0.25">
      <c r="A16" t="s">
        <v>170</v>
      </c>
      <c r="C16" t="s">
        <v>11</v>
      </c>
      <c r="D16" s="1">
        <v>43251</v>
      </c>
    </row>
    <row r="17" spans="1:4" x14ac:dyDescent="0.25">
      <c r="A17" t="s">
        <v>556</v>
      </c>
      <c r="C17" t="s">
        <v>11</v>
      </c>
      <c r="D17" s="1">
        <v>43239</v>
      </c>
    </row>
    <row r="18" spans="1:4" x14ac:dyDescent="0.25">
      <c r="A18" t="s">
        <v>1723</v>
      </c>
      <c r="C18" t="s">
        <v>11</v>
      </c>
      <c r="D18" s="1">
        <v>43251</v>
      </c>
    </row>
    <row r="19" spans="1:4" x14ac:dyDescent="0.25">
      <c r="A19" t="s">
        <v>1724</v>
      </c>
      <c r="C19" t="s">
        <v>11</v>
      </c>
      <c r="D19" s="1">
        <v>43250</v>
      </c>
    </row>
    <row r="20" spans="1:4" x14ac:dyDescent="0.25">
      <c r="A20" t="s">
        <v>1265</v>
      </c>
      <c r="C20" t="s">
        <v>11</v>
      </c>
      <c r="D20" s="1">
        <v>43238</v>
      </c>
    </row>
    <row r="21" spans="1:4" x14ac:dyDescent="0.25">
      <c r="A21" t="s">
        <v>1725</v>
      </c>
      <c r="C21" t="s">
        <v>11</v>
      </c>
      <c r="D21" s="1">
        <v>43244</v>
      </c>
    </row>
    <row r="22" spans="1:4" x14ac:dyDescent="0.25">
      <c r="A22" t="s">
        <v>1383</v>
      </c>
      <c r="C22" t="s">
        <v>11</v>
      </c>
      <c r="D22" s="1">
        <v>43241</v>
      </c>
    </row>
    <row r="23" spans="1:4" x14ac:dyDescent="0.25">
      <c r="A23" t="s">
        <v>1224</v>
      </c>
      <c r="C23" t="s">
        <v>11</v>
      </c>
      <c r="D23" s="1">
        <v>43239</v>
      </c>
    </row>
    <row r="24" spans="1:4" x14ac:dyDescent="0.25">
      <c r="A24" t="s">
        <v>990</v>
      </c>
      <c r="C24" t="s">
        <v>11</v>
      </c>
      <c r="D24" s="1">
        <v>43237</v>
      </c>
    </row>
    <row r="25" spans="1:4" x14ac:dyDescent="0.25">
      <c r="A25" t="s">
        <v>1334</v>
      </c>
      <c r="C25" t="s">
        <v>11</v>
      </c>
      <c r="D25" s="1">
        <v>43239</v>
      </c>
    </row>
    <row r="26" spans="1:4" x14ac:dyDescent="0.25">
      <c r="A26" t="s">
        <v>48</v>
      </c>
      <c r="C26" t="s">
        <v>11</v>
      </c>
      <c r="D26" s="1">
        <v>43237</v>
      </c>
    </row>
    <row r="27" spans="1:4" x14ac:dyDescent="0.25">
      <c r="A27" t="s">
        <v>700</v>
      </c>
      <c r="C27" t="s">
        <v>11</v>
      </c>
      <c r="D27" s="1">
        <v>43239</v>
      </c>
    </row>
    <row r="28" spans="1:4" x14ac:dyDescent="0.25">
      <c r="A28" t="s">
        <v>1726</v>
      </c>
      <c r="C28" t="s">
        <v>11</v>
      </c>
      <c r="D28" s="1">
        <v>43243</v>
      </c>
    </row>
    <row r="29" spans="1:4" x14ac:dyDescent="0.25">
      <c r="A29" t="s">
        <v>1031</v>
      </c>
      <c r="C29" t="s">
        <v>11</v>
      </c>
      <c r="D29" s="1">
        <v>43248</v>
      </c>
    </row>
    <row r="30" spans="1:4" x14ac:dyDescent="0.25">
      <c r="A30" t="s">
        <v>558</v>
      </c>
      <c r="C30" t="s">
        <v>11</v>
      </c>
      <c r="D30" s="1">
        <v>43239</v>
      </c>
    </row>
    <row r="31" spans="1:4" x14ac:dyDescent="0.25">
      <c r="A31" t="s">
        <v>1030</v>
      </c>
      <c r="C31" t="s">
        <v>11</v>
      </c>
      <c r="D31" s="1">
        <v>43221</v>
      </c>
    </row>
    <row r="32" spans="1:4" x14ac:dyDescent="0.25">
      <c r="A32" t="s">
        <v>1727</v>
      </c>
      <c r="C32" t="s">
        <v>11</v>
      </c>
      <c r="D32" s="1">
        <v>43244</v>
      </c>
    </row>
    <row r="33" spans="1:4" x14ac:dyDescent="0.25">
      <c r="A33" t="s">
        <v>1728</v>
      </c>
      <c r="C33" t="s">
        <v>11</v>
      </c>
      <c r="D33" s="1">
        <v>43251</v>
      </c>
    </row>
    <row r="34" spans="1:4" x14ac:dyDescent="0.25">
      <c r="A34" t="s">
        <v>1729</v>
      </c>
      <c r="C34" t="s">
        <v>11</v>
      </c>
      <c r="D34" s="1">
        <v>43250</v>
      </c>
    </row>
    <row r="35" spans="1:4" x14ac:dyDescent="0.25">
      <c r="A35" t="s">
        <v>978</v>
      </c>
      <c r="C35" t="s">
        <v>11</v>
      </c>
      <c r="D35" s="1">
        <v>43248</v>
      </c>
    </row>
    <row r="36" spans="1:4" x14ac:dyDescent="0.25">
      <c r="A36" t="s">
        <v>1730</v>
      </c>
      <c r="C36" t="s">
        <v>11</v>
      </c>
      <c r="D36" s="1">
        <v>43243</v>
      </c>
    </row>
    <row r="37" spans="1:4" x14ac:dyDescent="0.25">
      <c r="A37" t="s">
        <v>281</v>
      </c>
      <c r="C37" t="s">
        <v>11</v>
      </c>
      <c r="D37" s="1">
        <v>43251</v>
      </c>
    </row>
    <row r="38" spans="1:4" x14ac:dyDescent="0.25">
      <c r="A38" t="s">
        <v>1731</v>
      </c>
      <c r="C38" t="s">
        <v>11</v>
      </c>
      <c r="D38" s="1">
        <v>43251</v>
      </c>
    </row>
    <row r="39" spans="1:4" x14ac:dyDescent="0.25">
      <c r="A39" t="s">
        <v>1151</v>
      </c>
      <c r="C39" t="s">
        <v>11</v>
      </c>
      <c r="D39" s="1">
        <v>43237</v>
      </c>
    </row>
    <row r="40" spans="1:4" x14ac:dyDescent="0.25">
      <c r="A40" t="s">
        <v>131</v>
      </c>
      <c r="C40" t="s">
        <v>11</v>
      </c>
      <c r="D40" s="1">
        <v>43237</v>
      </c>
    </row>
    <row r="41" spans="1:4" x14ac:dyDescent="0.25">
      <c r="A41" t="s">
        <v>1005</v>
      </c>
      <c r="C41" t="s">
        <v>11</v>
      </c>
      <c r="D41" s="1">
        <v>43250</v>
      </c>
    </row>
    <row r="42" spans="1:4" x14ac:dyDescent="0.25">
      <c r="A42" t="s">
        <v>905</v>
      </c>
      <c r="C42" t="s">
        <v>11</v>
      </c>
      <c r="D42" s="1">
        <v>43251</v>
      </c>
    </row>
    <row r="43" spans="1:4" x14ac:dyDescent="0.25">
      <c r="A43" t="s">
        <v>1562</v>
      </c>
      <c r="C43" t="s">
        <v>11</v>
      </c>
      <c r="D43" s="1">
        <v>43227</v>
      </c>
    </row>
    <row r="44" spans="1:4" x14ac:dyDescent="0.25">
      <c r="A44" t="s">
        <v>1732</v>
      </c>
      <c r="C44" t="s">
        <v>11</v>
      </c>
      <c r="D44" s="1">
        <v>43244</v>
      </c>
    </row>
    <row r="45" spans="1:4" x14ac:dyDescent="0.25">
      <c r="A45" t="s">
        <v>1401</v>
      </c>
      <c r="C45" t="s">
        <v>11</v>
      </c>
      <c r="D45" s="1">
        <v>43224</v>
      </c>
    </row>
    <row r="46" spans="1:4" x14ac:dyDescent="0.25">
      <c r="A46" t="s">
        <v>1422</v>
      </c>
      <c r="C46" t="s">
        <v>11</v>
      </c>
      <c r="D46" s="1">
        <v>43228</v>
      </c>
    </row>
    <row r="47" spans="1:4" x14ac:dyDescent="0.25">
      <c r="A47" t="s">
        <v>1206</v>
      </c>
      <c r="C47" t="s">
        <v>11</v>
      </c>
      <c r="D47" s="1">
        <v>43248</v>
      </c>
    </row>
    <row r="48" spans="1:4" x14ac:dyDescent="0.25">
      <c r="A48" t="s">
        <v>1493</v>
      </c>
      <c r="C48" t="s">
        <v>11</v>
      </c>
      <c r="D48" s="1">
        <v>43224</v>
      </c>
    </row>
    <row r="49" spans="1:4" x14ac:dyDescent="0.25">
      <c r="A49" t="s">
        <v>1733</v>
      </c>
      <c r="C49" t="s">
        <v>11</v>
      </c>
      <c r="D49" s="1">
        <v>43225</v>
      </c>
    </row>
    <row r="50" spans="1:4" x14ac:dyDescent="0.25">
      <c r="A50" t="s">
        <v>986</v>
      </c>
      <c r="C50" t="s">
        <v>11</v>
      </c>
      <c r="D50" s="1">
        <v>43224</v>
      </c>
    </row>
    <row r="51" spans="1:4" x14ac:dyDescent="0.25">
      <c r="A51" t="s">
        <v>766</v>
      </c>
      <c r="C51" t="s">
        <v>11</v>
      </c>
      <c r="D51" s="1">
        <v>43241</v>
      </c>
    </row>
    <row r="52" spans="1:4" x14ac:dyDescent="0.25">
      <c r="A52" t="s">
        <v>339</v>
      </c>
      <c r="C52" t="s">
        <v>11</v>
      </c>
      <c r="D52" s="1">
        <v>43247</v>
      </c>
    </row>
    <row r="53" spans="1:4" x14ac:dyDescent="0.25">
      <c r="A53" t="s">
        <v>843</v>
      </c>
      <c r="C53" t="s">
        <v>11</v>
      </c>
      <c r="D53" s="1">
        <v>43237</v>
      </c>
    </row>
    <row r="54" spans="1:4" x14ac:dyDescent="0.25">
      <c r="A54" t="s">
        <v>1734</v>
      </c>
      <c r="C54" t="s">
        <v>11</v>
      </c>
      <c r="D54" s="1">
        <v>43228</v>
      </c>
    </row>
    <row r="55" spans="1:4" x14ac:dyDescent="0.25">
      <c r="A55" t="s">
        <v>1735</v>
      </c>
      <c r="C55" t="s">
        <v>11</v>
      </c>
      <c r="D55" s="1">
        <v>43237</v>
      </c>
    </row>
    <row r="56" spans="1:4" x14ac:dyDescent="0.25">
      <c r="A56" t="s">
        <v>1123</v>
      </c>
      <c r="C56" t="s">
        <v>11</v>
      </c>
      <c r="D56" s="1">
        <v>43248</v>
      </c>
    </row>
    <row r="57" spans="1:4" x14ac:dyDescent="0.25">
      <c r="A57" t="s">
        <v>582</v>
      </c>
      <c r="C57" t="s">
        <v>11</v>
      </c>
      <c r="D57" s="1">
        <v>43234</v>
      </c>
    </row>
    <row r="58" spans="1:4" x14ac:dyDescent="0.25">
      <c r="A58" t="s">
        <v>863</v>
      </c>
      <c r="C58" t="s">
        <v>11</v>
      </c>
      <c r="D58" s="1">
        <v>43237</v>
      </c>
    </row>
    <row r="59" spans="1:4" x14ac:dyDescent="0.25">
      <c r="A59" t="s">
        <v>1173</v>
      </c>
      <c r="C59" t="s">
        <v>11</v>
      </c>
      <c r="D59" s="1">
        <v>43241</v>
      </c>
    </row>
    <row r="60" spans="1:4" x14ac:dyDescent="0.25">
      <c r="A60" t="s">
        <v>1429</v>
      </c>
      <c r="C60" t="s">
        <v>11</v>
      </c>
      <c r="D60" s="1">
        <v>43225</v>
      </c>
    </row>
    <row r="61" spans="1:4" x14ac:dyDescent="0.25">
      <c r="A61" t="s">
        <v>1399</v>
      </c>
      <c r="C61" t="s">
        <v>11</v>
      </c>
      <c r="D61" s="1">
        <v>43229</v>
      </c>
    </row>
    <row r="62" spans="1:4" x14ac:dyDescent="0.25">
      <c r="A62" t="s">
        <v>1528</v>
      </c>
      <c r="C62" t="s">
        <v>11</v>
      </c>
      <c r="D62" s="1">
        <v>43245</v>
      </c>
    </row>
    <row r="63" spans="1:4" x14ac:dyDescent="0.25">
      <c r="A63" t="s">
        <v>1119</v>
      </c>
      <c r="C63" t="s">
        <v>11</v>
      </c>
      <c r="D63" s="1">
        <v>43224</v>
      </c>
    </row>
    <row r="64" spans="1:4" x14ac:dyDescent="0.25">
      <c r="A64" t="s">
        <v>1736</v>
      </c>
      <c r="C64" t="s">
        <v>11</v>
      </c>
      <c r="D64" s="1">
        <v>43237</v>
      </c>
    </row>
    <row r="65" spans="1:4" x14ac:dyDescent="0.25">
      <c r="A65" t="s">
        <v>1737</v>
      </c>
      <c r="C65" t="s">
        <v>11</v>
      </c>
      <c r="D65" s="1">
        <v>43237</v>
      </c>
    </row>
    <row r="66" spans="1:4" x14ac:dyDescent="0.25">
      <c r="A66" t="s">
        <v>1738</v>
      </c>
      <c r="C66" t="s">
        <v>11</v>
      </c>
      <c r="D66" s="1">
        <v>43228</v>
      </c>
    </row>
    <row r="67" spans="1:4" x14ac:dyDescent="0.25">
      <c r="A67" t="s">
        <v>1547</v>
      </c>
      <c r="C67" t="s">
        <v>11</v>
      </c>
      <c r="D67" s="1">
        <v>43228</v>
      </c>
    </row>
    <row r="68" spans="1:4" x14ac:dyDescent="0.25">
      <c r="A68" t="s">
        <v>929</v>
      </c>
      <c r="C68" t="s">
        <v>11</v>
      </c>
      <c r="D68" s="1">
        <v>43237</v>
      </c>
    </row>
    <row r="69" spans="1:4" x14ac:dyDescent="0.25">
      <c r="A69" t="s">
        <v>1335</v>
      </c>
      <c r="C69" t="s">
        <v>11</v>
      </c>
      <c r="D69" s="1">
        <v>43237</v>
      </c>
    </row>
    <row r="70" spans="1:4" x14ac:dyDescent="0.25">
      <c r="A70" t="s">
        <v>1413</v>
      </c>
      <c r="C70" t="s">
        <v>11</v>
      </c>
      <c r="D70" s="1">
        <v>43228</v>
      </c>
    </row>
    <row r="71" spans="1:4" x14ac:dyDescent="0.25">
      <c r="A71" t="s">
        <v>1229</v>
      </c>
      <c r="C71" t="s">
        <v>11</v>
      </c>
      <c r="D71" s="1">
        <v>43248</v>
      </c>
    </row>
    <row r="72" spans="1:4" x14ac:dyDescent="0.25">
      <c r="A72" t="s">
        <v>103</v>
      </c>
      <c r="C72" t="s">
        <v>11</v>
      </c>
      <c r="D72" s="1">
        <v>43237</v>
      </c>
    </row>
    <row r="73" spans="1:4" x14ac:dyDescent="0.25">
      <c r="A73" t="s">
        <v>1056</v>
      </c>
      <c r="C73" t="s">
        <v>11</v>
      </c>
      <c r="D73" s="1">
        <v>43234</v>
      </c>
    </row>
    <row r="74" spans="1:4" x14ac:dyDescent="0.25">
      <c r="A74" t="s">
        <v>1739</v>
      </c>
      <c r="C74" t="s">
        <v>11</v>
      </c>
      <c r="D74" s="1">
        <v>43227</v>
      </c>
    </row>
    <row r="75" spans="1:4" x14ac:dyDescent="0.25">
      <c r="A75" t="s">
        <v>162</v>
      </c>
      <c r="C75" t="s">
        <v>11</v>
      </c>
      <c r="D75" s="1">
        <v>43251</v>
      </c>
    </row>
    <row r="76" spans="1:4" x14ac:dyDescent="0.25">
      <c r="A76" t="s">
        <v>1185</v>
      </c>
      <c r="C76" t="s">
        <v>11</v>
      </c>
      <c r="D76" s="1">
        <v>43237</v>
      </c>
    </row>
    <row r="77" spans="1:4" x14ac:dyDescent="0.25">
      <c r="A77" t="s">
        <v>1740</v>
      </c>
      <c r="C77" t="s">
        <v>11</v>
      </c>
      <c r="D77" s="1">
        <v>43225</v>
      </c>
    </row>
    <row r="78" spans="1:4" x14ac:dyDescent="0.25">
      <c r="A78" t="s">
        <v>1551</v>
      </c>
      <c r="C78" t="s">
        <v>11</v>
      </c>
      <c r="D78" s="1">
        <v>43230</v>
      </c>
    </row>
    <row r="79" spans="1:4" x14ac:dyDescent="0.25">
      <c r="A79" t="s">
        <v>1741</v>
      </c>
      <c r="C79" t="s">
        <v>11</v>
      </c>
      <c r="D79" s="1">
        <v>43231</v>
      </c>
    </row>
    <row r="80" spans="1:4" x14ac:dyDescent="0.25">
      <c r="A80" t="s">
        <v>1108</v>
      </c>
      <c r="C80" t="s">
        <v>11</v>
      </c>
      <c r="D80" s="1">
        <v>43251</v>
      </c>
    </row>
    <row r="81" spans="1:4" x14ac:dyDescent="0.25">
      <c r="A81" t="s">
        <v>1245</v>
      </c>
      <c r="C81" t="s">
        <v>11</v>
      </c>
      <c r="D81" s="1">
        <v>43227</v>
      </c>
    </row>
    <row r="82" spans="1:4" x14ac:dyDescent="0.25">
      <c r="A82" t="s">
        <v>1742</v>
      </c>
      <c r="C82" t="s">
        <v>11</v>
      </c>
      <c r="D82" s="1">
        <v>43239</v>
      </c>
    </row>
    <row r="83" spans="1:4" x14ac:dyDescent="0.25">
      <c r="A83" t="s">
        <v>1743</v>
      </c>
      <c r="C83" t="s">
        <v>11</v>
      </c>
      <c r="D83" s="1">
        <v>43228</v>
      </c>
    </row>
    <row r="84" spans="1:4" x14ac:dyDescent="0.25">
      <c r="A84" t="s">
        <v>1402</v>
      </c>
      <c r="C84" t="s">
        <v>11</v>
      </c>
      <c r="D84" s="1">
        <v>43225</v>
      </c>
    </row>
    <row r="85" spans="1:4" x14ac:dyDescent="0.25">
      <c r="A85" t="s">
        <v>1244</v>
      </c>
      <c r="C85" t="s">
        <v>11</v>
      </c>
      <c r="D85" s="1">
        <v>43231</v>
      </c>
    </row>
    <row r="86" spans="1:4" x14ac:dyDescent="0.25">
      <c r="A86" t="s">
        <v>1604</v>
      </c>
      <c r="C86" t="s">
        <v>11</v>
      </c>
      <c r="D86" s="1">
        <v>43228</v>
      </c>
    </row>
    <row r="87" spans="1:4" x14ac:dyDescent="0.25">
      <c r="A87" t="s">
        <v>1527</v>
      </c>
      <c r="C87" t="s">
        <v>11</v>
      </c>
      <c r="D87" s="1">
        <v>43235</v>
      </c>
    </row>
    <row r="88" spans="1:4" x14ac:dyDescent="0.25">
      <c r="A88" t="s">
        <v>1418</v>
      </c>
      <c r="C88" t="s">
        <v>11</v>
      </c>
      <c r="D88" s="1">
        <v>43238</v>
      </c>
    </row>
    <row r="89" spans="1:4" x14ac:dyDescent="0.25">
      <c r="A89" t="s">
        <v>1744</v>
      </c>
      <c r="C89" t="s">
        <v>11</v>
      </c>
      <c r="D89" s="1">
        <v>43251</v>
      </c>
    </row>
    <row r="90" spans="1:4" x14ac:dyDescent="0.25">
      <c r="A90" t="s">
        <v>1745</v>
      </c>
      <c r="C90" t="s">
        <v>11</v>
      </c>
      <c r="D90" s="1">
        <v>43233</v>
      </c>
    </row>
    <row r="91" spans="1:4" x14ac:dyDescent="0.25">
      <c r="A91" t="s">
        <v>1419</v>
      </c>
      <c r="C91" t="s">
        <v>11</v>
      </c>
      <c r="D91" s="1">
        <v>43228</v>
      </c>
    </row>
    <row r="92" spans="1:4" x14ac:dyDescent="0.25">
      <c r="A92" t="s">
        <v>512</v>
      </c>
      <c r="C92" t="s">
        <v>11</v>
      </c>
      <c r="D92" s="1">
        <v>43237</v>
      </c>
    </row>
    <row r="93" spans="1:4" x14ac:dyDescent="0.25">
      <c r="A93" t="s">
        <v>1621</v>
      </c>
      <c r="C93" t="s">
        <v>11</v>
      </c>
      <c r="D93" s="1">
        <v>43228</v>
      </c>
    </row>
    <row r="94" spans="1:4" x14ac:dyDescent="0.25">
      <c r="A94" t="s">
        <v>1746</v>
      </c>
      <c r="C94" t="s">
        <v>11</v>
      </c>
      <c r="D94" s="1">
        <v>43224</v>
      </c>
    </row>
    <row r="95" spans="1:4" x14ac:dyDescent="0.25">
      <c r="A95" t="s">
        <v>1129</v>
      </c>
      <c r="C95" t="s">
        <v>11</v>
      </c>
      <c r="D95" s="1">
        <v>43228</v>
      </c>
    </row>
    <row r="96" spans="1:4" x14ac:dyDescent="0.25">
      <c r="A96" t="s">
        <v>1747</v>
      </c>
      <c r="C96" t="s">
        <v>11</v>
      </c>
      <c r="D96" s="1">
        <v>43225</v>
      </c>
    </row>
    <row r="97" spans="1:4" x14ac:dyDescent="0.25">
      <c r="A97" t="s">
        <v>1046</v>
      </c>
      <c r="C97" t="s">
        <v>11</v>
      </c>
      <c r="D97" s="1">
        <v>43250</v>
      </c>
    </row>
    <row r="98" spans="1:4" x14ac:dyDescent="0.25">
      <c r="A98" t="s">
        <v>1269</v>
      </c>
      <c r="C98" t="s">
        <v>11</v>
      </c>
      <c r="D98" s="1">
        <v>43244</v>
      </c>
    </row>
    <row r="99" spans="1:4" x14ac:dyDescent="0.25">
      <c r="A99" t="s">
        <v>1663</v>
      </c>
      <c r="C99" t="s">
        <v>11</v>
      </c>
      <c r="D99" s="1">
        <v>43247</v>
      </c>
    </row>
    <row r="100" spans="1:4" x14ac:dyDescent="0.25">
      <c r="A100" t="s">
        <v>202</v>
      </c>
      <c r="C100" t="s">
        <v>11</v>
      </c>
      <c r="D100" s="1">
        <v>43251</v>
      </c>
    </row>
    <row r="101" spans="1:4" x14ac:dyDescent="0.25">
      <c r="A101" t="s">
        <v>1748</v>
      </c>
      <c r="C101" t="s">
        <v>11</v>
      </c>
      <c r="D101" s="1">
        <v>43231</v>
      </c>
    </row>
    <row r="102" spans="1:4" x14ac:dyDescent="0.25">
      <c r="A102" t="s">
        <v>963</v>
      </c>
      <c r="C102" t="s">
        <v>11</v>
      </c>
      <c r="D102" s="1">
        <v>43248</v>
      </c>
    </row>
    <row r="103" spans="1:4" x14ac:dyDescent="0.25">
      <c r="A103" t="s">
        <v>965</v>
      </c>
      <c r="C103" t="s">
        <v>11</v>
      </c>
      <c r="D103" s="1">
        <v>43250</v>
      </c>
    </row>
    <row r="104" spans="1:4" x14ac:dyDescent="0.25">
      <c r="A104" t="s">
        <v>523</v>
      </c>
      <c r="C104" t="s">
        <v>11</v>
      </c>
      <c r="D104" s="1">
        <v>43248</v>
      </c>
    </row>
    <row r="105" spans="1:4" x14ac:dyDescent="0.25">
      <c r="A105" t="s">
        <v>1749</v>
      </c>
      <c r="C105" t="s">
        <v>11</v>
      </c>
      <c r="D105" s="1">
        <v>43237</v>
      </c>
    </row>
    <row r="106" spans="1:4" x14ac:dyDescent="0.25">
      <c r="A106" t="s">
        <v>1750</v>
      </c>
      <c r="C106" t="s">
        <v>11</v>
      </c>
      <c r="D106" s="1">
        <v>43241</v>
      </c>
    </row>
    <row r="107" spans="1:4" x14ac:dyDescent="0.25">
      <c r="A107" t="s">
        <v>1156</v>
      </c>
      <c r="C107" t="s">
        <v>11</v>
      </c>
      <c r="D107" s="1">
        <v>43225</v>
      </c>
    </row>
    <row r="108" spans="1:4" x14ac:dyDescent="0.25">
      <c r="A108" t="s">
        <v>1250</v>
      </c>
      <c r="C108" t="s">
        <v>11</v>
      </c>
      <c r="D108" s="1">
        <v>43223</v>
      </c>
    </row>
    <row r="109" spans="1:4" x14ac:dyDescent="0.25">
      <c r="A109" t="s">
        <v>1193</v>
      </c>
      <c r="C109" t="s">
        <v>11</v>
      </c>
      <c r="D109" s="1">
        <v>43228</v>
      </c>
    </row>
    <row r="110" spans="1:4" x14ac:dyDescent="0.25">
      <c r="A110" t="s">
        <v>1751</v>
      </c>
      <c r="C110" t="s">
        <v>11</v>
      </c>
      <c r="D110" s="1">
        <v>43224</v>
      </c>
    </row>
    <row r="111" spans="1:4" x14ac:dyDescent="0.25">
      <c r="A111" t="s">
        <v>1264</v>
      </c>
      <c r="C111" t="s">
        <v>11</v>
      </c>
      <c r="D111" s="1">
        <v>43231</v>
      </c>
    </row>
    <row r="112" spans="1:4" x14ac:dyDescent="0.25">
      <c r="A112" t="s">
        <v>1281</v>
      </c>
      <c r="C112" t="s">
        <v>11</v>
      </c>
      <c r="D112" s="1">
        <v>43241</v>
      </c>
    </row>
    <row r="113" spans="1:4" x14ac:dyDescent="0.25">
      <c r="A113" t="s">
        <v>995</v>
      </c>
      <c r="C113" t="s">
        <v>11</v>
      </c>
      <c r="D113" s="1">
        <v>43225</v>
      </c>
    </row>
    <row r="114" spans="1:4" x14ac:dyDescent="0.25">
      <c r="A114" t="s">
        <v>1004</v>
      </c>
      <c r="C114" t="s">
        <v>11</v>
      </c>
      <c r="D114" s="1">
        <v>43237</v>
      </c>
    </row>
    <row r="115" spans="1:4" x14ac:dyDescent="0.25">
      <c r="A115" t="s">
        <v>1752</v>
      </c>
      <c r="C115" t="s">
        <v>11</v>
      </c>
      <c r="D115" s="1">
        <v>43225</v>
      </c>
    </row>
    <row r="116" spans="1:4" x14ac:dyDescent="0.25">
      <c r="A116" t="s">
        <v>1039</v>
      </c>
      <c r="C116" t="s">
        <v>11</v>
      </c>
      <c r="D116" s="1">
        <v>43239</v>
      </c>
    </row>
    <row r="117" spans="1:4" x14ac:dyDescent="0.25">
      <c r="A117" t="s">
        <v>1512</v>
      </c>
      <c r="C117" t="s">
        <v>11</v>
      </c>
      <c r="D117" s="1">
        <v>43228</v>
      </c>
    </row>
    <row r="118" spans="1:4" x14ac:dyDescent="0.25">
      <c r="A118" t="s">
        <v>873</v>
      </c>
      <c r="C118" t="s">
        <v>11</v>
      </c>
      <c r="D118" s="1">
        <v>43244</v>
      </c>
    </row>
    <row r="119" spans="1:4" x14ac:dyDescent="0.25">
      <c r="A119" t="s">
        <v>1753</v>
      </c>
      <c r="C119" t="s">
        <v>11</v>
      </c>
      <c r="D119" s="1">
        <v>43237</v>
      </c>
    </row>
    <row r="120" spans="1:4" x14ac:dyDescent="0.25">
      <c r="A120" t="s">
        <v>1674</v>
      </c>
      <c r="C120" t="s">
        <v>11</v>
      </c>
      <c r="D120" s="1">
        <v>43225</v>
      </c>
    </row>
    <row r="121" spans="1:4" x14ac:dyDescent="0.25">
      <c r="A121" t="s">
        <v>1596</v>
      </c>
      <c r="C121" t="s">
        <v>11</v>
      </c>
      <c r="D121" s="1">
        <v>43234</v>
      </c>
    </row>
    <row r="122" spans="1:4" x14ac:dyDescent="0.25">
      <c r="A122" t="s">
        <v>1150</v>
      </c>
      <c r="C122" t="s">
        <v>11</v>
      </c>
      <c r="D122" s="1">
        <v>43248</v>
      </c>
    </row>
    <row r="123" spans="1:4" x14ac:dyDescent="0.25">
      <c r="A123" t="s">
        <v>948</v>
      </c>
      <c r="C123" t="s">
        <v>11</v>
      </c>
      <c r="D123" s="1">
        <v>43250</v>
      </c>
    </row>
    <row r="124" spans="1:4" x14ac:dyDescent="0.25">
      <c r="A124" t="s">
        <v>1025</v>
      </c>
      <c r="C124" t="s">
        <v>11</v>
      </c>
      <c r="D124" s="1">
        <v>43231</v>
      </c>
    </row>
    <row r="125" spans="1:4" x14ac:dyDescent="0.25">
      <c r="A125" t="s">
        <v>1561</v>
      </c>
      <c r="C125" t="s">
        <v>11</v>
      </c>
      <c r="D125" s="1">
        <v>43234</v>
      </c>
    </row>
    <row r="126" spans="1:4" x14ac:dyDescent="0.25">
      <c r="A126" t="s">
        <v>1754</v>
      </c>
      <c r="C126" t="s">
        <v>11</v>
      </c>
      <c r="D126" s="1">
        <v>43227</v>
      </c>
    </row>
    <row r="127" spans="1:4" x14ac:dyDescent="0.25">
      <c r="A127" t="s">
        <v>910</v>
      </c>
      <c r="C127" t="s">
        <v>11</v>
      </c>
      <c r="D127" s="1">
        <v>43231</v>
      </c>
    </row>
    <row r="128" spans="1:4" x14ac:dyDescent="0.25">
      <c r="A128" t="s">
        <v>781</v>
      </c>
      <c r="C128" t="s">
        <v>11</v>
      </c>
      <c r="D128" s="1">
        <v>43225</v>
      </c>
    </row>
    <row r="129" spans="1:4" x14ac:dyDescent="0.25">
      <c r="A129" t="s">
        <v>1755</v>
      </c>
      <c r="C129" t="s">
        <v>11</v>
      </c>
      <c r="D129" s="1">
        <v>43244</v>
      </c>
    </row>
    <row r="130" spans="1:4" x14ac:dyDescent="0.25">
      <c r="A130" t="s">
        <v>998</v>
      </c>
      <c r="C130" t="s">
        <v>11</v>
      </c>
      <c r="D130" s="1">
        <v>43237</v>
      </c>
    </row>
    <row r="131" spans="1:4" x14ac:dyDescent="0.25">
      <c r="A131" t="s">
        <v>1756</v>
      </c>
      <c r="C131" t="s">
        <v>11</v>
      </c>
      <c r="D131" s="1">
        <v>43237</v>
      </c>
    </row>
    <row r="132" spans="1:4" x14ac:dyDescent="0.25">
      <c r="A132" t="s">
        <v>1757</v>
      </c>
      <c r="C132" t="s">
        <v>11</v>
      </c>
      <c r="D132" s="1">
        <v>43237</v>
      </c>
    </row>
    <row r="133" spans="1:4" x14ac:dyDescent="0.25">
      <c r="A133" t="s">
        <v>947</v>
      </c>
      <c r="C133" t="s">
        <v>11</v>
      </c>
      <c r="D133" s="1">
        <v>43234</v>
      </c>
    </row>
    <row r="134" spans="1:4" x14ac:dyDescent="0.25">
      <c r="A134" t="s">
        <v>1152</v>
      </c>
      <c r="C134" t="s">
        <v>11</v>
      </c>
      <c r="D134" s="1">
        <v>43231</v>
      </c>
    </row>
    <row r="135" spans="1:4" x14ac:dyDescent="0.25">
      <c r="A135" t="s">
        <v>891</v>
      </c>
      <c r="C135" t="s">
        <v>11</v>
      </c>
      <c r="D135" s="1">
        <v>43237</v>
      </c>
    </row>
    <row r="136" spans="1:4" x14ac:dyDescent="0.25">
      <c r="A136" t="s">
        <v>739</v>
      </c>
      <c r="C136" t="s">
        <v>11</v>
      </c>
      <c r="D136" s="1">
        <v>43237</v>
      </c>
    </row>
    <row r="137" spans="1:4" x14ac:dyDescent="0.25">
      <c r="A137" t="s">
        <v>572</v>
      </c>
      <c r="C137" t="s">
        <v>11</v>
      </c>
      <c r="D137" s="1">
        <v>43248</v>
      </c>
    </row>
    <row r="138" spans="1:4" x14ac:dyDescent="0.25">
      <c r="A138" t="s">
        <v>848</v>
      </c>
      <c r="C138" t="s">
        <v>11</v>
      </c>
      <c r="D138" s="1">
        <v>43237</v>
      </c>
    </row>
    <row r="139" spans="1:4" x14ac:dyDescent="0.25">
      <c r="A139" t="s">
        <v>1336</v>
      </c>
      <c r="C139" t="s">
        <v>11</v>
      </c>
      <c r="D139" s="1">
        <v>43237</v>
      </c>
    </row>
    <row r="140" spans="1:4" x14ac:dyDescent="0.25">
      <c r="A140" t="s">
        <v>1247</v>
      </c>
      <c r="C140" t="s">
        <v>11</v>
      </c>
      <c r="D140" s="1">
        <v>43248</v>
      </c>
    </row>
    <row r="141" spans="1:4" x14ac:dyDescent="0.25">
      <c r="A141" t="s">
        <v>1758</v>
      </c>
      <c r="C141" t="s">
        <v>11</v>
      </c>
      <c r="D141" s="1">
        <v>43237</v>
      </c>
    </row>
    <row r="142" spans="1:4" x14ac:dyDescent="0.25">
      <c r="A142" t="s">
        <v>1759</v>
      </c>
      <c r="C142" t="s">
        <v>11</v>
      </c>
      <c r="D142" s="1">
        <v>43237</v>
      </c>
    </row>
    <row r="143" spans="1:4" x14ac:dyDescent="0.25">
      <c r="A143" t="s">
        <v>1760</v>
      </c>
      <c r="C143" t="s">
        <v>11</v>
      </c>
      <c r="D143" s="1">
        <v>43233</v>
      </c>
    </row>
    <row r="144" spans="1:4" x14ac:dyDescent="0.25">
      <c r="A144" t="s">
        <v>1526</v>
      </c>
      <c r="C144" t="s">
        <v>11</v>
      </c>
      <c r="D144" s="1">
        <v>43235</v>
      </c>
    </row>
    <row r="145" spans="1:4" x14ac:dyDescent="0.25">
      <c r="A145" t="s">
        <v>1395</v>
      </c>
      <c r="C145" t="s">
        <v>11</v>
      </c>
      <c r="D145" s="1">
        <v>43224</v>
      </c>
    </row>
    <row r="146" spans="1:4" x14ac:dyDescent="0.25">
      <c r="A146" t="s">
        <v>1463</v>
      </c>
      <c r="C146" t="s">
        <v>11</v>
      </c>
      <c r="D146" s="1">
        <v>43228</v>
      </c>
    </row>
    <row r="147" spans="1:4" x14ac:dyDescent="0.25">
      <c r="A147" t="s">
        <v>837</v>
      </c>
      <c r="C147" t="s">
        <v>11</v>
      </c>
      <c r="D147" s="1">
        <v>43244</v>
      </c>
    </row>
    <row r="148" spans="1:4" x14ac:dyDescent="0.25">
      <c r="A148" t="s">
        <v>1199</v>
      </c>
      <c r="C148" t="s">
        <v>11</v>
      </c>
      <c r="D148" s="1">
        <v>43227</v>
      </c>
    </row>
    <row r="149" spans="1:4" x14ac:dyDescent="0.25">
      <c r="A149" t="s">
        <v>1486</v>
      </c>
      <c r="C149" t="s">
        <v>11</v>
      </c>
      <c r="D149" s="1">
        <v>43224</v>
      </c>
    </row>
    <row r="150" spans="1:4" x14ac:dyDescent="0.25">
      <c r="A150" t="s">
        <v>1071</v>
      </c>
      <c r="C150" t="s">
        <v>11</v>
      </c>
      <c r="D150" s="1">
        <v>43239</v>
      </c>
    </row>
    <row r="151" spans="1:4" x14ac:dyDescent="0.25">
      <c r="A151" t="s">
        <v>1761</v>
      </c>
      <c r="C151" t="s">
        <v>11</v>
      </c>
      <c r="D151" s="1">
        <v>43228</v>
      </c>
    </row>
    <row r="152" spans="1:4" x14ac:dyDescent="0.25">
      <c r="A152" t="s">
        <v>234</v>
      </c>
      <c r="C152" t="s">
        <v>11</v>
      </c>
      <c r="D152" s="1">
        <v>43247</v>
      </c>
    </row>
    <row r="153" spans="1:4" x14ac:dyDescent="0.25">
      <c r="A153" t="s">
        <v>628</v>
      </c>
      <c r="C153" t="s">
        <v>11</v>
      </c>
      <c r="D153" s="1">
        <v>43241</v>
      </c>
    </row>
    <row r="154" spans="1:4" x14ac:dyDescent="0.25">
      <c r="A154" t="s">
        <v>1024</v>
      </c>
      <c r="C154" t="s">
        <v>11</v>
      </c>
      <c r="D154" s="1">
        <v>43250</v>
      </c>
    </row>
    <row r="155" spans="1:4" x14ac:dyDescent="0.25">
      <c r="A155" t="s">
        <v>1454</v>
      </c>
      <c r="C155" t="s">
        <v>11</v>
      </c>
      <c r="D155" s="1">
        <v>43238</v>
      </c>
    </row>
    <row r="156" spans="1:4" x14ac:dyDescent="0.25">
      <c r="A156" t="s">
        <v>1762</v>
      </c>
      <c r="C156" t="s">
        <v>11</v>
      </c>
      <c r="D156" s="1">
        <v>43228</v>
      </c>
    </row>
    <row r="157" spans="1:4" x14ac:dyDescent="0.25">
      <c r="A157" t="s">
        <v>1007</v>
      </c>
      <c r="C157" t="s">
        <v>11</v>
      </c>
      <c r="D157" s="1">
        <v>43237</v>
      </c>
    </row>
    <row r="158" spans="1:4" x14ac:dyDescent="0.25">
      <c r="A158" t="s">
        <v>1327</v>
      </c>
      <c r="C158" t="s">
        <v>11</v>
      </c>
      <c r="D158" s="1">
        <v>43241</v>
      </c>
    </row>
    <row r="159" spans="1:4" x14ac:dyDescent="0.25">
      <c r="A159" t="s">
        <v>1101</v>
      </c>
      <c r="C159" t="s">
        <v>11</v>
      </c>
      <c r="D159" s="1">
        <v>43251</v>
      </c>
    </row>
    <row r="160" spans="1:4" x14ac:dyDescent="0.25">
      <c r="A160" t="s">
        <v>321</v>
      </c>
      <c r="C160" t="s">
        <v>11</v>
      </c>
      <c r="D160" s="1">
        <v>43251</v>
      </c>
    </row>
    <row r="161" spans="1:4" x14ac:dyDescent="0.25">
      <c r="A161" t="s">
        <v>1483</v>
      </c>
      <c r="C161" t="s">
        <v>11</v>
      </c>
      <c r="D161" s="1">
        <v>43224</v>
      </c>
    </row>
    <row r="162" spans="1:4" x14ac:dyDescent="0.25">
      <c r="A162" t="s">
        <v>1763</v>
      </c>
      <c r="C162" t="s">
        <v>11</v>
      </c>
      <c r="D162" s="1">
        <v>43241</v>
      </c>
    </row>
    <row r="163" spans="1:4" x14ac:dyDescent="0.25">
      <c r="A163" t="s">
        <v>1449</v>
      </c>
      <c r="C163" t="s">
        <v>11</v>
      </c>
      <c r="D163" s="1">
        <v>43225</v>
      </c>
    </row>
    <row r="164" spans="1:4" x14ac:dyDescent="0.25">
      <c r="A164" t="s">
        <v>1764</v>
      </c>
      <c r="C164" t="s">
        <v>11</v>
      </c>
      <c r="D164" s="1">
        <v>43225</v>
      </c>
    </row>
    <row r="165" spans="1:4" x14ac:dyDescent="0.25">
      <c r="A165" t="s">
        <v>974</v>
      </c>
      <c r="C165" t="s">
        <v>11</v>
      </c>
      <c r="D165" s="1">
        <v>43248</v>
      </c>
    </row>
    <row r="166" spans="1:4" x14ac:dyDescent="0.25">
      <c r="A166" t="s">
        <v>1330</v>
      </c>
      <c r="C166" t="s">
        <v>11</v>
      </c>
      <c r="D166" s="1">
        <v>43227</v>
      </c>
    </row>
    <row r="167" spans="1:4" x14ac:dyDescent="0.25">
      <c r="A167" t="s">
        <v>1765</v>
      </c>
      <c r="C167" t="s">
        <v>11</v>
      </c>
      <c r="D167" s="1">
        <v>43239</v>
      </c>
    </row>
    <row r="168" spans="1:4" x14ac:dyDescent="0.25">
      <c r="A168" t="s">
        <v>806</v>
      </c>
      <c r="C168" t="s">
        <v>11</v>
      </c>
      <c r="D168" s="1">
        <v>43244</v>
      </c>
    </row>
    <row r="169" spans="1:4" x14ac:dyDescent="0.25">
      <c r="A169" t="s">
        <v>885</v>
      </c>
      <c r="C169" t="s">
        <v>11</v>
      </c>
      <c r="D169" s="1">
        <v>43237</v>
      </c>
    </row>
    <row r="170" spans="1:4" x14ac:dyDescent="0.25">
      <c r="A170" t="s">
        <v>1444</v>
      </c>
      <c r="C170" t="s">
        <v>11</v>
      </c>
      <c r="D170" s="1">
        <v>43230</v>
      </c>
    </row>
    <row r="171" spans="1:4" x14ac:dyDescent="0.25">
      <c r="A171" t="s">
        <v>1436</v>
      </c>
      <c r="C171" t="s">
        <v>11</v>
      </c>
      <c r="D171" s="1">
        <v>43229</v>
      </c>
    </row>
    <row r="172" spans="1:4" x14ac:dyDescent="0.25">
      <c r="A172" t="s">
        <v>1766</v>
      </c>
      <c r="C172" t="s">
        <v>11</v>
      </c>
      <c r="D172" s="1">
        <v>43224</v>
      </c>
    </row>
    <row r="173" spans="1:4" x14ac:dyDescent="0.25">
      <c r="A173" t="s">
        <v>1374</v>
      </c>
      <c r="C173" t="s">
        <v>11</v>
      </c>
      <c r="D173" s="1">
        <v>43228</v>
      </c>
    </row>
    <row r="174" spans="1:4" x14ac:dyDescent="0.25">
      <c r="A174" t="s">
        <v>1304</v>
      </c>
      <c r="C174" t="s">
        <v>11</v>
      </c>
      <c r="D174" s="1">
        <v>43228</v>
      </c>
    </row>
    <row r="175" spans="1:4" x14ac:dyDescent="0.25">
      <c r="A175" t="s">
        <v>1331</v>
      </c>
      <c r="C175" t="s">
        <v>11</v>
      </c>
      <c r="D175" s="1">
        <v>43231</v>
      </c>
    </row>
    <row r="176" spans="1:4" x14ac:dyDescent="0.25">
      <c r="A176" t="s">
        <v>1767</v>
      </c>
      <c r="C176" t="s">
        <v>11</v>
      </c>
      <c r="D176" s="1">
        <v>43237</v>
      </c>
    </row>
    <row r="177" spans="1:4" x14ac:dyDescent="0.25">
      <c r="A177" t="s">
        <v>145</v>
      </c>
      <c r="C177" t="s">
        <v>11</v>
      </c>
      <c r="D177" s="1">
        <v>43251</v>
      </c>
    </row>
    <row r="178" spans="1:4" x14ac:dyDescent="0.25">
      <c r="A178" t="s">
        <v>1768</v>
      </c>
      <c r="C178" t="s">
        <v>11</v>
      </c>
      <c r="D178" s="1">
        <v>43237</v>
      </c>
    </row>
    <row r="179" spans="1:4" x14ac:dyDescent="0.25">
      <c r="A179" t="s">
        <v>1614</v>
      </c>
      <c r="C179" t="s">
        <v>11</v>
      </c>
      <c r="D179" s="1">
        <v>43228</v>
      </c>
    </row>
    <row r="180" spans="1:4" x14ac:dyDescent="0.25">
      <c r="A180" t="s">
        <v>1064</v>
      </c>
      <c r="C180" t="s">
        <v>11</v>
      </c>
      <c r="D180" s="1">
        <v>43224</v>
      </c>
    </row>
    <row r="181" spans="1:4" x14ac:dyDescent="0.25">
      <c r="A181" t="s">
        <v>1603</v>
      </c>
      <c r="C181" t="s">
        <v>11</v>
      </c>
      <c r="D181" s="1">
        <v>43228</v>
      </c>
    </row>
    <row r="182" spans="1:4" x14ac:dyDescent="0.25">
      <c r="A182" t="s">
        <v>1253</v>
      </c>
      <c r="C182" t="s">
        <v>11</v>
      </c>
      <c r="D182" s="1">
        <v>43225</v>
      </c>
    </row>
    <row r="183" spans="1:4" x14ac:dyDescent="0.25">
      <c r="A183" t="s">
        <v>1323</v>
      </c>
      <c r="C183" t="s">
        <v>11</v>
      </c>
      <c r="D183" s="1">
        <v>43223</v>
      </c>
    </row>
    <row r="184" spans="1:4" x14ac:dyDescent="0.25">
      <c r="A184" t="s">
        <v>1569</v>
      </c>
      <c r="C184" t="s">
        <v>11</v>
      </c>
      <c r="D184" s="1">
        <v>43228</v>
      </c>
    </row>
    <row r="185" spans="1:4" x14ac:dyDescent="0.25">
      <c r="A185" t="s">
        <v>1305</v>
      </c>
      <c r="C185" t="s">
        <v>11</v>
      </c>
      <c r="D185" s="1">
        <v>43231</v>
      </c>
    </row>
    <row r="186" spans="1:4" x14ac:dyDescent="0.25">
      <c r="A186" t="s">
        <v>1102</v>
      </c>
      <c r="C186" t="s">
        <v>11</v>
      </c>
      <c r="D186" s="1">
        <v>43241</v>
      </c>
    </row>
    <row r="187" spans="1:4" x14ac:dyDescent="0.25">
      <c r="A187" t="s">
        <v>968</v>
      </c>
      <c r="C187" t="s">
        <v>11</v>
      </c>
      <c r="D187" s="1">
        <v>43248</v>
      </c>
    </row>
    <row r="188" spans="1:4" x14ac:dyDescent="0.25">
      <c r="A188" t="s">
        <v>1769</v>
      </c>
      <c r="C188" t="s">
        <v>11</v>
      </c>
      <c r="D188" s="1">
        <v>43231</v>
      </c>
    </row>
    <row r="189" spans="1:4" x14ac:dyDescent="0.25">
      <c r="A189" t="s">
        <v>1554</v>
      </c>
      <c r="C189" t="s">
        <v>11</v>
      </c>
      <c r="D189" s="1">
        <v>43225</v>
      </c>
    </row>
    <row r="190" spans="1:4" x14ac:dyDescent="0.25">
      <c r="A190" t="s">
        <v>1770</v>
      </c>
      <c r="C190" t="s">
        <v>11</v>
      </c>
      <c r="D190" s="1">
        <v>43224</v>
      </c>
    </row>
    <row r="191" spans="1:4" x14ac:dyDescent="0.25">
      <c r="A191" t="s">
        <v>1771</v>
      </c>
      <c r="C191" t="s">
        <v>11</v>
      </c>
      <c r="D191" s="1">
        <v>43225</v>
      </c>
    </row>
    <row r="192" spans="1:4" x14ac:dyDescent="0.25">
      <c r="A192" t="s">
        <v>1772</v>
      </c>
      <c r="C192" t="s">
        <v>11</v>
      </c>
      <c r="D192" s="1">
        <v>43237</v>
      </c>
    </row>
    <row r="193" spans="1:4" x14ac:dyDescent="0.25">
      <c r="A193" t="s">
        <v>1676</v>
      </c>
      <c r="C193" t="s">
        <v>11</v>
      </c>
      <c r="D193" s="1">
        <v>43227</v>
      </c>
    </row>
    <row r="194" spans="1:4" x14ac:dyDescent="0.25">
      <c r="A194" t="s">
        <v>1545</v>
      </c>
      <c r="C194" t="s">
        <v>11</v>
      </c>
      <c r="D194" s="1">
        <v>43229</v>
      </c>
    </row>
    <row r="195" spans="1:4" x14ac:dyDescent="0.25">
      <c r="A195" t="s">
        <v>653</v>
      </c>
      <c r="C195" t="s">
        <v>11</v>
      </c>
      <c r="D195" s="1">
        <v>43251</v>
      </c>
    </row>
    <row r="196" spans="1:4" x14ac:dyDescent="0.25">
      <c r="A196" t="s">
        <v>1365</v>
      </c>
      <c r="C196" t="s">
        <v>11</v>
      </c>
      <c r="D196" s="1">
        <v>43224</v>
      </c>
    </row>
    <row r="197" spans="1:4" x14ac:dyDescent="0.25">
      <c r="A197" t="s">
        <v>1249</v>
      </c>
      <c r="C197" t="s">
        <v>11</v>
      </c>
      <c r="D197" s="1">
        <v>43223</v>
      </c>
    </row>
    <row r="198" spans="1:4" x14ac:dyDescent="0.25">
      <c r="A198" t="s">
        <v>1186</v>
      </c>
      <c r="C198" t="s">
        <v>11</v>
      </c>
      <c r="D198" s="1">
        <v>43228</v>
      </c>
    </row>
    <row r="199" spans="1:4" x14ac:dyDescent="0.25">
      <c r="A199" t="s">
        <v>1773</v>
      </c>
      <c r="C199" t="s">
        <v>11</v>
      </c>
      <c r="D199" s="1">
        <v>43237</v>
      </c>
    </row>
    <row r="200" spans="1:4" x14ac:dyDescent="0.25">
      <c r="A200" t="s">
        <v>1619</v>
      </c>
      <c r="C200" t="s">
        <v>11</v>
      </c>
      <c r="D200" s="1">
        <v>43228</v>
      </c>
    </row>
    <row r="201" spans="1:4" x14ac:dyDescent="0.25">
      <c r="A201" t="s">
        <v>1774</v>
      </c>
      <c r="C201" t="s">
        <v>11</v>
      </c>
      <c r="D201" s="1">
        <v>43224</v>
      </c>
    </row>
    <row r="202" spans="1:4" x14ac:dyDescent="0.25">
      <c r="A202" t="s">
        <v>1012</v>
      </c>
      <c r="C202" t="s">
        <v>11</v>
      </c>
      <c r="D202" s="1">
        <v>43237</v>
      </c>
    </row>
    <row r="203" spans="1:4" x14ac:dyDescent="0.25">
      <c r="A203" t="s">
        <v>1075</v>
      </c>
      <c r="C203" t="s">
        <v>11</v>
      </c>
      <c r="D203" s="1">
        <v>43228</v>
      </c>
    </row>
    <row r="204" spans="1:4" x14ac:dyDescent="0.25">
      <c r="A204" t="s">
        <v>309</v>
      </c>
      <c r="C204" t="s">
        <v>11</v>
      </c>
      <c r="D204" s="1">
        <v>43251</v>
      </c>
    </row>
    <row r="205" spans="1:4" x14ac:dyDescent="0.25">
      <c r="A205" t="s">
        <v>1775</v>
      </c>
      <c r="C205" t="s">
        <v>11</v>
      </c>
      <c r="D205" s="1">
        <v>43237</v>
      </c>
    </row>
    <row r="206" spans="1:4" x14ac:dyDescent="0.25">
      <c r="A206" t="s">
        <v>371</v>
      </c>
      <c r="C206" t="s">
        <v>11</v>
      </c>
      <c r="D206" s="1">
        <v>43251</v>
      </c>
    </row>
    <row r="207" spans="1:4" x14ac:dyDescent="0.25">
      <c r="A207" t="s">
        <v>996</v>
      </c>
      <c r="C207" t="s">
        <v>11</v>
      </c>
      <c r="D207" s="1">
        <v>43237</v>
      </c>
    </row>
    <row r="208" spans="1:4" x14ac:dyDescent="0.25">
      <c r="A208" t="s">
        <v>1776</v>
      </c>
      <c r="C208" t="s">
        <v>11</v>
      </c>
      <c r="D208" s="1">
        <v>43251</v>
      </c>
    </row>
    <row r="209" spans="1:4" x14ac:dyDescent="0.25">
      <c r="A209" t="s">
        <v>1777</v>
      </c>
      <c r="C209" t="s">
        <v>11</v>
      </c>
      <c r="D209" s="1">
        <v>43237</v>
      </c>
    </row>
    <row r="210" spans="1:4" x14ac:dyDescent="0.25">
      <c r="A210" t="s">
        <v>1778</v>
      </c>
      <c r="C210" t="s">
        <v>11</v>
      </c>
      <c r="D210" s="1">
        <v>43225</v>
      </c>
    </row>
    <row r="211" spans="1:4" x14ac:dyDescent="0.25">
      <c r="A211" t="s">
        <v>1610</v>
      </c>
      <c r="C211" t="s">
        <v>11</v>
      </c>
      <c r="D211" s="1">
        <v>43225</v>
      </c>
    </row>
    <row r="212" spans="1:4" x14ac:dyDescent="0.25">
      <c r="A212" t="s">
        <v>1489</v>
      </c>
      <c r="C212" t="s">
        <v>11</v>
      </c>
      <c r="D212" s="1">
        <v>43234</v>
      </c>
    </row>
    <row r="213" spans="1:4" x14ac:dyDescent="0.25">
      <c r="A213" t="s">
        <v>731</v>
      </c>
      <c r="C213" t="s">
        <v>11</v>
      </c>
      <c r="D213" s="1">
        <v>43237</v>
      </c>
    </row>
    <row r="214" spans="1:4" x14ac:dyDescent="0.25">
      <c r="A214" t="s">
        <v>99</v>
      </c>
      <c r="C214" t="s">
        <v>11</v>
      </c>
      <c r="D214" s="1">
        <v>43237</v>
      </c>
    </row>
    <row r="215" spans="1:4" x14ac:dyDescent="0.25">
      <c r="A215" t="s">
        <v>1038</v>
      </c>
      <c r="C215" t="s">
        <v>11</v>
      </c>
      <c r="D215" s="1">
        <v>43250</v>
      </c>
    </row>
    <row r="216" spans="1:4" x14ac:dyDescent="0.25">
      <c r="A216" t="s">
        <v>1779</v>
      </c>
      <c r="C216" t="s">
        <v>11</v>
      </c>
      <c r="D216" s="1">
        <v>43231</v>
      </c>
    </row>
    <row r="217" spans="1:4" x14ac:dyDescent="0.25">
      <c r="A217" t="s">
        <v>1780</v>
      </c>
      <c r="C217" t="s">
        <v>11</v>
      </c>
      <c r="D217" s="1">
        <v>43225</v>
      </c>
    </row>
    <row r="218" spans="1:4" x14ac:dyDescent="0.25">
      <c r="A218" t="s">
        <v>1781</v>
      </c>
      <c r="C218" t="s">
        <v>11</v>
      </c>
      <c r="D218" s="1">
        <v>43251</v>
      </c>
    </row>
    <row r="219" spans="1:4" x14ac:dyDescent="0.25">
      <c r="A219" t="s">
        <v>1459</v>
      </c>
      <c r="C219" t="s">
        <v>11</v>
      </c>
      <c r="D219" s="1">
        <v>43228</v>
      </c>
    </row>
    <row r="220" spans="1:4" x14ac:dyDescent="0.25">
      <c r="A220" t="s">
        <v>1034</v>
      </c>
      <c r="C220" t="s">
        <v>11</v>
      </c>
      <c r="D220" s="1">
        <v>43248</v>
      </c>
    </row>
    <row r="221" spans="1:4" x14ac:dyDescent="0.25">
      <c r="A221" t="s">
        <v>1782</v>
      </c>
      <c r="C221" t="s">
        <v>11</v>
      </c>
      <c r="D221" s="1">
        <v>43237</v>
      </c>
    </row>
    <row r="222" spans="1:4" x14ac:dyDescent="0.25">
      <c r="A222" t="s">
        <v>1783</v>
      </c>
      <c r="C222" t="s">
        <v>11</v>
      </c>
      <c r="D222" s="1">
        <v>43243</v>
      </c>
    </row>
    <row r="223" spans="1:4" x14ac:dyDescent="0.25">
      <c r="A223" t="s">
        <v>1267</v>
      </c>
      <c r="C223" t="s">
        <v>11</v>
      </c>
      <c r="D223" s="1">
        <v>43244</v>
      </c>
    </row>
    <row r="224" spans="1:4" x14ac:dyDescent="0.25">
      <c r="A224" t="s">
        <v>110</v>
      </c>
      <c r="C224" t="s">
        <v>11</v>
      </c>
      <c r="D224" s="1">
        <v>43251</v>
      </c>
    </row>
    <row r="225" spans="1:4" x14ac:dyDescent="0.25">
      <c r="A225" t="s">
        <v>102</v>
      </c>
      <c r="C225" t="s">
        <v>11</v>
      </c>
      <c r="D225" s="1">
        <v>43237</v>
      </c>
    </row>
    <row r="226" spans="1:4" x14ac:dyDescent="0.25">
      <c r="A226" t="s">
        <v>845</v>
      </c>
      <c r="C226" t="s">
        <v>11</v>
      </c>
      <c r="D226" s="1">
        <v>43235</v>
      </c>
    </row>
    <row r="227" spans="1:4" x14ac:dyDescent="0.25">
      <c r="A227" t="s">
        <v>1389</v>
      </c>
      <c r="C227" t="s">
        <v>11</v>
      </c>
      <c r="D227" s="1">
        <v>43228</v>
      </c>
    </row>
    <row r="228" spans="1:4" x14ac:dyDescent="0.25">
      <c r="A228" t="s">
        <v>1011</v>
      </c>
      <c r="C228" t="s">
        <v>11</v>
      </c>
      <c r="D228" s="1">
        <v>43250</v>
      </c>
    </row>
    <row r="229" spans="1:4" x14ac:dyDescent="0.25">
      <c r="A229" t="s">
        <v>1784</v>
      </c>
      <c r="C229" t="s">
        <v>11</v>
      </c>
      <c r="D229" s="1">
        <v>43251</v>
      </c>
    </row>
    <row r="230" spans="1:4" x14ac:dyDescent="0.25">
      <c r="A230" t="s">
        <v>992</v>
      </c>
      <c r="C230" t="s">
        <v>11</v>
      </c>
      <c r="D230" s="1">
        <v>43237</v>
      </c>
    </row>
    <row r="231" spans="1:4" x14ac:dyDescent="0.25">
      <c r="A231" t="s">
        <v>1566</v>
      </c>
      <c r="C231" t="s">
        <v>11</v>
      </c>
      <c r="D231" s="1">
        <v>43234</v>
      </c>
    </row>
    <row r="232" spans="1:4" x14ac:dyDescent="0.25">
      <c r="A232" t="s">
        <v>1785</v>
      </c>
      <c r="C232" t="s">
        <v>11</v>
      </c>
      <c r="D232" s="1">
        <v>43237</v>
      </c>
    </row>
    <row r="233" spans="1:4" x14ac:dyDescent="0.25">
      <c r="A233" t="s">
        <v>1786</v>
      </c>
      <c r="C233" t="s">
        <v>11</v>
      </c>
      <c r="D233" s="1">
        <v>43233</v>
      </c>
    </row>
    <row r="234" spans="1:4" x14ac:dyDescent="0.25">
      <c r="A234" t="s">
        <v>357</v>
      </c>
      <c r="C234" t="s">
        <v>11</v>
      </c>
      <c r="D234" s="1">
        <v>43237</v>
      </c>
    </row>
    <row r="235" spans="1:4" x14ac:dyDescent="0.25">
      <c r="A235" t="s">
        <v>1787</v>
      </c>
      <c r="C235" t="s">
        <v>11</v>
      </c>
      <c r="D235" s="1">
        <v>43248</v>
      </c>
    </row>
    <row r="236" spans="1:4" x14ac:dyDescent="0.25">
      <c r="A236" t="s">
        <v>1431</v>
      </c>
      <c r="C236" t="s">
        <v>11</v>
      </c>
      <c r="D236" s="1">
        <v>43228</v>
      </c>
    </row>
    <row r="237" spans="1:4" x14ac:dyDescent="0.25">
      <c r="A237" t="s">
        <v>1132</v>
      </c>
      <c r="C237" t="s">
        <v>11</v>
      </c>
      <c r="D237" s="1">
        <v>43239</v>
      </c>
    </row>
    <row r="238" spans="1:4" x14ac:dyDescent="0.25">
      <c r="A238" t="s">
        <v>1788</v>
      </c>
      <c r="C238" t="s">
        <v>11</v>
      </c>
      <c r="D238" s="1">
        <v>43228</v>
      </c>
    </row>
    <row r="239" spans="1:4" x14ac:dyDescent="0.25">
      <c r="A239" t="s">
        <v>667</v>
      </c>
      <c r="C239" t="s">
        <v>11</v>
      </c>
      <c r="D239" s="1">
        <v>43234</v>
      </c>
    </row>
    <row r="240" spans="1:4" x14ac:dyDescent="0.25">
      <c r="A240" t="s">
        <v>1672</v>
      </c>
      <c r="C240" t="s">
        <v>11</v>
      </c>
      <c r="D240" s="1">
        <v>43228</v>
      </c>
    </row>
    <row r="241" spans="1:4" x14ac:dyDescent="0.25">
      <c r="A241" t="s">
        <v>1076</v>
      </c>
      <c r="C241" t="s">
        <v>11</v>
      </c>
      <c r="D241" s="1">
        <v>43243</v>
      </c>
    </row>
    <row r="242" spans="1:4" x14ac:dyDescent="0.25">
      <c r="A242" t="s">
        <v>1368</v>
      </c>
      <c r="C242" t="s">
        <v>11</v>
      </c>
      <c r="D242" s="1">
        <v>43238</v>
      </c>
    </row>
    <row r="243" spans="1:4" x14ac:dyDescent="0.25">
      <c r="A243" t="s">
        <v>1789</v>
      </c>
      <c r="C243" t="s">
        <v>11</v>
      </c>
      <c r="D243" s="1">
        <v>43238</v>
      </c>
    </row>
    <row r="244" spans="1:4" x14ac:dyDescent="0.25">
      <c r="A244" t="s">
        <v>1069</v>
      </c>
      <c r="C244" t="s">
        <v>11</v>
      </c>
      <c r="D244" s="1">
        <v>43228</v>
      </c>
    </row>
    <row r="245" spans="1:4" x14ac:dyDescent="0.25">
      <c r="A245" t="s">
        <v>1790</v>
      </c>
      <c r="C245" t="s">
        <v>11</v>
      </c>
      <c r="D245" s="1">
        <v>43250</v>
      </c>
    </row>
    <row r="246" spans="1:4" x14ac:dyDescent="0.25">
      <c r="A246" t="s">
        <v>859</v>
      </c>
      <c r="C246" t="s">
        <v>11</v>
      </c>
      <c r="D246" s="1">
        <v>43237</v>
      </c>
    </row>
    <row r="247" spans="1:4" x14ac:dyDescent="0.25">
      <c r="A247" t="s">
        <v>844</v>
      </c>
      <c r="C247" t="s">
        <v>11</v>
      </c>
      <c r="D247" s="1">
        <v>43224</v>
      </c>
    </row>
    <row r="248" spans="1:4" x14ac:dyDescent="0.25">
      <c r="A248" t="s">
        <v>1010</v>
      </c>
      <c r="C248" t="s">
        <v>11</v>
      </c>
      <c r="D248" s="1">
        <v>43237</v>
      </c>
    </row>
    <row r="249" spans="1:4" x14ac:dyDescent="0.25">
      <c r="A249" t="s">
        <v>1791</v>
      </c>
      <c r="C249" t="s">
        <v>11</v>
      </c>
      <c r="D249" s="1">
        <v>43237</v>
      </c>
    </row>
    <row r="250" spans="1:4" x14ac:dyDescent="0.25">
      <c r="A250" t="s">
        <v>1792</v>
      </c>
      <c r="C250" t="s">
        <v>11</v>
      </c>
      <c r="D250" s="1">
        <v>43233</v>
      </c>
    </row>
    <row r="251" spans="1:4" x14ac:dyDescent="0.25">
      <c r="A251" t="s">
        <v>308</v>
      </c>
      <c r="C251" t="s">
        <v>11</v>
      </c>
      <c r="D251" s="1">
        <v>43251</v>
      </c>
    </row>
    <row r="252" spans="1:4" x14ac:dyDescent="0.25">
      <c r="A252" t="s">
        <v>1131</v>
      </c>
      <c r="C252" t="s">
        <v>11</v>
      </c>
      <c r="D252" s="1">
        <v>43239</v>
      </c>
    </row>
    <row r="253" spans="1:4" x14ac:dyDescent="0.25">
      <c r="A253" t="s">
        <v>1397</v>
      </c>
      <c r="C253" t="s">
        <v>11</v>
      </c>
      <c r="D253" s="1">
        <v>43224</v>
      </c>
    </row>
    <row r="254" spans="1:4" x14ac:dyDescent="0.25">
      <c r="A254" t="s">
        <v>1347</v>
      </c>
      <c r="C254" t="s">
        <v>11</v>
      </c>
      <c r="D254" s="1">
        <v>43231</v>
      </c>
    </row>
    <row r="255" spans="1:4" x14ac:dyDescent="0.25">
      <c r="A255" t="s">
        <v>1793</v>
      </c>
      <c r="C255" t="s">
        <v>11</v>
      </c>
      <c r="D255" s="1">
        <v>43238</v>
      </c>
    </row>
    <row r="256" spans="1:4" x14ac:dyDescent="0.25">
      <c r="A256" t="s">
        <v>1794</v>
      </c>
      <c r="C256" t="s">
        <v>11</v>
      </c>
      <c r="D256" s="1">
        <v>43221</v>
      </c>
    </row>
    <row r="257" spans="1:4" x14ac:dyDescent="0.25">
      <c r="A257" t="s">
        <v>1795</v>
      </c>
      <c r="C257" t="s">
        <v>11</v>
      </c>
      <c r="D257" s="1">
        <v>43237</v>
      </c>
    </row>
    <row r="258" spans="1:4" x14ac:dyDescent="0.25">
      <c r="A258" t="s">
        <v>600</v>
      </c>
      <c r="C258" t="s">
        <v>11</v>
      </c>
      <c r="D258" s="1">
        <v>43248</v>
      </c>
    </row>
    <row r="259" spans="1:4" x14ac:dyDescent="0.25">
      <c r="A259" t="s">
        <v>1796</v>
      </c>
      <c r="C259" t="s">
        <v>11</v>
      </c>
      <c r="D259" s="1">
        <v>43231</v>
      </c>
    </row>
    <row r="260" spans="1:4" x14ac:dyDescent="0.25">
      <c r="A260" t="s">
        <v>1502</v>
      </c>
      <c r="C260" t="s">
        <v>11</v>
      </c>
      <c r="D260" s="1">
        <v>43225</v>
      </c>
    </row>
    <row r="261" spans="1:4" x14ac:dyDescent="0.25">
      <c r="A261" t="s">
        <v>1797</v>
      </c>
      <c r="C261" t="s">
        <v>11</v>
      </c>
      <c r="D261" s="1">
        <v>43243</v>
      </c>
    </row>
    <row r="262" spans="1:4" x14ac:dyDescent="0.25">
      <c r="A262" t="s">
        <v>1798</v>
      </c>
      <c r="C262" t="s">
        <v>11</v>
      </c>
      <c r="D262" s="1">
        <v>43250</v>
      </c>
    </row>
    <row r="263" spans="1:4" x14ac:dyDescent="0.25">
      <c r="A263" t="s">
        <v>785</v>
      </c>
      <c r="C263" t="s">
        <v>11</v>
      </c>
      <c r="D263" s="1">
        <v>43231</v>
      </c>
    </row>
    <row r="264" spans="1:4" x14ac:dyDescent="0.25">
      <c r="A264" t="s">
        <v>892</v>
      </c>
      <c r="C264" t="s">
        <v>11</v>
      </c>
      <c r="D264" s="1">
        <v>43237</v>
      </c>
    </row>
    <row r="265" spans="1:4" x14ac:dyDescent="0.25">
      <c r="A265" t="s">
        <v>1234</v>
      </c>
      <c r="C265" t="s">
        <v>11</v>
      </c>
      <c r="D265" s="1">
        <v>43241</v>
      </c>
    </row>
    <row r="266" spans="1:4" x14ac:dyDescent="0.25">
      <c r="A266" t="s">
        <v>1233</v>
      </c>
      <c r="C266" t="s">
        <v>11</v>
      </c>
      <c r="D266" s="1">
        <v>43227</v>
      </c>
    </row>
    <row r="267" spans="1:4" x14ac:dyDescent="0.25">
      <c r="A267" t="s">
        <v>1799</v>
      </c>
      <c r="C267" t="s">
        <v>11</v>
      </c>
      <c r="D267" s="1">
        <v>43251</v>
      </c>
    </row>
    <row r="268" spans="1:4" x14ac:dyDescent="0.25">
      <c r="A268" t="s">
        <v>1800</v>
      </c>
      <c r="C268" t="s">
        <v>11</v>
      </c>
      <c r="D268" s="1">
        <v>43224</v>
      </c>
    </row>
    <row r="269" spans="1:4" x14ac:dyDescent="0.25">
      <c r="A269" t="s">
        <v>1209</v>
      </c>
      <c r="C269" t="s">
        <v>11</v>
      </c>
      <c r="D269" s="1">
        <v>43248</v>
      </c>
    </row>
    <row r="270" spans="1:4" x14ac:dyDescent="0.25">
      <c r="A270" t="s">
        <v>1801</v>
      </c>
      <c r="C270" t="s">
        <v>11</v>
      </c>
      <c r="D270" s="1">
        <v>43239</v>
      </c>
    </row>
    <row r="271" spans="1:4" x14ac:dyDescent="0.25">
      <c r="A271" t="s">
        <v>696</v>
      </c>
      <c r="C271" t="s">
        <v>11</v>
      </c>
      <c r="D271" s="1">
        <v>43241</v>
      </c>
    </row>
    <row r="272" spans="1:4" x14ac:dyDescent="0.25">
      <c r="A272" t="s">
        <v>1521</v>
      </c>
      <c r="C272" t="s">
        <v>11</v>
      </c>
      <c r="D272" s="1">
        <v>43245</v>
      </c>
    </row>
    <row r="273" spans="1:4" x14ac:dyDescent="0.25">
      <c r="A273" t="s">
        <v>1172</v>
      </c>
      <c r="C273" t="s">
        <v>11</v>
      </c>
      <c r="D273" s="1">
        <v>43241</v>
      </c>
    </row>
    <row r="274" spans="1:4" x14ac:dyDescent="0.25">
      <c r="A274" t="s">
        <v>1802</v>
      </c>
      <c r="C274" t="s">
        <v>11</v>
      </c>
      <c r="D274" s="1">
        <v>43225</v>
      </c>
    </row>
    <row r="275" spans="1:4" x14ac:dyDescent="0.25">
      <c r="A275" t="s">
        <v>901</v>
      </c>
      <c r="C275" t="s">
        <v>11</v>
      </c>
      <c r="D275" s="1">
        <v>43251</v>
      </c>
    </row>
    <row r="276" spans="1:4" x14ac:dyDescent="0.25">
      <c r="A276" t="s">
        <v>1803</v>
      </c>
      <c r="C276" t="s">
        <v>11</v>
      </c>
      <c r="D276" s="1">
        <v>43225</v>
      </c>
    </row>
    <row r="277" spans="1:4" x14ac:dyDescent="0.25">
      <c r="A277" t="s">
        <v>1328</v>
      </c>
      <c r="C277" t="s">
        <v>11</v>
      </c>
      <c r="D277" s="1">
        <v>43231</v>
      </c>
    </row>
    <row r="278" spans="1:4" x14ac:dyDescent="0.25">
      <c r="A278" t="s">
        <v>1448</v>
      </c>
      <c r="C278" t="s">
        <v>11</v>
      </c>
      <c r="D278" s="1">
        <v>43225</v>
      </c>
    </row>
    <row r="279" spans="1:4" x14ac:dyDescent="0.25">
      <c r="A279" t="s">
        <v>1313</v>
      </c>
      <c r="C279" t="s">
        <v>11</v>
      </c>
      <c r="D279" s="1">
        <v>43231</v>
      </c>
    </row>
    <row r="280" spans="1:4" x14ac:dyDescent="0.25">
      <c r="A280" t="s">
        <v>1574</v>
      </c>
      <c r="C280" t="s">
        <v>11</v>
      </c>
      <c r="D280" s="1">
        <v>43228</v>
      </c>
    </row>
    <row r="281" spans="1:4" x14ac:dyDescent="0.25">
      <c r="A281" t="s">
        <v>1804</v>
      </c>
      <c r="C281" t="s">
        <v>11</v>
      </c>
      <c r="D281" s="1">
        <v>43248</v>
      </c>
    </row>
    <row r="282" spans="1:4" x14ac:dyDescent="0.25">
      <c r="A282" t="s">
        <v>154</v>
      </c>
      <c r="C282" t="s">
        <v>11</v>
      </c>
      <c r="D282" s="1">
        <v>43247</v>
      </c>
    </row>
    <row r="283" spans="1:4" x14ac:dyDescent="0.25">
      <c r="A283" t="s">
        <v>1557</v>
      </c>
      <c r="C283" t="s">
        <v>11</v>
      </c>
      <c r="D283" s="1">
        <v>43228</v>
      </c>
    </row>
    <row r="284" spans="1:4" x14ac:dyDescent="0.25">
      <c r="A284" t="s">
        <v>1238</v>
      </c>
      <c r="C284" t="s">
        <v>11</v>
      </c>
      <c r="D284" s="1">
        <v>43225</v>
      </c>
    </row>
    <row r="285" spans="1:4" x14ac:dyDescent="0.25">
      <c r="A285" t="s">
        <v>1472</v>
      </c>
      <c r="C285" t="s">
        <v>11</v>
      </c>
      <c r="D285" s="1">
        <v>43228</v>
      </c>
    </row>
    <row r="286" spans="1:4" x14ac:dyDescent="0.25">
      <c r="A286" t="s">
        <v>967</v>
      </c>
      <c r="C286" t="s">
        <v>11</v>
      </c>
      <c r="D286" s="1">
        <v>43248</v>
      </c>
    </row>
    <row r="287" spans="1:4" x14ac:dyDescent="0.25">
      <c r="A287" t="s">
        <v>1805</v>
      </c>
      <c r="C287" t="s">
        <v>11</v>
      </c>
      <c r="D287" s="1">
        <v>43225</v>
      </c>
    </row>
    <row r="288" spans="1:4" x14ac:dyDescent="0.25">
      <c r="A288" t="s">
        <v>1371</v>
      </c>
      <c r="C288" t="s">
        <v>11</v>
      </c>
      <c r="D288" s="1">
        <v>43225</v>
      </c>
    </row>
    <row r="289" spans="1:4" x14ac:dyDescent="0.25">
      <c r="A289" t="s">
        <v>1806</v>
      </c>
      <c r="C289" t="s">
        <v>11</v>
      </c>
      <c r="D289" s="1">
        <v>43241</v>
      </c>
    </row>
    <row r="290" spans="1:4" x14ac:dyDescent="0.25">
      <c r="A290" t="s">
        <v>1228</v>
      </c>
      <c r="C290" t="s">
        <v>11</v>
      </c>
      <c r="D290" s="1">
        <v>43231</v>
      </c>
    </row>
    <row r="291" spans="1:4" x14ac:dyDescent="0.25">
      <c r="A291" t="s">
        <v>1807</v>
      </c>
      <c r="C291" t="s">
        <v>11</v>
      </c>
      <c r="D291" s="1">
        <v>43227</v>
      </c>
    </row>
    <row r="292" spans="1:4" x14ac:dyDescent="0.25">
      <c r="A292" t="s">
        <v>1430</v>
      </c>
      <c r="C292" t="s">
        <v>11</v>
      </c>
      <c r="D292" s="1">
        <v>43228</v>
      </c>
    </row>
    <row r="293" spans="1:4" x14ac:dyDescent="0.25">
      <c r="A293" t="s">
        <v>1808</v>
      </c>
      <c r="C293" t="s">
        <v>11</v>
      </c>
      <c r="D293" s="1">
        <v>43251</v>
      </c>
    </row>
    <row r="294" spans="1:4" x14ac:dyDescent="0.25">
      <c r="A294" t="s">
        <v>1536</v>
      </c>
      <c r="C294" t="s">
        <v>11</v>
      </c>
      <c r="D294" s="1">
        <v>43224</v>
      </c>
    </row>
    <row r="295" spans="1:4" x14ac:dyDescent="0.25">
      <c r="A295" t="s">
        <v>1661</v>
      </c>
      <c r="C295" t="s">
        <v>11</v>
      </c>
      <c r="D295" s="1">
        <v>43247</v>
      </c>
    </row>
    <row r="296" spans="1:4" x14ac:dyDescent="0.25">
      <c r="A296" t="s">
        <v>1578</v>
      </c>
      <c r="C296" t="s">
        <v>11</v>
      </c>
      <c r="D296" s="1">
        <v>43227</v>
      </c>
    </row>
    <row r="297" spans="1:4" x14ac:dyDescent="0.25">
      <c r="A297" t="s">
        <v>1416</v>
      </c>
      <c r="C297" t="s">
        <v>11</v>
      </c>
      <c r="D297" s="1">
        <v>43245</v>
      </c>
    </row>
    <row r="298" spans="1:4" x14ac:dyDescent="0.25">
      <c r="A298" t="s">
        <v>846</v>
      </c>
      <c r="C298" t="s">
        <v>11</v>
      </c>
      <c r="D298" s="1">
        <v>43251</v>
      </c>
    </row>
    <row r="299" spans="1:4" x14ac:dyDescent="0.25">
      <c r="A299" t="s">
        <v>854</v>
      </c>
      <c r="C299" t="s">
        <v>11</v>
      </c>
      <c r="D299" s="1">
        <v>43237</v>
      </c>
    </row>
    <row r="300" spans="1:4" x14ac:dyDescent="0.25">
      <c r="A300" t="s">
        <v>1809</v>
      </c>
      <c r="C300" t="s">
        <v>11</v>
      </c>
      <c r="D300" s="1">
        <v>43244</v>
      </c>
    </row>
    <row r="301" spans="1:4" x14ac:dyDescent="0.25">
      <c r="A301" t="s">
        <v>1810</v>
      </c>
      <c r="C301" t="s">
        <v>11</v>
      </c>
      <c r="D301" s="1">
        <v>43237</v>
      </c>
    </row>
    <row r="302" spans="1:4" x14ac:dyDescent="0.25">
      <c r="A302" t="s">
        <v>1312</v>
      </c>
      <c r="C302" t="s">
        <v>11</v>
      </c>
      <c r="D302" s="1">
        <v>43248</v>
      </c>
    </row>
    <row r="303" spans="1:4" x14ac:dyDescent="0.25">
      <c r="A303" t="s">
        <v>976</v>
      </c>
      <c r="C303" t="s">
        <v>11</v>
      </c>
      <c r="D303" s="1">
        <v>43237</v>
      </c>
    </row>
    <row r="304" spans="1:4" x14ac:dyDescent="0.25">
      <c r="A304" t="s">
        <v>1256</v>
      </c>
      <c r="C304" t="s">
        <v>11</v>
      </c>
      <c r="D304" s="1">
        <v>43237</v>
      </c>
    </row>
    <row r="305" spans="1:4" x14ac:dyDescent="0.25">
      <c r="A305" t="s">
        <v>1533</v>
      </c>
      <c r="C305" t="s">
        <v>11</v>
      </c>
      <c r="D305" s="1">
        <v>43224</v>
      </c>
    </row>
    <row r="306" spans="1:4" x14ac:dyDescent="0.25">
      <c r="A306" t="s">
        <v>1673</v>
      </c>
      <c r="C306" t="s">
        <v>11</v>
      </c>
      <c r="D306" s="1">
        <v>43225</v>
      </c>
    </row>
    <row r="307" spans="1:4" x14ac:dyDescent="0.25">
      <c r="A307" t="s">
        <v>1811</v>
      </c>
      <c r="C307" t="s">
        <v>11</v>
      </c>
      <c r="D307" s="1">
        <v>43225</v>
      </c>
    </row>
    <row r="308" spans="1:4" x14ac:dyDescent="0.25">
      <c r="A308" t="s">
        <v>1556</v>
      </c>
      <c r="C308" t="s">
        <v>11</v>
      </c>
      <c r="D308" s="1">
        <v>43228</v>
      </c>
    </row>
    <row r="309" spans="1:4" x14ac:dyDescent="0.25">
      <c r="A309" t="s">
        <v>601</v>
      </c>
      <c r="C309" t="s">
        <v>11</v>
      </c>
      <c r="D309" s="1">
        <v>43237</v>
      </c>
    </row>
    <row r="310" spans="1:4" x14ac:dyDescent="0.25">
      <c r="A310" t="s">
        <v>1440</v>
      </c>
      <c r="C310" t="s">
        <v>11</v>
      </c>
      <c r="D310" s="1">
        <v>43234</v>
      </c>
    </row>
    <row r="311" spans="1:4" x14ac:dyDescent="0.25">
      <c r="A311" t="s">
        <v>1812</v>
      </c>
      <c r="C311" t="s">
        <v>11</v>
      </c>
      <c r="D311" s="1">
        <v>43250</v>
      </c>
    </row>
    <row r="312" spans="1:4" x14ac:dyDescent="0.25">
      <c r="A312" t="s">
        <v>1315</v>
      </c>
      <c r="C312" t="s">
        <v>11</v>
      </c>
      <c r="D312" s="1">
        <v>43244</v>
      </c>
    </row>
    <row r="313" spans="1:4" x14ac:dyDescent="0.25">
      <c r="A313" t="s">
        <v>1433</v>
      </c>
      <c r="C313" t="s">
        <v>11</v>
      </c>
      <c r="D313" s="1">
        <v>43224</v>
      </c>
    </row>
    <row r="314" spans="1:4" x14ac:dyDescent="0.25">
      <c r="A314" t="s">
        <v>1529</v>
      </c>
      <c r="C314" t="s">
        <v>11</v>
      </c>
      <c r="D314" s="1">
        <v>43245</v>
      </c>
    </row>
    <row r="315" spans="1:4" x14ac:dyDescent="0.25">
      <c r="A315" t="s">
        <v>1051</v>
      </c>
      <c r="C315" t="s">
        <v>11</v>
      </c>
      <c r="D315" s="1">
        <v>43228</v>
      </c>
    </row>
    <row r="316" spans="1:4" x14ac:dyDescent="0.25">
      <c r="A316" t="s">
        <v>1813</v>
      </c>
      <c r="C316" t="s">
        <v>11</v>
      </c>
      <c r="D316" s="1">
        <v>43225</v>
      </c>
    </row>
    <row r="317" spans="1:4" x14ac:dyDescent="0.25">
      <c r="A317" t="s">
        <v>1814</v>
      </c>
      <c r="C317" t="s">
        <v>11</v>
      </c>
      <c r="D317" s="1">
        <v>43251</v>
      </c>
    </row>
    <row r="318" spans="1:4" x14ac:dyDescent="0.25">
      <c r="A318" t="s">
        <v>1353</v>
      </c>
      <c r="C318" t="s">
        <v>11</v>
      </c>
      <c r="D318" s="1">
        <v>43248</v>
      </c>
    </row>
    <row r="319" spans="1:4" x14ac:dyDescent="0.25">
      <c r="A319" t="s">
        <v>1239</v>
      </c>
      <c r="C319" t="s">
        <v>11</v>
      </c>
      <c r="D319" s="1">
        <v>43231</v>
      </c>
    </row>
    <row r="320" spans="1:4" x14ac:dyDescent="0.25">
      <c r="A320" t="s">
        <v>956</v>
      </c>
      <c r="C320" t="s">
        <v>11</v>
      </c>
      <c r="D320" s="1">
        <v>43243</v>
      </c>
    </row>
    <row r="321" spans="1:4" x14ac:dyDescent="0.25">
      <c r="A321" t="s">
        <v>1406</v>
      </c>
      <c r="C321" t="s">
        <v>11</v>
      </c>
      <c r="D321" s="1">
        <v>43245</v>
      </c>
    </row>
    <row r="322" spans="1:4" x14ac:dyDescent="0.25">
      <c r="A322" t="s">
        <v>802</v>
      </c>
      <c r="C322" t="s">
        <v>11</v>
      </c>
      <c r="D322" s="1">
        <v>43251</v>
      </c>
    </row>
    <row r="323" spans="1:4" x14ac:dyDescent="0.25">
      <c r="A323" t="s">
        <v>663</v>
      </c>
      <c r="C323" t="s">
        <v>11</v>
      </c>
      <c r="D323" s="1">
        <v>43248</v>
      </c>
    </row>
    <row r="324" spans="1:4" x14ac:dyDescent="0.25">
      <c r="A324" t="s">
        <v>1496</v>
      </c>
      <c r="C324" t="s">
        <v>11</v>
      </c>
      <c r="D324" s="1">
        <v>43228</v>
      </c>
    </row>
    <row r="325" spans="1:4" x14ac:dyDescent="0.25">
      <c r="A325" t="s">
        <v>1033</v>
      </c>
      <c r="C325" t="s">
        <v>11</v>
      </c>
      <c r="D325" s="1">
        <v>43250</v>
      </c>
    </row>
    <row r="326" spans="1:4" x14ac:dyDescent="0.25">
      <c r="A326" t="s">
        <v>1525</v>
      </c>
      <c r="C326" t="s">
        <v>11</v>
      </c>
      <c r="D326" s="1">
        <v>43235</v>
      </c>
    </row>
    <row r="327" spans="1:4" x14ac:dyDescent="0.25">
      <c r="A327" t="s">
        <v>1417</v>
      </c>
      <c r="C327" t="s">
        <v>11</v>
      </c>
      <c r="D327" s="1">
        <v>43228</v>
      </c>
    </row>
    <row r="328" spans="1:4" x14ac:dyDescent="0.25">
      <c r="A328" t="s">
        <v>954</v>
      </c>
      <c r="C328" t="s">
        <v>11</v>
      </c>
      <c r="D328" s="1">
        <v>43248</v>
      </c>
    </row>
    <row r="329" spans="1:4" x14ac:dyDescent="0.25">
      <c r="A329" t="s">
        <v>1189</v>
      </c>
      <c r="C329" t="s">
        <v>11</v>
      </c>
      <c r="D329" s="1">
        <v>43248</v>
      </c>
    </row>
    <row r="330" spans="1:4" x14ac:dyDescent="0.25">
      <c r="A330" t="s">
        <v>1815</v>
      </c>
      <c r="C330" t="s">
        <v>11</v>
      </c>
      <c r="D330" s="1">
        <v>43237</v>
      </c>
    </row>
    <row r="331" spans="1:4" x14ac:dyDescent="0.25">
      <c r="A331" t="s">
        <v>1816</v>
      </c>
      <c r="C331" t="s">
        <v>11</v>
      </c>
      <c r="D331" s="1">
        <v>43237</v>
      </c>
    </row>
    <row r="332" spans="1:4" x14ac:dyDescent="0.25">
      <c r="A332" t="s">
        <v>1817</v>
      </c>
      <c r="C332" t="s">
        <v>11</v>
      </c>
      <c r="D332" s="1">
        <v>43248</v>
      </c>
    </row>
    <row r="333" spans="1:4" x14ac:dyDescent="0.25">
      <c r="A333" t="s">
        <v>1225</v>
      </c>
      <c r="C333" t="s">
        <v>11</v>
      </c>
      <c r="D333" s="1">
        <v>43238</v>
      </c>
    </row>
    <row r="334" spans="1:4" x14ac:dyDescent="0.25">
      <c r="A334" t="s">
        <v>98</v>
      </c>
      <c r="C334" t="s">
        <v>11</v>
      </c>
      <c r="D334" s="1">
        <v>43244</v>
      </c>
    </row>
    <row r="335" spans="1:4" x14ac:dyDescent="0.25">
      <c r="A335" t="s">
        <v>1295</v>
      </c>
      <c r="C335" t="s">
        <v>11</v>
      </c>
      <c r="D335" s="1">
        <v>43225</v>
      </c>
    </row>
    <row r="336" spans="1:4" x14ac:dyDescent="0.25">
      <c r="A336" t="s">
        <v>1670</v>
      </c>
      <c r="C336" t="s">
        <v>11</v>
      </c>
      <c r="D336" s="1">
        <v>43234</v>
      </c>
    </row>
    <row r="337" spans="1:4" x14ac:dyDescent="0.25">
      <c r="A337" t="s">
        <v>1818</v>
      </c>
      <c r="C337" t="s">
        <v>11</v>
      </c>
      <c r="D337" s="1">
        <v>43227</v>
      </c>
    </row>
    <row r="338" spans="1:4" x14ac:dyDescent="0.25">
      <c r="A338" t="s">
        <v>1671</v>
      </c>
      <c r="C338" t="s">
        <v>11</v>
      </c>
      <c r="D338" s="1">
        <v>43225</v>
      </c>
    </row>
    <row r="339" spans="1:4" x14ac:dyDescent="0.25">
      <c r="A339" t="s">
        <v>1138</v>
      </c>
      <c r="C339" t="s">
        <v>11</v>
      </c>
      <c r="D339" s="1">
        <v>43241</v>
      </c>
    </row>
    <row r="340" spans="1:4" x14ac:dyDescent="0.25">
      <c r="A340" t="s">
        <v>1478</v>
      </c>
      <c r="C340" t="s">
        <v>11</v>
      </c>
      <c r="D340" s="1">
        <v>43224</v>
      </c>
    </row>
    <row r="341" spans="1:4" x14ac:dyDescent="0.25">
      <c r="A341" t="s">
        <v>1220</v>
      </c>
      <c r="C341" t="s">
        <v>11</v>
      </c>
      <c r="D341" s="1">
        <v>43248</v>
      </c>
    </row>
    <row r="342" spans="1:4" x14ac:dyDescent="0.25">
      <c r="A342" t="s">
        <v>289</v>
      </c>
      <c r="C342" t="s">
        <v>11</v>
      </c>
      <c r="D342" s="1">
        <v>43251</v>
      </c>
    </row>
    <row r="343" spans="1:4" x14ac:dyDescent="0.25">
      <c r="A343" t="s">
        <v>838</v>
      </c>
      <c r="C343" t="s">
        <v>11</v>
      </c>
      <c r="D343" s="1">
        <v>43237</v>
      </c>
    </row>
    <row r="344" spans="1:4" x14ac:dyDescent="0.25">
      <c r="A344" t="s">
        <v>1819</v>
      </c>
      <c r="C344" t="s">
        <v>11</v>
      </c>
      <c r="D344" s="1">
        <v>43224</v>
      </c>
    </row>
    <row r="345" spans="1:4" x14ac:dyDescent="0.25">
      <c r="A345" t="s">
        <v>1278</v>
      </c>
      <c r="C345" t="s">
        <v>11</v>
      </c>
      <c r="D345" s="1">
        <v>43223</v>
      </c>
    </row>
    <row r="346" spans="1:4" x14ac:dyDescent="0.25">
      <c r="A346" t="s">
        <v>1091</v>
      </c>
      <c r="C346" t="s">
        <v>11</v>
      </c>
      <c r="D346" s="1">
        <v>43237</v>
      </c>
    </row>
    <row r="347" spans="1:4" x14ac:dyDescent="0.25">
      <c r="A347" t="s">
        <v>692</v>
      </c>
      <c r="C347" t="s">
        <v>11</v>
      </c>
      <c r="D347" s="1">
        <v>43241</v>
      </c>
    </row>
    <row r="348" spans="1:4" x14ac:dyDescent="0.25">
      <c r="A348" t="s">
        <v>1820</v>
      </c>
      <c r="C348" t="s">
        <v>11</v>
      </c>
      <c r="D348" s="1">
        <v>43231</v>
      </c>
    </row>
    <row r="349" spans="1:4" x14ac:dyDescent="0.25">
      <c r="A349" t="s">
        <v>1441</v>
      </c>
      <c r="C349" t="s">
        <v>11</v>
      </c>
      <c r="D349" s="1">
        <v>43224</v>
      </c>
    </row>
    <row r="350" spans="1:4" x14ac:dyDescent="0.25">
      <c r="A350" t="s">
        <v>1437</v>
      </c>
      <c r="C350" t="s">
        <v>11</v>
      </c>
      <c r="D350" s="1">
        <v>43222</v>
      </c>
    </row>
    <row r="351" spans="1:4" x14ac:dyDescent="0.25">
      <c r="A351" t="s">
        <v>994</v>
      </c>
      <c r="C351" t="s">
        <v>11</v>
      </c>
      <c r="D351" s="1">
        <v>43230</v>
      </c>
    </row>
    <row r="352" spans="1:4" x14ac:dyDescent="0.25">
      <c r="A352" t="s">
        <v>1821</v>
      </c>
      <c r="C352" t="s">
        <v>11</v>
      </c>
      <c r="D352" s="1">
        <v>43251</v>
      </c>
    </row>
    <row r="353" spans="1:4" x14ac:dyDescent="0.25">
      <c r="A353" t="s">
        <v>1272</v>
      </c>
      <c r="C353" t="s">
        <v>11</v>
      </c>
      <c r="D353" s="1">
        <v>43228</v>
      </c>
    </row>
    <row r="354" spans="1:4" x14ac:dyDescent="0.25">
      <c r="A354" t="s">
        <v>280</v>
      </c>
      <c r="C354" t="s">
        <v>11</v>
      </c>
      <c r="D354" s="1">
        <v>43237</v>
      </c>
    </row>
    <row r="355" spans="1:4" x14ac:dyDescent="0.25">
      <c r="A355" t="s">
        <v>1822</v>
      </c>
      <c r="C355" t="s">
        <v>11</v>
      </c>
      <c r="D355" s="1">
        <v>43244</v>
      </c>
    </row>
    <row r="356" spans="1:4" x14ac:dyDescent="0.25">
      <c r="A356" t="s">
        <v>1823</v>
      </c>
      <c r="C356" t="s">
        <v>11</v>
      </c>
      <c r="D356" s="1">
        <v>43237</v>
      </c>
    </row>
    <row r="357" spans="1:4" x14ac:dyDescent="0.25">
      <c r="A357" t="s">
        <v>1824</v>
      </c>
      <c r="C357" t="s">
        <v>11</v>
      </c>
      <c r="D357" s="1">
        <v>43241</v>
      </c>
    </row>
    <row r="358" spans="1:4" x14ac:dyDescent="0.25">
      <c r="A358" t="s">
        <v>1515</v>
      </c>
      <c r="C358" t="s">
        <v>11</v>
      </c>
      <c r="D358" s="1">
        <v>43228</v>
      </c>
    </row>
    <row r="359" spans="1:4" x14ac:dyDescent="0.25">
      <c r="A359" t="s">
        <v>1825</v>
      </c>
      <c r="C359" t="s">
        <v>11</v>
      </c>
      <c r="D359" s="1">
        <v>43244</v>
      </c>
    </row>
    <row r="360" spans="1:4" x14ac:dyDescent="0.25">
      <c r="A360" t="s">
        <v>850</v>
      </c>
      <c r="C360" t="s">
        <v>11</v>
      </c>
      <c r="D360" s="1">
        <v>43241</v>
      </c>
    </row>
    <row r="361" spans="1:4" x14ac:dyDescent="0.25">
      <c r="A361" t="s">
        <v>1826</v>
      </c>
      <c r="C361" t="s">
        <v>11</v>
      </c>
      <c r="D361" s="1">
        <v>43237</v>
      </c>
    </row>
    <row r="362" spans="1:4" x14ac:dyDescent="0.25">
      <c r="A362" t="s">
        <v>583</v>
      </c>
      <c r="C362" t="s">
        <v>11</v>
      </c>
      <c r="D362" s="1">
        <v>43234</v>
      </c>
    </row>
    <row r="363" spans="1:4" x14ac:dyDescent="0.25">
      <c r="A363" t="s">
        <v>1013</v>
      </c>
      <c r="C363" t="s">
        <v>11</v>
      </c>
      <c r="D363" s="1">
        <v>43227</v>
      </c>
    </row>
    <row r="364" spans="1:4" x14ac:dyDescent="0.25">
      <c r="A364" t="s">
        <v>657</v>
      </c>
      <c r="C364" t="s">
        <v>11</v>
      </c>
      <c r="D364" s="1">
        <v>43237</v>
      </c>
    </row>
    <row r="365" spans="1:4" x14ac:dyDescent="0.25">
      <c r="A365" t="s">
        <v>1827</v>
      </c>
      <c r="C365" t="s">
        <v>11</v>
      </c>
      <c r="D365" s="1">
        <v>43225</v>
      </c>
    </row>
    <row r="366" spans="1:4" x14ac:dyDescent="0.25">
      <c r="A366" t="s">
        <v>1575</v>
      </c>
      <c r="C366" t="s">
        <v>11</v>
      </c>
      <c r="D366" s="1">
        <v>43247</v>
      </c>
    </row>
    <row r="367" spans="1:4" x14ac:dyDescent="0.25">
      <c r="A367" t="s">
        <v>244</v>
      </c>
      <c r="C367" t="s">
        <v>11</v>
      </c>
      <c r="D367" s="1">
        <v>43247</v>
      </c>
    </row>
    <row r="368" spans="1:4" x14ac:dyDescent="0.25">
      <c r="A368" t="s">
        <v>1625</v>
      </c>
      <c r="C368" t="s">
        <v>11</v>
      </c>
      <c r="D368" s="1">
        <v>43250</v>
      </c>
    </row>
    <row r="369" spans="1:4" x14ac:dyDescent="0.25">
      <c r="A369" t="s">
        <v>923</v>
      </c>
      <c r="C369" t="s">
        <v>11</v>
      </c>
      <c r="D369" s="1">
        <v>43237</v>
      </c>
    </row>
    <row r="370" spans="1:4" x14ac:dyDescent="0.25">
      <c r="A370" t="s">
        <v>813</v>
      </c>
      <c r="C370" t="s">
        <v>11</v>
      </c>
      <c r="D370" s="1">
        <v>43231</v>
      </c>
    </row>
    <row r="371" spans="1:4" x14ac:dyDescent="0.25">
      <c r="A371" t="s">
        <v>521</v>
      </c>
      <c r="C371" t="s">
        <v>11</v>
      </c>
      <c r="D371" s="1">
        <v>43231</v>
      </c>
    </row>
    <row r="372" spans="1:4" x14ac:dyDescent="0.25">
      <c r="A372" t="s">
        <v>1235</v>
      </c>
      <c r="C372" t="s">
        <v>11</v>
      </c>
      <c r="D372" s="1">
        <v>43231</v>
      </c>
    </row>
    <row r="373" spans="1:4" x14ac:dyDescent="0.25">
      <c r="A373" t="s">
        <v>1514</v>
      </c>
      <c r="C373" t="s">
        <v>11</v>
      </c>
      <c r="D373" s="1">
        <v>43228</v>
      </c>
    </row>
    <row r="374" spans="1:4" x14ac:dyDescent="0.25">
      <c r="A374" t="s">
        <v>981</v>
      </c>
      <c r="C374" t="s">
        <v>11</v>
      </c>
      <c r="D374" s="1">
        <v>43231</v>
      </c>
    </row>
    <row r="375" spans="1:4" x14ac:dyDescent="0.25">
      <c r="A375" t="s">
        <v>1167</v>
      </c>
      <c r="C375" t="s">
        <v>11</v>
      </c>
      <c r="D375" s="1">
        <v>43248</v>
      </c>
    </row>
    <row r="376" spans="1:4" x14ac:dyDescent="0.25">
      <c r="A376" t="s">
        <v>1495</v>
      </c>
      <c r="C376" t="s">
        <v>11</v>
      </c>
      <c r="D376" s="1">
        <v>43228</v>
      </c>
    </row>
    <row r="377" spans="1:4" x14ac:dyDescent="0.25">
      <c r="A377" t="s">
        <v>1116</v>
      </c>
      <c r="C377" t="s">
        <v>11</v>
      </c>
      <c r="D377" s="1">
        <v>43224</v>
      </c>
    </row>
    <row r="378" spans="1:4" x14ac:dyDescent="0.25">
      <c r="A378" t="s">
        <v>1828</v>
      </c>
      <c r="C378" t="s">
        <v>11</v>
      </c>
      <c r="D378" s="1">
        <v>43224</v>
      </c>
    </row>
    <row r="379" spans="1:4" x14ac:dyDescent="0.25">
      <c r="A379" t="s">
        <v>982</v>
      </c>
      <c r="C379" t="s">
        <v>11</v>
      </c>
      <c r="D379" s="1">
        <v>43250</v>
      </c>
    </row>
    <row r="380" spans="1:4" x14ac:dyDescent="0.25">
      <c r="A380" t="s">
        <v>811</v>
      </c>
      <c r="C380" t="s">
        <v>11</v>
      </c>
      <c r="D380" s="1">
        <v>43239</v>
      </c>
    </row>
    <row r="381" spans="1:4" x14ac:dyDescent="0.25">
      <c r="A381" t="s">
        <v>1068</v>
      </c>
      <c r="C381" t="s">
        <v>11</v>
      </c>
      <c r="D381" s="1">
        <v>43247</v>
      </c>
    </row>
    <row r="382" spans="1:4" x14ac:dyDescent="0.25">
      <c r="A382" t="s">
        <v>1829</v>
      </c>
      <c r="C382" t="s">
        <v>11</v>
      </c>
      <c r="D382" s="1">
        <v>43247</v>
      </c>
    </row>
    <row r="383" spans="1:4" x14ac:dyDescent="0.25">
      <c r="A383" t="s">
        <v>1573</v>
      </c>
      <c r="C383" t="s">
        <v>11</v>
      </c>
      <c r="D383" s="1">
        <v>43224</v>
      </c>
    </row>
    <row r="384" spans="1:4" x14ac:dyDescent="0.25">
      <c r="A384" t="s">
        <v>834</v>
      </c>
      <c r="C384" t="s">
        <v>11</v>
      </c>
      <c r="D384" s="1">
        <v>43239</v>
      </c>
    </row>
    <row r="385" spans="1:4" x14ac:dyDescent="0.25">
      <c r="A385" t="s">
        <v>1145</v>
      </c>
      <c r="C385" t="s">
        <v>11</v>
      </c>
      <c r="D385" s="1">
        <v>43237</v>
      </c>
    </row>
    <row r="386" spans="1:4" x14ac:dyDescent="0.25">
      <c r="A386" t="s">
        <v>999</v>
      </c>
      <c r="C386" t="s">
        <v>11</v>
      </c>
      <c r="D386" s="1">
        <v>43228</v>
      </c>
    </row>
    <row r="387" spans="1:4" x14ac:dyDescent="0.25">
      <c r="A387" t="s">
        <v>629</v>
      </c>
      <c r="C387" t="s">
        <v>11</v>
      </c>
      <c r="D387" s="1">
        <v>43237</v>
      </c>
    </row>
    <row r="388" spans="1:4" x14ac:dyDescent="0.25">
      <c r="A388" t="s">
        <v>984</v>
      </c>
      <c r="C388" t="s">
        <v>11</v>
      </c>
      <c r="D388" s="1">
        <v>43228</v>
      </c>
    </row>
    <row r="389" spans="1:4" x14ac:dyDescent="0.25">
      <c r="A389" t="s">
        <v>1090</v>
      </c>
      <c r="C389" t="s">
        <v>11</v>
      </c>
      <c r="D389" s="1">
        <v>43227</v>
      </c>
    </row>
    <row r="390" spans="1:4" x14ac:dyDescent="0.25">
      <c r="A390" t="s">
        <v>970</v>
      </c>
      <c r="C390" t="s">
        <v>11</v>
      </c>
      <c r="D390" s="1">
        <v>43231</v>
      </c>
    </row>
    <row r="391" spans="1:4" x14ac:dyDescent="0.25">
      <c r="A391" t="s">
        <v>1830</v>
      </c>
      <c r="C391" t="s">
        <v>11</v>
      </c>
      <c r="D391" s="1">
        <v>43239</v>
      </c>
    </row>
    <row r="392" spans="1:4" x14ac:dyDescent="0.25">
      <c r="A392" t="s">
        <v>1831</v>
      </c>
      <c r="C392" t="s">
        <v>11</v>
      </c>
      <c r="D392" s="1">
        <v>43243</v>
      </c>
    </row>
    <row r="393" spans="1:4" x14ac:dyDescent="0.25">
      <c r="A393" t="s">
        <v>1227</v>
      </c>
      <c r="C393" t="s">
        <v>11</v>
      </c>
      <c r="D393" s="1">
        <v>43236</v>
      </c>
    </row>
    <row r="394" spans="1:4" x14ac:dyDescent="0.25">
      <c r="A394" t="s">
        <v>1017</v>
      </c>
      <c r="C394" t="s">
        <v>11</v>
      </c>
      <c r="D394" s="1">
        <v>43234</v>
      </c>
    </row>
    <row r="395" spans="1:4" x14ac:dyDescent="0.25">
      <c r="A395" t="s">
        <v>1124</v>
      </c>
      <c r="C395" t="s">
        <v>11</v>
      </c>
      <c r="D395" s="1">
        <v>43237</v>
      </c>
    </row>
    <row r="396" spans="1:4" x14ac:dyDescent="0.25">
      <c r="A396" t="s">
        <v>1052</v>
      </c>
      <c r="C396" t="s">
        <v>11</v>
      </c>
      <c r="D396" s="1">
        <v>43224</v>
      </c>
    </row>
    <row r="397" spans="1:4" x14ac:dyDescent="0.25">
      <c r="A397" t="s">
        <v>1139</v>
      </c>
      <c r="C397" t="s">
        <v>11</v>
      </c>
      <c r="D397" s="1">
        <v>43234</v>
      </c>
    </row>
    <row r="398" spans="1:4" x14ac:dyDescent="0.25">
      <c r="A398" t="s">
        <v>1212</v>
      </c>
      <c r="C398" t="s">
        <v>11</v>
      </c>
      <c r="D398" s="1">
        <v>43247</v>
      </c>
    </row>
    <row r="399" spans="1:4" x14ac:dyDescent="0.25">
      <c r="A399" t="s">
        <v>1832</v>
      </c>
      <c r="C399" t="s">
        <v>11</v>
      </c>
      <c r="D399" s="1">
        <v>43239</v>
      </c>
    </row>
    <row r="400" spans="1:4" x14ac:dyDescent="0.25">
      <c r="A400" t="s">
        <v>1833</v>
      </c>
      <c r="C400" t="s">
        <v>11</v>
      </c>
      <c r="D400" s="1">
        <v>43243</v>
      </c>
    </row>
    <row r="401" spans="1:4" x14ac:dyDescent="0.25">
      <c r="A401" t="s">
        <v>1019</v>
      </c>
      <c r="C401" t="s">
        <v>11</v>
      </c>
      <c r="D401" s="1">
        <v>43234</v>
      </c>
    </row>
    <row r="402" spans="1:4" x14ac:dyDescent="0.25">
      <c r="A402" t="s">
        <v>1026</v>
      </c>
      <c r="C402" t="s">
        <v>11</v>
      </c>
      <c r="D402" s="1">
        <v>43234</v>
      </c>
    </row>
    <row r="403" spans="1:4" x14ac:dyDescent="0.25">
      <c r="A403" t="s">
        <v>1630</v>
      </c>
      <c r="C403" t="s">
        <v>11</v>
      </c>
      <c r="D403" s="1">
        <v>43224</v>
      </c>
    </row>
    <row r="404" spans="1:4" x14ac:dyDescent="0.25">
      <c r="A404" t="s">
        <v>977</v>
      </c>
      <c r="C404" t="s">
        <v>11</v>
      </c>
      <c r="D404" s="1">
        <v>43234</v>
      </c>
    </row>
    <row r="405" spans="1:4" x14ac:dyDescent="0.25">
      <c r="A405" t="s">
        <v>1107</v>
      </c>
      <c r="C405" t="s">
        <v>11</v>
      </c>
      <c r="D405" s="1">
        <v>43237</v>
      </c>
    </row>
    <row r="406" spans="1:4" x14ac:dyDescent="0.25">
      <c r="A406" t="s">
        <v>1142</v>
      </c>
      <c r="C406" t="s">
        <v>11</v>
      </c>
      <c r="D406" s="1">
        <v>43234</v>
      </c>
    </row>
    <row r="407" spans="1:4" x14ac:dyDescent="0.25">
      <c r="A407" t="s">
        <v>864</v>
      </c>
      <c r="C407" t="s">
        <v>11</v>
      </c>
      <c r="D407" s="1">
        <v>43239</v>
      </c>
    </row>
    <row r="408" spans="1:4" x14ac:dyDescent="0.25">
      <c r="A408" t="s">
        <v>1035</v>
      </c>
      <c r="C408" t="s">
        <v>11</v>
      </c>
      <c r="D408" s="1">
        <v>43237</v>
      </c>
    </row>
    <row r="409" spans="1:4" x14ac:dyDescent="0.25">
      <c r="A409" t="s">
        <v>1834</v>
      </c>
      <c r="C409" t="s">
        <v>11</v>
      </c>
      <c r="D409" s="1">
        <v>43239</v>
      </c>
    </row>
    <row r="410" spans="1:4" x14ac:dyDescent="0.25">
      <c r="A410" t="s">
        <v>1298</v>
      </c>
      <c r="C410" t="s">
        <v>11</v>
      </c>
      <c r="D410" s="1">
        <v>43236</v>
      </c>
    </row>
    <row r="411" spans="1:4" x14ac:dyDescent="0.25">
      <c r="A411" t="s">
        <v>1835</v>
      </c>
      <c r="C411" t="s">
        <v>11</v>
      </c>
      <c r="D411" s="1">
        <v>43243</v>
      </c>
    </row>
    <row r="412" spans="1:4" x14ac:dyDescent="0.25">
      <c r="A412" t="s">
        <v>1836</v>
      </c>
      <c r="C412" t="s">
        <v>11</v>
      </c>
      <c r="D412" s="1">
        <v>43240</v>
      </c>
    </row>
    <row r="413" spans="1:4" x14ac:dyDescent="0.25">
      <c r="A413" t="s">
        <v>1837</v>
      </c>
      <c r="C413" t="s">
        <v>11</v>
      </c>
      <c r="D413" s="1">
        <v>43247</v>
      </c>
    </row>
    <row r="414" spans="1:4" x14ac:dyDescent="0.25">
      <c r="A414" t="s">
        <v>1118</v>
      </c>
      <c r="C414" t="s">
        <v>11</v>
      </c>
      <c r="D414" s="1">
        <v>43224</v>
      </c>
    </row>
    <row r="415" spans="1:4" x14ac:dyDescent="0.25">
      <c r="A415" t="s">
        <v>1491</v>
      </c>
      <c r="C415" t="s">
        <v>11</v>
      </c>
      <c r="D415" s="1">
        <v>43228</v>
      </c>
    </row>
    <row r="416" spans="1:4" x14ac:dyDescent="0.25">
      <c r="A416" t="s">
        <v>1550</v>
      </c>
      <c r="C416" t="s">
        <v>11</v>
      </c>
      <c r="D416" s="1">
        <v>43234</v>
      </c>
    </row>
    <row r="417" spans="1:4" x14ac:dyDescent="0.25">
      <c r="A417" t="s">
        <v>1838</v>
      </c>
      <c r="C417" t="s">
        <v>11</v>
      </c>
      <c r="D417" s="1">
        <v>43247</v>
      </c>
    </row>
    <row r="418" spans="1:4" x14ac:dyDescent="0.25">
      <c r="A418" t="s">
        <v>1839</v>
      </c>
      <c r="C418" t="s">
        <v>11</v>
      </c>
      <c r="D418" s="1">
        <v>43228</v>
      </c>
    </row>
    <row r="419" spans="1:4" x14ac:dyDescent="0.25">
      <c r="A419" t="s">
        <v>945</v>
      </c>
      <c r="C419" t="s">
        <v>11</v>
      </c>
      <c r="D419" s="1">
        <v>43237</v>
      </c>
    </row>
    <row r="420" spans="1:4" x14ac:dyDescent="0.25">
      <c r="A420" t="s">
        <v>1178</v>
      </c>
      <c r="C420" t="s">
        <v>11</v>
      </c>
      <c r="D420" s="1">
        <v>43224</v>
      </c>
    </row>
    <row r="421" spans="1:4" x14ac:dyDescent="0.25">
      <c r="A421" t="s">
        <v>1182</v>
      </c>
      <c r="C421" t="s">
        <v>11</v>
      </c>
      <c r="D421" s="1">
        <v>43224</v>
      </c>
    </row>
    <row r="422" spans="1:4" x14ac:dyDescent="0.25">
      <c r="A422" t="s">
        <v>1840</v>
      </c>
      <c r="C422" t="s">
        <v>11</v>
      </c>
      <c r="D422" s="1">
        <v>43225</v>
      </c>
    </row>
    <row r="423" spans="1:4" x14ac:dyDescent="0.25">
      <c r="A423" t="s">
        <v>1411</v>
      </c>
      <c r="C423" t="s">
        <v>11</v>
      </c>
      <c r="D423" s="1">
        <v>43224</v>
      </c>
    </row>
    <row r="424" spans="1:4" x14ac:dyDescent="0.25">
      <c r="A424" t="s">
        <v>1181</v>
      </c>
      <c r="C424" t="s">
        <v>11</v>
      </c>
      <c r="D424" s="1">
        <v>43224</v>
      </c>
    </row>
    <row r="425" spans="1:4" x14ac:dyDescent="0.25">
      <c r="A425" t="s">
        <v>1048</v>
      </c>
      <c r="C425" t="s">
        <v>11</v>
      </c>
      <c r="D425" s="1">
        <v>43247</v>
      </c>
    </row>
    <row r="426" spans="1:4" x14ac:dyDescent="0.25">
      <c r="A426" t="s">
        <v>1169</v>
      </c>
      <c r="C426" t="s">
        <v>11</v>
      </c>
      <c r="D426" s="1">
        <v>43231</v>
      </c>
    </row>
    <row r="427" spans="1:4" x14ac:dyDescent="0.25">
      <c r="A427" t="s">
        <v>1841</v>
      </c>
      <c r="C427" t="s">
        <v>11</v>
      </c>
      <c r="D427" s="1">
        <v>43247</v>
      </c>
    </row>
    <row r="428" spans="1:4" x14ac:dyDescent="0.25">
      <c r="A428" t="s">
        <v>1154</v>
      </c>
      <c r="C428" t="s">
        <v>11</v>
      </c>
      <c r="D428" s="1">
        <v>43248</v>
      </c>
    </row>
    <row r="429" spans="1:4" x14ac:dyDescent="0.25">
      <c r="A429" t="s">
        <v>1842</v>
      </c>
      <c r="C429" t="s">
        <v>11</v>
      </c>
      <c r="D429" s="1">
        <v>43242</v>
      </c>
    </row>
    <row r="430" spans="1:4" x14ac:dyDescent="0.25">
      <c r="A430" t="s">
        <v>1177</v>
      </c>
      <c r="C430" t="s">
        <v>11</v>
      </c>
      <c r="D430" s="1">
        <v>43228</v>
      </c>
    </row>
    <row r="431" spans="1:4" x14ac:dyDescent="0.25">
      <c r="A431" t="s">
        <v>529</v>
      </c>
      <c r="C431" t="s">
        <v>11</v>
      </c>
      <c r="D431" s="1">
        <v>43237</v>
      </c>
    </row>
    <row r="432" spans="1:4" x14ac:dyDescent="0.25">
      <c r="A432" t="s">
        <v>1843</v>
      </c>
      <c r="C432" t="s">
        <v>11</v>
      </c>
      <c r="D432" s="1">
        <v>43230</v>
      </c>
    </row>
    <row r="433" spans="1:4" x14ac:dyDescent="0.25">
      <c r="A433" t="s">
        <v>754</v>
      </c>
      <c r="C433" t="s">
        <v>11</v>
      </c>
      <c r="D433" s="1">
        <v>43237</v>
      </c>
    </row>
    <row r="434" spans="1:4" x14ac:dyDescent="0.25">
      <c r="A434" t="s">
        <v>1532</v>
      </c>
      <c r="C434" t="s">
        <v>11</v>
      </c>
      <c r="D434" s="1">
        <v>43224</v>
      </c>
    </row>
    <row r="435" spans="1:4" x14ac:dyDescent="0.25">
      <c r="A435" t="s">
        <v>847</v>
      </c>
      <c r="C435" t="s">
        <v>11</v>
      </c>
      <c r="D435" s="1">
        <v>43250</v>
      </c>
    </row>
    <row r="436" spans="1:4" x14ac:dyDescent="0.25">
      <c r="A436" t="s">
        <v>964</v>
      </c>
      <c r="C436" t="s">
        <v>11</v>
      </c>
      <c r="D436" s="1">
        <v>43228</v>
      </c>
    </row>
    <row r="437" spans="1:4" x14ac:dyDescent="0.25">
      <c r="A437" t="s">
        <v>1844</v>
      </c>
      <c r="C437" t="s">
        <v>11</v>
      </c>
      <c r="D437" s="1">
        <v>43247</v>
      </c>
    </row>
    <row r="438" spans="1:4" x14ac:dyDescent="0.25">
      <c r="A438" t="s">
        <v>1845</v>
      </c>
      <c r="C438" t="s">
        <v>11</v>
      </c>
      <c r="D438" s="1">
        <v>43225</v>
      </c>
    </row>
    <row r="439" spans="1:4" x14ac:dyDescent="0.25">
      <c r="A439" t="s">
        <v>1457</v>
      </c>
      <c r="C439" t="s">
        <v>11</v>
      </c>
      <c r="D439" s="1">
        <v>43224</v>
      </c>
    </row>
    <row r="440" spans="1:4" x14ac:dyDescent="0.25">
      <c r="A440" t="s">
        <v>1846</v>
      </c>
      <c r="C440" t="s">
        <v>11</v>
      </c>
      <c r="D440" s="1">
        <v>43250</v>
      </c>
    </row>
    <row r="441" spans="1:4" x14ac:dyDescent="0.25">
      <c r="A441" t="s">
        <v>1847</v>
      </c>
      <c r="C441" t="s">
        <v>11</v>
      </c>
      <c r="D441" s="1">
        <v>43225</v>
      </c>
    </row>
    <row r="442" spans="1:4" x14ac:dyDescent="0.25">
      <c r="A442" t="s">
        <v>1848</v>
      </c>
      <c r="C442" t="s">
        <v>11</v>
      </c>
      <c r="D442" s="1">
        <v>43224</v>
      </c>
    </row>
    <row r="443" spans="1:4" x14ac:dyDescent="0.25">
      <c r="A443" t="s">
        <v>1849</v>
      </c>
      <c r="C443" t="s">
        <v>11</v>
      </c>
      <c r="D443" s="1">
        <v>43224</v>
      </c>
    </row>
    <row r="444" spans="1:4" x14ac:dyDescent="0.25">
      <c r="A444" t="s">
        <v>1388</v>
      </c>
      <c r="C444" t="s">
        <v>11</v>
      </c>
      <c r="D444" s="1">
        <v>43234</v>
      </c>
    </row>
    <row r="445" spans="1:4" x14ac:dyDescent="0.25">
      <c r="A445" t="s">
        <v>1054</v>
      </c>
      <c r="C445" t="s">
        <v>11</v>
      </c>
      <c r="D445" s="1">
        <v>43224</v>
      </c>
    </row>
    <row r="446" spans="1:4" x14ac:dyDescent="0.25">
      <c r="A446" t="s">
        <v>1850</v>
      </c>
      <c r="C446" t="s">
        <v>11</v>
      </c>
      <c r="D446" s="1">
        <v>43237</v>
      </c>
    </row>
    <row r="447" spans="1:4" x14ac:dyDescent="0.25">
      <c r="A447" t="s">
        <v>1113</v>
      </c>
      <c r="C447" t="s">
        <v>11</v>
      </c>
      <c r="D447" s="1">
        <v>43237</v>
      </c>
    </row>
    <row r="448" spans="1:4" x14ac:dyDescent="0.25">
      <c r="A448" t="s">
        <v>1851</v>
      </c>
      <c r="C448" t="s">
        <v>11</v>
      </c>
      <c r="D448" s="1">
        <v>43224</v>
      </c>
    </row>
    <row r="449" spans="1:4" x14ac:dyDescent="0.25">
      <c r="A449" t="s">
        <v>1196</v>
      </c>
      <c r="C449" t="s">
        <v>11</v>
      </c>
      <c r="D449" s="1">
        <v>43237</v>
      </c>
    </row>
    <row r="450" spans="1:4" x14ac:dyDescent="0.25">
      <c r="A450" t="s">
        <v>1655</v>
      </c>
      <c r="C450" t="s">
        <v>11</v>
      </c>
      <c r="D450" s="1">
        <v>43222</v>
      </c>
    </row>
    <row r="451" spans="1:4" x14ac:dyDescent="0.25">
      <c r="A451" t="s">
        <v>1626</v>
      </c>
      <c r="C451" t="s">
        <v>11</v>
      </c>
      <c r="D451" s="1">
        <v>43237</v>
      </c>
    </row>
    <row r="452" spans="1:4" x14ac:dyDescent="0.25">
      <c r="A452" t="s">
        <v>1405</v>
      </c>
      <c r="C452" t="s">
        <v>11</v>
      </c>
      <c r="D452" s="1">
        <v>43234</v>
      </c>
    </row>
    <row r="453" spans="1:4" x14ac:dyDescent="0.25">
      <c r="A453" t="s">
        <v>1852</v>
      </c>
      <c r="C453" t="s">
        <v>11</v>
      </c>
      <c r="D453" s="1">
        <v>43242</v>
      </c>
    </row>
    <row r="454" spans="1:4" x14ac:dyDescent="0.25">
      <c r="A454" t="s">
        <v>1381</v>
      </c>
      <c r="C454" t="s">
        <v>11</v>
      </c>
      <c r="D454" s="1">
        <v>43228</v>
      </c>
    </row>
    <row r="455" spans="1:4" x14ac:dyDescent="0.25">
      <c r="A455" t="s">
        <v>623</v>
      </c>
      <c r="C455" t="s">
        <v>11</v>
      </c>
      <c r="D455" s="1">
        <v>43237</v>
      </c>
    </row>
    <row r="456" spans="1:4" x14ac:dyDescent="0.25">
      <c r="A456" t="s">
        <v>1503</v>
      </c>
      <c r="C456" t="s">
        <v>11</v>
      </c>
      <c r="D456" s="1">
        <v>43234</v>
      </c>
    </row>
    <row r="457" spans="1:4" x14ac:dyDescent="0.25">
      <c r="A457" t="s">
        <v>1539</v>
      </c>
      <c r="C457" t="s">
        <v>11</v>
      </c>
      <c r="D457" s="1">
        <v>43228</v>
      </c>
    </row>
    <row r="458" spans="1:4" x14ac:dyDescent="0.25">
      <c r="A458" t="s">
        <v>276</v>
      </c>
      <c r="C458" t="s">
        <v>11</v>
      </c>
      <c r="D458" s="1">
        <v>43251</v>
      </c>
    </row>
    <row r="459" spans="1:4" x14ac:dyDescent="0.25">
      <c r="A459" t="s">
        <v>1853</v>
      </c>
      <c r="C459" t="s">
        <v>11</v>
      </c>
      <c r="D459" s="1">
        <v>43250</v>
      </c>
    </row>
    <row r="460" spans="1:4" x14ac:dyDescent="0.25">
      <c r="A460" t="s">
        <v>1854</v>
      </c>
      <c r="C460" t="s">
        <v>11</v>
      </c>
      <c r="D460" s="1">
        <v>43224</v>
      </c>
    </row>
    <row r="461" spans="1:4" x14ac:dyDescent="0.25">
      <c r="A461" t="s">
        <v>1855</v>
      </c>
      <c r="C461" t="s">
        <v>11</v>
      </c>
      <c r="D461" s="1">
        <v>43240</v>
      </c>
    </row>
    <row r="462" spans="1:4" x14ac:dyDescent="0.25">
      <c r="A462" t="s">
        <v>987</v>
      </c>
      <c r="C462" t="s">
        <v>11</v>
      </c>
      <c r="D462" s="1">
        <v>43241</v>
      </c>
    </row>
    <row r="463" spans="1:4" x14ac:dyDescent="0.25">
      <c r="A463" t="s">
        <v>1100</v>
      </c>
      <c r="C463" t="s">
        <v>11</v>
      </c>
      <c r="D463" s="1">
        <v>43237</v>
      </c>
    </row>
    <row r="464" spans="1:4" x14ac:dyDescent="0.25">
      <c r="A464" t="s">
        <v>1464</v>
      </c>
      <c r="C464" t="s">
        <v>11</v>
      </c>
      <c r="D464" s="1">
        <v>43234</v>
      </c>
    </row>
    <row r="465" spans="1:4" x14ac:dyDescent="0.25">
      <c r="A465" t="s">
        <v>1022</v>
      </c>
      <c r="C465" t="s">
        <v>11</v>
      </c>
      <c r="D465" s="1">
        <v>43237</v>
      </c>
    </row>
    <row r="466" spans="1:4" x14ac:dyDescent="0.25">
      <c r="A466" t="s">
        <v>632</v>
      </c>
      <c r="C466" t="s">
        <v>11</v>
      </c>
      <c r="D466" s="1">
        <v>43237</v>
      </c>
    </row>
    <row r="467" spans="1:4" x14ac:dyDescent="0.25">
      <c r="A467" t="s">
        <v>707</v>
      </c>
      <c r="C467" t="s">
        <v>11</v>
      </c>
      <c r="D467" s="1">
        <v>43237</v>
      </c>
    </row>
    <row r="468" spans="1:4" x14ac:dyDescent="0.25">
      <c r="A468" t="s">
        <v>1111</v>
      </c>
      <c r="C468" t="s">
        <v>11</v>
      </c>
      <c r="D468" s="1">
        <v>43250</v>
      </c>
    </row>
    <row r="469" spans="1:4" x14ac:dyDescent="0.25">
      <c r="A469" t="s">
        <v>1856</v>
      </c>
      <c r="C469" t="s">
        <v>11</v>
      </c>
      <c r="D469" s="1">
        <v>43237</v>
      </c>
    </row>
    <row r="470" spans="1:4" x14ac:dyDescent="0.25">
      <c r="A470" t="s">
        <v>1654</v>
      </c>
      <c r="C470" t="s">
        <v>11</v>
      </c>
      <c r="D470" s="1">
        <v>43237</v>
      </c>
    </row>
    <row r="471" spans="1:4" x14ac:dyDescent="0.25">
      <c r="A471" t="s">
        <v>1857</v>
      </c>
      <c r="C471" t="s">
        <v>11</v>
      </c>
      <c r="D471" s="1">
        <v>43224</v>
      </c>
    </row>
    <row r="472" spans="1:4" x14ac:dyDescent="0.25">
      <c r="A472" t="s">
        <v>156</v>
      </c>
      <c r="C472" t="s">
        <v>11</v>
      </c>
      <c r="D472" s="1">
        <v>43244</v>
      </c>
    </row>
    <row r="473" spans="1:4" x14ac:dyDescent="0.25">
      <c r="A473" t="s">
        <v>1657</v>
      </c>
      <c r="C473" t="s">
        <v>11</v>
      </c>
      <c r="D473" s="1">
        <v>43237</v>
      </c>
    </row>
    <row r="474" spans="1:4" x14ac:dyDescent="0.25">
      <c r="A474" t="s">
        <v>1858</v>
      </c>
      <c r="C474" t="s">
        <v>11</v>
      </c>
      <c r="D474" s="1">
        <v>43224</v>
      </c>
    </row>
    <row r="475" spans="1:4" x14ac:dyDescent="0.25">
      <c r="A475" t="s">
        <v>1859</v>
      </c>
      <c r="C475" t="s">
        <v>11</v>
      </c>
      <c r="D475" s="1">
        <v>43237</v>
      </c>
    </row>
    <row r="476" spans="1:4" x14ac:dyDescent="0.25">
      <c r="A476" t="s">
        <v>1590</v>
      </c>
      <c r="C476" t="s">
        <v>11</v>
      </c>
      <c r="D476" s="1">
        <v>43222</v>
      </c>
    </row>
    <row r="477" spans="1:4" x14ac:dyDescent="0.25">
      <c r="A477" t="s">
        <v>683</v>
      </c>
      <c r="C477" t="s">
        <v>11</v>
      </c>
      <c r="D477" s="1">
        <v>43237</v>
      </c>
    </row>
    <row r="478" spans="1:4" x14ac:dyDescent="0.25">
      <c r="A478" t="s">
        <v>1524</v>
      </c>
      <c r="C478" t="s">
        <v>11</v>
      </c>
      <c r="D478" s="1">
        <v>43234</v>
      </c>
    </row>
    <row r="479" spans="1:4" x14ac:dyDescent="0.25">
      <c r="A479" t="s">
        <v>1201</v>
      </c>
      <c r="C479" t="s">
        <v>11</v>
      </c>
      <c r="D479" s="1">
        <v>43224</v>
      </c>
    </row>
    <row r="480" spans="1:4" x14ac:dyDescent="0.25">
      <c r="A480" t="s">
        <v>1421</v>
      </c>
      <c r="C480" t="s">
        <v>11</v>
      </c>
      <c r="D480" s="1">
        <v>43225</v>
      </c>
    </row>
    <row r="481" spans="1:4" x14ac:dyDescent="0.25">
      <c r="A481" t="s">
        <v>935</v>
      </c>
      <c r="C481" t="s">
        <v>11</v>
      </c>
      <c r="D481" s="1">
        <v>43250</v>
      </c>
    </row>
    <row r="482" spans="1:4" x14ac:dyDescent="0.25">
      <c r="A482" t="s">
        <v>1860</v>
      </c>
      <c r="C482" t="s">
        <v>11</v>
      </c>
      <c r="D482" s="1">
        <v>43225</v>
      </c>
    </row>
    <row r="483" spans="1:4" x14ac:dyDescent="0.25">
      <c r="A483" t="s">
        <v>1861</v>
      </c>
      <c r="C483" t="s">
        <v>11</v>
      </c>
      <c r="D483" s="1">
        <v>43247</v>
      </c>
    </row>
    <row r="484" spans="1:4" x14ac:dyDescent="0.25">
      <c r="A484" t="s">
        <v>1862</v>
      </c>
      <c r="C484" t="s">
        <v>11</v>
      </c>
      <c r="D484" s="1">
        <v>43250</v>
      </c>
    </row>
    <row r="485" spans="1:4" x14ac:dyDescent="0.25">
      <c r="A485" t="s">
        <v>1863</v>
      </c>
      <c r="C485" t="s">
        <v>11</v>
      </c>
      <c r="D485" s="1">
        <v>43240</v>
      </c>
    </row>
    <row r="486" spans="1:4" x14ac:dyDescent="0.25">
      <c r="A486" t="s">
        <v>703</v>
      </c>
      <c r="C486" t="s">
        <v>11</v>
      </c>
      <c r="D486" s="1">
        <v>43237</v>
      </c>
    </row>
    <row r="487" spans="1:4" x14ac:dyDescent="0.25">
      <c r="A487" t="s">
        <v>1501</v>
      </c>
      <c r="C487" t="s">
        <v>11</v>
      </c>
      <c r="D487" s="1">
        <v>43234</v>
      </c>
    </row>
    <row r="488" spans="1:4" x14ac:dyDescent="0.25">
      <c r="A488" t="s">
        <v>1303</v>
      </c>
      <c r="C488" t="s">
        <v>11</v>
      </c>
      <c r="D488" s="1">
        <v>43230</v>
      </c>
    </row>
    <row r="489" spans="1:4" x14ac:dyDescent="0.25">
      <c r="A489" t="s">
        <v>1864</v>
      </c>
      <c r="C489" t="s">
        <v>11</v>
      </c>
      <c r="D489" s="1">
        <v>43242</v>
      </c>
    </row>
    <row r="490" spans="1:4" x14ac:dyDescent="0.25">
      <c r="A490" t="s">
        <v>1446</v>
      </c>
      <c r="C490" t="s">
        <v>11</v>
      </c>
      <c r="D490" s="1">
        <v>43228</v>
      </c>
    </row>
    <row r="491" spans="1:4" x14ac:dyDescent="0.25">
      <c r="A491" t="s">
        <v>1865</v>
      </c>
      <c r="C491" t="s">
        <v>11</v>
      </c>
      <c r="D491" s="1">
        <v>43240</v>
      </c>
    </row>
    <row r="492" spans="1:4" x14ac:dyDescent="0.25">
      <c r="A492" t="s">
        <v>1367</v>
      </c>
      <c r="C492" t="s">
        <v>11</v>
      </c>
      <c r="D492" s="1">
        <v>43224</v>
      </c>
    </row>
    <row r="493" spans="1:4" x14ac:dyDescent="0.25">
      <c r="A493" t="s">
        <v>1310</v>
      </c>
      <c r="C493" t="s">
        <v>11</v>
      </c>
      <c r="D493" s="1">
        <v>43241</v>
      </c>
    </row>
    <row r="494" spans="1:4" x14ac:dyDescent="0.25">
      <c r="A494" t="s">
        <v>1157</v>
      </c>
      <c r="C494" t="s">
        <v>11</v>
      </c>
      <c r="D494" s="1">
        <v>43234</v>
      </c>
    </row>
    <row r="495" spans="1:4" x14ac:dyDescent="0.25">
      <c r="A495" t="s">
        <v>1047</v>
      </c>
      <c r="C495" t="s">
        <v>11</v>
      </c>
      <c r="D495" s="1">
        <v>43250</v>
      </c>
    </row>
    <row r="496" spans="1:4" x14ac:dyDescent="0.25">
      <c r="A496" t="s">
        <v>1866</v>
      </c>
      <c r="C496" t="s">
        <v>11</v>
      </c>
      <c r="D496" s="1">
        <v>43250</v>
      </c>
    </row>
    <row r="497" spans="1:4" x14ac:dyDescent="0.25">
      <c r="A497" t="s">
        <v>779</v>
      </c>
      <c r="C497" t="s">
        <v>11</v>
      </c>
      <c r="D497" s="1">
        <v>43237</v>
      </c>
    </row>
    <row r="498" spans="1:4" x14ac:dyDescent="0.25">
      <c r="A498" t="s">
        <v>1105</v>
      </c>
      <c r="C498" t="s">
        <v>11</v>
      </c>
      <c r="D498" s="1">
        <v>43237</v>
      </c>
    </row>
    <row r="499" spans="1:4" x14ac:dyDescent="0.25">
      <c r="A499" t="s">
        <v>1560</v>
      </c>
      <c r="C499" t="s">
        <v>11</v>
      </c>
      <c r="D499" s="1">
        <v>43237</v>
      </c>
    </row>
    <row r="500" spans="1:4" x14ac:dyDescent="0.25">
      <c r="A500" t="s">
        <v>1867</v>
      </c>
      <c r="C500" t="s">
        <v>11</v>
      </c>
      <c r="D500" s="1">
        <v>43230</v>
      </c>
    </row>
    <row r="501" spans="1:4" x14ac:dyDescent="0.25">
      <c r="A501" t="s">
        <v>1868</v>
      </c>
      <c r="C501" t="s">
        <v>11</v>
      </c>
      <c r="D501" s="1">
        <v>43242</v>
      </c>
    </row>
    <row r="502" spans="1:4" x14ac:dyDescent="0.25">
      <c r="A502" t="s">
        <v>1042</v>
      </c>
      <c r="C502" t="s">
        <v>11</v>
      </c>
      <c r="D502" s="1">
        <v>43234</v>
      </c>
    </row>
    <row r="503" spans="1:4" x14ac:dyDescent="0.25">
      <c r="A503" t="s">
        <v>1190</v>
      </c>
      <c r="C503" t="s">
        <v>11</v>
      </c>
      <c r="D503" s="1">
        <v>43237</v>
      </c>
    </row>
    <row r="504" spans="1:4" x14ac:dyDescent="0.25">
      <c r="A504" t="s">
        <v>1279</v>
      </c>
      <c r="C504" t="s">
        <v>11</v>
      </c>
      <c r="D504" s="1">
        <v>43224</v>
      </c>
    </row>
    <row r="505" spans="1:4" x14ac:dyDescent="0.25">
      <c r="A505" t="s">
        <v>1050</v>
      </c>
      <c r="C505" t="s">
        <v>11</v>
      </c>
      <c r="D505" s="1">
        <v>43224</v>
      </c>
    </row>
    <row r="506" spans="1:4" x14ac:dyDescent="0.25">
      <c r="A506" t="s">
        <v>1869</v>
      </c>
      <c r="C506" t="s">
        <v>11</v>
      </c>
      <c r="D506" s="1">
        <v>43224</v>
      </c>
    </row>
    <row r="507" spans="1:4" x14ac:dyDescent="0.25">
      <c r="A507" t="s">
        <v>953</v>
      </c>
      <c r="C507" t="s">
        <v>11</v>
      </c>
      <c r="D507" s="1">
        <v>43237</v>
      </c>
    </row>
    <row r="508" spans="1:4" x14ac:dyDescent="0.25">
      <c r="A508" t="s">
        <v>1870</v>
      </c>
      <c r="C508" t="s">
        <v>11</v>
      </c>
      <c r="D508" s="1">
        <v>43225</v>
      </c>
    </row>
    <row r="509" spans="1:4" x14ac:dyDescent="0.25">
      <c r="A509" t="s">
        <v>1572</v>
      </c>
      <c r="C509" t="s">
        <v>11</v>
      </c>
      <c r="D509" s="1">
        <v>43222</v>
      </c>
    </row>
    <row r="510" spans="1:4" x14ac:dyDescent="0.25">
      <c r="A510" t="s">
        <v>1871</v>
      </c>
      <c r="C510" t="s">
        <v>11</v>
      </c>
      <c r="D510" s="1">
        <v>43237</v>
      </c>
    </row>
    <row r="511" spans="1:4" x14ac:dyDescent="0.25">
      <c r="A511" t="s">
        <v>562</v>
      </c>
      <c r="C511" t="s">
        <v>11</v>
      </c>
      <c r="D511" s="1">
        <v>43237</v>
      </c>
    </row>
    <row r="512" spans="1:4" x14ac:dyDescent="0.25">
      <c r="A512" t="s">
        <v>1872</v>
      </c>
      <c r="C512" t="s">
        <v>11</v>
      </c>
      <c r="D512" s="1">
        <v>43247</v>
      </c>
    </row>
    <row r="513" spans="1:4" x14ac:dyDescent="0.25">
      <c r="A513" t="s">
        <v>1053</v>
      </c>
      <c r="C513" t="s">
        <v>11</v>
      </c>
      <c r="D513" s="1">
        <v>43239</v>
      </c>
    </row>
    <row r="514" spans="1:4" x14ac:dyDescent="0.25">
      <c r="A514" t="s">
        <v>1204</v>
      </c>
      <c r="C514" t="s">
        <v>11</v>
      </c>
      <c r="D514" s="1">
        <v>43239</v>
      </c>
    </row>
    <row r="515" spans="1:4" x14ac:dyDescent="0.25">
      <c r="A515" t="s">
        <v>1873</v>
      </c>
      <c r="C515" t="s">
        <v>11</v>
      </c>
      <c r="D515" s="1">
        <v>43247</v>
      </c>
    </row>
    <row r="516" spans="1:4" x14ac:dyDescent="0.25">
      <c r="A516" t="s">
        <v>1066</v>
      </c>
      <c r="C516" t="s">
        <v>11</v>
      </c>
      <c r="D516" s="1">
        <v>43241</v>
      </c>
    </row>
    <row r="517" spans="1:4" x14ac:dyDescent="0.25">
      <c r="A517" t="s">
        <v>1874</v>
      </c>
      <c r="C517" t="s">
        <v>11</v>
      </c>
      <c r="D517" s="1">
        <v>43248</v>
      </c>
    </row>
    <row r="518" spans="1:4" x14ac:dyDescent="0.25">
      <c r="A518" t="s">
        <v>1875</v>
      </c>
      <c r="C518" t="s">
        <v>11</v>
      </c>
      <c r="D518" s="1">
        <v>43251</v>
      </c>
    </row>
    <row r="519" spans="1:4" x14ac:dyDescent="0.25">
      <c r="A519" t="s">
        <v>1876</v>
      </c>
      <c r="C519" t="s">
        <v>11</v>
      </c>
      <c r="D519" s="1">
        <v>43239</v>
      </c>
    </row>
    <row r="520" spans="1:4" x14ac:dyDescent="0.25">
      <c r="A520" t="s">
        <v>1065</v>
      </c>
      <c r="C520" t="s">
        <v>11</v>
      </c>
      <c r="D520" s="1">
        <v>43241</v>
      </c>
    </row>
    <row r="521" spans="1:4" x14ac:dyDescent="0.25">
      <c r="A521" t="s">
        <v>1877</v>
      </c>
      <c r="C521" t="s">
        <v>11</v>
      </c>
      <c r="D521" s="1">
        <v>43247</v>
      </c>
    </row>
    <row r="522" spans="1:4" x14ac:dyDescent="0.25">
      <c r="A522" t="s">
        <v>1878</v>
      </c>
      <c r="C522" t="s">
        <v>11</v>
      </c>
      <c r="D522" s="1">
        <v>43239</v>
      </c>
    </row>
    <row r="523" spans="1:4" x14ac:dyDescent="0.25">
      <c r="A523" t="s">
        <v>1879</v>
      </c>
      <c r="C523" t="s">
        <v>11</v>
      </c>
      <c r="D523" s="1">
        <v>43248</v>
      </c>
    </row>
    <row r="524" spans="1:4" x14ac:dyDescent="0.25">
      <c r="A524" t="s">
        <v>1880</v>
      </c>
      <c r="C524" t="s">
        <v>11</v>
      </c>
      <c r="D524" s="1">
        <v>43225</v>
      </c>
    </row>
    <row r="525" spans="1:4" x14ac:dyDescent="0.25">
      <c r="A525" t="s">
        <v>1117</v>
      </c>
      <c r="C525" t="s">
        <v>11</v>
      </c>
      <c r="D525" s="1">
        <v>43241</v>
      </c>
    </row>
    <row r="526" spans="1:4" x14ac:dyDescent="0.25">
      <c r="A526" t="s">
        <v>1881</v>
      </c>
      <c r="C526" t="s">
        <v>11</v>
      </c>
      <c r="D526" s="1">
        <v>43225</v>
      </c>
    </row>
    <row r="527" spans="1:4" x14ac:dyDescent="0.25">
      <c r="A527" t="s">
        <v>230</v>
      </c>
      <c r="C527" t="s">
        <v>11</v>
      </c>
      <c r="D527" s="1">
        <v>43247</v>
      </c>
    </row>
    <row r="528" spans="1:4" x14ac:dyDescent="0.25">
      <c r="A528" t="s">
        <v>1268</v>
      </c>
      <c r="C528" t="s">
        <v>11</v>
      </c>
      <c r="D528" s="1">
        <v>43238</v>
      </c>
    </row>
    <row r="529" spans="1:4" x14ac:dyDescent="0.25">
      <c r="A529" t="s">
        <v>1553</v>
      </c>
      <c r="C529" t="s">
        <v>11</v>
      </c>
      <c r="D529" s="1">
        <v>43225</v>
      </c>
    </row>
    <row r="530" spans="1:4" x14ac:dyDescent="0.25">
      <c r="A530" t="s">
        <v>1176</v>
      </c>
      <c r="C530" t="s">
        <v>11</v>
      </c>
      <c r="D530" s="1">
        <v>43234</v>
      </c>
    </row>
    <row r="531" spans="1:4" x14ac:dyDescent="0.25">
      <c r="A531" t="s">
        <v>1356</v>
      </c>
      <c r="C531" t="s">
        <v>11</v>
      </c>
      <c r="D531" s="1">
        <v>43247</v>
      </c>
    </row>
    <row r="532" spans="1:4" x14ac:dyDescent="0.25">
      <c r="A532" t="s">
        <v>661</v>
      </c>
      <c r="C532" t="s">
        <v>11</v>
      </c>
      <c r="D532" s="1">
        <v>43248</v>
      </c>
    </row>
    <row r="533" spans="1:4" x14ac:dyDescent="0.25">
      <c r="A533" t="s">
        <v>1882</v>
      </c>
      <c r="C533" t="s">
        <v>11</v>
      </c>
      <c r="D533" s="1">
        <v>43251</v>
      </c>
    </row>
    <row r="534" spans="1:4" x14ac:dyDescent="0.25">
      <c r="A534" t="s">
        <v>878</v>
      </c>
      <c r="C534" t="s">
        <v>11</v>
      </c>
      <c r="D534" s="1">
        <v>43237</v>
      </c>
    </row>
    <row r="535" spans="1:4" x14ac:dyDescent="0.25">
      <c r="A535" t="s">
        <v>824</v>
      </c>
      <c r="C535" t="s">
        <v>11</v>
      </c>
      <c r="D535" s="1">
        <v>43237</v>
      </c>
    </row>
    <row r="536" spans="1:4" x14ac:dyDescent="0.25">
      <c r="A536" t="s">
        <v>1883</v>
      </c>
      <c r="C536" t="s">
        <v>11</v>
      </c>
      <c r="D536" s="1">
        <v>43244</v>
      </c>
    </row>
    <row r="537" spans="1:4" x14ac:dyDescent="0.25">
      <c r="A537" t="s">
        <v>903</v>
      </c>
      <c r="C537" t="s">
        <v>11</v>
      </c>
      <c r="D537" s="1">
        <v>43235</v>
      </c>
    </row>
    <row r="538" spans="1:4" x14ac:dyDescent="0.25">
      <c r="A538" t="s">
        <v>1081</v>
      </c>
      <c r="C538" t="s">
        <v>11</v>
      </c>
      <c r="D538" s="1">
        <v>43248</v>
      </c>
    </row>
    <row r="539" spans="1:4" x14ac:dyDescent="0.25">
      <c r="A539" t="s">
        <v>1884</v>
      </c>
      <c r="C539" t="s">
        <v>11</v>
      </c>
      <c r="D539" s="1">
        <v>43243</v>
      </c>
    </row>
    <row r="540" spans="1:4" x14ac:dyDescent="0.25">
      <c r="A540" t="s">
        <v>1168</v>
      </c>
      <c r="C540" t="s">
        <v>11</v>
      </c>
      <c r="D540" s="1">
        <v>43221</v>
      </c>
    </row>
    <row r="541" spans="1:4" x14ac:dyDescent="0.25">
      <c r="A541" t="s">
        <v>1542</v>
      </c>
      <c r="C541" t="s">
        <v>11</v>
      </c>
      <c r="D541" s="1">
        <v>43228</v>
      </c>
    </row>
    <row r="542" spans="1:4" x14ac:dyDescent="0.25">
      <c r="A542" t="s">
        <v>1721</v>
      </c>
      <c r="C542" t="s">
        <v>12</v>
      </c>
      <c r="D542" s="1">
        <v>43238</v>
      </c>
    </row>
    <row r="543" spans="1:4" x14ac:dyDescent="0.25">
      <c r="A543" t="s">
        <v>1594</v>
      </c>
      <c r="C543" t="s">
        <v>12</v>
      </c>
      <c r="D543" s="1">
        <v>43237</v>
      </c>
    </row>
    <row r="544" spans="1:4" x14ac:dyDescent="0.25">
      <c r="A544" t="s">
        <v>1571</v>
      </c>
      <c r="C544" t="s">
        <v>12</v>
      </c>
      <c r="D544" s="1">
        <v>43237</v>
      </c>
    </row>
    <row r="545" spans="1:4" x14ac:dyDescent="0.25">
      <c r="A545" t="s">
        <v>1885</v>
      </c>
      <c r="C545" t="s">
        <v>12</v>
      </c>
      <c r="D545" s="1">
        <v>43231</v>
      </c>
    </row>
    <row r="546" spans="1:4" x14ac:dyDescent="0.25">
      <c r="A546" t="s">
        <v>1886</v>
      </c>
      <c r="C546" t="s">
        <v>12</v>
      </c>
      <c r="D546" s="1">
        <v>43231</v>
      </c>
    </row>
    <row r="547" spans="1:4" x14ac:dyDescent="0.25">
      <c r="A547" t="s">
        <v>1887</v>
      </c>
      <c r="C547" t="s">
        <v>12</v>
      </c>
      <c r="D547" s="1">
        <v>43231</v>
      </c>
    </row>
    <row r="548" spans="1:4" x14ac:dyDescent="0.25">
      <c r="A548" t="s">
        <v>1888</v>
      </c>
      <c r="C548" t="s">
        <v>12</v>
      </c>
      <c r="D548" s="1">
        <v>43231</v>
      </c>
    </row>
    <row r="549" spans="1:4" x14ac:dyDescent="0.25">
      <c r="A549" t="s">
        <v>1889</v>
      </c>
      <c r="C549" t="s">
        <v>12</v>
      </c>
      <c r="D549" s="1">
        <v>43231</v>
      </c>
    </row>
    <row r="550" spans="1:4" x14ac:dyDescent="0.25">
      <c r="A550" t="s">
        <v>1890</v>
      </c>
      <c r="C550" t="s">
        <v>12</v>
      </c>
      <c r="D550" s="1">
        <v>43231</v>
      </c>
    </row>
    <row r="551" spans="1:4" x14ac:dyDescent="0.25">
      <c r="A551" t="s">
        <v>693</v>
      </c>
      <c r="C551" t="s">
        <v>12</v>
      </c>
      <c r="D551" s="1">
        <v>43251</v>
      </c>
    </row>
    <row r="552" spans="1:4" x14ac:dyDescent="0.25">
      <c r="A552" t="s">
        <v>1093</v>
      </c>
      <c r="C552" t="s">
        <v>12</v>
      </c>
      <c r="D552" s="1">
        <v>43230</v>
      </c>
    </row>
    <row r="553" spans="1:4" x14ac:dyDescent="0.25">
      <c r="A553" t="s">
        <v>170</v>
      </c>
      <c r="C553" t="s">
        <v>12</v>
      </c>
      <c r="D553" s="1">
        <v>43237</v>
      </c>
    </row>
    <row r="554" spans="1:4" x14ac:dyDescent="0.25">
      <c r="A554" t="s">
        <v>1723</v>
      </c>
      <c r="C554" t="s">
        <v>12</v>
      </c>
      <c r="D554" s="1">
        <v>43237</v>
      </c>
    </row>
    <row r="555" spans="1:4" x14ac:dyDescent="0.25">
      <c r="A555" t="s">
        <v>1724</v>
      </c>
      <c r="C555" t="s">
        <v>12</v>
      </c>
      <c r="D555" s="1">
        <v>43230</v>
      </c>
    </row>
    <row r="556" spans="1:4" x14ac:dyDescent="0.25">
      <c r="A556" t="s">
        <v>694</v>
      </c>
      <c r="C556" t="s">
        <v>12</v>
      </c>
      <c r="D556" s="1">
        <v>43251</v>
      </c>
    </row>
    <row r="557" spans="1:4" x14ac:dyDescent="0.25">
      <c r="A557" t="s">
        <v>990</v>
      </c>
      <c r="C557" t="s">
        <v>12</v>
      </c>
      <c r="D557" s="1">
        <v>43230</v>
      </c>
    </row>
    <row r="558" spans="1:4" x14ac:dyDescent="0.25">
      <c r="A558" t="s">
        <v>48</v>
      </c>
      <c r="C558" t="s">
        <v>12</v>
      </c>
      <c r="D558" s="1">
        <v>43230</v>
      </c>
    </row>
    <row r="559" spans="1:4" x14ac:dyDescent="0.25">
      <c r="A559" t="s">
        <v>1891</v>
      </c>
      <c r="C559" t="s">
        <v>12</v>
      </c>
      <c r="D559" s="1">
        <v>43245</v>
      </c>
    </row>
    <row r="560" spans="1:4" x14ac:dyDescent="0.25">
      <c r="A560" t="s">
        <v>1726</v>
      </c>
      <c r="C560" t="s">
        <v>12</v>
      </c>
      <c r="D560" s="1">
        <v>43229</v>
      </c>
    </row>
    <row r="561" spans="1:4" x14ac:dyDescent="0.25">
      <c r="A561" t="s">
        <v>684</v>
      </c>
      <c r="C561" t="s">
        <v>12</v>
      </c>
      <c r="D561" s="1">
        <v>43244</v>
      </c>
    </row>
    <row r="562" spans="1:4" x14ac:dyDescent="0.25">
      <c r="A562" t="s">
        <v>548</v>
      </c>
      <c r="C562" t="s">
        <v>12</v>
      </c>
      <c r="D562" s="1">
        <v>43244</v>
      </c>
    </row>
    <row r="563" spans="1:4" x14ac:dyDescent="0.25">
      <c r="A563" t="s">
        <v>1892</v>
      </c>
      <c r="C563" t="s">
        <v>12</v>
      </c>
      <c r="D563" s="1">
        <v>43245</v>
      </c>
    </row>
    <row r="564" spans="1:4" x14ac:dyDescent="0.25">
      <c r="A564" t="s">
        <v>1031</v>
      </c>
      <c r="C564" t="s">
        <v>12</v>
      </c>
      <c r="D564" s="1">
        <v>43241</v>
      </c>
    </row>
    <row r="565" spans="1:4" x14ac:dyDescent="0.25">
      <c r="A565" t="s">
        <v>283</v>
      </c>
      <c r="C565" t="s">
        <v>12</v>
      </c>
      <c r="D565" s="1">
        <v>43250</v>
      </c>
    </row>
    <row r="566" spans="1:4" x14ac:dyDescent="0.25">
      <c r="A566" t="s">
        <v>690</v>
      </c>
      <c r="C566" t="s">
        <v>12</v>
      </c>
      <c r="D566" s="1">
        <v>43251</v>
      </c>
    </row>
    <row r="567" spans="1:4" x14ac:dyDescent="0.25">
      <c r="A567" t="s">
        <v>568</v>
      </c>
      <c r="C567" t="s">
        <v>12</v>
      </c>
      <c r="D567" s="1">
        <v>43251</v>
      </c>
    </row>
    <row r="568" spans="1:4" x14ac:dyDescent="0.25">
      <c r="A568" t="s">
        <v>1728</v>
      </c>
      <c r="C568" t="s">
        <v>12</v>
      </c>
      <c r="D568" s="1">
        <v>43237</v>
      </c>
    </row>
    <row r="569" spans="1:4" x14ac:dyDescent="0.25">
      <c r="A569" t="s">
        <v>1729</v>
      </c>
      <c r="C569" t="s">
        <v>12</v>
      </c>
      <c r="D569" s="1">
        <v>43230</v>
      </c>
    </row>
    <row r="570" spans="1:4" x14ac:dyDescent="0.25">
      <c r="A570" t="s">
        <v>978</v>
      </c>
      <c r="C570" t="s">
        <v>12</v>
      </c>
      <c r="D570" s="1">
        <v>43241</v>
      </c>
    </row>
    <row r="571" spans="1:4" x14ac:dyDescent="0.25">
      <c r="A571" t="s">
        <v>1730</v>
      </c>
      <c r="C571" t="s">
        <v>12</v>
      </c>
      <c r="D571" s="1">
        <v>43229</v>
      </c>
    </row>
    <row r="572" spans="1:4" x14ac:dyDescent="0.25">
      <c r="A572" t="s">
        <v>281</v>
      </c>
      <c r="C572" t="s">
        <v>12</v>
      </c>
      <c r="D572" s="1">
        <v>43237</v>
      </c>
    </row>
    <row r="573" spans="1:4" x14ac:dyDescent="0.25">
      <c r="A573" t="s">
        <v>1731</v>
      </c>
      <c r="C573" t="s">
        <v>12</v>
      </c>
      <c r="D573" s="1">
        <v>43237</v>
      </c>
    </row>
    <row r="574" spans="1:4" x14ac:dyDescent="0.25">
      <c r="A574" t="s">
        <v>1151</v>
      </c>
      <c r="C574" t="s">
        <v>12</v>
      </c>
      <c r="D574" s="1">
        <v>43230</v>
      </c>
    </row>
    <row r="575" spans="1:4" x14ac:dyDescent="0.25">
      <c r="A575" t="s">
        <v>131</v>
      </c>
      <c r="C575" t="s">
        <v>12</v>
      </c>
      <c r="D575" s="1">
        <v>43230</v>
      </c>
    </row>
    <row r="576" spans="1:4" x14ac:dyDescent="0.25">
      <c r="A576" t="s">
        <v>622</v>
      </c>
      <c r="C576" t="s">
        <v>12</v>
      </c>
      <c r="D576" s="1">
        <v>43244</v>
      </c>
    </row>
    <row r="577" spans="1:4" x14ac:dyDescent="0.25">
      <c r="A577" t="s">
        <v>1893</v>
      </c>
      <c r="C577" t="s">
        <v>12</v>
      </c>
      <c r="D577" s="1">
        <v>43245</v>
      </c>
    </row>
    <row r="578" spans="1:4" x14ac:dyDescent="0.25">
      <c r="A578" t="s">
        <v>1894</v>
      </c>
      <c r="C578" t="s">
        <v>12</v>
      </c>
      <c r="D578" s="1">
        <v>43245</v>
      </c>
    </row>
    <row r="579" spans="1:4" x14ac:dyDescent="0.25">
      <c r="A579" t="s">
        <v>650</v>
      </c>
      <c r="C579" t="s">
        <v>12</v>
      </c>
      <c r="D579" s="1">
        <v>43251</v>
      </c>
    </row>
    <row r="580" spans="1:4" x14ac:dyDescent="0.25">
      <c r="A580" t="s">
        <v>905</v>
      </c>
      <c r="C580" t="s">
        <v>12</v>
      </c>
      <c r="D580" s="1">
        <v>43244</v>
      </c>
    </row>
    <row r="581" spans="1:4" x14ac:dyDescent="0.25">
      <c r="A581" t="s">
        <v>354</v>
      </c>
      <c r="C581" t="s">
        <v>12</v>
      </c>
      <c r="D581" s="1">
        <v>43251</v>
      </c>
    </row>
    <row r="582" spans="1:4" x14ac:dyDescent="0.25">
      <c r="A582" t="s">
        <v>339</v>
      </c>
      <c r="C582" t="s">
        <v>12</v>
      </c>
      <c r="D582" s="1">
        <v>43240</v>
      </c>
    </row>
    <row r="583" spans="1:4" x14ac:dyDescent="0.25">
      <c r="A583" t="s">
        <v>843</v>
      </c>
      <c r="C583" t="s">
        <v>12</v>
      </c>
      <c r="D583" s="1">
        <v>43230</v>
      </c>
    </row>
    <row r="584" spans="1:4" x14ac:dyDescent="0.25">
      <c r="A584" t="s">
        <v>1735</v>
      </c>
      <c r="C584" t="s">
        <v>12</v>
      </c>
      <c r="D584" s="1">
        <v>43230</v>
      </c>
    </row>
    <row r="585" spans="1:4" x14ac:dyDescent="0.25">
      <c r="A585" t="s">
        <v>582</v>
      </c>
      <c r="C585" t="s">
        <v>12</v>
      </c>
      <c r="D585" s="1">
        <v>43227</v>
      </c>
    </row>
    <row r="586" spans="1:4" x14ac:dyDescent="0.25">
      <c r="A586" t="s">
        <v>1173</v>
      </c>
      <c r="C586" t="s">
        <v>12</v>
      </c>
      <c r="D586" s="1">
        <v>43234</v>
      </c>
    </row>
    <row r="587" spans="1:4" x14ac:dyDescent="0.25">
      <c r="A587" t="s">
        <v>1736</v>
      </c>
      <c r="C587" t="s">
        <v>12</v>
      </c>
      <c r="D587" s="1">
        <v>43230</v>
      </c>
    </row>
    <row r="588" spans="1:4" x14ac:dyDescent="0.25">
      <c r="A588" t="s">
        <v>1737</v>
      </c>
      <c r="C588" t="s">
        <v>12</v>
      </c>
      <c r="D588" s="1">
        <v>43230</v>
      </c>
    </row>
    <row r="589" spans="1:4" x14ac:dyDescent="0.25">
      <c r="A589" t="s">
        <v>929</v>
      </c>
      <c r="C589" t="s">
        <v>12</v>
      </c>
      <c r="D589" s="1">
        <v>43230</v>
      </c>
    </row>
    <row r="590" spans="1:4" x14ac:dyDescent="0.25">
      <c r="A590" t="s">
        <v>899</v>
      </c>
      <c r="C590" t="s">
        <v>12</v>
      </c>
      <c r="D590" s="1">
        <v>43244</v>
      </c>
    </row>
    <row r="591" spans="1:4" x14ac:dyDescent="0.25">
      <c r="A591" t="s">
        <v>162</v>
      </c>
      <c r="C591" t="s">
        <v>12</v>
      </c>
      <c r="D591" s="1">
        <v>43237</v>
      </c>
    </row>
    <row r="592" spans="1:4" x14ac:dyDescent="0.25">
      <c r="A592" t="s">
        <v>1185</v>
      </c>
      <c r="C592" t="s">
        <v>12</v>
      </c>
      <c r="D592" s="1">
        <v>43230</v>
      </c>
    </row>
    <row r="593" spans="1:4" x14ac:dyDescent="0.25">
      <c r="A593" t="s">
        <v>1744</v>
      </c>
      <c r="C593" t="s">
        <v>12</v>
      </c>
      <c r="D593" s="1">
        <v>43230</v>
      </c>
    </row>
    <row r="594" spans="1:4" x14ac:dyDescent="0.25">
      <c r="A594" t="s">
        <v>512</v>
      </c>
      <c r="C594" t="s">
        <v>12</v>
      </c>
      <c r="D594" s="1">
        <v>43230</v>
      </c>
    </row>
    <row r="595" spans="1:4" x14ac:dyDescent="0.25">
      <c r="A595" t="s">
        <v>1046</v>
      </c>
      <c r="C595" t="s">
        <v>12</v>
      </c>
      <c r="D595" s="1">
        <v>43236</v>
      </c>
    </row>
    <row r="596" spans="1:4" x14ac:dyDescent="0.25">
      <c r="A596" t="s">
        <v>1895</v>
      </c>
      <c r="C596" t="s">
        <v>12</v>
      </c>
      <c r="D596" s="1">
        <v>43238</v>
      </c>
    </row>
    <row r="597" spans="1:4" x14ac:dyDescent="0.25">
      <c r="A597" t="s">
        <v>1269</v>
      </c>
      <c r="C597" t="s">
        <v>12</v>
      </c>
      <c r="D597" s="1">
        <v>43230</v>
      </c>
    </row>
    <row r="598" spans="1:4" x14ac:dyDescent="0.25">
      <c r="A598" t="s">
        <v>202</v>
      </c>
      <c r="C598" t="s">
        <v>12</v>
      </c>
      <c r="D598" s="1">
        <v>43237</v>
      </c>
    </row>
    <row r="599" spans="1:4" x14ac:dyDescent="0.25">
      <c r="A599" t="s">
        <v>523</v>
      </c>
      <c r="C599" t="s">
        <v>12</v>
      </c>
      <c r="D599" s="1">
        <v>43241</v>
      </c>
    </row>
    <row r="600" spans="1:4" x14ac:dyDescent="0.25">
      <c r="A600" t="s">
        <v>1749</v>
      </c>
      <c r="C600" t="s">
        <v>12</v>
      </c>
      <c r="D600" s="1">
        <v>43230</v>
      </c>
    </row>
    <row r="601" spans="1:4" x14ac:dyDescent="0.25">
      <c r="A601" t="s">
        <v>1032</v>
      </c>
      <c r="C601" t="s">
        <v>12</v>
      </c>
      <c r="D601" s="1">
        <v>43251</v>
      </c>
    </row>
    <row r="602" spans="1:4" x14ac:dyDescent="0.25">
      <c r="A602" t="s">
        <v>1027</v>
      </c>
      <c r="C602" t="s">
        <v>12</v>
      </c>
      <c r="D602" s="1">
        <v>43251</v>
      </c>
    </row>
    <row r="603" spans="1:4" x14ac:dyDescent="0.25">
      <c r="A603" t="s">
        <v>926</v>
      </c>
      <c r="C603" t="s">
        <v>12</v>
      </c>
      <c r="D603" s="1">
        <v>43251</v>
      </c>
    </row>
    <row r="604" spans="1:4" x14ac:dyDescent="0.25">
      <c r="A604" t="s">
        <v>1753</v>
      </c>
      <c r="C604" t="s">
        <v>12</v>
      </c>
      <c r="D604" s="1">
        <v>43230</v>
      </c>
    </row>
    <row r="605" spans="1:4" x14ac:dyDescent="0.25">
      <c r="A605" t="s">
        <v>1596</v>
      </c>
      <c r="C605" t="s">
        <v>12</v>
      </c>
      <c r="D605" s="1">
        <v>43227</v>
      </c>
    </row>
    <row r="606" spans="1:4" x14ac:dyDescent="0.25">
      <c r="A606" t="s">
        <v>1150</v>
      </c>
      <c r="C606" t="s">
        <v>12</v>
      </c>
      <c r="D606" s="1">
        <v>43234</v>
      </c>
    </row>
    <row r="607" spans="1:4" x14ac:dyDescent="0.25">
      <c r="A607" t="s">
        <v>1561</v>
      </c>
      <c r="C607" t="s">
        <v>12</v>
      </c>
      <c r="D607" s="1">
        <v>43227</v>
      </c>
    </row>
    <row r="608" spans="1:4" x14ac:dyDescent="0.25">
      <c r="A608" t="s">
        <v>516</v>
      </c>
      <c r="C608" t="s">
        <v>12</v>
      </c>
      <c r="D608" s="1">
        <v>43227</v>
      </c>
    </row>
    <row r="609" spans="1:4" x14ac:dyDescent="0.25">
      <c r="A609" t="s">
        <v>998</v>
      </c>
      <c r="C609" t="s">
        <v>12</v>
      </c>
      <c r="D609" s="1">
        <v>43230</v>
      </c>
    </row>
    <row r="610" spans="1:4" x14ac:dyDescent="0.25">
      <c r="A610" t="s">
        <v>1756</v>
      </c>
      <c r="C610" t="s">
        <v>12</v>
      </c>
      <c r="D610" s="1">
        <v>43230</v>
      </c>
    </row>
    <row r="611" spans="1:4" x14ac:dyDescent="0.25">
      <c r="A611" t="s">
        <v>1086</v>
      </c>
      <c r="C611" t="s">
        <v>12</v>
      </c>
      <c r="D611" s="1">
        <v>43251</v>
      </c>
    </row>
    <row r="612" spans="1:4" x14ac:dyDescent="0.25">
      <c r="A612" t="s">
        <v>1757</v>
      </c>
      <c r="C612" t="s">
        <v>12</v>
      </c>
      <c r="D612" s="1">
        <v>43230</v>
      </c>
    </row>
    <row r="613" spans="1:4" x14ac:dyDescent="0.25">
      <c r="A613" t="s">
        <v>530</v>
      </c>
      <c r="C613" t="s">
        <v>12</v>
      </c>
      <c r="D613" s="1">
        <v>43251</v>
      </c>
    </row>
    <row r="614" spans="1:4" x14ac:dyDescent="0.25">
      <c r="A614" t="s">
        <v>891</v>
      </c>
      <c r="C614" t="s">
        <v>12</v>
      </c>
      <c r="D614" s="1">
        <v>43230</v>
      </c>
    </row>
    <row r="615" spans="1:4" x14ac:dyDescent="0.25">
      <c r="A615" t="s">
        <v>739</v>
      </c>
      <c r="C615" t="s">
        <v>12</v>
      </c>
      <c r="D615" s="1">
        <v>43230</v>
      </c>
    </row>
    <row r="616" spans="1:4" x14ac:dyDescent="0.25">
      <c r="A616" t="s">
        <v>848</v>
      </c>
      <c r="C616" t="s">
        <v>12</v>
      </c>
      <c r="D616" s="1">
        <v>43230</v>
      </c>
    </row>
    <row r="617" spans="1:4" x14ac:dyDescent="0.25">
      <c r="A617" t="s">
        <v>1758</v>
      </c>
      <c r="C617" t="s">
        <v>12</v>
      </c>
      <c r="D617" s="1">
        <v>43230</v>
      </c>
    </row>
    <row r="618" spans="1:4" x14ac:dyDescent="0.25">
      <c r="A618" t="s">
        <v>1759</v>
      </c>
      <c r="C618" t="s">
        <v>12</v>
      </c>
      <c r="D618" s="1">
        <v>43230</v>
      </c>
    </row>
    <row r="619" spans="1:4" x14ac:dyDescent="0.25">
      <c r="A619" t="s">
        <v>1896</v>
      </c>
      <c r="C619" t="s">
        <v>12</v>
      </c>
      <c r="D619" s="1">
        <v>43232</v>
      </c>
    </row>
    <row r="620" spans="1:4" x14ac:dyDescent="0.25">
      <c r="A620" t="s">
        <v>234</v>
      </c>
      <c r="C620" t="s">
        <v>12</v>
      </c>
      <c r="D620" s="1">
        <v>43240</v>
      </c>
    </row>
    <row r="621" spans="1:4" x14ac:dyDescent="0.25">
      <c r="A621" t="s">
        <v>321</v>
      </c>
      <c r="C621" t="s">
        <v>12</v>
      </c>
      <c r="D621" s="1">
        <v>43237</v>
      </c>
    </row>
    <row r="622" spans="1:4" x14ac:dyDescent="0.25">
      <c r="A622" t="s">
        <v>1767</v>
      </c>
      <c r="C622" t="s">
        <v>12</v>
      </c>
      <c r="D622" s="1">
        <v>43230</v>
      </c>
    </row>
    <row r="623" spans="1:4" x14ac:dyDescent="0.25">
      <c r="A623" t="s">
        <v>145</v>
      </c>
      <c r="C623" t="s">
        <v>12</v>
      </c>
      <c r="D623" s="1">
        <v>43237</v>
      </c>
    </row>
    <row r="624" spans="1:4" x14ac:dyDescent="0.25">
      <c r="A624" t="s">
        <v>1768</v>
      </c>
      <c r="C624" t="s">
        <v>12</v>
      </c>
      <c r="D624" s="1">
        <v>43230</v>
      </c>
    </row>
    <row r="625" spans="1:4" x14ac:dyDescent="0.25">
      <c r="A625" t="s">
        <v>1102</v>
      </c>
      <c r="C625" t="s">
        <v>12</v>
      </c>
      <c r="D625" s="1">
        <v>43234</v>
      </c>
    </row>
    <row r="626" spans="1:4" x14ac:dyDescent="0.25">
      <c r="A626" t="s">
        <v>968</v>
      </c>
      <c r="C626" t="s">
        <v>12</v>
      </c>
      <c r="D626" s="1">
        <v>43234</v>
      </c>
    </row>
    <row r="627" spans="1:4" x14ac:dyDescent="0.25">
      <c r="A627" t="s">
        <v>857</v>
      </c>
      <c r="C627" t="s">
        <v>12</v>
      </c>
      <c r="D627" s="1">
        <v>43251</v>
      </c>
    </row>
    <row r="628" spans="1:4" x14ac:dyDescent="0.25">
      <c r="A628" t="s">
        <v>168</v>
      </c>
      <c r="C628" t="s">
        <v>12</v>
      </c>
      <c r="D628" s="1">
        <v>43251</v>
      </c>
    </row>
    <row r="629" spans="1:4" x14ac:dyDescent="0.25">
      <c r="A629" t="s">
        <v>1772</v>
      </c>
      <c r="C629" t="s">
        <v>12</v>
      </c>
      <c r="D629" s="1">
        <v>43230</v>
      </c>
    </row>
    <row r="630" spans="1:4" x14ac:dyDescent="0.25">
      <c r="A630" t="s">
        <v>653</v>
      </c>
      <c r="C630" t="s">
        <v>12</v>
      </c>
      <c r="D630" s="1">
        <v>43237</v>
      </c>
    </row>
    <row r="631" spans="1:4" x14ac:dyDescent="0.25">
      <c r="A631" t="s">
        <v>1897</v>
      </c>
      <c r="C631" t="s">
        <v>12</v>
      </c>
      <c r="D631" s="1">
        <v>43251</v>
      </c>
    </row>
    <row r="632" spans="1:4" x14ac:dyDescent="0.25">
      <c r="A632" t="s">
        <v>1773</v>
      </c>
      <c r="C632" t="s">
        <v>12</v>
      </c>
      <c r="D632" s="1">
        <v>43230</v>
      </c>
    </row>
    <row r="633" spans="1:4" x14ac:dyDescent="0.25">
      <c r="A633" t="s">
        <v>309</v>
      </c>
      <c r="C633" t="s">
        <v>12</v>
      </c>
      <c r="D633" s="1">
        <v>43237</v>
      </c>
    </row>
    <row r="634" spans="1:4" x14ac:dyDescent="0.25">
      <c r="A634" t="s">
        <v>1775</v>
      </c>
      <c r="C634" t="s">
        <v>12</v>
      </c>
      <c r="D634" s="1">
        <v>43230</v>
      </c>
    </row>
    <row r="635" spans="1:4" x14ac:dyDescent="0.25">
      <c r="A635" t="s">
        <v>371</v>
      </c>
      <c r="C635" t="s">
        <v>12</v>
      </c>
      <c r="D635" s="1">
        <v>43237</v>
      </c>
    </row>
    <row r="636" spans="1:4" x14ac:dyDescent="0.25">
      <c r="A636" t="s">
        <v>996</v>
      </c>
      <c r="C636" t="s">
        <v>12</v>
      </c>
      <c r="D636" s="1">
        <v>43230</v>
      </c>
    </row>
    <row r="637" spans="1:4" x14ac:dyDescent="0.25">
      <c r="A637" t="s">
        <v>1776</v>
      </c>
      <c r="C637" t="s">
        <v>12</v>
      </c>
      <c r="D637" s="1">
        <v>43237</v>
      </c>
    </row>
    <row r="638" spans="1:4" x14ac:dyDescent="0.25">
      <c r="A638" t="s">
        <v>1777</v>
      </c>
      <c r="C638" t="s">
        <v>12</v>
      </c>
      <c r="D638" s="1">
        <v>43230</v>
      </c>
    </row>
    <row r="639" spans="1:4" x14ac:dyDescent="0.25">
      <c r="A639" t="s">
        <v>731</v>
      </c>
      <c r="C639" t="s">
        <v>12</v>
      </c>
      <c r="D639" s="1">
        <v>43230</v>
      </c>
    </row>
    <row r="640" spans="1:4" x14ac:dyDescent="0.25">
      <c r="A640" t="s">
        <v>1781</v>
      </c>
      <c r="C640" t="s">
        <v>12</v>
      </c>
      <c r="D640" s="1">
        <v>43237</v>
      </c>
    </row>
    <row r="641" spans="1:4" x14ac:dyDescent="0.25">
      <c r="A641" t="s">
        <v>1782</v>
      </c>
      <c r="C641" t="s">
        <v>12</v>
      </c>
      <c r="D641" s="1">
        <v>43230</v>
      </c>
    </row>
    <row r="642" spans="1:4" x14ac:dyDescent="0.25">
      <c r="A642" t="s">
        <v>1267</v>
      </c>
      <c r="C642" t="s">
        <v>12</v>
      </c>
      <c r="D642" s="1">
        <v>43230</v>
      </c>
    </row>
    <row r="643" spans="1:4" x14ac:dyDescent="0.25">
      <c r="A643" t="s">
        <v>110</v>
      </c>
      <c r="C643" t="s">
        <v>12</v>
      </c>
      <c r="D643" s="1">
        <v>43237</v>
      </c>
    </row>
    <row r="644" spans="1:4" x14ac:dyDescent="0.25">
      <c r="A644" t="s">
        <v>1784</v>
      </c>
      <c r="C644" t="s">
        <v>12</v>
      </c>
      <c r="D644" s="1">
        <v>43237</v>
      </c>
    </row>
    <row r="645" spans="1:4" x14ac:dyDescent="0.25">
      <c r="A645" t="s">
        <v>992</v>
      </c>
      <c r="C645" t="s">
        <v>12</v>
      </c>
      <c r="D645" s="1">
        <v>43230</v>
      </c>
    </row>
    <row r="646" spans="1:4" x14ac:dyDescent="0.25">
      <c r="A646" t="s">
        <v>1566</v>
      </c>
      <c r="C646" t="s">
        <v>12</v>
      </c>
      <c r="D646" s="1">
        <v>43227</v>
      </c>
    </row>
    <row r="647" spans="1:4" x14ac:dyDescent="0.25">
      <c r="A647" t="s">
        <v>1785</v>
      </c>
      <c r="C647" t="s">
        <v>12</v>
      </c>
      <c r="D647" s="1">
        <v>43230</v>
      </c>
    </row>
    <row r="648" spans="1:4" x14ac:dyDescent="0.25">
      <c r="A648" t="s">
        <v>667</v>
      </c>
      <c r="C648" t="s">
        <v>12</v>
      </c>
      <c r="D648" s="1">
        <v>43227</v>
      </c>
    </row>
    <row r="649" spans="1:4" x14ac:dyDescent="0.25">
      <c r="A649" t="s">
        <v>1015</v>
      </c>
      <c r="C649" t="s">
        <v>12</v>
      </c>
      <c r="D649" s="1">
        <v>43251</v>
      </c>
    </row>
    <row r="650" spans="1:4" x14ac:dyDescent="0.25">
      <c r="A650" t="s">
        <v>859</v>
      </c>
      <c r="C650" t="s">
        <v>12</v>
      </c>
      <c r="D650" s="1">
        <v>43230</v>
      </c>
    </row>
    <row r="651" spans="1:4" x14ac:dyDescent="0.25">
      <c r="A651" t="s">
        <v>1791</v>
      </c>
      <c r="C651" t="s">
        <v>12</v>
      </c>
      <c r="D651" s="1">
        <v>43230</v>
      </c>
    </row>
    <row r="652" spans="1:4" x14ac:dyDescent="0.25">
      <c r="A652" t="s">
        <v>308</v>
      </c>
      <c r="C652" t="s">
        <v>12</v>
      </c>
      <c r="D652" s="1">
        <v>43237</v>
      </c>
    </row>
    <row r="653" spans="1:4" x14ac:dyDescent="0.25">
      <c r="A653" t="s">
        <v>600</v>
      </c>
      <c r="C653" t="s">
        <v>12</v>
      </c>
      <c r="D653" s="1">
        <v>43234</v>
      </c>
    </row>
    <row r="654" spans="1:4" x14ac:dyDescent="0.25">
      <c r="A654" t="s">
        <v>1243</v>
      </c>
      <c r="C654" t="s">
        <v>12</v>
      </c>
      <c r="D654" s="1">
        <v>43251</v>
      </c>
    </row>
    <row r="655" spans="1:4" x14ac:dyDescent="0.25">
      <c r="A655" t="s">
        <v>892</v>
      </c>
      <c r="C655" t="s">
        <v>12</v>
      </c>
      <c r="D655" s="1">
        <v>43230</v>
      </c>
    </row>
    <row r="656" spans="1:4" x14ac:dyDescent="0.25">
      <c r="A656" t="s">
        <v>272</v>
      </c>
      <c r="C656" t="s">
        <v>12</v>
      </c>
      <c r="D656" s="1">
        <v>43251</v>
      </c>
    </row>
    <row r="657" spans="1:4" x14ac:dyDescent="0.25">
      <c r="A657" t="s">
        <v>1172</v>
      </c>
      <c r="C657" t="s">
        <v>12</v>
      </c>
      <c r="D657" s="1">
        <v>43234</v>
      </c>
    </row>
    <row r="658" spans="1:4" x14ac:dyDescent="0.25">
      <c r="A658" t="s">
        <v>827</v>
      </c>
      <c r="C658" t="s">
        <v>12</v>
      </c>
      <c r="D658" s="1">
        <v>43251</v>
      </c>
    </row>
    <row r="659" spans="1:4" x14ac:dyDescent="0.25">
      <c r="A659" t="s">
        <v>154</v>
      </c>
      <c r="C659" t="s">
        <v>12</v>
      </c>
      <c r="D659" s="1">
        <v>43240</v>
      </c>
    </row>
    <row r="660" spans="1:4" x14ac:dyDescent="0.25">
      <c r="A660" t="s">
        <v>967</v>
      </c>
      <c r="C660" t="s">
        <v>12</v>
      </c>
      <c r="D660" s="1">
        <v>43234</v>
      </c>
    </row>
    <row r="661" spans="1:4" x14ac:dyDescent="0.25">
      <c r="A661" t="s">
        <v>1898</v>
      </c>
      <c r="C661" t="s">
        <v>12</v>
      </c>
      <c r="D661" s="1">
        <v>43232</v>
      </c>
    </row>
    <row r="662" spans="1:4" x14ac:dyDescent="0.25">
      <c r="A662" t="s">
        <v>1808</v>
      </c>
      <c r="C662" t="s">
        <v>12</v>
      </c>
      <c r="D662" s="1">
        <v>43230</v>
      </c>
    </row>
    <row r="663" spans="1:4" x14ac:dyDescent="0.25">
      <c r="A663" t="s">
        <v>1161</v>
      </c>
      <c r="C663" t="s">
        <v>12</v>
      </c>
      <c r="D663" s="1">
        <v>43251</v>
      </c>
    </row>
    <row r="664" spans="1:4" x14ac:dyDescent="0.25">
      <c r="A664" t="s">
        <v>846</v>
      </c>
      <c r="C664" t="s">
        <v>12</v>
      </c>
      <c r="D664" s="1">
        <v>43244</v>
      </c>
    </row>
    <row r="665" spans="1:4" x14ac:dyDescent="0.25">
      <c r="A665" t="s">
        <v>854</v>
      </c>
      <c r="C665" t="s">
        <v>12</v>
      </c>
      <c r="D665" s="1">
        <v>43230</v>
      </c>
    </row>
    <row r="666" spans="1:4" x14ac:dyDescent="0.25">
      <c r="A666" t="s">
        <v>1810</v>
      </c>
      <c r="C666" t="s">
        <v>12</v>
      </c>
      <c r="D666" s="1">
        <v>43230</v>
      </c>
    </row>
    <row r="667" spans="1:4" x14ac:dyDescent="0.25">
      <c r="A667" t="s">
        <v>976</v>
      </c>
      <c r="C667" t="s">
        <v>12</v>
      </c>
      <c r="D667" s="1">
        <v>43230</v>
      </c>
    </row>
    <row r="668" spans="1:4" x14ac:dyDescent="0.25">
      <c r="A668" t="s">
        <v>898</v>
      </c>
      <c r="C668" t="s">
        <v>12</v>
      </c>
      <c r="D668" s="1">
        <v>43244</v>
      </c>
    </row>
    <row r="669" spans="1:4" x14ac:dyDescent="0.25">
      <c r="A669" t="s">
        <v>601</v>
      </c>
      <c r="C669" t="s">
        <v>12</v>
      </c>
      <c r="D669" s="1">
        <v>43230</v>
      </c>
    </row>
    <row r="670" spans="1:4" x14ac:dyDescent="0.25">
      <c r="A670" t="s">
        <v>1812</v>
      </c>
      <c r="C670" t="s">
        <v>12</v>
      </c>
      <c r="D670" s="1">
        <v>43230</v>
      </c>
    </row>
    <row r="671" spans="1:4" x14ac:dyDescent="0.25">
      <c r="A671" t="s">
        <v>1899</v>
      </c>
      <c r="C671" t="s">
        <v>12</v>
      </c>
      <c r="D671" s="1">
        <v>43232</v>
      </c>
    </row>
    <row r="672" spans="1:4" x14ac:dyDescent="0.25">
      <c r="A672" t="s">
        <v>1315</v>
      </c>
      <c r="C672" t="s">
        <v>12</v>
      </c>
      <c r="D672" s="1">
        <v>43230</v>
      </c>
    </row>
    <row r="673" spans="1:4" x14ac:dyDescent="0.25">
      <c r="A673" t="s">
        <v>1814</v>
      </c>
      <c r="C673" t="s">
        <v>12</v>
      </c>
      <c r="D673" s="1">
        <v>43230</v>
      </c>
    </row>
    <row r="674" spans="1:4" x14ac:dyDescent="0.25">
      <c r="A674" t="s">
        <v>802</v>
      </c>
      <c r="C674" t="s">
        <v>12</v>
      </c>
      <c r="D674" s="1">
        <v>43244</v>
      </c>
    </row>
    <row r="675" spans="1:4" x14ac:dyDescent="0.25">
      <c r="A675" t="s">
        <v>663</v>
      </c>
      <c r="C675" t="s">
        <v>12</v>
      </c>
      <c r="D675" s="1">
        <v>43241</v>
      </c>
    </row>
    <row r="676" spans="1:4" x14ac:dyDescent="0.25">
      <c r="A676" t="s">
        <v>1033</v>
      </c>
      <c r="C676" t="s">
        <v>12</v>
      </c>
      <c r="D676" s="1">
        <v>43236</v>
      </c>
    </row>
    <row r="677" spans="1:4" x14ac:dyDescent="0.25">
      <c r="A677" t="s">
        <v>1900</v>
      </c>
      <c r="C677" t="s">
        <v>12</v>
      </c>
      <c r="D677" s="1">
        <v>43232</v>
      </c>
    </row>
    <row r="678" spans="1:4" x14ac:dyDescent="0.25">
      <c r="A678" t="s">
        <v>1815</v>
      </c>
      <c r="C678" t="s">
        <v>12</v>
      </c>
      <c r="D678" s="1">
        <v>43230</v>
      </c>
    </row>
    <row r="679" spans="1:4" x14ac:dyDescent="0.25">
      <c r="A679" t="s">
        <v>1816</v>
      </c>
      <c r="C679" t="s">
        <v>12</v>
      </c>
      <c r="D679" s="1">
        <v>43230</v>
      </c>
    </row>
    <row r="680" spans="1:4" x14ac:dyDescent="0.25">
      <c r="A680" t="s">
        <v>144</v>
      </c>
      <c r="C680" t="s">
        <v>12</v>
      </c>
      <c r="D680" s="1">
        <v>43251</v>
      </c>
    </row>
    <row r="681" spans="1:4" x14ac:dyDescent="0.25">
      <c r="A681" t="s">
        <v>1817</v>
      </c>
      <c r="C681" t="s">
        <v>12</v>
      </c>
      <c r="D681" s="1">
        <v>43240</v>
      </c>
    </row>
    <row r="682" spans="1:4" x14ac:dyDescent="0.25">
      <c r="A682" t="s">
        <v>69</v>
      </c>
      <c r="C682" t="s">
        <v>12</v>
      </c>
      <c r="D682" s="1">
        <v>43251</v>
      </c>
    </row>
    <row r="683" spans="1:4" x14ac:dyDescent="0.25">
      <c r="A683" t="s">
        <v>1670</v>
      </c>
      <c r="C683" t="s">
        <v>12</v>
      </c>
      <c r="D683" s="1">
        <v>43227</v>
      </c>
    </row>
    <row r="684" spans="1:4" x14ac:dyDescent="0.25">
      <c r="A684" t="s">
        <v>289</v>
      </c>
      <c r="C684" t="s">
        <v>12</v>
      </c>
      <c r="D684" s="1">
        <v>43237</v>
      </c>
    </row>
    <row r="685" spans="1:4" x14ac:dyDescent="0.25">
      <c r="A685" t="s">
        <v>369</v>
      </c>
      <c r="C685" t="s">
        <v>12</v>
      </c>
      <c r="D685" s="1">
        <v>43251</v>
      </c>
    </row>
    <row r="686" spans="1:4" x14ac:dyDescent="0.25">
      <c r="A686" t="s">
        <v>746</v>
      </c>
      <c r="C686" t="s">
        <v>12</v>
      </c>
      <c r="D686" s="1">
        <v>43251</v>
      </c>
    </row>
    <row r="687" spans="1:4" x14ac:dyDescent="0.25">
      <c r="A687" t="s">
        <v>850</v>
      </c>
      <c r="C687" t="s">
        <v>12</v>
      </c>
      <c r="D687" s="1">
        <v>43234</v>
      </c>
    </row>
    <row r="688" spans="1:4" x14ac:dyDescent="0.25">
      <c r="A688" t="s">
        <v>244</v>
      </c>
      <c r="C688" t="s">
        <v>12</v>
      </c>
      <c r="D688" s="1">
        <v>43240</v>
      </c>
    </row>
    <row r="689" spans="1:4" x14ac:dyDescent="0.25">
      <c r="A689" t="s">
        <v>830</v>
      </c>
      <c r="C689" t="s">
        <v>12</v>
      </c>
      <c r="D689" s="1">
        <v>43244</v>
      </c>
    </row>
    <row r="690" spans="1:4" x14ac:dyDescent="0.25">
      <c r="A690" t="s">
        <v>1354</v>
      </c>
      <c r="C690" t="s">
        <v>12</v>
      </c>
      <c r="D690" s="1">
        <v>43241</v>
      </c>
    </row>
    <row r="691" spans="1:4" x14ac:dyDescent="0.25">
      <c r="A691" t="s">
        <v>1901</v>
      </c>
      <c r="C691" t="s">
        <v>12</v>
      </c>
      <c r="D691" s="1">
        <v>43237</v>
      </c>
    </row>
    <row r="692" spans="1:4" x14ac:dyDescent="0.25">
      <c r="A692" t="s">
        <v>1829</v>
      </c>
      <c r="C692" t="s">
        <v>12</v>
      </c>
      <c r="D692" s="1">
        <v>43240</v>
      </c>
    </row>
    <row r="693" spans="1:4" x14ac:dyDescent="0.25">
      <c r="A693" t="s">
        <v>1350</v>
      </c>
      <c r="C693" t="s">
        <v>12</v>
      </c>
      <c r="D693" s="1">
        <v>43241</v>
      </c>
    </row>
    <row r="694" spans="1:4" x14ac:dyDescent="0.25">
      <c r="A694" t="s">
        <v>629</v>
      </c>
      <c r="C694" t="s">
        <v>12</v>
      </c>
      <c r="D694" s="1">
        <v>43230</v>
      </c>
    </row>
    <row r="695" spans="1:4" x14ac:dyDescent="0.25">
      <c r="A695" t="s">
        <v>1212</v>
      </c>
      <c r="C695" t="s">
        <v>12</v>
      </c>
      <c r="D695" s="1">
        <v>43240</v>
      </c>
    </row>
    <row r="696" spans="1:4" x14ac:dyDescent="0.25">
      <c r="A696" t="s">
        <v>1902</v>
      </c>
      <c r="C696" t="s">
        <v>12</v>
      </c>
      <c r="D696" s="1">
        <v>43237</v>
      </c>
    </row>
    <row r="697" spans="1:4" x14ac:dyDescent="0.25">
      <c r="A697" t="s">
        <v>1841</v>
      </c>
      <c r="C697" t="s">
        <v>12</v>
      </c>
      <c r="D697" s="1">
        <v>43240</v>
      </c>
    </row>
    <row r="698" spans="1:4" x14ac:dyDescent="0.25">
      <c r="A698" t="s">
        <v>529</v>
      </c>
      <c r="C698" t="s">
        <v>12</v>
      </c>
      <c r="D698" s="1">
        <v>43230</v>
      </c>
    </row>
    <row r="699" spans="1:4" x14ac:dyDescent="0.25">
      <c r="A699" t="s">
        <v>754</v>
      </c>
      <c r="C699" t="s">
        <v>12</v>
      </c>
      <c r="D699" s="1">
        <v>43230</v>
      </c>
    </row>
    <row r="700" spans="1:4" x14ac:dyDescent="0.25">
      <c r="A700" t="s">
        <v>623</v>
      </c>
      <c r="C700" t="s">
        <v>12</v>
      </c>
      <c r="D700" s="1">
        <v>43230</v>
      </c>
    </row>
    <row r="701" spans="1:4" x14ac:dyDescent="0.25">
      <c r="A701" t="s">
        <v>276</v>
      </c>
      <c r="C701" t="s">
        <v>12</v>
      </c>
      <c r="D701" s="1">
        <v>43237</v>
      </c>
    </row>
    <row r="702" spans="1:4" x14ac:dyDescent="0.25">
      <c r="A702" t="s">
        <v>987</v>
      </c>
      <c r="C702" t="s">
        <v>12</v>
      </c>
      <c r="D702" s="1">
        <v>43234</v>
      </c>
    </row>
    <row r="703" spans="1:4" x14ac:dyDescent="0.25">
      <c r="A703" t="s">
        <v>1100</v>
      </c>
      <c r="C703" t="s">
        <v>12</v>
      </c>
      <c r="D703" s="1">
        <v>43230</v>
      </c>
    </row>
    <row r="704" spans="1:4" x14ac:dyDescent="0.25">
      <c r="A704" t="s">
        <v>1022</v>
      </c>
      <c r="C704" t="s">
        <v>12</v>
      </c>
      <c r="D704" s="1">
        <v>43230</v>
      </c>
    </row>
    <row r="705" spans="1:4" x14ac:dyDescent="0.25">
      <c r="A705" t="s">
        <v>1111</v>
      </c>
      <c r="C705" t="s">
        <v>12</v>
      </c>
      <c r="D705" s="1">
        <v>43236</v>
      </c>
    </row>
    <row r="706" spans="1:4" x14ac:dyDescent="0.25">
      <c r="A706" t="s">
        <v>1903</v>
      </c>
      <c r="C706" t="s">
        <v>12</v>
      </c>
      <c r="D706" s="1">
        <v>43239</v>
      </c>
    </row>
    <row r="707" spans="1:4" x14ac:dyDescent="0.25">
      <c r="A707" t="s">
        <v>683</v>
      </c>
      <c r="C707" t="s">
        <v>12</v>
      </c>
      <c r="D707" s="1">
        <v>43230</v>
      </c>
    </row>
    <row r="708" spans="1:4" x14ac:dyDescent="0.25">
      <c r="A708" t="s">
        <v>1904</v>
      </c>
      <c r="C708" t="s">
        <v>12</v>
      </c>
      <c r="D708" s="1">
        <v>43239</v>
      </c>
    </row>
    <row r="709" spans="1:4" x14ac:dyDescent="0.25">
      <c r="A709" t="s">
        <v>1905</v>
      </c>
      <c r="C709" t="s">
        <v>12</v>
      </c>
      <c r="D709" s="1">
        <v>43239</v>
      </c>
    </row>
    <row r="710" spans="1:4" x14ac:dyDescent="0.25">
      <c r="A710" t="s">
        <v>703</v>
      </c>
      <c r="C710" t="s">
        <v>12</v>
      </c>
      <c r="D710" s="1">
        <v>43230</v>
      </c>
    </row>
    <row r="711" spans="1:4" x14ac:dyDescent="0.25">
      <c r="A711" t="s">
        <v>1310</v>
      </c>
      <c r="C711" t="s">
        <v>12</v>
      </c>
      <c r="D711" s="1">
        <v>43234</v>
      </c>
    </row>
    <row r="712" spans="1:4" x14ac:dyDescent="0.25">
      <c r="A712" t="s">
        <v>1047</v>
      </c>
      <c r="C712" t="s">
        <v>12</v>
      </c>
      <c r="D712" s="1">
        <v>43236</v>
      </c>
    </row>
    <row r="713" spans="1:4" x14ac:dyDescent="0.25">
      <c r="A713" t="s">
        <v>1105</v>
      </c>
      <c r="C713" t="s">
        <v>12</v>
      </c>
      <c r="D713" s="1">
        <v>43230</v>
      </c>
    </row>
    <row r="714" spans="1:4" x14ac:dyDescent="0.25">
      <c r="A714" t="s">
        <v>562</v>
      </c>
      <c r="C714" t="s">
        <v>12</v>
      </c>
      <c r="D714" s="1">
        <v>43230</v>
      </c>
    </row>
    <row r="715" spans="1:4" x14ac:dyDescent="0.25">
      <c r="A715" t="s">
        <v>1872</v>
      </c>
      <c r="C715" t="s">
        <v>12</v>
      </c>
      <c r="D715" s="1">
        <v>43240</v>
      </c>
    </row>
    <row r="716" spans="1:4" x14ac:dyDescent="0.25">
      <c r="A716" t="s">
        <v>1873</v>
      </c>
      <c r="C716" t="s">
        <v>12</v>
      </c>
      <c r="D716" s="1">
        <v>43240</v>
      </c>
    </row>
    <row r="717" spans="1:4" x14ac:dyDescent="0.25">
      <c r="A717" t="s">
        <v>1875</v>
      </c>
      <c r="C717" t="s">
        <v>12</v>
      </c>
      <c r="D717" s="1">
        <v>43237</v>
      </c>
    </row>
    <row r="718" spans="1:4" x14ac:dyDescent="0.25">
      <c r="A718" t="s">
        <v>1877</v>
      </c>
      <c r="C718" t="s">
        <v>12</v>
      </c>
      <c r="D718" s="1">
        <v>43240</v>
      </c>
    </row>
    <row r="719" spans="1:4" x14ac:dyDescent="0.25">
      <c r="A719" t="s">
        <v>1906</v>
      </c>
      <c r="C719" t="s">
        <v>12</v>
      </c>
      <c r="D719" s="1">
        <v>43231</v>
      </c>
    </row>
    <row r="720" spans="1:4" x14ac:dyDescent="0.25">
      <c r="A720" t="s">
        <v>1907</v>
      </c>
      <c r="C720" t="s">
        <v>12</v>
      </c>
      <c r="D720" s="1">
        <v>43231</v>
      </c>
    </row>
    <row r="721" spans="1:4" x14ac:dyDescent="0.25">
      <c r="A721" t="s">
        <v>1908</v>
      </c>
      <c r="C721" t="s">
        <v>12</v>
      </c>
      <c r="D721" s="1">
        <v>43231</v>
      </c>
    </row>
    <row r="722" spans="1:4" x14ac:dyDescent="0.25">
      <c r="A722" t="s">
        <v>1909</v>
      </c>
      <c r="C722" t="s">
        <v>12</v>
      </c>
      <c r="D722" s="1">
        <v>43231</v>
      </c>
    </row>
    <row r="723" spans="1:4" x14ac:dyDescent="0.25">
      <c r="A723" t="s">
        <v>1910</v>
      </c>
      <c r="C723" t="s">
        <v>12</v>
      </c>
      <c r="D723" s="1">
        <v>43231</v>
      </c>
    </row>
    <row r="724" spans="1:4" x14ac:dyDescent="0.25">
      <c r="A724" t="s">
        <v>1911</v>
      </c>
      <c r="C724" t="s">
        <v>12</v>
      </c>
      <c r="D724" s="1">
        <v>43231</v>
      </c>
    </row>
    <row r="725" spans="1:4" x14ac:dyDescent="0.25">
      <c r="A725" t="s">
        <v>1912</v>
      </c>
      <c r="C725" t="s">
        <v>12</v>
      </c>
      <c r="D725" s="1">
        <v>43231</v>
      </c>
    </row>
    <row r="726" spans="1:4" x14ac:dyDescent="0.25">
      <c r="A726" t="s">
        <v>1913</v>
      </c>
      <c r="C726" t="s">
        <v>12</v>
      </c>
      <c r="D726" s="1">
        <v>43231</v>
      </c>
    </row>
    <row r="727" spans="1:4" x14ac:dyDescent="0.25">
      <c r="A727" t="s">
        <v>1914</v>
      </c>
      <c r="C727" t="s">
        <v>12</v>
      </c>
      <c r="D727" s="1">
        <v>43231</v>
      </c>
    </row>
    <row r="728" spans="1:4" x14ac:dyDescent="0.25">
      <c r="A728" t="s">
        <v>1915</v>
      </c>
      <c r="C728" t="s">
        <v>12</v>
      </c>
      <c r="D728" s="1">
        <v>43231</v>
      </c>
    </row>
    <row r="729" spans="1:4" x14ac:dyDescent="0.25">
      <c r="A729" t="s">
        <v>1916</v>
      </c>
      <c r="C729" t="s">
        <v>12</v>
      </c>
      <c r="D729" s="1">
        <v>43231</v>
      </c>
    </row>
    <row r="730" spans="1:4" x14ac:dyDescent="0.25">
      <c r="A730" t="s">
        <v>1917</v>
      </c>
      <c r="C730" t="s">
        <v>12</v>
      </c>
      <c r="D730" s="1">
        <v>43231</v>
      </c>
    </row>
    <row r="731" spans="1:4" x14ac:dyDescent="0.25">
      <c r="A731" t="s">
        <v>1918</v>
      </c>
      <c r="C731" t="s">
        <v>12</v>
      </c>
      <c r="D731" s="1">
        <v>43231</v>
      </c>
    </row>
    <row r="732" spans="1:4" x14ac:dyDescent="0.25">
      <c r="A732" t="s">
        <v>1919</v>
      </c>
      <c r="C732" t="s">
        <v>12</v>
      </c>
      <c r="D732" s="1">
        <v>43231</v>
      </c>
    </row>
    <row r="733" spans="1:4" x14ac:dyDescent="0.25">
      <c r="A733" t="s">
        <v>230</v>
      </c>
      <c r="C733" t="s">
        <v>12</v>
      </c>
      <c r="D733" s="1">
        <v>43240</v>
      </c>
    </row>
    <row r="734" spans="1:4" x14ac:dyDescent="0.25">
      <c r="A734" t="s">
        <v>1356</v>
      </c>
      <c r="C734" t="s">
        <v>12</v>
      </c>
      <c r="D734" s="1">
        <v>43240</v>
      </c>
    </row>
    <row r="735" spans="1:4" x14ac:dyDescent="0.25">
      <c r="A735" t="s">
        <v>661</v>
      </c>
      <c r="C735" t="s">
        <v>12</v>
      </c>
      <c r="D735" s="1">
        <v>43241</v>
      </c>
    </row>
    <row r="736" spans="1:4" x14ac:dyDescent="0.25">
      <c r="A736" t="s">
        <v>1882</v>
      </c>
      <c r="C736" t="s">
        <v>12</v>
      </c>
      <c r="D736" s="1">
        <v>43237</v>
      </c>
    </row>
    <row r="737" spans="1:4" x14ac:dyDescent="0.25">
      <c r="A737" t="s">
        <v>679</v>
      </c>
      <c r="C737" t="s">
        <v>12</v>
      </c>
      <c r="D737" s="1">
        <v>43244</v>
      </c>
    </row>
    <row r="738" spans="1:4" x14ac:dyDescent="0.25">
      <c r="A738" t="s">
        <v>1081</v>
      </c>
      <c r="C738" t="s">
        <v>12</v>
      </c>
      <c r="D738" s="1">
        <v>43241</v>
      </c>
    </row>
    <row r="739" spans="1:4" x14ac:dyDescent="0.25">
      <c r="A739" t="s">
        <v>1884</v>
      </c>
      <c r="C739" t="s">
        <v>12</v>
      </c>
      <c r="D739" s="1">
        <v>43229</v>
      </c>
    </row>
    <row r="740" spans="1:4" x14ac:dyDescent="0.25">
      <c r="A740" t="s">
        <v>1542</v>
      </c>
      <c r="C740" t="s">
        <v>12</v>
      </c>
      <c r="D740" s="1">
        <v>43224</v>
      </c>
    </row>
    <row r="741" spans="1:4" x14ac:dyDescent="0.25">
      <c r="A741" t="s">
        <v>1920</v>
      </c>
      <c r="C741" t="s">
        <v>12</v>
      </c>
      <c r="D741" s="1">
        <v>43231</v>
      </c>
    </row>
    <row r="742" spans="1:4" x14ac:dyDescent="0.25">
      <c r="A742" t="s">
        <v>1921</v>
      </c>
      <c r="C742" t="s">
        <v>12</v>
      </c>
      <c r="D742" s="1">
        <v>43231</v>
      </c>
    </row>
    <row r="743" spans="1:4" x14ac:dyDescent="0.25">
      <c r="A743" t="s">
        <v>1922</v>
      </c>
      <c r="C743" t="s">
        <v>12</v>
      </c>
      <c r="D743" s="1">
        <v>43231</v>
      </c>
    </row>
    <row r="744" spans="1:4" x14ac:dyDescent="0.25">
      <c r="A744" t="s">
        <v>1923</v>
      </c>
      <c r="C744" t="s">
        <v>12</v>
      </c>
      <c r="D744" s="1">
        <v>43231</v>
      </c>
    </row>
    <row r="745" spans="1:4" x14ac:dyDescent="0.25">
      <c r="A745" t="s">
        <v>1924</v>
      </c>
      <c r="C745" t="s">
        <v>12</v>
      </c>
      <c r="D745" s="1">
        <v>43231</v>
      </c>
    </row>
    <row r="746" spans="1:4" x14ac:dyDescent="0.25">
      <c r="A746" t="s">
        <v>1925</v>
      </c>
      <c r="C746" t="s">
        <v>12</v>
      </c>
      <c r="D746" s="1">
        <v>43231</v>
      </c>
    </row>
    <row r="747" spans="1:4" x14ac:dyDescent="0.25">
      <c r="A747" t="s">
        <v>1926</v>
      </c>
      <c r="C747" t="s">
        <v>18</v>
      </c>
      <c r="D747" s="1">
        <v>43250</v>
      </c>
    </row>
    <row r="748" spans="1:4" x14ac:dyDescent="0.25">
      <c r="A748" t="s">
        <v>1927</v>
      </c>
      <c r="C748" t="s">
        <v>18</v>
      </c>
      <c r="D748" s="1">
        <v>43231</v>
      </c>
    </row>
    <row r="749" spans="1:4" x14ac:dyDescent="0.25">
      <c r="A749" t="s">
        <v>1928</v>
      </c>
      <c r="C749" t="s">
        <v>18</v>
      </c>
      <c r="D749" s="1">
        <v>43231</v>
      </c>
    </row>
    <row r="750" spans="1:4" x14ac:dyDescent="0.25">
      <c r="A750" t="s">
        <v>1929</v>
      </c>
      <c r="C750" t="s">
        <v>18</v>
      </c>
      <c r="D750" s="1">
        <v>43251</v>
      </c>
    </row>
    <row r="751" spans="1:4" x14ac:dyDescent="0.25">
      <c r="A751" t="s">
        <v>1930</v>
      </c>
      <c r="C751" t="s">
        <v>18</v>
      </c>
      <c r="D751" s="1">
        <v>43238</v>
      </c>
    </row>
    <row r="752" spans="1:4" x14ac:dyDescent="0.25">
      <c r="A752" t="s">
        <v>1931</v>
      </c>
      <c r="C752" t="s">
        <v>18</v>
      </c>
      <c r="D752" s="1">
        <v>43229</v>
      </c>
    </row>
    <row r="753" spans="1:4" x14ac:dyDescent="0.25">
      <c r="A753" t="s">
        <v>1932</v>
      </c>
      <c r="C753" t="s">
        <v>18</v>
      </c>
      <c r="D753" s="1">
        <v>43236</v>
      </c>
    </row>
    <row r="754" spans="1:4" x14ac:dyDescent="0.25">
      <c r="A754" t="s">
        <v>1933</v>
      </c>
      <c r="C754" t="s">
        <v>18</v>
      </c>
      <c r="D754" s="1">
        <v>43251</v>
      </c>
    </row>
    <row r="755" spans="1:4" x14ac:dyDescent="0.25">
      <c r="A755" t="s">
        <v>1934</v>
      </c>
      <c r="C755" t="s">
        <v>18</v>
      </c>
      <c r="D755" s="1">
        <v>43231</v>
      </c>
    </row>
    <row r="756" spans="1:4" x14ac:dyDescent="0.25">
      <c r="A756" t="s">
        <v>1935</v>
      </c>
      <c r="C756" t="s">
        <v>18</v>
      </c>
      <c r="D756" s="1">
        <v>43225</v>
      </c>
    </row>
    <row r="757" spans="1:4" x14ac:dyDescent="0.25">
      <c r="A757" t="s">
        <v>1936</v>
      </c>
      <c r="C757" t="s">
        <v>18</v>
      </c>
      <c r="D757" s="1">
        <v>43225</v>
      </c>
    </row>
    <row r="758" spans="1:4" x14ac:dyDescent="0.25">
      <c r="A758" t="s">
        <v>1937</v>
      </c>
      <c r="C758" t="s">
        <v>18</v>
      </c>
      <c r="D758" s="1">
        <v>43224</v>
      </c>
    </row>
    <row r="759" spans="1:4" x14ac:dyDescent="0.25">
      <c r="A759" t="s">
        <v>1938</v>
      </c>
      <c r="C759" t="s">
        <v>18</v>
      </c>
      <c r="D759" s="1">
        <v>43251</v>
      </c>
    </row>
    <row r="760" spans="1:4" x14ac:dyDescent="0.25">
      <c r="A760" t="s">
        <v>1939</v>
      </c>
      <c r="C760" t="s">
        <v>18</v>
      </c>
      <c r="D760" s="1">
        <v>43251</v>
      </c>
    </row>
    <row r="761" spans="1:4" x14ac:dyDescent="0.25">
      <c r="A761" t="s">
        <v>1940</v>
      </c>
      <c r="C761" t="s">
        <v>18</v>
      </c>
      <c r="D761" s="1">
        <v>43229</v>
      </c>
    </row>
    <row r="762" spans="1:4" x14ac:dyDescent="0.25">
      <c r="A762" t="s">
        <v>1941</v>
      </c>
      <c r="C762" t="s">
        <v>18</v>
      </c>
      <c r="D762" s="1">
        <v>43222</v>
      </c>
    </row>
    <row r="763" spans="1:4" x14ac:dyDescent="0.25">
      <c r="A763" t="s">
        <v>1477</v>
      </c>
      <c r="C763" t="s">
        <v>18</v>
      </c>
      <c r="D763" s="1">
        <v>43236</v>
      </c>
    </row>
    <row r="764" spans="1:4" x14ac:dyDescent="0.25">
      <c r="A764" t="s">
        <v>1364</v>
      </c>
      <c r="C764" t="s">
        <v>18</v>
      </c>
      <c r="D764" s="1">
        <v>43236</v>
      </c>
    </row>
    <row r="765" spans="1:4" x14ac:dyDescent="0.25">
      <c r="A765" t="s">
        <v>1942</v>
      </c>
      <c r="C765" t="s">
        <v>18</v>
      </c>
      <c r="D765" s="1">
        <v>43236</v>
      </c>
    </row>
    <row r="766" spans="1:4" x14ac:dyDescent="0.25">
      <c r="A766" t="s">
        <v>1014</v>
      </c>
      <c r="C766" t="s">
        <v>18</v>
      </c>
      <c r="D766" s="1">
        <v>43231</v>
      </c>
    </row>
    <row r="767" spans="1:4" x14ac:dyDescent="0.25">
      <c r="A767" t="s">
        <v>1030</v>
      </c>
      <c r="C767" t="s">
        <v>18</v>
      </c>
      <c r="D767" s="1">
        <v>43243</v>
      </c>
    </row>
    <row r="768" spans="1:4" x14ac:dyDescent="0.25">
      <c r="A768" t="s">
        <v>1404</v>
      </c>
      <c r="C768" t="s">
        <v>18</v>
      </c>
      <c r="D768" s="1">
        <v>43229</v>
      </c>
    </row>
    <row r="769" spans="1:4" x14ac:dyDescent="0.25">
      <c r="A769" t="s">
        <v>1943</v>
      </c>
      <c r="C769" t="s">
        <v>18</v>
      </c>
      <c r="D769" s="1">
        <v>43229</v>
      </c>
    </row>
    <row r="770" spans="1:4" x14ac:dyDescent="0.25">
      <c r="A770" t="s">
        <v>1522</v>
      </c>
      <c r="C770" t="s">
        <v>18</v>
      </c>
      <c r="D770" s="1">
        <v>43231</v>
      </c>
    </row>
    <row r="771" spans="1:4" x14ac:dyDescent="0.25">
      <c r="A771" t="s">
        <v>1562</v>
      </c>
      <c r="C771" t="s">
        <v>18</v>
      </c>
      <c r="D771" s="1">
        <v>43249</v>
      </c>
    </row>
    <row r="772" spans="1:4" x14ac:dyDescent="0.25">
      <c r="A772" t="s">
        <v>1401</v>
      </c>
      <c r="C772" t="s">
        <v>18</v>
      </c>
      <c r="D772" s="1">
        <v>43246</v>
      </c>
    </row>
    <row r="773" spans="1:4" x14ac:dyDescent="0.25">
      <c r="A773" t="s">
        <v>1422</v>
      </c>
      <c r="C773" t="s">
        <v>18</v>
      </c>
      <c r="D773" s="1">
        <v>43249</v>
      </c>
    </row>
    <row r="774" spans="1:4" x14ac:dyDescent="0.25">
      <c r="A774" t="s">
        <v>1493</v>
      </c>
      <c r="C774" t="s">
        <v>18</v>
      </c>
      <c r="D774" s="1">
        <v>43246</v>
      </c>
    </row>
    <row r="775" spans="1:4" x14ac:dyDescent="0.25">
      <c r="A775" t="s">
        <v>1733</v>
      </c>
      <c r="C775" t="s">
        <v>18</v>
      </c>
      <c r="D775" s="1">
        <v>43246</v>
      </c>
    </row>
    <row r="776" spans="1:4" x14ac:dyDescent="0.25">
      <c r="A776" t="s">
        <v>986</v>
      </c>
      <c r="C776" t="s">
        <v>18</v>
      </c>
      <c r="D776" s="1">
        <v>43236</v>
      </c>
    </row>
    <row r="777" spans="1:4" x14ac:dyDescent="0.25">
      <c r="A777" t="s">
        <v>1944</v>
      </c>
      <c r="C777" t="s">
        <v>18</v>
      </c>
      <c r="D777" s="1">
        <v>43230</v>
      </c>
    </row>
    <row r="778" spans="1:4" x14ac:dyDescent="0.25">
      <c r="A778" t="s">
        <v>1945</v>
      </c>
      <c r="C778" t="s">
        <v>18</v>
      </c>
      <c r="D778" s="1">
        <v>43231</v>
      </c>
    </row>
    <row r="779" spans="1:4" x14ac:dyDescent="0.25">
      <c r="A779" t="s">
        <v>1946</v>
      </c>
      <c r="C779" t="s">
        <v>18</v>
      </c>
      <c r="D779" s="1">
        <v>43231</v>
      </c>
    </row>
    <row r="780" spans="1:4" x14ac:dyDescent="0.25">
      <c r="A780" t="s">
        <v>1734</v>
      </c>
      <c r="C780" t="s">
        <v>18</v>
      </c>
      <c r="D780" s="1">
        <v>43243</v>
      </c>
    </row>
    <row r="781" spans="1:4" x14ac:dyDescent="0.25">
      <c r="A781" t="s">
        <v>1643</v>
      </c>
      <c r="C781" t="s">
        <v>18</v>
      </c>
      <c r="D781" s="1">
        <v>43238</v>
      </c>
    </row>
    <row r="782" spans="1:4" x14ac:dyDescent="0.25">
      <c r="A782" t="s">
        <v>1947</v>
      </c>
      <c r="C782" t="s">
        <v>18</v>
      </c>
      <c r="D782" s="1">
        <v>43222</v>
      </c>
    </row>
    <row r="783" spans="1:4" x14ac:dyDescent="0.25">
      <c r="A783" t="s">
        <v>1948</v>
      </c>
      <c r="C783" t="s">
        <v>18</v>
      </c>
      <c r="D783" s="1">
        <v>43231</v>
      </c>
    </row>
    <row r="784" spans="1:4" x14ac:dyDescent="0.25">
      <c r="A784" t="s">
        <v>1429</v>
      </c>
      <c r="C784" t="s">
        <v>18</v>
      </c>
      <c r="D784" s="1">
        <v>43244</v>
      </c>
    </row>
    <row r="785" spans="1:4" x14ac:dyDescent="0.25">
      <c r="A785" t="s">
        <v>1399</v>
      </c>
      <c r="C785" t="s">
        <v>18</v>
      </c>
      <c r="D785" s="1">
        <v>43238</v>
      </c>
    </row>
    <row r="786" spans="1:4" x14ac:dyDescent="0.25">
      <c r="A786" t="s">
        <v>1653</v>
      </c>
      <c r="C786" t="s">
        <v>18</v>
      </c>
      <c r="D786" s="1">
        <v>43240</v>
      </c>
    </row>
    <row r="787" spans="1:4" x14ac:dyDescent="0.25">
      <c r="A787" t="s">
        <v>1470</v>
      </c>
      <c r="C787" t="s">
        <v>18</v>
      </c>
      <c r="D787" s="1">
        <v>43237</v>
      </c>
    </row>
    <row r="788" spans="1:4" x14ac:dyDescent="0.25">
      <c r="A788" t="s">
        <v>1119</v>
      </c>
      <c r="C788" t="s">
        <v>18</v>
      </c>
      <c r="D788" s="1">
        <v>43244</v>
      </c>
    </row>
    <row r="789" spans="1:4" x14ac:dyDescent="0.25">
      <c r="A789" t="s">
        <v>1949</v>
      </c>
      <c r="C789" t="s">
        <v>18</v>
      </c>
      <c r="D789" s="1">
        <v>43241</v>
      </c>
    </row>
    <row r="790" spans="1:4" x14ac:dyDescent="0.25">
      <c r="A790" t="s">
        <v>1738</v>
      </c>
      <c r="C790" t="s">
        <v>18</v>
      </c>
      <c r="D790" s="1">
        <v>43242</v>
      </c>
    </row>
    <row r="791" spans="1:4" x14ac:dyDescent="0.25">
      <c r="A791" t="s">
        <v>1547</v>
      </c>
      <c r="C791" t="s">
        <v>18</v>
      </c>
      <c r="D791" s="1">
        <v>43249</v>
      </c>
    </row>
    <row r="792" spans="1:4" x14ac:dyDescent="0.25">
      <c r="A792" t="s">
        <v>1413</v>
      </c>
      <c r="C792" t="s">
        <v>18</v>
      </c>
      <c r="D792" s="1">
        <v>43250</v>
      </c>
    </row>
    <row r="793" spans="1:4" x14ac:dyDescent="0.25">
      <c r="A793" t="s">
        <v>1950</v>
      </c>
      <c r="C793" t="s">
        <v>18</v>
      </c>
      <c r="D793" s="1">
        <v>43231</v>
      </c>
    </row>
    <row r="794" spans="1:4" x14ac:dyDescent="0.25">
      <c r="A794" t="s">
        <v>1951</v>
      </c>
      <c r="C794" t="s">
        <v>18</v>
      </c>
      <c r="D794" s="1">
        <v>43230</v>
      </c>
    </row>
    <row r="795" spans="1:4" x14ac:dyDescent="0.25">
      <c r="A795" t="s">
        <v>1952</v>
      </c>
      <c r="C795" t="s">
        <v>18</v>
      </c>
      <c r="D795" s="1">
        <v>43229</v>
      </c>
    </row>
    <row r="796" spans="1:4" x14ac:dyDescent="0.25">
      <c r="A796" t="s">
        <v>1739</v>
      </c>
      <c r="C796" t="s">
        <v>18</v>
      </c>
      <c r="D796" s="1">
        <v>43249</v>
      </c>
    </row>
    <row r="797" spans="1:4" x14ac:dyDescent="0.25">
      <c r="A797" t="s">
        <v>1953</v>
      </c>
      <c r="C797" t="s">
        <v>18</v>
      </c>
      <c r="D797" s="1">
        <v>43231</v>
      </c>
    </row>
    <row r="798" spans="1:4" x14ac:dyDescent="0.25">
      <c r="A798" t="s">
        <v>1954</v>
      </c>
      <c r="C798" t="s">
        <v>18</v>
      </c>
      <c r="D798" s="1">
        <v>43231</v>
      </c>
    </row>
    <row r="799" spans="1:4" x14ac:dyDescent="0.25">
      <c r="A799" t="s">
        <v>1740</v>
      </c>
      <c r="C799" t="s">
        <v>18</v>
      </c>
      <c r="D799" s="1">
        <v>43243</v>
      </c>
    </row>
    <row r="800" spans="1:4" x14ac:dyDescent="0.25">
      <c r="A800" t="s">
        <v>1955</v>
      </c>
      <c r="C800" t="s">
        <v>18</v>
      </c>
      <c r="D800" s="1">
        <v>43229</v>
      </c>
    </row>
    <row r="801" spans="1:4" x14ac:dyDescent="0.25">
      <c r="A801" t="s">
        <v>1956</v>
      </c>
      <c r="C801" t="s">
        <v>18</v>
      </c>
      <c r="D801" s="1">
        <v>43231</v>
      </c>
    </row>
    <row r="802" spans="1:4" x14ac:dyDescent="0.25">
      <c r="A802" t="s">
        <v>1957</v>
      </c>
      <c r="C802" t="s">
        <v>18</v>
      </c>
      <c r="D802" s="1">
        <v>43238</v>
      </c>
    </row>
    <row r="803" spans="1:4" x14ac:dyDescent="0.25">
      <c r="A803" t="s">
        <v>1245</v>
      </c>
      <c r="C803" t="s">
        <v>18</v>
      </c>
      <c r="D803" s="1">
        <v>43246</v>
      </c>
    </row>
    <row r="804" spans="1:4" x14ac:dyDescent="0.25">
      <c r="A804" t="s">
        <v>1742</v>
      </c>
      <c r="C804" t="s">
        <v>18</v>
      </c>
      <c r="D804" s="1">
        <v>43246</v>
      </c>
    </row>
    <row r="805" spans="1:4" x14ac:dyDescent="0.25">
      <c r="A805" t="s">
        <v>1743</v>
      </c>
      <c r="C805" t="s">
        <v>18</v>
      </c>
      <c r="D805" s="1">
        <v>43246</v>
      </c>
    </row>
    <row r="806" spans="1:4" x14ac:dyDescent="0.25">
      <c r="A806" t="s">
        <v>1402</v>
      </c>
      <c r="C806" t="s">
        <v>18</v>
      </c>
      <c r="D806" s="1">
        <v>43246</v>
      </c>
    </row>
    <row r="807" spans="1:4" x14ac:dyDescent="0.25">
      <c r="A807" t="s">
        <v>1604</v>
      </c>
      <c r="C807" t="s">
        <v>18</v>
      </c>
      <c r="D807" s="1">
        <v>43239</v>
      </c>
    </row>
    <row r="808" spans="1:4" x14ac:dyDescent="0.25">
      <c r="A808" t="s">
        <v>1958</v>
      </c>
      <c r="C808" t="s">
        <v>18</v>
      </c>
      <c r="D808" s="1">
        <v>43231</v>
      </c>
    </row>
    <row r="809" spans="1:4" x14ac:dyDescent="0.25">
      <c r="A809" t="s">
        <v>1631</v>
      </c>
      <c r="C809" t="s">
        <v>18</v>
      </c>
      <c r="D809" s="1">
        <v>43251</v>
      </c>
    </row>
    <row r="810" spans="1:4" x14ac:dyDescent="0.25">
      <c r="A810" t="s">
        <v>1418</v>
      </c>
      <c r="C810" t="s">
        <v>18</v>
      </c>
      <c r="D810" s="1">
        <v>43246</v>
      </c>
    </row>
    <row r="811" spans="1:4" x14ac:dyDescent="0.25">
      <c r="A811" t="s">
        <v>1382</v>
      </c>
      <c r="C811" t="s">
        <v>18</v>
      </c>
      <c r="D811" s="1">
        <v>43229</v>
      </c>
    </row>
    <row r="812" spans="1:4" x14ac:dyDescent="0.25">
      <c r="A812" t="s">
        <v>1558</v>
      </c>
      <c r="C812" t="s">
        <v>18</v>
      </c>
      <c r="D812" s="1">
        <v>43231</v>
      </c>
    </row>
    <row r="813" spans="1:4" x14ac:dyDescent="0.25">
      <c r="A813" t="s">
        <v>1419</v>
      </c>
      <c r="C813" t="s">
        <v>18</v>
      </c>
      <c r="D813" s="1">
        <v>43249</v>
      </c>
    </row>
    <row r="814" spans="1:4" x14ac:dyDescent="0.25">
      <c r="A814" t="s">
        <v>1621</v>
      </c>
      <c r="C814" t="s">
        <v>18</v>
      </c>
      <c r="D814" s="1">
        <v>43244</v>
      </c>
    </row>
    <row r="815" spans="1:4" x14ac:dyDescent="0.25">
      <c r="A815" t="s">
        <v>1746</v>
      </c>
      <c r="C815" t="s">
        <v>18</v>
      </c>
      <c r="D815" s="1">
        <v>43244</v>
      </c>
    </row>
    <row r="816" spans="1:4" x14ac:dyDescent="0.25">
      <c r="A816" t="s">
        <v>1129</v>
      </c>
      <c r="C816" t="s">
        <v>18</v>
      </c>
      <c r="D816" s="1">
        <v>43237</v>
      </c>
    </row>
    <row r="817" spans="1:4" x14ac:dyDescent="0.25">
      <c r="A817" t="s">
        <v>1959</v>
      </c>
      <c r="C817" t="s">
        <v>18</v>
      </c>
      <c r="D817" s="1">
        <v>43231</v>
      </c>
    </row>
    <row r="818" spans="1:4" x14ac:dyDescent="0.25">
      <c r="A818" t="s">
        <v>1960</v>
      </c>
      <c r="C818" t="s">
        <v>18</v>
      </c>
      <c r="D818" s="1">
        <v>43222</v>
      </c>
    </row>
    <row r="819" spans="1:4" x14ac:dyDescent="0.25">
      <c r="A819" t="s">
        <v>1961</v>
      </c>
      <c r="C819" t="s">
        <v>18</v>
      </c>
      <c r="D819" s="1">
        <v>43229</v>
      </c>
    </row>
    <row r="820" spans="1:4" x14ac:dyDescent="0.25">
      <c r="A820" t="s">
        <v>1962</v>
      </c>
      <c r="C820" t="s">
        <v>18</v>
      </c>
      <c r="D820" s="1">
        <v>43231</v>
      </c>
    </row>
    <row r="821" spans="1:4" x14ac:dyDescent="0.25">
      <c r="A821" t="s">
        <v>1344</v>
      </c>
      <c r="C821" t="s">
        <v>18</v>
      </c>
      <c r="D821" s="1">
        <v>43231</v>
      </c>
    </row>
    <row r="822" spans="1:4" x14ac:dyDescent="0.25">
      <c r="A822" t="s">
        <v>1748</v>
      </c>
      <c r="C822" t="s">
        <v>18</v>
      </c>
      <c r="D822" s="1">
        <v>43246</v>
      </c>
    </row>
    <row r="823" spans="1:4" x14ac:dyDescent="0.25">
      <c r="A823" t="s">
        <v>1611</v>
      </c>
      <c r="C823" t="s">
        <v>18</v>
      </c>
      <c r="D823" s="1">
        <v>43251</v>
      </c>
    </row>
    <row r="824" spans="1:4" x14ac:dyDescent="0.25">
      <c r="A824" t="s">
        <v>1963</v>
      </c>
      <c r="C824" t="s">
        <v>18</v>
      </c>
      <c r="D824" s="1">
        <v>43229</v>
      </c>
    </row>
    <row r="825" spans="1:4" x14ac:dyDescent="0.25">
      <c r="A825" t="s">
        <v>1964</v>
      </c>
      <c r="C825" t="s">
        <v>18</v>
      </c>
      <c r="D825" s="1">
        <v>43229</v>
      </c>
    </row>
    <row r="826" spans="1:4" x14ac:dyDescent="0.25">
      <c r="A826" t="s">
        <v>1156</v>
      </c>
      <c r="C826" t="s">
        <v>18</v>
      </c>
      <c r="D826" s="1">
        <v>43246</v>
      </c>
    </row>
    <row r="827" spans="1:4" x14ac:dyDescent="0.25">
      <c r="A827" t="s">
        <v>1250</v>
      </c>
      <c r="C827" t="s">
        <v>18</v>
      </c>
      <c r="D827" s="1">
        <v>43244</v>
      </c>
    </row>
    <row r="828" spans="1:4" x14ac:dyDescent="0.25">
      <c r="A828" t="s">
        <v>1193</v>
      </c>
      <c r="C828" t="s">
        <v>18</v>
      </c>
      <c r="D828" s="1">
        <v>43250</v>
      </c>
    </row>
    <row r="829" spans="1:4" x14ac:dyDescent="0.25">
      <c r="A829" t="s">
        <v>1751</v>
      </c>
      <c r="C829" t="s">
        <v>18</v>
      </c>
      <c r="D829" s="1">
        <v>43244</v>
      </c>
    </row>
    <row r="830" spans="1:4" x14ac:dyDescent="0.25">
      <c r="A830" t="s">
        <v>995</v>
      </c>
      <c r="C830" t="s">
        <v>18</v>
      </c>
      <c r="D830" s="1">
        <v>43242</v>
      </c>
    </row>
    <row r="831" spans="1:4" x14ac:dyDescent="0.25">
      <c r="A831" t="s">
        <v>1965</v>
      </c>
      <c r="C831" t="s">
        <v>18</v>
      </c>
      <c r="D831" s="1">
        <v>43222</v>
      </c>
    </row>
    <row r="832" spans="1:4" x14ac:dyDescent="0.25">
      <c r="A832" t="s">
        <v>1752</v>
      </c>
      <c r="C832" t="s">
        <v>18</v>
      </c>
      <c r="D832" s="1">
        <v>43243</v>
      </c>
    </row>
    <row r="833" spans="1:4" x14ac:dyDescent="0.25">
      <c r="A833" t="s">
        <v>1512</v>
      </c>
      <c r="C833" t="s">
        <v>18</v>
      </c>
      <c r="D833" s="1">
        <v>43249</v>
      </c>
    </row>
    <row r="834" spans="1:4" x14ac:dyDescent="0.25">
      <c r="A834" t="s">
        <v>1568</v>
      </c>
      <c r="C834" t="s">
        <v>18</v>
      </c>
      <c r="D834" s="1">
        <v>43235</v>
      </c>
    </row>
    <row r="835" spans="1:4" x14ac:dyDescent="0.25">
      <c r="A835" t="s">
        <v>1674</v>
      </c>
      <c r="C835" t="s">
        <v>18</v>
      </c>
      <c r="D835" s="1">
        <v>43243</v>
      </c>
    </row>
    <row r="836" spans="1:4" x14ac:dyDescent="0.25">
      <c r="A836" t="s">
        <v>1966</v>
      </c>
      <c r="C836" t="s">
        <v>18</v>
      </c>
      <c r="D836" s="1">
        <v>43243</v>
      </c>
    </row>
    <row r="837" spans="1:4" x14ac:dyDescent="0.25">
      <c r="A837" t="s">
        <v>1967</v>
      </c>
      <c r="C837" t="s">
        <v>18</v>
      </c>
      <c r="D837" s="1">
        <v>43231</v>
      </c>
    </row>
    <row r="838" spans="1:4" x14ac:dyDescent="0.25">
      <c r="A838" t="s">
        <v>1968</v>
      </c>
      <c r="C838" t="s">
        <v>18</v>
      </c>
      <c r="D838" s="1">
        <v>43231</v>
      </c>
    </row>
    <row r="839" spans="1:4" x14ac:dyDescent="0.25">
      <c r="A839" t="s">
        <v>1969</v>
      </c>
      <c r="C839" t="s">
        <v>18</v>
      </c>
      <c r="D839" s="1">
        <v>43230</v>
      </c>
    </row>
    <row r="840" spans="1:4" x14ac:dyDescent="0.25">
      <c r="A840" t="s">
        <v>1970</v>
      </c>
      <c r="C840" t="s">
        <v>18</v>
      </c>
      <c r="D840" s="1">
        <v>43231</v>
      </c>
    </row>
    <row r="841" spans="1:4" x14ac:dyDescent="0.25">
      <c r="A841" t="s">
        <v>1754</v>
      </c>
      <c r="C841" t="s">
        <v>18</v>
      </c>
      <c r="D841" s="1">
        <v>43249</v>
      </c>
    </row>
    <row r="842" spans="1:4" x14ac:dyDescent="0.25">
      <c r="A842" t="s">
        <v>1565</v>
      </c>
      <c r="C842" t="s">
        <v>18</v>
      </c>
      <c r="D842" s="1">
        <v>43235</v>
      </c>
    </row>
    <row r="843" spans="1:4" x14ac:dyDescent="0.25">
      <c r="A843" t="s">
        <v>1971</v>
      </c>
      <c r="C843" t="s">
        <v>18</v>
      </c>
      <c r="D843" s="1">
        <v>43231</v>
      </c>
    </row>
    <row r="844" spans="1:4" x14ac:dyDescent="0.25">
      <c r="A844" t="s">
        <v>1340</v>
      </c>
      <c r="C844" t="s">
        <v>18</v>
      </c>
      <c r="D844" s="1">
        <v>43231</v>
      </c>
    </row>
    <row r="845" spans="1:4" x14ac:dyDescent="0.25">
      <c r="A845" t="s">
        <v>1463</v>
      </c>
      <c r="C845" t="s">
        <v>18</v>
      </c>
      <c r="D845" s="1">
        <v>43249</v>
      </c>
    </row>
    <row r="846" spans="1:4" x14ac:dyDescent="0.25">
      <c r="A846" t="s">
        <v>1199</v>
      </c>
      <c r="C846" t="s">
        <v>18</v>
      </c>
      <c r="D846" s="1">
        <v>43249</v>
      </c>
    </row>
    <row r="847" spans="1:4" x14ac:dyDescent="0.25">
      <c r="A847" t="s">
        <v>1486</v>
      </c>
      <c r="C847" t="s">
        <v>18</v>
      </c>
      <c r="D847" s="1">
        <v>43246</v>
      </c>
    </row>
    <row r="848" spans="1:4" x14ac:dyDescent="0.25">
      <c r="A848" t="s">
        <v>1761</v>
      </c>
      <c r="C848" t="s">
        <v>18</v>
      </c>
      <c r="D848" s="1">
        <v>43243</v>
      </c>
    </row>
    <row r="849" spans="1:4" x14ac:dyDescent="0.25">
      <c r="A849" t="s">
        <v>1454</v>
      </c>
      <c r="C849" t="s">
        <v>18</v>
      </c>
      <c r="D849" s="1">
        <v>43246</v>
      </c>
    </row>
    <row r="850" spans="1:4" x14ac:dyDescent="0.25">
      <c r="A850" t="s">
        <v>1762</v>
      </c>
      <c r="C850" t="s">
        <v>18</v>
      </c>
      <c r="D850" s="1">
        <v>43246</v>
      </c>
    </row>
    <row r="851" spans="1:4" x14ac:dyDescent="0.25">
      <c r="A851" t="s">
        <v>1483</v>
      </c>
      <c r="C851" t="s">
        <v>18</v>
      </c>
      <c r="D851" s="1">
        <v>43236</v>
      </c>
    </row>
    <row r="852" spans="1:4" x14ac:dyDescent="0.25">
      <c r="A852" t="s">
        <v>1972</v>
      </c>
      <c r="C852" t="s">
        <v>18</v>
      </c>
      <c r="D852" s="1">
        <v>43231</v>
      </c>
    </row>
    <row r="853" spans="1:4" x14ac:dyDescent="0.25">
      <c r="A853" t="s">
        <v>1449</v>
      </c>
      <c r="C853" t="s">
        <v>18</v>
      </c>
      <c r="D853" s="1">
        <v>43244</v>
      </c>
    </row>
    <row r="854" spans="1:4" x14ac:dyDescent="0.25">
      <c r="A854" t="s">
        <v>1764</v>
      </c>
      <c r="C854" t="s">
        <v>18</v>
      </c>
      <c r="D854" s="1">
        <v>43246</v>
      </c>
    </row>
    <row r="855" spans="1:4" x14ac:dyDescent="0.25">
      <c r="A855" t="s">
        <v>1330</v>
      </c>
      <c r="C855" t="s">
        <v>18</v>
      </c>
      <c r="D855" s="1">
        <v>43246</v>
      </c>
    </row>
    <row r="856" spans="1:4" x14ac:dyDescent="0.25">
      <c r="A856" t="s">
        <v>1765</v>
      </c>
      <c r="C856" t="s">
        <v>18</v>
      </c>
      <c r="D856" s="1">
        <v>43246</v>
      </c>
    </row>
    <row r="857" spans="1:4" x14ac:dyDescent="0.25">
      <c r="A857" t="s">
        <v>1973</v>
      </c>
      <c r="C857" t="s">
        <v>18</v>
      </c>
      <c r="D857" s="1">
        <v>43229</v>
      </c>
    </row>
    <row r="858" spans="1:4" x14ac:dyDescent="0.25">
      <c r="A858" t="s">
        <v>1974</v>
      </c>
      <c r="C858" t="s">
        <v>18</v>
      </c>
      <c r="D858" s="1">
        <v>43241</v>
      </c>
    </row>
    <row r="859" spans="1:4" x14ac:dyDescent="0.25">
      <c r="A859" t="s">
        <v>1975</v>
      </c>
      <c r="C859" t="s">
        <v>18</v>
      </c>
      <c r="D859" s="1">
        <v>43231</v>
      </c>
    </row>
    <row r="860" spans="1:4" x14ac:dyDescent="0.25">
      <c r="A860" t="s">
        <v>1976</v>
      </c>
      <c r="C860" t="s">
        <v>18</v>
      </c>
      <c r="D860" s="1">
        <v>43231</v>
      </c>
    </row>
    <row r="861" spans="1:4" x14ac:dyDescent="0.25">
      <c r="A861" t="s">
        <v>1436</v>
      </c>
      <c r="C861" t="s">
        <v>18</v>
      </c>
      <c r="D861" s="1">
        <v>43238</v>
      </c>
    </row>
    <row r="862" spans="1:4" x14ac:dyDescent="0.25">
      <c r="A862" t="s">
        <v>1766</v>
      </c>
      <c r="C862" t="s">
        <v>18</v>
      </c>
      <c r="D862" s="1">
        <v>43244</v>
      </c>
    </row>
    <row r="863" spans="1:4" x14ac:dyDescent="0.25">
      <c r="A863" t="s">
        <v>1374</v>
      </c>
      <c r="C863" t="s">
        <v>18</v>
      </c>
      <c r="D863" s="1">
        <v>43249</v>
      </c>
    </row>
    <row r="864" spans="1:4" x14ac:dyDescent="0.25">
      <c r="A864" t="s">
        <v>1304</v>
      </c>
      <c r="C864" t="s">
        <v>18</v>
      </c>
      <c r="D864" s="1">
        <v>43250</v>
      </c>
    </row>
    <row r="865" spans="1:4" x14ac:dyDescent="0.25">
      <c r="A865" t="s">
        <v>1977</v>
      </c>
      <c r="C865" t="s">
        <v>18</v>
      </c>
      <c r="D865" s="1">
        <v>43238</v>
      </c>
    </row>
    <row r="866" spans="1:4" x14ac:dyDescent="0.25">
      <c r="A866" t="s">
        <v>1614</v>
      </c>
      <c r="C866" t="s">
        <v>18</v>
      </c>
      <c r="D866" s="1">
        <v>43244</v>
      </c>
    </row>
    <row r="867" spans="1:4" x14ac:dyDescent="0.25">
      <c r="A867" t="s">
        <v>1387</v>
      </c>
      <c r="C867" t="s">
        <v>18</v>
      </c>
      <c r="D867" s="1">
        <v>43237</v>
      </c>
    </row>
    <row r="868" spans="1:4" x14ac:dyDescent="0.25">
      <c r="A868" t="s">
        <v>1978</v>
      </c>
      <c r="C868" t="s">
        <v>18</v>
      </c>
      <c r="D868" s="1">
        <v>43223</v>
      </c>
    </row>
    <row r="869" spans="1:4" x14ac:dyDescent="0.25">
      <c r="A869" t="s">
        <v>1064</v>
      </c>
      <c r="C869" t="s">
        <v>18</v>
      </c>
      <c r="D869" s="1">
        <v>43246</v>
      </c>
    </row>
    <row r="870" spans="1:4" x14ac:dyDescent="0.25">
      <c r="A870" t="s">
        <v>1603</v>
      </c>
      <c r="C870" t="s">
        <v>18</v>
      </c>
      <c r="D870" s="1">
        <v>43239</v>
      </c>
    </row>
    <row r="871" spans="1:4" x14ac:dyDescent="0.25">
      <c r="A871" t="s">
        <v>1591</v>
      </c>
      <c r="C871" t="s">
        <v>18</v>
      </c>
      <c r="D871" s="1">
        <v>43240</v>
      </c>
    </row>
    <row r="872" spans="1:4" x14ac:dyDescent="0.25">
      <c r="A872" t="s">
        <v>1979</v>
      </c>
      <c r="C872" t="s">
        <v>18</v>
      </c>
      <c r="D872" s="1">
        <v>43231</v>
      </c>
    </row>
    <row r="873" spans="1:4" x14ac:dyDescent="0.25">
      <c r="A873" t="s">
        <v>1253</v>
      </c>
      <c r="C873" t="s">
        <v>18</v>
      </c>
      <c r="D873" s="1">
        <v>43246</v>
      </c>
    </row>
    <row r="874" spans="1:4" x14ac:dyDescent="0.25">
      <c r="A874" t="s">
        <v>1323</v>
      </c>
      <c r="C874" t="s">
        <v>18</v>
      </c>
      <c r="D874" s="1">
        <v>43244</v>
      </c>
    </row>
    <row r="875" spans="1:4" x14ac:dyDescent="0.25">
      <c r="A875" t="s">
        <v>1569</v>
      </c>
      <c r="C875" t="s">
        <v>18</v>
      </c>
      <c r="D875" s="1">
        <v>43244</v>
      </c>
    </row>
    <row r="876" spans="1:4" x14ac:dyDescent="0.25">
      <c r="A876" t="s">
        <v>1980</v>
      </c>
      <c r="C876" t="s">
        <v>18</v>
      </c>
      <c r="D876" s="1">
        <v>43231</v>
      </c>
    </row>
    <row r="877" spans="1:4" x14ac:dyDescent="0.25">
      <c r="A877" t="s">
        <v>1609</v>
      </c>
      <c r="C877" t="s">
        <v>18</v>
      </c>
      <c r="D877" s="1">
        <v>43238</v>
      </c>
    </row>
    <row r="878" spans="1:4" x14ac:dyDescent="0.25">
      <c r="A878" t="s">
        <v>1541</v>
      </c>
      <c r="C878" t="s">
        <v>18</v>
      </c>
      <c r="D878" s="1">
        <v>43231</v>
      </c>
    </row>
    <row r="879" spans="1:4" x14ac:dyDescent="0.25">
      <c r="A879" t="s">
        <v>1554</v>
      </c>
      <c r="C879" t="s">
        <v>18</v>
      </c>
      <c r="D879" s="1">
        <v>43246</v>
      </c>
    </row>
    <row r="880" spans="1:4" x14ac:dyDescent="0.25">
      <c r="A880" t="s">
        <v>1770</v>
      </c>
      <c r="C880" t="s">
        <v>18</v>
      </c>
      <c r="D880" s="1">
        <v>43244</v>
      </c>
    </row>
    <row r="881" spans="1:4" x14ac:dyDescent="0.25">
      <c r="A881" t="s">
        <v>1676</v>
      </c>
      <c r="C881" t="s">
        <v>18</v>
      </c>
      <c r="D881" s="1">
        <v>43249</v>
      </c>
    </row>
    <row r="882" spans="1:4" x14ac:dyDescent="0.25">
      <c r="A882" t="s">
        <v>1545</v>
      </c>
      <c r="C882" t="s">
        <v>18</v>
      </c>
      <c r="D882" s="1">
        <v>43238</v>
      </c>
    </row>
    <row r="883" spans="1:4" x14ac:dyDescent="0.25">
      <c r="A883" t="s">
        <v>1365</v>
      </c>
      <c r="C883" t="s">
        <v>18</v>
      </c>
      <c r="D883" s="1">
        <v>43246</v>
      </c>
    </row>
    <row r="884" spans="1:4" x14ac:dyDescent="0.25">
      <c r="A884" t="s">
        <v>1564</v>
      </c>
      <c r="C884" t="s">
        <v>18</v>
      </c>
      <c r="D884" s="1">
        <v>43235</v>
      </c>
    </row>
    <row r="885" spans="1:4" x14ac:dyDescent="0.25">
      <c r="A885" t="s">
        <v>1981</v>
      </c>
      <c r="C885" t="s">
        <v>18</v>
      </c>
      <c r="D885" s="1">
        <v>43231</v>
      </c>
    </row>
    <row r="886" spans="1:4" x14ac:dyDescent="0.25">
      <c r="A886" t="s">
        <v>1186</v>
      </c>
      <c r="C886" t="s">
        <v>18</v>
      </c>
      <c r="D886" s="1">
        <v>43250</v>
      </c>
    </row>
    <row r="887" spans="1:4" x14ac:dyDescent="0.25">
      <c r="A887" t="s">
        <v>1593</v>
      </c>
      <c r="C887" t="s">
        <v>18</v>
      </c>
      <c r="D887" s="1">
        <v>43231</v>
      </c>
    </row>
    <row r="888" spans="1:4" x14ac:dyDescent="0.25">
      <c r="A888" t="s">
        <v>1982</v>
      </c>
      <c r="C888" t="s">
        <v>18</v>
      </c>
      <c r="D888" s="1">
        <v>43229</v>
      </c>
    </row>
    <row r="889" spans="1:4" x14ac:dyDescent="0.25">
      <c r="A889" t="s">
        <v>1774</v>
      </c>
      <c r="C889" t="s">
        <v>18</v>
      </c>
      <c r="D889" s="1">
        <v>43244</v>
      </c>
    </row>
    <row r="890" spans="1:4" x14ac:dyDescent="0.25">
      <c r="A890" t="s">
        <v>1983</v>
      </c>
      <c r="C890" t="s">
        <v>18</v>
      </c>
      <c r="D890" s="1">
        <v>43231</v>
      </c>
    </row>
    <row r="891" spans="1:4" x14ac:dyDescent="0.25">
      <c r="A891" t="s">
        <v>1984</v>
      </c>
      <c r="C891" t="s">
        <v>18</v>
      </c>
      <c r="D891" s="1">
        <v>43231</v>
      </c>
    </row>
    <row r="892" spans="1:4" x14ac:dyDescent="0.25">
      <c r="A892" t="s">
        <v>1075</v>
      </c>
      <c r="C892" t="s">
        <v>18</v>
      </c>
      <c r="D892" s="1">
        <v>43244</v>
      </c>
    </row>
    <row r="893" spans="1:4" x14ac:dyDescent="0.25">
      <c r="A893" t="s">
        <v>1778</v>
      </c>
      <c r="C893" t="s">
        <v>18</v>
      </c>
      <c r="D893" s="1">
        <v>43246</v>
      </c>
    </row>
    <row r="894" spans="1:4" x14ac:dyDescent="0.25">
      <c r="A894" t="s">
        <v>1610</v>
      </c>
      <c r="C894" t="s">
        <v>18</v>
      </c>
      <c r="D894" s="1">
        <v>43243</v>
      </c>
    </row>
    <row r="895" spans="1:4" x14ac:dyDescent="0.25">
      <c r="A895" t="s">
        <v>1985</v>
      </c>
      <c r="C895" t="s">
        <v>18</v>
      </c>
      <c r="D895" s="1">
        <v>43231</v>
      </c>
    </row>
    <row r="896" spans="1:4" x14ac:dyDescent="0.25">
      <c r="A896" t="s">
        <v>1379</v>
      </c>
      <c r="C896" t="s">
        <v>18</v>
      </c>
      <c r="D896" s="1">
        <v>43230</v>
      </c>
    </row>
    <row r="897" spans="1:4" x14ac:dyDescent="0.25">
      <c r="A897" t="s">
        <v>960</v>
      </c>
      <c r="C897" t="s">
        <v>18</v>
      </c>
      <c r="D897" s="1">
        <v>43240</v>
      </c>
    </row>
    <row r="898" spans="1:4" x14ac:dyDescent="0.25">
      <c r="A898" t="s">
        <v>1780</v>
      </c>
      <c r="C898" t="s">
        <v>18</v>
      </c>
      <c r="D898" s="1">
        <v>43239</v>
      </c>
    </row>
    <row r="899" spans="1:4" x14ac:dyDescent="0.25">
      <c r="A899" t="s">
        <v>1986</v>
      </c>
      <c r="C899" t="s">
        <v>18</v>
      </c>
      <c r="D899" s="1">
        <v>43231</v>
      </c>
    </row>
    <row r="900" spans="1:4" x14ac:dyDescent="0.25">
      <c r="A900" t="s">
        <v>1459</v>
      </c>
      <c r="C900" t="s">
        <v>18</v>
      </c>
      <c r="D900" s="1">
        <v>43249</v>
      </c>
    </row>
    <row r="901" spans="1:4" x14ac:dyDescent="0.25">
      <c r="A901" t="s">
        <v>1461</v>
      </c>
      <c r="C901" t="s">
        <v>18</v>
      </c>
      <c r="D901" s="1">
        <v>43231</v>
      </c>
    </row>
    <row r="902" spans="1:4" x14ac:dyDescent="0.25">
      <c r="A902" t="s">
        <v>1987</v>
      </c>
      <c r="C902" t="s">
        <v>18</v>
      </c>
      <c r="D902" s="1">
        <v>43229</v>
      </c>
    </row>
    <row r="903" spans="1:4" x14ac:dyDescent="0.25">
      <c r="A903" t="s">
        <v>1518</v>
      </c>
      <c r="C903" t="s">
        <v>18</v>
      </c>
      <c r="D903" s="1">
        <v>43237</v>
      </c>
    </row>
    <row r="904" spans="1:4" x14ac:dyDescent="0.25">
      <c r="A904" t="s">
        <v>1606</v>
      </c>
      <c r="C904" t="s">
        <v>18</v>
      </c>
      <c r="D904" s="1">
        <v>43242</v>
      </c>
    </row>
    <row r="905" spans="1:4" x14ac:dyDescent="0.25">
      <c r="A905" t="s">
        <v>1988</v>
      </c>
      <c r="C905" t="s">
        <v>18</v>
      </c>
      <c r="D905" s="1">
        <v>43231</v>
      </c>
    </row>
    <row r="906" spans="1:4" x14ac:dyDescent="0.25">
      <c r="A906" t="s">
        <v>1989</v>
      </c>
      <c r="C906" t="s">
        <v>18</v>
      </c>
      <c r="D906" s="1">
        <v>43231</v>
      </c>
    </row>
    <row r="907" spans="1:4" x14ac:dyDescent="0.25">
      <c r="A907" t="s">
        <v>1389</v>
      </c>
      <c r="C907" t="s">
        <v>18</v>
      </c>
      <c r="D907" s="1">
        <v>43250</v>
      </c>
    </row>
    <row r="908" spans="1:4" x14ac:dyDescent="0.25">
      <c r="A908" t="s">
        <v>1500</v>
      </c>
      <c r="C908" t="s">
        <v>18</v>
      </c>
      <c r="D908" s="1">
        <v>43229</v>
      </c>
    </row>
    <row r="909" spans="1:4" x14ac:dyDescent="0.25">
      <c r="A909" t="s">
        <v>1990</v>
      </c>
      <c r="C909" t="s">
        <v>18</v>
      </c>
      <c r="D909" s="1">
        <v>43231</v>
      </c>
    </row>
    <row r="910" spans="1:4" x14ac:dyDescent="0.25">
      <c r="A910" t="s">
        <v>1535</v>
      </c>
      <c r="C910" t="s">
        <v>18</v>
      </c>
      <c r="D910" s="1">
        <v>43225</v>
      </c>
    </row>
    <row r="911" spans="1:4" x14ac:dyDescent="0.25">
      <c r="A911" t="s">
        <v>1991</v>
      </c>
      <c r="C911" t="s">
        <v>18</v>
      </c>
      <c r="D911" s="1">
        <v>43231</v>
      </c>
    </row>
    <row r="912" spans="1:4" x14ac:dyDescent="0.25">
      <c r="A912" t="s">
        <v>1992</v>
      </c>
      <c r="C912" t="s">
        <v>18</v>
      </c>
      <c r="D912" s="1">
        <v>43229</v>
      </c>
    </row>
    <row r="913" spans="1:4" x14ac:dyDescent="0.25">
      <c r="A913" t="s">
        <v>1993</v>
      </c>
      <c r="C913" t="s">
        <v>18</v>
      </c>
      <c r="D913" s="1">
        <v>43229</v>
      </c>
    </row>
    <row r="914" spans="1:4" x14ac:dyDescent="0.25">
      <c r="A914" t="s">
        <v>1994</v>
      </c>
      <c r="C914" t="s">
        <v>18</v>
      </c>
      <c r="D914" s="1">
        <v>43222</v>
      </c>
    </row>
    <row r="915" spans="1:4" x14ac:dyDescent="0.25">
      <c r="A915" t="s">
        <v>1431</v>
      </c>
      <c r="C915" t="s">
        <v>18</v>
      </c>
      <c r="D915" s="1">
        <v>43250</v>
      </c>
    </row>
    <row r="916" spans="1:4" x14ac:dyDescent="0.25">
      <c r="A916" t="s">
        <v>1995</v>
      </c>
      <c r="C916" t="s">
        <v>18</v>
      </c>
      <c r="D916" s="1">
        <v>43231</v>
      </c>
    </row>
    <row r="917" spans="1:4" x14ac:dyDescent="0.25">
      <c r="A917" t="s">
        <v>1788</v>
      </c>
      <c r="C917" t="s">
        <v>18</v>
      </c>
      <c r="D917" s="1">
        <v>43243</v>
      </c>
    </row>
    <row r="918" spans="1:4" x14ac:dyDescent="0.25">
      <c r="A918" t="s">
        <v>1672</v>
      </c>
      <c r="C918" t="s">
        <v>18</v>
      </c>
      <c r="D918" s="1">
        <v>43239</v>
      </c>
    </row>
    <row r="919" spans="1:4" x14ac:dyDescent="0.25">
      <c r="A919" t="s">
        <v>1368</v>
      </c>
      <c r="C919" t="s">
        <v>18</v>
      </c>
      <c r="D919" s="1">
        <v>43246</v>
      </c>
    </row>
    <row r="920" spans="1:4" x14ac:dyDescent="0.25">
      <c r="A920" t="s">
        <v>1996</v>
      </c>
      <c r="C920" t="s">
        <v>18</v>
      </c>
      <c r="D920" s="1">
        <v>43231</v>
      </c>
    </row>
    <row r="921" spans="1:4" x14ac:dyDescent="0.25">
      <c r="A921" t="s">
        <v>1069</v>
      </c>
      <c r="C921" t="s">
        <v>18</v>
      </c>
      <c r="D921" s="1">
        <v>43242</v>
      </c>
    </row>
    <row r="922" spans="1:4" x14ac:dyDescent="0.25">
      <c r="A922" t="s">
        <v>1555</v>
      </c>
      <c r="C922" t="s">
        <v>18</v>
      </c>
      <c r="D922" s="1">
        <v>43229</v>
      </c>
    </row>
    <row r="923" spans="1:4" x14ac:dyDescent="0.25">
      <c r="A923" t="s">
        <v>1997</v>
      </c>
      <c r="C923" t="s">
        <v>18</v>
      </c>
      <c r="D923" s="1">
        <v>43231</v>
      </c>
    </row>
    <row r="924" spans="1:4" x14ac:dyDescent="0.25">
      <c r="A924" t="s">
        <v>844</v>
      </c>
      <c r="C924" t="s">
        <v>18</v>
      </c>
      <c r="D924" s="1">
        <v>43246</v>
      </c>
    </row>
    <row r="925" spans="1:4" x14ac:dyDescent="0.25">
      <c r="A925" t="s">
        <v>1378</v>
      </c>
      <c r="C925" t="s">
        <v>18</v>
      </c>
      <c r="D925" s="1">
        <v>43246</v>
      </c>
    </row>
    <row r="926" spans="1:4" x14ac:dyDescent="0.25">
      <c r="A926" t="s">
        <v>1397</v>
      </c>
      <c r="C926" t="s">
        <v>18</v>
      </c>
      <c r="D926" s="1">
        <v>43246</v>
      </c>
    </row>
    <row r="927" spans="1:4" x14ac:dyDescent="0.25">
      <c r="A927" t="s">
        <v>1793</v>
      </c>
      <c r="C927" t="s">
        <v>18</v>
      </c>
      <c r="D927" s="1">
        <v>43246</v>
      </c>
    </row>
    <row r="928" spans="1:4" x14ac:dyDescent="0.25">
      <c r="A928" t="s">
        <v>1998</v>
      </c>
      <c r="C928" t="s">
        <v>18</v>
      </c>
      <c r="D928" s="1">
        <v>43231</v>
      </c>
    </row>
    <row r="929" spans="1:4" x14ac:dyDescent="0.25">
      <c r="A929" t="s">
        <v>1999</v>
      </c>
      <c r="C929" t="s">
        <v>18</v>
      </c>
      <c r="D929" s="1">
        <v>43229</v>
      </c>
    </row>
    <row r="930" spans="1:4" x14ac:dyDescent="0.25">
      <c r="A930" t="s">
        <v>1798</v>
      </c>
      <c r="C930" t="s">
        <v>18</v>
      </c>
      <c r="D930" s="1">
        <v>43244</v>
      </c>
    </row>
    <row r="931" spans="1:4" x14ac:dyDescent="0.25">
      <c r="A931" t="s">
        <v>2000</v>
      </c>
      <c r="C931" t="s">
        <v>18</v>
      </c>
      <c r="D931" s="1">
        <v>43229</v>
      </c>
    </row>
    <row r="932" spans="1:4" x14ac:dyDescent="0.25">
      <c r="A932" t="s">
        <v>785</v>
      </c>
      <c r="C932" t="s">
        <v>18</v>
      </c>
      <c r="D932" s="1">
        <v>43246</v>
      </c>
    </row>
    <row r="933" spans="1:4" x14ac:dyDescent="0.25">
      <c r="A933" t="s">
        <v>2001</v>
      </c>
      <c r="C933" t="s">
        <v>18</v>
      </c>
      <c r="D933" s="1">
        <v>43235</v>
      </c>
    </row>
    <row r="934" spans="1:4" x14ac:dyDescent="0.25">
      <c r="A934" t="s">
        <v>2002</v>
      </c>
      <c r="C934" t="s">
        <v>18</v>
      </c>
      <c r="D934" s="1">
        <v>43229</v>
      </c>
    </row>
    <row r="935" spans="1:4" x14ac:dyDescent="0.25">
      <c r="A935" t="s">
        <v>2003</v>
      </c>
      <c r="C935" t="s">
        <v>18</v>
      </c>
      <c r="D935" s="1">
        <v>43230</v>
      </c>
    </row>
    <row r="936" spans="1:4" x14ac:dyDescent="0.25">
      <c r="A936" t="s">
        <v>1233</v>
      </c>
      <c r="C936" t="s">
        <v>18</v>
      </c>
      <c r="D936" s="1">
        <v>43246</v>
      </c>
    </row>
    <row r="937" spans="1:4" x14ac:dyDescent="0.25">
      <c r="A937" t="s">
        <v>1800</v>
      </c>
      <c r="C937" t="s">
        <v>18</v>
      </c>
      <c r="D937" s="1">
        <v>43244</v>
      </c>
    </row>
    <row r="938" spans="1:4" x14ac:dyDescent="0.25">
      <c r="A938" t="s">
        <v>2004</v>
      </c>
      <c r="C938" t="s">
        <v>18</v>
      </c>
      <c r="D938" s="1">
        <v>43241</v>
      </c>
    </row>
    <row r="939" spans="1:4" x14ac:dyDescent="0.25">
      <c r="A939" t="s">
        <v>1801</v>
      </c>
      <c r="C939" t="s">
        <v>18</v>
      </c>
      <c r="D939" s="1">
        <v>43246</v>
      </c>
    </row>
    <row r="940" spans="1:4" x14ac:dyDescent="0.25">
      <c r="A940" t="s">
        <v>1802</v>
      </c>
      <c r="C940" t="s">
        <v>18</v>
      </c>
      <c r="D940" s="1">
        <v>43243</v>
      </c>
    </row>
    <row r="941" spans="1:4" x14ac:dyDescent="0.25">
      <c r="A941" t="s">
        <v>1803</v>
      </c>
      <c r="C941" t="s">
        <v>18</v>
      </c>
      <c r="D941" s="1">
        <v>43243</v>
      </c>
    </row>
    <row r="942" spans="1:4" x14ac:dyDescent="0.25">
      <c r="A942" t="s">
        <v>2005</v>
      </c>
      <c r="C942" t="s">
        <v>18</v>
      </c>
      <c r="D942" s="1">
        <v>43231</v>
      </c>
    </row>
    <row r="943" spans="1:4" x14ac:dyDescent="0.25">
      <c r="A943" t="s">
        <v>2006</v>
      </c>
      <c r="C943" t="s">
        <v>18</v>
      </c>
      <c r="D943" s="1">
        <v>43238</v>
      </c>
    </row>
    <row r="944" spans="1:4" x14ac:dyDescent="0.25">
      <c r="A944" t="s">
        <v>1448</v>
      </c>
      <c r="C944" t="s">
        <v>18</v>
      </c>
      <c r="D944" s="1">
        <v>43244</v>
      </c>
    </row>
    <row r="945" spans="1:4" x14ac:dyDescent="0.25">
      <c r="A945" t="s">
        <v>1574</v>
      </c>
      <c r="C945" t="s">
        <v>18</v>
      </c>
      <c r="D945" s="1">
        <v>43239</v>
      </c>
    </row>
    <row r="946" spans="1:4" x14ac:dyDescent="0.25">
      <c r="A946" t="s">
        <v>1557</v>
      </c>
      <c r="C946" t="s">
        <v>18</v>
      </c>
      <c r="D946" s="1">
        <v>43249</v>
      </c>
    </row>
    <row r="947" spans="1:4" x14ac:dyDescent="0.25">
      <c r="A947" t="s">
        <v>1238</v>
      </c>
      <c r="C947" t="s">
        <v>18</v>
      </c>
      <c r="D947" s="1">
        <v>43246</v>
      </c>
    </row>
    <row r="948" spans="1:4" x14ac:dyDescent="0.25">
      <c r="A948" t="s">
        <v>1472</v>
      </c>
      <c r="C948" t="s">
        <v>18</v>
      </c>
      <c r="D948" s="1">
        <v>43249</v>
      </c>
    </row>
    <row r="949" spans="1:4" x14ac:dyDescent="0.25">
      <c r="A949" t="s">
        <v>961</v>
      </c>
      <c r="C949" t="s">
        <v>18</v>
      </c>
      <c r="D949" s="1">
        <v>43251</v>
      </c>
    </row>
    <row r="950" spans="1:4" x14ac:dyDescent="0.25">
      <c r="A950" t="s">
        <v>1371</v>
      </c>
      <c r="C950" t="s">
        <v>18</v>
      </c>
      <c r="D950" s="1">
        <v>43246</v>
      </c>
    </row>
    <row r="951" spans="1:4" x14ac:dyDescent="0.25">
      <c r="A951" t="s">
        <v>1228</v>
      </c>
      <c r="C951" t="s">
        <v>18</v>
      </c>
      <c r="D951" s="1">
        <v>43246</v>
      </c>
    </row>
    <row r="952" spans="1:4" x14ac:dyDescent="0.25">
      <c r="A952" t="s">
        <v>1807</v>
      </c>
      <c r="C952" t="s">
        <v>18</v>
      </c>
      <c r="D952" s="1">
        <v>43249</v>
      </c>
    </row>
    <row r="953" spans="1:4" x14ac:dyDescent="0.25">
      <c r="A953" t="s">
        <v>2007</v>
      </c>
      <c r="C953" t="s">
        <v>18</v>
      </c>
      <c r="D953" s="1">
        <v>43221</v>
      </c>
    </row>
    <row r="954" spans="1:4" x14ac:dyDescent="0.25">
      <c r="A954" t="s">
        <v>1549</v>
      </c>
      <c r="C954" t="s">
        <v>18</v>
      </c>
      <c r="D954" s="1">
        <v>43229</v>
      </c>
    </row>
    <row r="955" spans="1:4" x14ac:dyDescent="0.25">
      <c r="A955" t="s">
        <v>1430</v>
      </c>
      <c r="C955" t="s">
        <v>18</v>
      </c>
      <c r="D955" s="1">
        <v>43249</v>
      </c>
    </row>
    <row r="956" spans="1:4" x14ac:dyDescent="0.25">
      <c r="A956" t="s">
        <v>1536</v>
      </c>
      <c r="C956" t="s">
        <v>18</v>
      </c>
      <c r="D956" s="1">
        <v>43246</v>
      </c>
    </row>
    <row r="957" spans="1:4" x14ac:dyDescent="0.25">
      <c r="A957" t="s">
        <v>1578</v>
      </c>
      <c r="C957" t="s">
        <v>18</v>
      </c>
      <c r="D957" s="1">
        <v>43249</v>
      </c>
    </row>
    <row r="958" spans="1:4" x14ac:dyDescent="0.25">
      <c r="A958" t="s">
        <v>1665</v>
      </c>
      <c r="C958" t="s">
        <v>18</v>
      </c>
      <c r="D958" s="1">
        <v>43235</v>
      </c>
    </row>
    <row r="959" spans="1:4" x14ac:dyDescent="0.25">
      <c r="A959" t="s">
        <v>2008</v>
      </c>
      <c r="C959" t="s">
        <v>18</v>
      </c>
      <c r="D959" s="1">
        <v>43230</v>
      </c>
    </row>
    <row r="960" spans="1:4" x14ac:dyDescent="0.25">
      <c r="A960" t="s">
        <v>2009</v>
      </c>
      <c r="C960" t="s">
        <v>18</v>
      </c>
      <c r="D960" s="1">
        <v>43231</v>
      </c>
    </row>
    <row r="961" spans="1:4" x14ac:dyDescent="0.25">
      <c r="A961" t="s">
        <v>2010</v>
      </c>
      <c r="C961" t="s">
        <v>18</v>
      </c>
      <c r="D961" s="1">
        <v>43221</v>
      </c>
    </row>
    <row r="962" spans="1:4" x14ac:dyDescent="0.25">
      <c r="A962" t="s">
        <v>1658</v>
      </c>
      <c r="C962" t="s">
        <v>18</v>
      </c>
      <c r="D962" s="1">
        <v>43251</v>
      </c>
    </row>
    <row r="963" spans="1:4" x14ac:dyDescent="0.25">
      <c r="A963" t="s">
        <v>1533</v>
      </c>
      <c r="C963" t="s">
        <v>18</v>
      </c>
      <c r="D963" s="1">
        <v>43246</v>
      </c>
    </row>
    <row r="964" spans="1:4" x14ac:dyDescent="0.25">
      <c r="A964" t="s">
        <v>1673</v>
      </c>
      <c r="C964" t="s">
        <v>18</v>
      </c>
      <c r="D964" s="1">
        <v>43243</v>
      </c>
    </row>
    <row r="965" spans="1:4" x14ac:dyDescent="0.25">
      <c r="A965" t="s">
        <v>1811</v>
      </c>
      <c r="C965" t="s">
        <v>18</v>
      </c>
      <c r="D965" s="1">
        <v>43243</v>
      </c>
    </row>
    <row r="966" spans="1:4" x14ac:dyDescent="0.25">
      <c r="A966" t="s">
        <v>1556</v>
      </c>
      <c r="C966" t="s">
        <v>18</v>
      </c>
      <c r="D966" s="1">
        <v>43249</v>
      </c>
    </row>
    <row r="967" spans="1:4" x14ac:dyDescent="0.25">
      <c r="A967" t="s">
        <v>2011</v>
      </c>
      <c r="C967" t="s">
        <v>18</v>
      </c>
      <c r="D967" s="1">
        <v>43229</v>
      </c>
    </row>
    <row r="968" spans="1:4" x14ac:dyDescent="0.25">
      <c r="A968" t="s">
        <v>2012</v>
      </c>
      <c r="C968" t="s">
        <v>18</v>
      </c>
      <c r="D968" s="1">
        <v>43231</v>
      </c>
    </row>
    <row r="969" spans="1:4" x14ac:dyDescent="0.25">
      <c r="A969" t="s">
        <v>2013</v>
      </c>
      <c r="C969" t="s">
        <v>18</v>
      </c>
      <c r="D969" s="1">
        <v>43229</v>
      </c>
    </row>
    <row r="970" spans="1:4" x14ac:dyDescent="0.25">
      <c r="A970" t="s">
        <v>1433</v>
      </c>
      <c r="C970" t="s">
        <v>18</v>
      </c>
      <c r="D970" s="1">
        <v>43246</v>
      </c>
    </row>
    <row r="971" spans="1:4" x14ac:dyDescent="0.25">
      <c r="A971" t="s">
        <v>1239</v>
      </c>
      <c r="C971" t="s">
        <v>18</v>
      </c>
      <c r="D971" s="1">
        <v>43246</v>
      </c>
    </row>
    <row r="972" spans="1:4" x14ac:dyDescent="0.25">
      <c r="A972" t="s">
        <v>1496</v>
      </c>
      <c r="C972" t="s">
        <v>18</v>
      </c>
      <c r="D972" s="1">
        <v>43249</v>
      </c>
    </row>
    <row r="973" spans="1:4" x14ac:dyDescent="0.25">
      <c r="A973" t="s">
        <v>2014</v>
      </c>
      <c r="C973" t="s">
        <v>18</v>
      </c>
      <c r="D973" s="1">
        <v>43231</v>
      </c>
    </row>
    <row r="974" spans="1:4" x14ac:dyDescent="0.25">
      <c r="A974" t="s">
        <v>1295</v>
      </c>
      <c r="C974" t="s">
        <v>18</v>
      </c>
      <c r="D974" s="1">
        <v>43246</v>
      </c>
    </row>
    <row r="975" spans="1:4" x14ac:dyDescent="0.25">
      <c r="A975" t="s">
        <v>1818</v>
      </c>
      <c r="C975" t="s">
        <v>18</v>
      </c>
      <c r="D975" s="1">
        <v>43249</v>
      </c>
    </row>
    <row r="976" spans="1:4" x14ac:dyDescent="0.25">
      <c r="A976" t="s">
        <v>1671</v>
      </c>
      <c r="C976" t="s">
        <v>18</v>
      </c>
      <c r="D976" s="1">
        <v>43242</v>
      </c>
    </row>
    <row r="977" spans="1:4" x14ac:dyDescent="0.25">
      <c r="A977" t="s">
        <v>1478</v>
      </c>
      <c r="C977" t="s">
        <v>18</v>
      </c>
      <c r="D977" s="1">
        <v>43246</v>
      </c>
    </row>
    <row r="978" spans="1:4" x14ac:dyDescent="0.25">
      <c r="A978" t="s">
        <v>1278</v>
      </c>
      <c r="C978" t="s">
        <v>18</v>
      </c>
      <c r="D978" s="1">
        <v>43244</v>
      </c>
    </row>
    <row r="979" spans="1:4" x14ac:dyDescent="0.25">
      <c r="A979" t="s">
        <v>2015</v>
      </c>
      <c r="C979" t="s">
        <v>18</v>
      </c>
      <c r="D979" s="1">
        <v>43237</v>
      </c>
    </row>
    <row r="980" spans="1:4" x14ac:dyDescent="0.25">
      <c r="A980" t="s">
        <v>1441</v>
      </c>
      <c r="C980" t="s">
        <v>18</v>
      </c>
      <c r="D980" s="1">
        <v>43246</v>
      </c>
    </row>
    <row r="981" spans="1:4" x14ac:dyDescent="0.25">
      <c r="A981" t="s">
        <v>2016</v>
      </c>
      <c r="C981" t="s">
        <v>18</v>
      </c>
      <c r="D981" s="1">
        <v>43235</v>
      </c>
    </row>
    <row r="982" spans="1:4" x14ac:dyDescent="0.25">
      <c r="A982" t="s">
        <v>1272</v>
      </c>
      <c r="C982" t="s">
        <v>18</v>
      </c>
      <c r="D982" s="1">
        <v>43250</v>
      </c>
    </row>
    <row r="983" spans="1:4" x14ac:dyDescent="0.25">
      <c r="A983" t="s">
        <v>1515</v>
      </c>
      <c r="C983" t="s">
        <v>18</v>
      </c>
      <c r="D983" s="1">
        <v>43250</v>
      </c>
    </row>
    <row r="984" spans="1:4" x14ac:dyDescent="0.25">
      <c r="A984" t="s">
        <v>1827</v>
      </c>
      <c r="C984" t="s">
        <v>18</v>
      </c>
      <c r="D984" s="1">
        <v>43243</v>
      </c>
    </row>
    <row r="985" spans="1:4" x14ac:dyDescent="0.25">
      <c r="A985" t="s">
        <v>813</v>
      </c>
      <c r="C985" t="s">
        <v>18</v>
      </c>
      <c r="D985" s="1">
        <v>43246</v>
      </c>
    </row>
    <row r="986" spans="1:4" x14ac:dyDescent="0.25">
      <c r="A986" t="s">
        <v>704</v>
      </c>
      <c r="C986" t="s">
        <v>18</v>
      </c>
      <c r="D986" s="1">
        <v>43242</v>
      </c>
    </row>
    <row r="987" spans="1:4" x14ac:dyDescent="0.25">
      <c r="A987" t="s">
        <v>1640</v>
      </c>
      <c r="C987" t="s">
        <v>18</v>
      </c>
      <c r="D987" s="1">
        <v>43242</v>
      </c>
    </row>
    <row r="988" spans="1:4" x14ac:dyDescent="0.25">
      <c r="A988" t="s">
        <v>2017</v>
      </c>
      <c r="C988" t="s">
        <v>18</v>
      </c>
      <c r="D988" s="1">
        <v>43231</v>
      </c>
    </row>
    <row r="989" spans="1:4" x14ac:dyDescent="0.25">
      <c r="A989" t="s">
        <v>1514</v>
      </c>
      <c r="C989" t="s">
        <v>18</v>
      </c>
      <c r="D989" s="1">
        <v>43249</v>
      </c>
    </row>
    <row r="990" spans="1:4" x14ac:dyDescent="0.25">
      <c r="A990" t="s">
        <v>981</v>
      </c>
      <c r="C990" t="s">
        <v>18</v>
      </c>
      <c r="D990" s="1">
        <v>43246</v>
      </c>
    </row>
    <row r="991" spans="1:4" x14ac:dyDescent="0.25">
      <c r="A991" t="s">
        <v>2018</v>
      </c>
      <c r="C991" t="s">
        <v>18</v>
      </c>
      <c r="D991" s="1">
        <v>43244</v>
      </c>
    </row>
    <row r="992" spans="1:4" x14ac:dyDescent="0.25">
      <c r="A992" t="s">
        <v>1495</v>
      </c>
      <c r="C992" t="s">
        <v>18</v>
      </c>
      <c r="D992" s="1">
        <v>43249</v>
      </c>
    </row>
    <row r="993" spans="1:4" x14ac:dyDescent="0.25">
      <c r="A993" t="s">
        <v>1828</v>
      </c>
      <c r="C993" t="s">
        <v>18</v>
      </c>
      <c r="D993" s="1">
        <v>43236</v>
      </c>
    </row>
    <row r="994" spans="1:4" x14ac:dyDescent="0.25">
      <c r="A994" t="s">
        <v>1149</v>
      </c>
      <c r="C994" t="s">
        <v>18</v>
      </c>
      <c r="D994" s="1">
        <v>43229</v>
      </c>
    </row>
    <row r="995" spans="1:4" x14ac:dyDescent="0.25">
      <c r="A995" t="s">
        <v>2019</v>
      </c>
      <c r="C995" t="s">
        <v>18</v>
      </c>
      <c r="D995" s="1">
        <v>43238</v>
      </c>
    </row>
    <row r="996" spans="1:4" x14ac:dyDescent="0.25">
      <c r="A996" t="s">
        <v>1573</v>
      </c>
      <c r="C996" t="s">
        <v>18</v>
      </c>
      <c r="D996" s="1">
        <v>43244</v>
      </c>
    </row>
    <row r="997" spans="1:4" x14ac:dyDescent="0.25">
      <c r="A997" t="s">
        <v>999</v>
      </c>
      <c r="C997" t="s">
        <v>18</v>
      </c>
      <c r="D997" s="1">
        <v>43246</v>
      </c>
    </row>
    <row r="998" spans="1:4" x14ac:dyDescent="0.25">
      <c r="A998" t="s">
        <v>984</v>
      </c>
      <c r="C998" t="s">
        <v>18</v>
      </c>
      <c r="D998" s="1">
        <v>43250</v>
      </c>
    </row>
    <row r="999" spans="1:4" x14ac:dyDescent="0.25">
      <c r="A999" t="s">
        <v>1090</v>
      </c>
      <c r="C999" t="s">
        <v>18</v>
      </c>
      <c r="D999" s="1">
        <v>43249</v>
      </c>
    </row>
    <row r="1000" spans="1:4" x14ac:dyDescent="0.25">
      <c r="A1000" t="s">
        <v>970</v>
      </c>
      <c r="C1000" t="s">
        <v>18</v>
      </c>
      <c r="D1000" s="1">
        <v>43239</v>
      </c>
    </row>
    <row r="1001" spans="1:4" x14ac:dyDescent="0.25">
      <c r="A1001" t="s">
        <v>1017</v>
      </c>
      <c r="C1001" t="s">
        <v>18</v>
      </c>
      <c r="D1001" s="1">
        <v>43249</v>
      </c>
    </row>
    <row r="1002" spans="1:4" x14ac:dyDescent="0.25">
      <c r="A1002" t="s">
        <v>1649</v>
      </c>
      <c r="C1002" t="s">
        <v>18</v>
      </c>
      <c r="D1002" s="1">
        <v>43238</v>
      </c>
    </row>
    <row r="1003" spans="1:4" x14ac:dyDescent="0.25">
      <c r="A1003" t="s">
        <v>1098</v>
      </c>
      <c r="C1003" t="s">
        <v>18</v>
      </c>
      <c r="D1003" s="1">
        <v>43231</v>
      </c>
    </row>
    <row r="1004" spans="1:4" x14ac:dyDescent="0.25">
      <c r="A1004" t="s">
        <v>1435</v>
      </c>
      <c r="C1004" t="s">
        <v>18</v>
      </c>
      <c r="D1004" s="1">
        <v>43229</v>
      </c>
    </row>
    <row r="1005" spans="1:4" x14ac:dyDescent="0.25">
      <c r="A1005" t="s">
        <v>2020</v>
      </c>
      <c r="C1005" t="s">
        <v>18</v>
      </c>
      <c r="D1005" s="1">
        <v>43236</v>
      </c>
    </row>
    <row r="1006" spans="1:4" x14ac:dyDescent="0.25">
      <c r="A1006" t="s">
        <v>2021</v>
      </c>
      <c r="C1006" t="s">
        <v>18</v>
      </c>
      <c r="D1006" s="1">
        <v>43224</v>
      </c>
    </row>
    <row r="1007" spans="1:4" x14ac:dyDescent="0.25">
      <c r="A1007" t="s">
        <v>1647</v>
      </c>
      <c r="C1007" t="s">
        <v>18</v>
      </c>
      <c r="D1007" s="1">
        <v>43238</v>
      </c>
    </row>
    <row r="1008" spans="1:4" x14ac:dyDescent="0.25">
      <c r="A1008" t="s">
        <v>2022</v>
      </c>
      <c r="C1008" t="s">
        <v>18</v>
      </c>
      <c r="D1008" s="1">
        <v>43241</v>
      </c>
    </row>
    <row r="1009" spans="1:4" x14ac:dyDescent="0.25">
      <c r="A1009" t="s">
        <v>2023</v>
      </c>
      <c r="C1009" t="s">
        <v>18</v>
      </c>
      <c r="D1009" s="1">
        <v>43238</v>
      </c>
    </row>
    <row r="1010" spans="1:4" x14ac:dyDescent="0.25">
      <c r="A1010" t="s">
        <v>1052</v>
      </c>
      <c r="C1010" t="s">
        <v>18</v>
      </c>
      <c r="D1010" s="1">
        <v>43242</v>
      </c>
    </row>
    <row r="1011" spans="1:4" x14ac:dyDescent="0.25">
      <c r="A1011" t="s">
        <v>1363</v>
      </c>
      <c r="C1011" t="s">
        <v>18</v>
      </c>
      <c r="D1011" s="1">
        <v>43229</v>
      </c>
    </row>
    <row r="1012" spans="1:4" x14ac:dyDescent="0.25">
      <c r="A1012" t="s">
        <v>1412</v>
      </c>
      <c r="C1012" t="s">
        <v>18</v>
      </c>
      <c r="D1012" s="1">
        <v>43236</v>
      </c>
    </row>
    <row r="1013" spans="1:4" x14ac:dyDescent="0.25">
      <c r="A1013" t="s">
        <v>2024</v>
      </c>
      <c r="C1013" t="s">
        <v>18</v>
      </c>
      <c r="D1013" s="1">
        <v>43244</v>
      </c>
    </row>
    <row r="1014" spans="1:4" x14ac:dyDescent="0.25">
      <c r="A1014" t="s">
        <v>1026</v>
      </c>
      <c r="C1014" t="s">
        <v>18</v>
      </c>
      <c r="D1014" s="1">
        <v>43249</v>
      </c>
    </row>
    <row r="1015" spans="1:4" x14ac:dyDescent="0.25">
      <c r="A1015" t="s">
        <v>1630</v>
      </c>
      <c r="C1015" t="s">
        <v>18</v>
      </c>
      <c r="D1015" s="1">
        <v>43244</v>
      </c>
    </row>
    <row r="1016" spans="1:4" x14ac:dyDescent="0.25">
      <c r="A1016" t="s">
        <v>1482</v>
      </c>
      <c r="C1016" t="s">
        <v>18</v>
      </c>
      <c r="D1016" s="1">
        <v>43229</v>
      </c>
    </row>
    <row r="1017" spans="1:4" x14ac:dyDescent="0.25">
      <c r="A1017" t="s">
        <v>977</v>
      </c>
      <c r="C1017" t="s">
        <v>18</v>
      </c>
      <c r="D1017" s="1">
        <v>43249</v>
      </c>
    </row>
    <row r="1018" spans="1:4" x14ac:dyDescent="0.25">
      <c r="A1018" t="s">
        <v>2025</v>
      </c>
      <c r="C1018" t="s">
        <v>18</v>
      </c>
      <c r="D1018" s="1">
        <v>43238</v>
      </c>
    </row>
    <row r="1019" spans="1:4" x14ac:dyDescent="0.25">
      <c r="A1019" t="s">
        <v>1142</v>
      </c>
      <c r="C1019" t="s">
        <v>18</v>
      </c>
      <c r="D1019" s="1">
        <v>43249</v>
      </c>
    </row>
    <row r="1020" spans="1:4" x14ac:dyDescent="0.25">
      <c r="A1020" t="s">
        <v>2026</v>
      </c>
      <c r="C1020" t="s">
        <v>18</v>
      </c>
      <c r="D1020" s="1">
        <v>43229</v>
      </c>
    </row>
    <row r="1021" spans="1:4" x14ac:dyDescent="0.25">
      <c r="A1021" t="s">
        <v>2027</v>
      </c>
      <c r="C1021" t="s">
        <v>18</v>
      </c>
      <c r="D1021" s="1">
        <v>43224</v>
      </c>
    </row>
    <row r="1022" spans="1:4" x14ac:dyDescent="0.25">
      <c r="A1022" t="s">
        <v>2028</v>
      </c>
      <c r="C1022" t="s">
        <v>18</v>
      </c>
      <c r="D1022" s="1">
        <v>43250</v>
      </c>
    </row>
    <row r="1023" spans="1:4" x14ac:dyDescent="0.25">
      <c r="A1023" t="s">
        <v>1118</v>
      </c>
      <c r="C1023" t="s">
        <v>18</v>
      </c>
      <c r="D1023" s="1">
        <v>43242</v>
      </c>
    </row>
    <row r="1024" spans="1:4" x14ac:dyDescent="0.25">
      <c r="A1024" t="s">
        <v>1491</v>
      </c>
      <c r="C1024" t="s">
        <v>18</v>
      </c>
      <c r="D1024" s="1">
        <v>43250</v>
      </c>
    </row>
    <row r="1025" spans="1:4" x14ac:dyDescent="0.25">
      <c r="A1025" t="s">
        <v>2029</v>
      </c>
      <c r="C1025" t="s">
        <v>18</v>
      </c>
      <c r="D1025" s="1">
        <v>43241</v>
      </c>
    </row>
    <row r="1026" spans="1:4" x14ac:dyDescent="0.25">
      <c r="A1026" t="s">
        <v>2030</v>
      </c>
      <c r="C1026" t="s">
        <v>18</v>
      </c>
      <c r="D1026" s="1">
        <v>43238</v>
      </c>
    </row>
    <row r="1027" spans="1:4" x14ac:dyDescent="0.25">
      <c r="A1027" t="s">
        <v>2031</v>
      </c>
      <c r="C1027" t="s">
        <v>18</v>
      </c>
      <c r="D1027" s="1">
        <v>43236</v>
      </c>
    </row>
    <row r="1028" spans="1:4" x14ac:dyDescent="0.25">
      <c r="A1028" t="s">
        <v>1839</v>
      </c>
      <c r="C1028" t="s">
        <v>18</v>
      </c>
      <c r="D1028" s="1">
        <v>43246</v>
      </c>
    </row>
    <row r="1029" spans="1:4" x14ac:dyDescent="0.25">
      <c r="A1029" t="s">
        <v>1178</v>
      </c>
      <c r="C1029" t="s">
        <v>18</v>
      </c>
      <c r="D1029" s="1">
        <v>43246</v>
      </c>
    </row>
    <row r="1030" spans="1:4" x14ac:dyDescent="0.25">
      <c r="A1030" t="s">
        <v>1182</v>
      </c>
      <c r="C1030" t="s">
        <v>18</v>
      </c>
      <c r="D1030" s="1">
        <v>43246</v>
      </c>
    </row>
    <row r="1031" spans="1:4" x14ac:dyDescent="0.25">
      <c r="A1031" t="s">
        <v>1840</v>
      </c>
      <c r="C1031" t="s">
        <v>18</v>
      </c>
      <c r="D1031" s="1">
        <v>43243</v>
      </c>
    </row>
    <row r="1032" spans="1:4" x14ac:dyDescent="0.25">
      <c r="A1032" t="s">
        <v>1411</v>
      </c>
      <c r="C1032" t="s">
        <v>18</v>
      </c>
      <c r="D1032" s="1">
        <v>43243</v>
      </c>
    </row>
    <row r="1033" spans="1:4" x14ac:dyDescent="0.25">
      <c r="A1033" t="s">
        <v>1181</v>
      </c>
      <c r="C1033" t="s">
        <v>18</v>
      </c>
      <c r="D1033" s="1">
        <v>43246</v>
      </c>
    </row>
    <row r="1034" spans="1:4" x14ac:dyDescent="0.25">
      <c r="A1034" t="s">
        <v>1169</v>
      </c>
      <c r="C1034" t="s">
        <v>18</v>
      </c>
      <c r="D1034" s="1">
        <v>43239</v>
      </c>
    </row>
    <row r="1035" spans="1:4" x14ac:dyDescent="0.25">
      <c r="A1035" t="s">
        <v>1481</v>
      </c>
      <c r="C1035" t="s">
        <v>18</v>
      </c>
      <c r="D1035" s="1">
        <v>43229</v>
      </c>
    </row>
    <row r="1036" spans="1:4" x14ac:dyDescent="0.25">
      <c r="A1036" t="s">
        <v>2032</v>
      </c>
      <c r="C1036" t="s">
        <v>18</v>
      </c>
      <c r="D1036" s="1">
        <v>43230</v>
      </c>
    </row>
    <row r="1037" spans="1:4" x14ac:dyDescent="0.25">
      <c r="A1037" t="s">
        <v>1177</v>
      </c>
      <c r="C1037" t="s">
        <v>18</v>
      </c>
      <c r="D1037" s="1">
        <v>43249</v>
      </c>
    </row>
    <row r="1038" spans="1:4" x14ac:dyDescent="0.25">
      <c r="A1038" t="s">
        <v>2033</v>
      </c>
      <c r="C1038" t="s">
        <v>18</v>
      </c>
      <c r="D1038" s="1">
        <v>43229</v>
      </c>
    </row>
    <row r="1039" spans="1:4" x14ac:dyDescent="0.25">
      <c r="A1039" t="s">
        <v>2034</v>
      </c>
      <c r="C1039" t="s">
        <v>18</v>
      </c>
      <c r="D1039" s="1">
        <v>43229</v>
      </c>
    </row>
    <row r="1040" spans="1:4" x14ac:dyDescent="0.25">
      <c r="A1040" t="s">
        <v>1843</v>
      </c>
      <c r="C1040" t="s">
        <v>18</v>
      </c>
      <c r="D1040" s="1">
        <v>43251</v>
      </c>
    </row>
    <row r="1041" spans="1:4" x14ac:dyDescent="0.25">
      <c r="A1041" t="s">
        <v>1532</v>
      </c>
      <c r="C1041" t="s">
        <v>18</v>
      </c>
      <c r="D1041" s="1">
        <v>43246</v>
      </c>
    </row>
    <row r="1042" spans="1:4" x14ac:dyDescent="0.25">
      <c r="A1042" t="s">
        <v>964</v>
      </c>
      <c r="C1042" t="s">
        <v>18</v>
      </c>
      <c r="D1042" s="1">
        <v>43249</v>
      </c>
    </row>
    <row r="1043" spans="1:4" x14ac:dyDescent="0.25">
      <c r="A1043" t="s">
        <v>2035</v>
      </c>
      <c r="C1043" t="s">
        <v>18</v>
      </c>
      <c r="D1043" s="1">
        <v>43230</v>
      </c>
    </row>
    <row r="1044" spans="1:4" x14ac:dyDescent="0.25">
      <c r="A1044" t="s">
        <v>2036</v>
      </c>
      <c r="C1044" t="s">
        <v>18</v>
      </c>
      <c r="D1044" s="1">
        <v>43243</v>
      </c>
    </row>
    <row r="1045" spans="1:4" x14ac:dyDescent="0.25">
      <c r="A1045" t="s">
        <v>1845</v>
      </c>
      <c r="C1045" t="s">
        <v>18</v>
      </c>
      <c r="D1045" s="1">
        <v>43246</v>
      </c>
    </row>
    <row r="1046" spans="1:4" x14ac:dyDescent="0.25">
      <c r="A1046" t="s">
        <v>2037</v>
      </c>
      <c r="C1046" t="s">
        <v>18</v>
      </c>
      <c r="D1046" s="1">
        <v>43238</v>
      </c>
    </row>
    <row r="1047" spans="1:4" x14ac:dyDescent="0.25">
      <c r="A1047" t="s">
        <v>1457</v>
      </c>
      <c r="C1047" t="s">
        <v>18</v>
      </c>
      <c r="D1047" s="1">
        <v>43243</v>
      </c>
    </row>
    <row r="1048" spans="1:4" x14ac:dyDescent="0.25">
      <c r="A1048" t="s">
        <v>2038</v>
      </c>
      <c r="C1048" t="s">
        <v>18</v>
      </c>
      <c r="D1048" s="1">
        <v>43239</v>
      </c>
    </row>
    <row r="1049" spans="1:4" x14ac:dyDescent="0.25">
      <c r="A1049" t="s">
        <v>1847</v>
      </c>
      <c r="C1049" t="s">
        <v>18</v>
      </c>
      <c r="D1049" s="1">
        <v>43243</v>
      </c>
    </row>
    <row r="1050" spans="1:4" x14ac:dyDescent="0.25">
      <c r="A1050" t="s">
        <v>1849</v>
      </c>
      <c r="C1050" t="s">
        <v>18</v>
      </c>
      <c r="D1050" s="1">
        <v>43244</v>
      </c>
    </row>
    <row r="1051" spans="1:4" x14ac:dyDescent="0.25">
      <c r="A1051" t="s">
        <v>1054</v>
      </c>
      <c r="C1051" t="s">
        <v>18</v>
      </c>
      <c r="D1051" s="1">
        <v>43246</v>
      </c>
    </row>
    <row r="1052" spans="1:4" x14ac:dyDescent="0.25">
      <c r="A1052" t="s">
        <v>2039</v>
      </c>
      <c r="C1052" t="s">
        <v>18</v>
      </c>
      <c r="D1052" s="1">
        <v>43229</v>
      </c>
    </row>
    <row r="1053" spans="1:4" x14ac:dyDescent="0.25">
      <c r="A1053" t="s">
        <v>1851</v>
      </c>
      <c r="C1053" t="s">
        <v>18</v>
      </c>
      <c r="D1053" s="1">
        <v>43246</v>
      </c>
    </row>
    <row r="1054" spans="1:4" x14ac:dyDescent="0.25">
      <c r="A1054" t="s">
        <v>1655</v>
      </c>
      <c r="C1054" t="s">
        <v>18</v>
      </c>
      <c r="D1054" s="1">
        <v>43242</v>
      </c>
    </row>
    <row r="1055" spans="1:4" x14ac:dyDescent="0.25">
      <c r="A1055" t="s">
        <v>1381</v>
      </c>
      <c r="C1055" t="s">
        <v>18</v>
      </c>
      <c r="D1055" s="1">
        <v>43250</v>
      </c>
    </row>
    <row r="1056" spans="1:4" x14ac:dyDescent="0.25">
      <c r="A1056" t="s">
        <v>1539</v>
      </c>
      <c r="C1056" t="s">
        <v>18</v>
      </c>
      <c r="D1056" s="1">
        <v>43250</v>
      </c>
    </row>
    <row r="1057" spans="1:4" x14ac:dyDescent="0.25">
      <c r="A1057" t="s">
        <v>1854</v>
      </c>
      <c r="C1057" t="s">
        <v>18</v>
      </c>
      <c r="D1057" s="1">
        <v>43243</v>
      </c>
    </row>
    <row r="1058" spans="1:4" x14ac:dyDescent="0.25">
      <c r="A1058" t="s">
        <v>2040</v>
      </c>
      <c r="C1058" t="s">
        <v>18</v>
      </c>
      <c r="D1058" s="1">
        <v>43239</v>
      </c>
    </row>
    <row r="1059" spans="1:4" x14ac:dyDescent="0.25">
      <c r="A1059" t="s">
        <v>2041</v>
      </c>
      <c r="C1059" t="s">
        <v>18</v>
      </c>
      <c r="D1059" s="1">
        <v>43251</v>
      </c>
    </row>
    <row r="1060" spans="1:4" x14ac:dyDescent="0.25">
      <c r="A1060" t="s">
        <v>1857</v>
      </c>
      <c r="C1060" t="s">
        <v>18</v>
      </c>
      <c r="D1060" s="1">
        <v>43246</v>
      </c>
    </row>
    <row r="1061" spans="1:4" x14ac:dyDescent="0.25">
      <c r="A1061" t="s">
        <v>2042</v>
      </c>
      <c r="C1061" t="s">
        <v>18</v>
      </c>
      <c r="D1061" s="1">
        <v>43238</v>
      </c>
    </row>
    <row r="1062" spans="1:4" x14ac:dyDescent="0.25">
      <c r="A1062" t="s">
        <v>2043</v>
      </c>
      <c r="C1062" t="s">
        <v>18</v>
      </c>
      <c r="D1062" s="1">
        <v>43238</v>
      </c>
    </row>
    <row r="1063" spans="1:4" x14ac:dyDescent="0.25">
      <c r="A1063" t="s">
        <v>2044</v>
      </c>
      <c r="C1063" t="s">
        <v>18</v>
      </c>
      <c r="D1063" s="1">
        <v>43243</v>
      </c>
    </row>
    <row r="1064" spans="1:4" x14ac:dyDescent="0.25">
      <c r="A1064" t="s">
        <v>1858</v>
      </c>
      <c r="C1064" t="s">
        <v>18</v>
      </c>
      <c r="D1064" s="1">
        <v>43246</v>
      </c>
    </row>
    <row r="1065" spans="1:4" x14ac:dyDescent="0.25">
      <c r="A1065" t="s">
        <v>1590</v>
      </c>
      <c r="C1065" t="s">
        <v>18</v>
      </c>
      <c r="D1065" s="1">
        <v>43242</v>
      </c>
    </row>
    <row r="1066" spans="1:4" x14ac:dyDescent="0.25">
      <c r="A1066" t="s">
        <v>2045</v>
      </c>
      <c r="C1066" t="s">
        <v>18</v>
      </c>
      <c r="D1066" s="1">
        <v>43231</v>
      </c>
    </row>
    <row r="1067" spans="1:4" x14ac:dyDescent="0.25">
      <c r="A1067" t="s">
        <v>1201</v>
      </c>
      <c r="C1067" t="s">
        <v>18</v>
      </c>
      <c r="D1067" s="1">
        <v>43246</v>
      </c>
    </row>
    <row r="1068" spans="1:4" x14ac:dyDescent="0.25">
      <c r="A1068" t="s">
        <v>2046</v>
      </c>
      <c r="C1068" t="s">
        <v>18</v>
      </c>
      <c r="D1068" s="1">
        <v>43239</v>
      </c>
    </row>
    <row r="1069" spans="1:4" x14ac:dyDescent="0.25">
      <c r="A1069" t="s">
        <v>2047</v>
      </c>
      <c r="C1069" t="s">
        <v>18</v>
      </c>
      <c r="D1069" s="1">
        <v>43237</v>
      </c>
    </row>
    <row r="1070" spans="1:4" x14ac:dyDescent="0.25">
      <c r="A1070" t="s">
        <v>1421</v>
      </c>
      <c r="C1070" t="s">
        <v>18</v>
      </c>
      <c r="D1070" s="1">
        <v>43246</v>
      </c>
    </row>
    <row r="1071" spans="1:4" x14ac:dyDescent="0.25">
      <c r="A1071" t="s">
        <v>2048</v>
      </c>
      <c r="C1071" t="s">
        <v>18</v>
      </c>
      <c r="D1071" s="1">
        <v>43229</v>
      </c>
    </row>
    <row r="1072" spans="1:4" x14ac:dyDescent="0.25">
      <c r="A1072" t="s">
        <v>1860</v>
      </c>
      <c r="C1072" t="s">
        <v>18</v>
      </c>
      <c r="D1072" s="1">
        <v>43243</v>
      </c>
    </row>
    <row r="1073" spans="1:4" x14ac:dyDescent="0.25">
      <c r="A1073" t="s">
        <v>2049</v>
      </c>
      <c r="C1073" t="s">
        <v>18</v>
      </c>
      <c r="D1073" s="1">
        <v>43229</v>
      </c>
    </row>
    <row r="1074" spans="1:4" x14ac:dyDescent="0.25">
      <c r="A1074" t="s">
        <v>1303</v>
      </c>
      <c r="C1074" t="s">
        <v>18</v>
      </c>
      <c r="D1074" s="1">
        <v>43251</v>
      </c>
    </row>
    <row r="1075" spans="1:4" x14ac:dyDescent="0.25">
      <c r="A1075" t="s">
        <v>2050</v>
      </c>
      <c r="C1075" t="s">
        <v>18</v>
      </c>
      <c r="D1075" s="1">
        <v>43229</v>
      </c>
    </row>
    <row r="1076" spans="1:4" x14ac:dyDescent="0.25">
      <c r="A1076" t="s">
        <v>1446</v>
      </c>
      <c r="C1076" t="s">
        <v>18</v>
      </c>
      <c r="D1076" s="1">
        <v>43250</v>
      </c>
    </row>
    <row r="1077" spans="1:4" x14ac:dyDescent="0.25">
      <c r="A1077" t="s">
        <v>1367</v>
      </c>
      <c r="C1077" t="s">
        <v>18</v>
      </c>
      <c r="D1077" s="1">
        <v>43243</v>
      </c>
    </row>
    <row r="1078" spans="1:4" x14ac:dyDescent="0.25">
      <c r="A1078" t="s">
        <v>2051</v>
      </c>
      <c r="C1078" t="s">
        <v>18</v>
      </c>
      <c r="D1078" s="1">
        <v>43243</v>
      </c>
    </row>
    <row r="1079" spans="1:4" x14ac:dyDescent="0.25">
      <c r="A1079" t="s">
        <v>2052</v>
      </c>
      <c r="C1079" t="s">
        <v>18</v>
      </c>
      <c r="D1079" s="1">
        <v>43238</v>
      </c>
    </row>
    <row r="1080" spans="1:4" x14ac:dyDescent="0.25">
      <c r="A1080" t="s">
        <v>1867</v>
      </c>
      <c r="C1080" t="s">
        <v>18</v>
      </c>
      <c r="D1080" s="1">
        <v>43251</v>
      </c>
    </row>
    <row r="1081" spans="1:4" x14ac:dyDescent="0.25">
      <c r="A1081" t="s">
        <v>1580</v>
      </c>
      <c r="C1081" t="s">
        <v>18</v>
      </c>
      <c r="D1081" s="1">
        <v>43238</v>
      </c>
    </row>
    <row r="1082" spans="1:4" x14ac:dyDescent="0.25">
      <c r="A1082" t="s">
        <v>1279</v>
      </c>
      <c r="C1082" t="s">
        <v>18</v>
      </c>
      <c r="D1082" s="1">
        <v>43236</v>
      </c>
    </row>
    <row r="1083" spans="1:4" x14ac:dyDescent="0.25">
      <c r="A1083" t="s">
        <v>1050</v>
      </c>
      <c r="C1083" t="s">
        <v>18</v>
      </c>
      <c r="D1083" s="1">
        <v>43246</v>
      </c>
    </row>
    <row r="1084" spans="1:4" x14ac:dyDescent="0.25">
      <c r="A1084" t="s">
        <v>1869</v>
      </c>
      <c r="C1084" t="s">
        <v>18</v>
      </c>
      <c r="D1084" s="1">
        <v>43244</v>
      </c>
    </row>
    <row r="1085" spans="1:4" x14ac:dyDescent="0.25">
      <c r="A1085" t="s">
        <v>1870</v>
      </c>
      <c r="C1085" t="s">
        <v>18</v>
      </c>
      <c r="D1085" s="1">
        <v>43246</v>
      </c>
    </row>
    <row r="1086" spans="1:4" x14ac:dyDescent="0.25">
      <c r="A1086" t="s">
        <v>2053</v>
      </c>
      <c r="C1086" t="s">
        <v>18</v>
      </c>
      <c r="D1086" s="1">
        <v>43239</v>
      </c>
    </row>
    <row r="1087" spans="1:4" x14ac:dyDescent="0.25">
      <c r="A1087" t="s">
        <v>1572</v>
      </c>
      <c r="C1087" t="s">
        <v>18</v>
      </c>
      <c r="D1087" s="1">
        <v>43242</v>
      </c>
    </row>
    <row r="1088" spans="1:4" x14ac:dyDescent="0.25">
      <c r="A1088" t="s">
        <v>1588</v>
      </c>
      <c r="C1088" t="s">
        <v>18</v>
      </c>
      <c r="D1088" s="1">
        <v>43229</v>
      </c>
    </row>
    <row r="1089" spans="1:4" x14ac:dyDescent="0.25">
      <c r="A1089" t="s">
        <v>2054</v>
      </c>
      <c r="C1089" t="s">
        <v>18</v>
      </c>
      <c r="D1089" s="1">
        <v>43229</v>
      </c>
    </row>
    <row r="1090" spans="1:4" x14ac:dyDescent="0.25">
      <c r="A1090" t="s">
        <v>2055</v>
      </c>
      <c r="C1090" t="s">
        <v>18</v>
      </c>
      <c r="D1090" s="1">
        <v>43238</v>
      </c>
    </row>
    <row r="1091" spans="1:4" x14ac:dyDescent="0.25">
      <c r="A1091" t="s">
        <v>2056</v>
      </c>
      <c r="C1091" t="s">
        <v>18</v>
      </c>
      <c r="D1091" s="1">
        <v>43245</v>
      </c>
    </row>
    <row r="1092" spans="1:4" x14ac:dyDescent="0.25">
      <c r="A1092" t="s">
        <v>2057</v>
      </c>
      <c r="C1092" t="s">
        <v>18</v>
      </c>
      <c r="D1092" s="1">
        <v>43229</v>
      </c>
    </row>
    <row r="1093" spans="1:4" x14ac:dyDescent="0.25">
      <c r="A1093" t="s">
        <v>2058</v>
      </c>
      <c r="C1093" t="s">
        <v>18</v>
      </c>
      <c r="D1093" s="1">
        <v>43229</v>
      </c>
    </row>
    <row r="1094" spans="1:4" x14ac:dyDescent="0.25">
      <c r="A1094" t="s">
        <v>1880</v>
      </c>
      <c r="C1094" t="s">
        <v>18</v>
      </c>
      <c r="D1094" s="1">
        <v>43239</v>
      </c>
    </row>
    <row r="1095" spans="1:4" x14ac:dyDescent="0.25">
      <c r="A1095" t="s">
        <v>2059</v>
      </c>
      <c r="C1095" t="s">
        <v>18</v>
      </c>
      <c r="D1095" s="1">
        <v>43245</v>
      </c>
    </row>
    <row r="1096" spans="1:4" x14ac:dyDescent="0.25">
      <c r="A1096" t="s">
        <v>2060</v>
      </c>
      <c r="C1096" t="s">
        <v>18</v>
      </c>
      <c r="D1096" s="1">
        <v>43229</v>
      </c>
    </row>
    <row r="1097" spans="1:4" x14ac:dyDescent="0.25">
      <c r="A1097" t="s">
        <v>2061</v>
      </c>
      <c r="C1097" t="s">
        <v>18</v>
      </c>
      <c r="D1097" s="1">
        <v>43229</v>
      </c>
    </row>
    <row r="1098" spans="1:4" x14ac:dyDescent="0.25">
      <c r="A1098" t="s">
        <v>1907</v>
      </c>
      <c r="C1098" t="s">
        <v>18</v>
      </c>
      <c r="D1098" s="1">
        <v>43251</v>
      </c>
    </row>
    <row r="1099" spans="1:4" x14ac:dyDescent="0.25">
      <c r="A1099" t="s">
        <v>1908</v>
      </c>
      <c r="C1099" t="s">
        <v>18</v>
      </c>
      <c r="D1099" s="1">
        <v>43251</v>
      </c>
    </row>
    <row r="1100" spans="1:4" x14ac:dyDescent="0.25">
      <c r="A1100" t="s">
        <v>1915</v>
      </c>
      <c r="C1100" t="s">
        <v>18</v>
      </c>
      <c r="D1100" s="1">
        <v>43251</v>
      </c>
    </row>
    <row r="1101" spans="1:4" x14ac:dyDescent="0.25">
      <c r="A1101" t="s">
        <v>2062</v>
      </c>
      <c r="C1101" t="s">
        <v>18</v>
      </c>
      <c r="D1101" s="1">
        <v>43251</v>
      </c>
    </row>
    <row r="1102" spans="1:4" x14ac:dyDescent="0.25">
      <c r="A1102" t="s">
        <v>2063</v>
      </c>
      <c r="C1102" t="s">
        <v>18</v>
      </c>
      <c r="D1102" s="1">
        <v>43251</v>
      </c>
    </row>
    <row r="1103" spans="1:4" x14ac:dyDescent="0.25">
      <c r="A1103" t="s">
        <v>2064</v>
      </c>
      <c r="C1103" t="s">
        <v>18</v>
      </c>
      <c r="D1103" s="1">
        <v>43251</v>
      </c>
    </row>
    <row r="1104" spans="1:4" x14ac:dyDescent="0.25">
      <c r="A1104" t="s">
        <v>2065</v>
      </c>
      <c r="C1104" t="s">
        <v>18</v>
      </c>
      <c r="D1104" s="1">
        <v>43251</v>
      </c>
    </row>
    <row r="1105" spans="1:4" x14ac:dyDescent="0.25">
      <c r="A1105" t="s">
        <v>2066</v>
      </c>
      <c r="C1105" t="s">
        <v>18</v>
      </c>
      <c r="D1105" s="1">
        <v>43251</v>
      </c>
    </row>
    <row r="1106" spans="1:4" x14ac:dyDescent="0.25">
      <c r="A1106" t="s">
        <v>2067</v>
      </c>
      <c r="C1106" t="s">
        <v>18</v>
      </c>
      <c r="D1106" s="1">
        <v>43251</v>
      </c>
    </row>
    <row r="1107" spans="1:4" x14ac:dyDescent="0.25">
      <c r="A1107" t="s">
        <v>1881</v>
      </c>
      <c r="C1107" t="s">
        <v>18</v>
      </c>
      <c r="D1107" s="1">
        <v>43239</v>
      </c>
    </row>
    <row r="1108" spans="1:4" x14ac:dyDescent="0.25">
      <c r="A1108" t="s">
        <v>1627</v>
      </c>
      <c r="C1108" t="s">
        <v>18</v>
      </c>
      <c r="D1108" s="1">
        <v>43235</v>
      </c>
    </row>
    <row r="1109" spans="1:4" x14ac:dyDescent="0.25">
      <c r="A1109" t="s">
        <v>1553</v>
      </c>
      <c r="C1109" t="s">
        <v>18</v>
      </c>
      <c r="D1109" s="1">
        <v>43236</v>
      </c>
    </row>
    <row r="1110" spans="1:4" x14ac:dyDescent="0.25">
      <c r="A1110" t="s">
        <v>2068</v>
      </c>
      <c r="C1110" t="s">
        <v>18</v>
      </c>
      <c r="D1110" s="1">
        <v>43238</v>
      </c>
    </row>
    <row r="1111" spans="1:4" x14ac:dyDescent="0.25">
      <c r="A1111" t="s">
        <v>2069</v>
      </c>
      <c r="C1111" t="s">
        <v>18</v>
      </c>
      <c r="D1111" s="1">
        <v>43229</v>
      </c>
    </row>
    <row r="1112" spans="1:4" x14ac:dyDescent="0.25">
      <c r="A1112" t="s">
        <v>2070</v>
      </c>
      <c r="C1112" t="s">
        <v>18</v>
      </c>
      <c r="D1112" s="1">
        <v>43238</v>
      </c>
    </row>
    <row r="1113" spans="1:4" x14ac:dyDescent="0.25">
      <c r="A1113" t="s">
        <v>1498</v>
      </c>
      <c r="C1113" t="s">
        <v>18</v>
      </c>
      <c r="D1113" s="1">
        <v>43250</v>
      </c>
    </row>
    <row r="1114" spans="1:4" x14ac:dyDescent="0.25">
      <c r="A1114" t="s">
        <v>2071</v>
      </c>
      <c r="C1114" t="s">
        <v>18</v>
      </c>
      <c r="D1114" s="1">
        <v>43249</v>
      </c>
    </row>
    <row r="1115" spans="1:4" x14ac:dyDescent="0.25">
      <c r="A1115" t="s">
        <v>2072</v>
      </c>
      <c r="C1115" t="s">
        <v>18</v>
      </c>
      <c r="D1115" s="1">
        <v>43229</v>
      </c>
    </row>
    <row r="1116" spans="1:4" x14ac:dyDescent="0.25">
      <c r="A1116" t="s">
        <v>1450</v>
      </c>
      <c r="C1116" t="s">
        <v>18</v>
      </c>
      <c r="D1116" s="1">
        <v>43250</v>
      </c>
    </row>
    <row r="1117" spans="1:4" x14ac:dyDescent="0.25">
      <c r="A1117" t="s">
        <v>1200</v>
      </c>
      <c r="C1117" t="s">
        <v>18</v>
      </c>
      <c r="D1117" s="1">
        <v>43250</v>
      </c>
    </row>
    <row r="1118" spans="1:4" x14ac:dyDescent="0.25">
      <c r="A1118" t="s">
        <v>2073</v>
      </c>
      <c r="C1118" t="s">
        <v>18</v>
      </c>
      <c r="D1118" s="1">
        <v>43231</v>
      </c>
    </row>
    <row r="1119" spans="1:4" x14ac:dyDescent="0.25">
      <c r="A1119" t="s">
        <v>1168</v>
      </c>
      <c r="C1119" t="s">
        <v>18</v>
      </c>
      <c r="D1119" s="1">
        <v>43243</v>
      </c>
    </row>
    <row r="1120" spans="1:4" x14ac:dyDescent="0.25">
      <c r="A1120" t="s">
        <v>1542</v>
      </c>
      <c r="C1120" t="s">
        <v>18</v>
      </c>
      <c r="D1120" s="1">
        <v>43249</v>
      </c>
    </row>
    <row r="1121" spans="1:4" x14ac:dyDescent="0.25">
      <c r="A1121" t="s">
        <v>2074</v>
      </c>
      <c r="C1121" t="s">
        <v>18</v>
      </c>
      <c r="D1121" s="1">
        <v>43224</v>
      </c>
    </row>
    <row r="1122" spans="1:4" x14ac:dyDescent="0.25">
      <c r="A1122" t="s">
        <v>1926</v>
      </c>
      <c r="C1122" t="s">
        <v>13</v>
      </c>
      <c r="D1122" s="1">
        <v>43250</v>
      </c>
    </row>
    <row r="1123" spans="1:4" x14ac:dyDescent="0.25">
      <c r="A1123" t="s">
        <v>2075</v>
      </c>
      <c r="C1123" t="s">
        <v>13</v>
      </c>
      <c r="D1123" s="1">
        <v>43250</v>
      </c>
    </row>
    <row r="1124" spans="1:4" x14ac:dyDescent="0.25">
      <c r="A1124" t="s">
        <v>2076</v>
      </c>
      <c r="C1124" t="s">
        <v>13</v>
      </c>
      <c r="D1124" s="1">
        <v>43250</v>
      </c>
    </row>
    <row r="1125" spans="1:4" x14ac:dyDescent="0.25">
      <c r="A1125" t="s">
        <v>2077</v>
      </c>
      <c r="C1125" t="s">
        <v>13</v>
      </c>
      <c r="D1125" s="1">
        <v>43250</v>
      </c>
    </row>
    <row r="1126" spans="1:4" x14ac:dyDescent="0.25">
      <c r="A1126" t="s">
        <v>2078</v>
      </c>
      <c r="C1126" t="s">
        <v>13</v>
      </c>
      <c r="D1126" s="1">
        <v>43237</v>
      </c>
    </row>
    <row r="1127" spans="1:4" x14ac:dyDescent="0.25">
      <c r="A1127" t="s">
        <v>2079</v>
      </c>
      <c r="C1127" t="s">
        <v>13</v>
      </c>
      <c r="D1127" s="1">
        <v>43237</v>
      </c>
    </row>
    <row r="1128" spans="1:4" x14ac:dyDescent="0.25">
      <c r="A1128" t="s">
        <v>2080</v>
      </c>
      <c r="C1128" t="s">
        <v>13</v>
      </c>
      <c r="D1128" s="1">
        <v>43237</v>
      </c>
    </row>
    <row r="1129" spans="1:4" x14ac:dyDescent="0.25">
      <c r="A1129" t="s">
        <v>2081</v>
      </c>
      <c r="C1129" t="s">
        <v>13</v>
      </c>
      <c r="D1129" s="1">
        <v>43237</v>
      </c>
    </row>
    <row r="1130" spans="1:4" x14ac:dyDescent="0.25">
      <c r="A1130" t="s">
        <v>2082</v>
      </c>
      <c r="C1130" t="s">
        <v>13</v>
      </c>
      <c r="D1130" s="1">
        <v>43250</v>
      </c>
    </row>
    <row r="1131" spans="1:4" x14ac:dyDescent="0.25">
      <c r="A1131" t="s">
        <v>2083</v>
      </c>
      <c r="C1131" t="s">
        <v>13</v>
      </c>
      <c r="D1131" s="1">
        <v>43250</v>
      </c>
    </row>
    <row r="1132" spans="1:4" x14ac:dyDescent="0.25">
      <c r="A1132" t="s">
        <v>2084</v>
      </c>
      <c r="C1132" t="s">
        <v>13</v>
      </c>
      <c r="D1132" s="1">
        <v>43237</v>
      </c>
    </row>
    <row r="1133" spans="1:4" x14ac:dyDescent="0.25">
      <c r="A1133" t="s">
        <v>2085</v>
      </c>
      <c r="C1133" t="s">
        <v>13</v>
      </c>
      <c r="D1133" s="1">
        <v>43237</v>
      </c>
    </row>
    <row r="1134" spans="1:4" x14ac:dyDescent="0.25">
      <c r="A1134" t="s">
        <v>2086</v>
      </c>
      <c r="C1134" t="s">
        <v>13</v>
      </c>
      <c r="D1134" s="1">
        <v>43221</v>
      </c>
    </row>
    <row r="1135" spans="1:4" x14ac:dyDescent="0.25">
      <c r="A1135" t="s">
        <v>2087</v>
      </c>
      <c r="C1135" t="s">
        <v>13</v>
      </c>
      <c r="D1135" s="1">
        <v>43230</v>
      </c>
    </row>
    <row r="1136" spans="1:4" x14ac:dyDescent="0.25">
      <c r="A1136" t="s">
        <v>2088</v>
      </c>
      <c r="C1136" t="s">
        <v>13</v>
      </c>
      <c r="D1136" s="1">
        <v>43221</v>
      </c>
    </row>
    <row r="1137" spans="1:4" x14ac:dyDescent="0.25">
      <c r="A1137" t="s">
        <v>2089</v>
      </c>
      <c r="C1137" t="s">
        <v>13</v>
      </c>
      <c r="D1137" s="1">
        <v>43230</v>
      </c>
    </row>
    <row r="1138" spans="1:4" x14ac:dyDescent="0.25">
      <c r="A1138" t="s">
        <v>2090</v>
      </c>
      <c r="C1138" t="s">
        <v>13</v>
      </c>
      <c r="D1138" s="1">
        <v>43221</v>
      </c>
    </row>
    <row r="1139" spans="1:4" x14ac:dyDescent="0.25">
      <c r="A1139" t="s">
        <v>1940</v>
      </c>
      <c r="C1139" t="s">
        <v>13</v>
      </c>
      <c r="D1139" s="1">
        <v>43250</v>
      </c>
    </row>
    <row r="1140" spans="1:4" x14ac:dyDescent="0.25">
      <c r="A1140" t="s">
        <v>2091</v>
      </c>
      <c r="C1140" t="s">
        <v>13</v>
      </c>
      <c r="D1140" s="1">
        <v>43221</v>
      </c>
    </row>
    <row r="1141" spans="1:4" x14ac:dyDescent="0.25">
      <c r="A1141" t="s">
        <v>1943</v>
      </c>
      <c r="C1141" t="s">
        <v>13</v>
      </c>
      <c r="D1141" s="1">
        <v>43250</v>
      </c>
    </row>
    <row r="1142" spans="1:4" x14ac:dyDescent="0.25">
      <c r="A1142" t="s">
        <v>2092</v>
      </c>
      <c r="C1142" t="s">
        <v>13</v>
      </c>
      <c r="D1142" s="1">
        <v>43250</v>
      </c>
    </row>
    <row r="1143" spans="1:4" x14ac:dyDescent="0.25">
      <c r="A1143" t="s">
        <v>1401</v>
      </c>
      <c r="C1143" t="s">
        <v>13</v>
      </c>
      <c r="D1143" s="1">
        <v>43250</v>
      </c>
    </row>
    <row r="1144" spans="1:4" x14ac:dyDescent="0.25">
      <c r="A1144" t="s">
        <v>1422</v>
      </c>
      <c r="C1144" t="s">
        <v>13</v>
      </c>
      <c r="D1144" s="1">
        <v>43250</v>
      </c>
    </row>
    <row r="1145" spans="1:4" x14ac:dyDescent="0.25">
      <c r="A1145" t="s">
        <v>1733</v>
      </c>
      <c r="C1145" t="s">
        <v>13</v>
      </c>
      <c r="D1145" s="1">
        <v>43250</v>
      </c>
    </row>
    <row r="1146" spans="1:4" x14ac:dyDescent="0.25">
      <c r="A1146" t="s">
        <v>1944</v>
      </c>
      <c r="C1146" t="s">
        <v>13</v>
      </c>
      <c r="D1146" s="1">
        <v>43250</v>
      </c>
    </row>
    <row r="1147" spans="1:4" x14ac:dyDescent="0.25">
      <c r="A1147" t="s">
        <v>1945</v>
      </c>
      <c r="C1147" t="s">
        <v>13</v>
      </c>
      <c r="D1147" s="1">
        <v>43250</v>
      </c>
    </row>
    <row r="1148" spans="1:4" x14ac:dyDescent="0.25">
      <c r="A1148" t="s">
        <v>1946</v>
      </c>
      <c r="C1148" t="s">
        <v>13</v>
      </c>
      <c r="D1148" s="1">
        <v>43250</v>
      </c>
    </row>
    <row r="1149" spans="1:4" x14ac:dyDescent="0.25">
      <c r="A1149" t="s">
        <v>1947</v>
      </c>
      <c r="C1149" t="s">
        <v>13</v>
      </c>
      <c r="D1149" s="1">
        <v>43250</v>
      </c>
    </row>
    <row r="1150" spans="1:4" x14ac:dyDescent="0.25">
      <c r="A1150" t="s">
        <v>1948</v>
      </c>
      <c r="C1150" t="s">
        <v>13</v>
      </c>
      <c r="D1150" s="1">
        <v>43250</v>
      </c>
    </row>
    <row r="1151" spans="1:4" x14ac:dyDescent="0.25">
      <c r="A1151" t="s">
        <v>1559</v>
      </c>
      <c r="C1151" t="s">
        <v>13</v>
      </c>
      <c r="D1151" s="1">
        <v>43250</v>
      </c>
    </row>
    <row r="1152" spans="1:4" x14ac:dyDescent="0.25">
      <c r="A1152" t="s">
        <v>1470</v>
      </c>
      <c r="C1152" t="s">
        <v>13</v>
      </c>
      <c r="D1152" s="1">
        <v>43250</v>
      </c>
    </row>
    <row r="1153" spans="1:4" x14ac:dyDescent="0.25">
      <c r="A1153" t="s">
        <v>1547</v>
      </c>
      <c r="C1153" t="s">
        <v>13</v>
      </c>
      <c r="D1153" s="1">
        <v>43250</v>
      </c>
    </row>
    <row r="1154" spans="1:4" x14ac:dyDescent="0.25">
      <c r="A1154" t="s">
        <v>1739</v>
      </c>
      <c r="C1154" t="s">
        <v>13</v>
      </c>
      <c r="D1154" s="1">
        <v>43250</v>
      </c>
    </row>
    <row r="1155" spans="1:4" x14ac:dyDescent="0.25">
      <c r="A1155" t="s">
        <v>1953</v>
      </c>
      <c r="C1155" t="s">
        <v>13</v>
      </c>
      <c r="D1155" s="1">
        <v>43221</v>
      </c>
    </row>
    <row r="1156" spans="1:4" x14ac:dyDescent="0.25">
      <c r="A1156" t="s">
        <v>1740</v>
      </c>
      <c r="C1156" t="s">
        <v>13</v>
      </c>
      <c r="D1156" s="1">
        <v>43250</v>
      </c>
    </row>
    <row r="1157" spans="1:4" x14ac:dyDescent="0.25">
      <c r="A1157" t="s">
        <v>1551</v>
      </c>
      <c r="C1157" t="s">
        <v>13</v>
      </c>
      <c r="D1157" s="1">
        <v>43250</v>
      </c>
    </row>
    <row r="1158" spans="1:4" x14ac:dyDescent="0.25">
      <c r="A1158" t="s">
        <v>1741</v>
      </c>
      <c r="C1158" t="s">
        <v>13</v>
      </c>
      <c r="D1158" s="1">
        <v>43247</v>
      </c>
    </row>
    <row r="1159" spans="1:4" x14ac:dyDescent="0.25">
      <c r="A1159" t="s">
        <v>1957</v>
      </c>
      <c r="C1159" t="s">
        <v>13</v>
      </c>
      <c r="D1159" s="1">
        <v>43221</v>
      </c>
    </row>
    <row r="1160" spans="1:4" x14ac:dyDescent="0.25">
      <c r="A1160" t="s">
        <v>2093</v>
      </c>
      <c r="C1160" t="s">
        <v>13</v>
      </c>
      <c r="D1160" s="1">
        <v>43250</v>
      </c>
    </row>
    <row r="1161" spans="1:4" x14ac:dyDescent="0.25">
      <c r="A1161" t="s">
        <v>1743</v>
      </c>
      <c r="C1161" t="s">
        <v>13</v>
      </c>
      <c r="D1161" s="1">
        <v>43250</v>
      </c>
    </row>
    <row r="1162" spans="1:4" x14ac:dyDescent="0.25">
      <c r="A1162" t="s">
        <v>2094</v>
      </c>
      <c r="C1162" t="s">
        <v>13</v>
      </c>
      <c r="D1162" s="1">
        <v>43250</v>
      </c>
    </row>
    <row r="1163" spans="1:4" x14ac:dyDescent="0.25">
      <c r="A1163" t="s">
        <v>1958</v>
      </c>
      <c r="C1163" t="s">
        <v>13</v>
      </c>
      <c r="D1163" s="1">
        <v>43250</v>
      </c>
    </row>
    <row r="1164" spans="1:4" x14ac:dyDescent="0.25">
      <c r="A1164" t="s">
        <v>1382</v>
      </c>
      <c r="C1164" t="s">
        <v>13</v>
      </c>
      <c r="D1164" s="1">
        <v>43221</v>
      </c>
    </row>
    <row r="1165" spans="1:4" x14ac:dyDescent="0.25">
      <c r="A1165" t="s">
        <v>2095</v>
      </c>
      <c r="C1165" t="s">
        <v>13</v>
      </c>
      <c r="D1165" s="1">
        <v>43250</v>
      </c>
    </row>
    <row r="1166" spans="1:4" x14ac:dyDescent="0.25">
      <c r="A1166" t="s">
        <v>2096</v>
      </c>
      <c r="C1166" t="s">
        <v>13</v>
      </c>
      <c r="D1166" s="1">
        <v>43250</v>
      </c>
    </row>
    <row r="1167" spans="1:4" x14ac:dyDescent="0.25">
      <c r="A1167" t="s">
        <v>1961</v>
      </c>
      <c r="C1167" t="s">
        <v>13</v>
      </c>
      <c r="D1167" s="1">
        <v>43221</v>
      </c>
    </row>
    <row r="1168" spans="1:4" x14ac:dyDescent="0.25">
      <c r="A1168" t="s">
        <v>1344</v>
      </c>
      <c r="C1168" t="s">
        <v>13</v>
      </c>
      <c r="D1168" s="1">
        <v>43233</v>
      </c>
    </row>
    <row r="1169" spans="1:4" x14ac:dyDescent="0.25">
      <c r="A1169" t="s">
        <v>1964</v>
      </c>
      <c r="C1169" t="s">
        <v>13</v>
      </c>
      <c r="D1169" s="1">
        <v>43250</v>
      </c>
    </row>
    <row r="1170" spans="1:4" x14ac:dyDescent="0.25">
      <c r="A1170" t="s">
        <v>2097</v>
      </c>
      <c r="C1170" t="s">
        <v>13</v>
      </c>
      <c r="D1170" s="1">
        <v>43250</v>
      </c>
    </row>
    <row r="1171" spans="1:4" x14ac:dyDescent="0.25">
      <c r="A1171" t="s">
        <v>1512</v>
      </c>
      <c r="C1171" t="s">
        <v>13</v>
      </c>
      <c r="D1171" s="1">
        <v>43250</v>
      </c>
    </row>
    <row r="1172" spans="1:4" x14ac:dyDescent="0.25">
      <c r="A1172" t="s">
        <v>2098</v>
      </c>
      <c r="C1172" t="s">
        <v>13</v>
      </c>
      <c r="D1172" s="1">
        <v>43250</v>
      </c>
    </row>
    <row r="1173" spans="1:4" x14ac:dyDescent="0.25">
      <c r="A1173" t="s">
        <v>1967</v>
      </c>
      <c r="C1173" t="s">
        <v>13</v>
      </c>
      <c r="D1173" s="1">
        <v>43250</v>
      </c>
    </row>
    <row r="1174" spans="1:4" x14ac:dyDescent="0.25">
      <c r="A1174" t="s">
        <v>1968</v>
      </c>
      <c r="C1174" t="s">
        <v>13</v>
      </c>
      <c r="D1174" s="1">
        <v>43250</v>
      </c>
    </row>
    <row r="1175" spans="1:4" x14ac:dyDescent="0.25">
      <c r="A1175" t="s">
        <v>1969</v>
      </c>
      <c r="C1175" t="s">
        <v>13</v>
      </c>
      <c r="D1175" s="1">
        <v>43250</v>
      </c>
    </row>
    <row r="1176" spans="1:4" x14ac:dyDescent="0.25">
      <c r="A1176" t="s">
        <v>1754</v>
      </c>
      <c r="C1176" t="s">
        <v>13</v>
      </c>
      <c r="D1176" s="1">
        <v>43250</v>
      </c>
    </row>
    <row r="1177" spans="1:4" x14ac:dyDescent="0.25">
      <c r="A1177" t="s">
        <v>2099</v>
      </c>
      <c r="C1177" t="s">
        <v>13</v>
      </c>
      <c r="D1177" s="1">
        <v>43250</v>
      </c>
    </row>
    <row r="1178" spans="1:4" x14ac:dyDescent="0.25">
      <c r="A1178" t="s">
        <v>1971</v>
      </c>
      <c r="C1178" t="s">
        <v>13</v>
      </c>
      <c r="D1178" s="1">
        <v>43250</v>
      </c>
    </row>
    <row r="1179" spans="1:4" x14ac:dyDescent="0.25">
      <c r="A1179" t="s">
        <v>2100</v>
      </c>
      <c r="C1179" t="s">
        <v>13</v>
      </c>
      <c r="D1179" s="1">
        <v>43250</v>
      </c>
    </row>
    <row r="1180" spans="1:4" x14ac:dyDescent="0.25">
      <c r="A1180" t="s">
        <v>1340</v>
      </c>
      <c r="C1180" t="s">
        <v>13</v>
      </c>
      <c r="D1180" s="1">
        <v>43233</v>
      </c>
    </row>
    <row r="1181" spans="1:4" x14ac:dyDescent="0.25">
      <c r="A1181" t="s">
        <v>1486</v>
      </c>
      <c r="C1181" t="s">
        <v>13</v>
      </c>
      <c r="D1181" s="1">
        <v>43250</v>
      </c>
    </row>
    <row r="1182" spans="1:4" x14ac:dyDescent="0.25">
      <c r="A1182" t="s">
        <v>1762</v>
      </c>
      <c r="C1182" t="s">
        <v>13</v>
      </c>
      <c r="D1182" s="1">
        <v>43250</v>
      </c>
    </row>
    <row r="1183" spans="1:4" x14ac:dyDescent="0.25">
      <c r="A1183" t="s">
        <v>2101</v>
      </c>
      <c r="C1183" t="s">
        <v>13</v>
      </c>
      <c r="D1183" s="1">
        <v>43250</v>
      </c>
    </row>
    <row r="1184" spans="1:4" x14ac:dyDescent="0.25">
      <c r="A1184" t="s">
        <v>1972</v>
      </c>
      <c r="C1184" t="s">
        <v>13</v>
      </c>
      <c r="D1184" s="1">
        <v>43250</v>
      </c>
    </row>
    <row r="1185" spans="1:4" x14ac:dyDescent="0.25">
      <c r="A1185" t="s">
        <v>2102</v>
      </c>
      <c r="C1185" t="s">
        <v>13</v>
      </c>
      <c r="D1185" s="1">
        <v>43250</v>
      </c>
    </row>
    <row r="1186" spans="1:4" x14ac:dyDescent="0.25">
      <c r="A1186" t="s">
        <v>1764</v>
      </c>
      <c r="C1186" t="s">
        <v>13</v>
      </c>
      <c r="D1186" s="1">
        <v>43250</v>
      </c>
    </row>
    <row r="1187" spans="1:4" x14ac:dyDescent="0.25">
      <c r="A1187" t="s">
        <v>2103</v>
      </c>
      <c r="C1187" t="s">
        <v>13</v>
      </c>
      <c r="D1187" s="1">
        <v>43250</v>
      </c>
    </row>
    <row r="1188" spans="1:4" x14ac:dyDescent="0.25">
      <c r="A1188" t="s">
        <v>1975</v>
      </c>
      <c r="C1188" t="s">
        <v>13</v>
      </c>
      <c r="D1188" s="1">
        <v>43250</v>
      </c>
    </row>
    <row r="1189" spans="1:4" x14ac:dyDescent="0.25">
      <c r="A1189" t="s">
        <v>1444</v>
      </c>
      <c r="C1189" t="s">
        <v>13</v>
      </c>
      <c r="D1189" s="1">
        <v>43250</v>
      </c>
    </row>
    <row r="1190" spans="1:4" x14ac:dyDescent="0.25">
      <c r="A1190" t="s">
        <v>1976</v>
      </c>
      <c r="C1190" t="s">
        <v>13</v>
      </c>
      <c r="D1190" s="1">
        <v>43250</v>
      </c>
    </row>
    <row r="1191" spans="1:4" x14ac:dyDescent="0.25">
      <c r="A1191" t="s">
        <v>1374</v>
      </c>
      <c r="C1191" t="s">
        <v>13</v>
      </c>
      <c r="D1191" s="1">
        <v>43250</v>
      </c>
    </row>
    <row r="1192" spans="1:4" x14ac:dyDescent="0.25">
      <c r="A1192" t="s">
        <v>1977</v>
      </c>
      <c r="C1192" t="s">
        <v>13</v>
      </c>
      <c r="D1192" s="1">
        <v>43250</v>
      </c>
    </row>
    <row r="1193" spans="1:4" x14ac:dyDescent="0.25">
      <c r="A1193" t="s">
        <v>1387</v>
      </c>
      <c r="C1193" t="s">
        <v>13</v>
      </c>
      <c r="D1193" s="1">
        <v>43250</v>
      </c>
    </row>
    <row r="1194" spans="1:4" x14ac:dyDescent="0.25">
      <c r="A1194" t="s">
        <v>1978</v>
      </c>
      <c r="C1194" t="s">
        <v>13</v>
      </c>
      <c r="D1194" s="1">
        <v>43250</v>
      </c>
    </row>
    <row r="1195" spans="1:4" x14ac:dyDescent="0.25">
      <c r="A1195" t="s">
        <v>2104</v>
      </c>
      <c r="C1195" t="s">
        <v>13</v>
      </c>
      <c r="D1195" s="1">
        <v>43250</v>
      </c>
    </row>
    <row r="1196" spans="1:4" x14ac:dyDescent="0.25">
      <c r="A1196" t="s">
        <v>1980</v>
      </c>
      <c r="C1196" t="s">
        <v>13</v>
      </c>
      <c r="D1196" s="1">
        <v>43250</v>
      </c>
    </row>
    <row r="1197" spans="1:4" x14ac:dyDescent="0.25">
      <c r="A1197" t="s">
        <v>2105</v>
      </c>
      <c r="C1197" t="s">
        <v>13</v>
      </c>
      <c r="D1197" s="1">
        <v>43250</v>
      </c>
    </row>
    <row r="1198" spans="1:4" x14ac:dyDescent="0.25">
      <c r="A1198" t="s">
        <v>1769</v>
      </c>
      <c r="C1198" t="s">
        <v>13</v>
      </c>
      <c r="D1198" s="1">
        <v>43247</v>
      </c>
    </row>
    <row r="1199" spans="1:4" x14ac:dyDescent="0.25">
      <c r="A1199" t="s">
        <v>2106</v>
      </c>
      <c r="C1199" t="s">
        <v>13</v>
      </c>
      <c r="D1199" s="1">
        <v>43250</v>
      </c>
    </row>
    <row r="1200" spans="1:4" x14ac:dyDescent="0.25">
      <c r="A1200" t="s">
        <v>1365</v>
      </c>
      <c r="C1200" t="s">
        <v>13</v>
      </c>
      <c r="D1200" s="1">
        <v>43250</v>
      </c>
    </row>
    <row r="1201" spans="1:4" x14ac:dyDescent="0.25">
      <c r="A1201" t="s">
        <v>1981</v>
      </c>
      <c r="C1201" t="s">
        <v>13</v>
      </c>
      <c r="D1201" s="1">
        <v>43250</v>
      </c>
    </row>
    <row r="1202" spans="1:4" x14ac:dyDescent="0.25">
      <c r="A1202" t="s">
        <v>1778</v>
      </c>
      <c r="C1202" t="s">
        <v>13</v>
      </c>
      <c r="D1202" s="1">
        <v>43250</v>
      </c>
    </row>
    <row r="1203" spans="1:4" x14ac:dyDescent="0.25">
      <c r="A1203" t="s">
        <v>1779</v>
      </c>
      <c r="C1203" t="s">
        <v>13</v>
      </c>
      <c r="D1203" s="1">
        <v>43247</v>
      </c>
    </row>
    <row r="1204" spans="1:4" x14ac:dyDescent="0.25">
      <c r="A1204" t="s">
        <v>1986</v>
      </c>
      <c r="C1204" t="s">
        <v>13</v>
      </c>
      <c r="D1204" s="1">
        <v>43250</v>
      </c>
    </row>
    <row r="1205" spans="1:4" x14ac:dyDescent="0.25">
      <c r="A1205" t="s">
        <v>2107</v>
      </c>
      <c r="C1205" t="s">
        <v>13</v>
      </c>
      <c r="D1205" s="1">
        <v>43250</v>
      </c>
    </row>
    <row r="1206" spans="1:4" x14ac:dyDescent="0.25">
      <c r="A1206" t="s">
        <v>1459</v>
      </c>
      <c r="C1206" t="s">
        <v>13</v>
      </c>
      <c r="D1206" s="1">
        <v>43250</v>
      </c>
    </row>
    <row r="1207" spans="1:4" x14ac:dyDescent="0.25">
      <c r="A1207" t="s">
        <v>1987</v>
      </c>
      <c r="C1207" t="s">
        <v>13</v>
      </c>
      <c r="D1207" s="1">
        <v>43250</v>
      </c>
    </row>
    <row r="1208" spans="1:4" x14ac:dyDescent="0.25">
      <c r="A1208" t="s">
        <v>1518</v>
      </c>
      <c r="C1208" t="s">
        <v>13</v>
      </c>
      <c r="D1208" s="1">
        <v>43250</v>
      </c>
    </row>
    <row r="1209" spans="1:4" x14ac:dyDescent="0.25">
      <c r="A1209" t="s">
        <v>2108</v>
      </c>
      <c r="C1209" t="s">
        <v>13</v>
      </c>
      <c r="D1209" s="1">
        <v>43250</v>
      </c>
    </row>
    <row r="1210" spans="1:4" x14ac:dyDescent="0.25">
      <c r="A1210" t="s">
        <v>1990</v>
      </c>
      <c r="C1210" t="s">
        <v>13</v>
      </c>
      <c r="D1210" s="1">
        <v>43250</v>
      </c>
    </row>
    <row r="1211" spans="1:4" x14ac:dyDescent="0.25">
      <c r="A1211" t="s">
        <v>1991</v>
      </c>
      <c r="C1211" t="s">
        <v>13</v>
      </c>
      <c r="D1211" s="1">
        <v>43250</v>
      </c>
    </row>
    <row r="1212" spans="1:4" x14ac:dyDescent="0.25">
      <c r="A1212" t="s">
        <v>1992</v>
      </c>
      <c r="C1212" t="s">
        <v>13</v>
      </c>
      <c r="D1212" s="1">
        <v>43250</v>
      </c>
    </row>
    <row r="1213" spans="1:4" x14ac:dyDescent="0.25">
      <c r="A1213" t="s">
        <v>1993</v>
      </c>
      <c r="C1213" t="s">
        <v>13</v>
      </c>
      <c r="D1213" s="1">
        <v>43250</v>
      </c>
    </row>
    <row r="1214" spans="1:4" x14ac:dyDescent="0.25">
      <c r="A1214" t="s">
        <v>2109</v>
      </c>
      <c r="C1214" t="s">
        <v>13</v>
      </c>
      <c r="D1214" s="1">
        <v>43250</v>
      </c>
    </row>
    <row r="1215" spans="1:4" x14ac:dyDescent="0.25">
      <c r="A1215" t="s">
        <v>2110</v>
      </c>
      <c r="C1215" t="s">
        <v>13</v>
      </c>
      <c r="D1215" s="1">
        <v>43250</v>
      </c>
    </row>
    <row r="1216" spans="1:4" x14ac:dyDescent="0.25">
      <c r="A1216" t="s">
        <v>2111</v>
      </c>
      <c r="C1216" t="s">
        <v>13</v>
      </c>
      <c r="D1216" s="1">
        <v>43250</v>
      </c>
    </row>
    <row r="1217" spans="1:4" x14ac:dyDescent="0.25">
      <c r="A1217" t="s">
        <v>1789</v>
      </c>
      <c r="C1217" t="s">
        <v>13</v>
      </c>
      <c r="D1217" s="1">
        <v>43250</v>
      </c>
    </row>
    <row r="1218" spans="1:4" x14ac:dyDescent="0.25">
      <c r="A1218" t="s">
        <v>1997</v>
      </c>
      <c r="C1218" t="s">
        <v>13</v>
      </c>
      <c r="D1218" s="1">
        <v>43250</v>
      </c>
    </row>
    <row r="1219" spans="1:4" x14ac:dyDescent="0.25">
      <c r="A1219" t="s">
        <v>2112</v>
      </c>
      <c r="C1219" t="s">
        <v>13</v>
      </c>
      <c r="D1219" s="1">
        <v>43250</v>
      </c>
    </row>
    <row r="1220" spans="1:4" x14ac:dyDescent="0.25">
      <c r="A1220" t="s">
        <v>1378</v>
      </c>
      <c r="C1220" t="s">
        <v>13</v>
      </c>
      <c r="D1220" s="1">
        <v>43233</v>
      </c>
    </row>
    <row r="1221" spans="1:4" x14ac:dyDescent="0.25">
      <c r="A1221" t="s">
        <v>1998</v>
      </c>
      <c r="C1221" t="s">
        <v>13</v>
      </c>
      <c r="D1221" s="1">
        <v>43250</v>
      </c>
    </row>
    <row r="1222" spans="1:4" x14ac:dyDescent="0.25">
      <c r="A1222" t="s">
        <v>2001</v>
      </c>
      <c r="C1222" t="s">
        <v>13</v>
      </c>
      <c r="D1222" s="1">
        <v>43250</v>
      </c>
    </row>
    <row r="1223" spans="1:4" x14ac:dyDescent="0.25">
      <c r="A1223" t="s">
        <v>2113</v>
      </c>
      <c r="C1223" t="s">
        <v>13</v>
      </c>
      <c r="D1223" s="1">
        <v>43250</v>
      </c>
    </row>
    <row r="1224" spans="1:4" x14ac:dyDescent="0.25">
      <c r="A1224" t="s">
        <v>2002</v>
      </c>
      <c r="C1224" t="s">
        <v>13</v>
      </c>
      <c r="D1224" s="1">
        <v>43250</v>
      </c>
    </row>
    <row r="1225" spans="1:4" x14ac:dyDescent="0.25">
      <c r="A1225" t="s">
        <v>2114</v>
      </c>
      <c r="C1225" t="s">
        <v>13</v>
      </c>
      <c r="D1225" s="1">
        <v>43250</v>
      </c>
    </row>
    <row r="1226" spans="1:4" x14ac:dyDescent="0.25">
      <c r="A1226" t="s">
        <v>2115</v>
      </c>
      <c r="C1226" t="s">
        <v>13</v>
      </c>
      <c r="D1226" s="1">
        <v>43250</v>
      </c>
    </row>
    <row r="1227" spans="1:4" x14ac:dyDescent="0.25">
      <c r="A1227" t="s">
        <v>2116</v>
      </c>
      <c r="C1227" t="s">
        <v>13</v>
      </c>
      <c r="D1227" s="1">
        <v>43250</v>
      </c>
    </row>
    <row r="1228" spans="1:4" x14ac:dyDescent="0.25">
      <c r="A1228" t="s">
        <v>1802</v>
      </c>
      <c r="C1228" t="s">
        <v>13</v>
      </c>
      <c r="D1228" s="1">
        <v>43250</v>
      </c>
    </row>
    <row r="1229" spans="1:4" x14ac:dyDescent="0.25">
      <c r="A1229" t="s">
        <v>2005</v>
      </c>
      <c r="C1229" t="s">
        <v>13</v>
      </c>
      <c r="D1229" s="1">
        <v>43250</v>
      </c>
    </row>
    <row r="1230" spans="1:4" x14ac:dyDescent="0.25">
      <c r="A1230" t="s">
        <v>2006</v>
      </c>
      <c r="C1230" t="s">
        <v>13</v>
      </c>
      <c r="D1230" s="1">
        <v>43250</v>
      </c>
    </row>
    <row r="1231" spans="1:4" x14ac:dyDescent="0.25">
      <c r="A1231" t="s">
        <v>1557</v>
      </c>
      <c r="C1231" t="s">
        <v>13</v>
      </c>
      <c r="D1231" s="1">
        <v>43250</v>
      </c>
    </row>
    <row r="1232" spans="1:4" x14ac:dyDescent="0.25">
      <c r="A1232" t="s">
        <v>2117</v>
      </c>
      <c r="C1232" t="s">
        <v>13</v>
      </c>
      <c r="D1232" s="1">
        <v>43250</v>
      </c>
    </row>
    <row r="1233" spans="1:4" x14ac:dyDescent="0.25">
      <c r="A1233" t="s">
        <v>2118</v>
      </c>
      <c r="C1233" t="s">
        <v>13</v>
      </c>
      <c r="D1233" s="1">
        <v>43250</v>
      </c>
    </row>
    <row r="1234" spans="1:4" x14ac:dyDescent="0.25">
      <c r="A1234" t="s">
        <v>1807</v>
      </c>
      <c r="C1234" t="s">
        <v>13</v>
      </c>
      <c r="D1234" s="1">
        <v>43250</v>
      </c>
    </row>
    <row r="1235" spans="1:4" x14ac:dyDescent="0.25">
      <c r="A1235" t="s">
        <v>2119</v>
      </c>
      <c r="C1235" t="s">
        <v>13</v>
      </c>
      <c r="D1235" s="1">
        <v>43250</v>
      </c>
    </row>
    <row r="1236" spans="1:4" x14ac:dyDescent="0.25">
      <c r="A1236" t="s">
        <v>1536</v>
      </c>
      <c r="C1236" t="s">
        <v>13</v>
      </c>
      <c r="D1236" s="1">
        <v>43250</v>
      </c>
    </row>
    <row r="1237" spans="1:4" x14ac:dyDescent="0.25">
      <c r="A1237" t="s">
        <v>2010</v>
      </c>
      <c r="C1237" t="s">
        <v>13</v>
      </c>
      <c r="D1237" s="1">
        <v>43250</v>
      </c>
    </row>
    <row r="1238" spans="1:4" x14ac:dyDescent="0.25">
      <c r="A1238" t="s">
        <v>1811</v>
      </c>
      <c r="C1238" t="s">
        <v>13</v>
      </c>
      <c r="D1238" s="1">
        <v>43250</v>
      </c>
    </row>
    <row r="1239" spans="1:4" x14ac:dyDescent="0.25">
      <c r="A1239" t="s">
        <v>1556</v>
      </c>
      <c r="C1239" t="s">
        <v>13</v>
      </c>
      <c r="D1239" s="1">
        <v>43250</v>
      </c>
    </row>
    <row r="1240" spans="1:4" x14ac:dyDescent="0.25">
      <c r="A1240" t="s">
        <v>2013</v>
      </c>
      <c r="C1240" t="s">
        <v>13</v>
      </c>
      <c r="D1240" s="1">
        <v>43250</v>
      </c>
    </row>
    <row r="1241" spans="1:4" x14ac:dyDescent="0.25">
      <c r="A1241" t="s">
        <v>2120</v>
      </c>
      <c r="C1241" t="s">
        <v>13</v>
      </c>
      <c r="D1241" s="1">
        <v>43250</v>
      </c>
    </row>
    <row r="1242" spans="1:4" x14ac:dyDescent="0.25">
      <c r="A1242" t="s">
        <v>2121</v>
      </c>
      <c r="C1242" t="s">
        <v>13</v>
      </c>
      <c r="D1242" s="1">
        <v>43250</v>
      </c>
    </row>
    <row r="1243" spans="1:4" x14ac:dyDescent="0.25">
      <c r="A1243" t="s">
        <v>1051</v>
      </c>
      <c r="C1243" t="s">
        <v>13</v>
      </c>
      <c r="D1243" s="1">
        <v>43250</v>
      </c>
    </row>
    <row r="1244" spans="1:4" x14ac:dyDescent="0.25">
      <c r="A1244" t="s">
        <v>2122</v>
      </c>
      <c r="C1244" t="s">
        <v>13</v>
      </c>
      <c r="D1244" s="1">
        <v>43250</v>
      </c>
    </row>
    <row r="1245" spans="1:4" x14ac:dyDescent="0.25">
      <c r="A1245" t="s">
        <v>2123</v>
      </c>
      <c r="C1245" t="s">
        <v>13</v>
      </c>
      <c r="D1245" s="1">
        <v>43250</v>
      </c>
    </row>
    <row r="1246" spans="1:4" x14ac:dyDescent="0.25">
      <c r="A1246" t="s">
        <v>1496</v>
      </c>
      <c r="C1246" t="s">
        <v>13</v>
      </c>
      <c r="D1246" s="1">
        <v>43250</v>
      </c>
    </row>
    <row r="1247" spans="1:4" x14ac:dyDescent="0.25">
      <c r="A1247" t="s">
        <v>2014</v>
      </c>
      <c r="C1247" t="s">
        <v>13</v>
      </c>
      <c r="D1247" s="1">
        <v>43250</v>
      </c>
    </row>
    <row r="1248" spans="1:4" x14ac:dyDescent="0.25">
      <c r="A1248" t="s">
        <v>2124</v>
      </c>
      <c r="C1248" t="s">
        <v>13</v>
      </c>
      <c r="D1248" s="1">
        <v>43250</v>
      </c>
    </row>
    <row r="1249" spans="1:4" x14ac:dyDescent="0.25">
      <c r="A1249" t="s">
        <v>2125</v>
      </c>
      <c r="C1249" t="s">
        <v>13</v>
      </c>
      <c r="D1249" s="1">
        <v>43250</v>
      </c>
    </row>
    <row r="1250" spans="1:4" x14ac:dyDescent="0.25">
      <c r="A1250" t="s">
        <v>1818</v>
      </c>
      <c r="C1250" t="s">
        <v>13</v>
      </c>
      <c r="D1250" s="1">
        <v>43250</v>
      </c>
    </row>
    <row r="1251" spans="1:4" x14ac:dyDescent="0.25">
      <c r="A1251" t="s">
        <v>1441</v>
      </c>
      <c r="C1251" t="s">
        <v>13</v>
      </c>
      <c r="D1251" s="1">
        <v>43250</v>
      </c>
    </row>
    <row r="1252" spans="1:4" x14ac:dyDescent="0.25">
      <c r="A1252" t="s">
        <v>2016</v>
      </c>
      <c r="C1252" t="s">
        <v>13</v>
      </c>
      <c r="D1252" s="1">
        <v>43250</v>
      </c>
    </row>
    <row r="1253" spans="1:4" x14ac:dyDescent="0.25">
      <c r="A1253" t="s">
        <v>994</v>
      </c>
      <c r="C1253" t="s">
        <v>13</v>
      </c>
      <c r="D1253" s="1">
        <v>43250</v>
      </c>
    </row>
    <row r="1254" spans="1:4" x14ac:dyDescent="0.25">
      <c r="A1254" t="s">
        <v>2126</v>
      </c>
      <c r="C1254" t="s">
        <v>13</v>
      </c>
      <c r="D1254" s="1">
        <v>43250</v>
      </c>
    </row>
    <row r="1255" spans="1:4" x14ac:dyDescent="0.25">
      <c r="A1255" t="s">
        <v>704</v>
      </c>
      <c r="C1255" t="s">
        <v>13</v>
      </c>
      <c r="D1255" s="1">
        <v>43233</v>
      </c>
    </row>
    <row r="1256" spans="1:4" x14ac:dyDescent="0.25">
      <c r="A1256" t="s">
        <v>1514</v>
      </c>
      <c r="C1256" t="s">
        <v>13</v>
      </c>
      <c r="D1256" s="1">
        <v>43250</v>
      </c>
    </row>
    <row r="1257" spans="1:4" x14ac:dyDescent="0.25">
      <c r="A1257" t="s">
        <v>1495</v>
      </c>
      <c r="C1257" t="s">
        <v>13</v>
      </c>
      <c r="D1257" s="1">
        <v>43250</v>
      </c>
    </row>
    <row r="1258" spans="1:4" x14ac:dyDescent="0.25">
      <c r="A1258" t="s">
        <v>2127</v>
      </c>
      <c r="C1258" t="s">
        <v>13</v>
      </c>
      <c r="D1258" s="1">
        <v>43221</v>
      </c>
    </row>
    <row r="1259" spans="1:4" x14ac:dyDescent="0.25">
      <c r="A1259" t="s">
        <v>2019</v>
      </c>
      <c r="C1259" t="s">
        <v>13</v>
      </c>
      <c r="D1259" s="1">
        <v>43250</v>
      </c>
    </row>
    <row r="1260" spans="1:4" x14ac:dyDescent="0.25">
      <c r="A1260" t="s">
        <v>2023</v>
      </c>
      <c r="C1260" t="s">
        <v>13</v>
      </c>
      <c r="D1260" s="1">
        <v>43250</v>
      </c>
    </row>
    <row r="1261" spans="1:4" x14ac:dyDescent="0.25">
      <c r="A1261" t="s">
        <v>2128</v>
      </c>
      <c r="C1261" t="s">
        <v>13</v>
      </c>
      <c r="D1261" s="1">
        <v>43250</v>
      </c>
    </row>
    <row r="1262" spans="1:4" x14ac:dyDescent="0.25">
      <c r="A1262" t="s">
        <v>2030</v>
      </c>
      <c r="C1262" t="s">
        <v>13</v>
      </c>
      <c r="D1262" s="1">
        <v>43250</v>
      </c>
    </row>
    <row r="1263" spans="1:4" x14ac:dyDescent="0.25">
      <c r="A1263" t="s">
        <v>2032</v>
      </c>
      <c r="C1263" t="s">
        <v>13</v>
      </c>
      <c r="D1263" s="1">
        <v>43250</v>
      </c>
    </row>
    <row r="1264" spans="1:4" x14ac:dyDescent="0.25">
      <c r="A1264" t="s">
        <v>2033</v>
      </c>
      <c r="C1264" t="s">
        <v>13</v>
      </c>
      <c r="D1264" s="1">
        <v>43221</v>
      </c>
    </row>
    <row r="1265" spans="1:4" x14ac:dyDescent="0.25">
      <c r="A1265" t="s">
        <v>2035</v>
      </c>
      <c r="C1265" t="s">
        <v>13</v>
      </c>
      <c r="D1265" s="1">
        <v>43250</v>
      </c>
    </row>
    <row r="1266" spans="1:4" x14ac:dyDescent="0.25">
      <c r="A1266" t="s">
        <v>2036</v>
      </c>
      <c r="C1266" t="s">
        <v>13</v>
      </c>
      <c r="D1266" s="1">
        <v>43250</v>
      </c>
    </row>
    <row r="1267" spans="1:4" x14ac:dyDescent="0.25">
      <c r="A1267" t="s">
        <v>2129</v>
      </c>
      <c r="C1267" t="s">
        <v>13</v>
      </c>
      <c r="D1267" s="1">
        <v>43250</v>
      </c>
    </row>
    <row r="1268" spans="1:4" x14ac:dyDescent="0.25">
      <c r="A1268" t="s">
        <v>2130</v>
      </c>
      <c r="C1268" t="s">
        <v>13</v>
      </c>
      <c r="D1268" s="1">
        <v>43250</v>
      </c>
    </row>
    <row r="1269" spans="1:4" x14ac:dyDescent="0.25">
      <c r="A1269" t="s">
        <v>2131</v>
      </c>
      <c r="C1269" t="s">
        <v>13</v>
      </c>
      <c r="D1269" s="1">
        <v>43221</v>
      </c>
    </row>
    <row r="1270" spans="1:4" x14ac:dyDescent="0.25">
      <c r="A1270" t="s">
        <v>2132</v>
      </c>
      <c r="C1270" t="s">
        <v>13</v>
      </c>
      <c r="D1270" s="1">
        <v>43250</v>
      </c>
    </row>
    <row r="1271" spans="1:4" x14ac:dyDescent="0.25">
      <c r="A1271" t="s">
        <v>2042</v>
      </c>
      <c r="C1271" t="s">
        <v>13</v>
      </c>
      <c r="D1271" s="1">
        <v>43250</v>
      </c>
    </row>
    <row r="1272" spans="1:4" x14ac:dyDescent="0.25">
      <c r="A1272" t="s">
        <v>2043</v>
      </c>
      <c r="C1272" t="s">
        <v>13</v>
      </c>
      <c r="D1272" s="1">
        <v>43250</v>
      </c>
    </row>
    <row r="1273" spans="1:4" x14ac:dyDescent="0.25">
      <c r="A1273" t="s">
        <v>2044</v>
      </c>
      <c r="C1273" t="s">
        <v>13</v>
      </c>
      <c r="D1273" s="1">
        <v>43250</v>
      </c>
    </row>
    <row r="1274" spans="1:4" x14ac:dyDescent="0.25">
      <c r="A1274" t="s">
        <v>1622</v>
      </c>
      <c r="C1274" t="s">
        <v>13</v>
      </c>
      <c r="D1274" s="1">
        <v>43250</v>
      </c>
    </row>
    <row r="1275" spans="1:4" x14ac:dyDescent="0.25">
      <c r="A1275" t="s">
        <v>2133</v>
      </c>
      <c r="C1275" t="s">
        <v>13</v>
      </c>
      <c r="D1275" s="1">
        <v>43250</v>
      </c>
    </row>
    <row r="1276" spans="1:4" x14ac:dyDescent="0.25">
      <c r="A1276" t="s">
        <v>2048</v>
      </c>
      <c r="C1276" t="s">
        <v>13</v>
      </c>
      <c r="D1276" s="1">
        <v>43221</v>
      </c>
    </row>
    <row r="1277" spans="1:4" x14ac:dyDescent="0.25">
      <c r="A1277" t="s">
        <v>2134</v>
      </c>
      <c r="C1277" t="s">
        <v>13</v>
      </c>
      <c r="D1277" s="1">
        <v>43250</v>
      </c>
    </row>
    <row r="1278" spans="1:4" x14ac:dyDescent="0.25">
      <c r="A1278" t="s">
        <v>2049</v>
      </c>
      <c r="C1278" t="s">
        <v>13</v>
      </c>
      <c r="D1278" s="1">
        <v>43221</v>
      </c>
    </row>
    <row r="1279" spans="1:4" x14ac:dyDescent="0.25">
      <c r="A1279" t="s">
        <v>2135</v>
      </c>
      <c r="C1279" t="s">
        <v>13</v>
      </c>
      <c r="D1279" s="1">
        <v>43250</v>
      </c>
    </row>
    <row r="1280" spans="1:4" x14ac:dyDescent="0.25">
      <c r="A1280" t="s">
        <v>2051</v>
      </c>
      <c r="C1280" t="s">
        <v>13</v>
      </c>
      <c r="D1280" s="1">
        <v>43250</v>
      </c>
    </row>
    <row r="1281" spans="1:4" x14ac:dyDescent="0.25">
      <c r="A1281" t="s">
        <v>2052</v>
      </c>
      <c r="C1281" t="s">
        <v>13</v>
      </c>
      <c r="D1281" s="1">
        <v>43250</v>
      </c>
    </row>
    <row r="1282" spans="1:4" x14ac:dyDescent="0.25">
      <c r="A1282" t="s">
        <v>2136</v>
      </c>
      <c r="C1282" t="s">
        <v>13</v>
      </c>
      <c r="D1282" s="1">
        <v>43250</v>
      </c>
    </row>
    <row r="1283" spans="1:4" x14ac:dyDescent="0.25">
      <c r="A1283" t="s">
        <v>2137</v>
      </c>
      <c r="C1283" t="s">
        <v>13</v>
      </c>
      <c r="D1283" s="1">
        <v>43250</v>
      </c>
    </row>
    <row r="1284" spans="1:4" x14ac:dyDescent="0.25">
      <c r="A1284" t="s">
        <v>1588</v>
      </c>
      <c r="C1284" t="s">
        <v>13</v>
      </c>
      <c r="D1284" s="1">
        <v>43250</v>
      </c>
    </row>
    <row r="1285" spans="1:4" x14ac:dyDescent="0.25">
      <c r="A1285" t="s">
        <v>2060</v>
      </c>
      <c r="C1285" t="s">
        <v>13</v>
      </c>
      <c r="D1285" s="1">
        <v>43250</v>
      </c>
    </row>
    <row r="1286" spans="1:4" x14ac:dyDescent="0.25">
      <c r="A1286" t="s">
        <v>2061</v>
      </c>
      <c r="C1286" t="s">
        <v>13</v>
      </c>
      <c r="D1286" s="1">
        <v>43250</v>
      </c>
    </row>
    <row r="1287" spans="1:4" x14ac:dyDescent="0.25">
      <c r="A1287" t="s">
        <v>2138</v>
      </c>
      <c r="C1287" t="s">
        <v>13</v>
      </c>
      <c r="D1287" s="1">
        <v>43239</v>
      </c>
    </row>
    <row r="1288" spans="1:4" x14ac:dyDescent="0.25">
      <c r="A1288" t="s">
        <v>1915</v>
      </c>
      <c r="C1288" t="s">
        <v>13</v>
      </c>
      <c r="D1288" s="1">
        <v>43239</v>
      </c>
    </row>
    <row r="1289" spans="1:4" x14ac:dyDescent="0.25">
      <c r="A1289" t="s">
        <v>2139</v>
      </c>
      <c r="C1289" t="s">
        <v>13</v>
      </c>
      <c r="D1289" s="1">
        <v>43250</v>
      </c>
    </row>
    <row r="1290" spans="1:4" x14ac:dyDescent="0.25">
      <c r="A1290" t="s">
        <v>1542</v>
      </c>
      <c r="C1290" t="s">
        <v>13</v>
      </c>
      <c r="D1290" s="1">
        <v>43250</v>
      </c>
    </row>
    <row r="1291" spans="1:4" x14ac:dyDescent="0.25">
      <c r="A1291" t="s">
        <v>2140</v>
      </c>
      <c r="C1291" t="s">
        <v>13</v>
      </c>
      <c r="D1291" s="1">
        <v>43250</v>
      </c>
    </row>
    <row r="1292" spans="1:4" x14ac:dyDescent="0.25">
      <c r="A1292" t="s">
        <v>2141</v>
      </c>
      <c r="C1292" t="s">
        <v>13</v>
      </c>
      <c r="D1292" s="1">
        <v>43230</v>
      </c>
    </row>
    <row r="1293" spans="1:4" x14ac:dyDescent="0.25">
      <c r="A1293" t="s">
        <v>2142</v>
      </c>
      <c r="C1293" t="s">
        <v>13</v>
      </c>
      <c r="D1293" s="1">
        <v>43237</v>
      </c>
    </row>
    <row r="1294" spans="1:4" x14ac:dyDescent="0.25">
      <c r="A1294" t="s">
        <v>2143</v>
      </c>
      <c r="C1294" t="s">
        <v>13</v>
      </c>
      <c r="D1294" s="1">
        <v>43250</v>
      </c>
    </row>
    <row r="1295" spans="1:4" x14ac:dyDescent="0.25">
      <c r="A1295" t="s">
        <v>2144</v>
      </c>
      <c r="C1295" t="s">
        <v>13</v>
      </c>
      <c r="D1295" s="1">
        <v>43250</v>
      </c>
    </row>
    <row r="1296" spans="1:4" x14ac:dyDescent="0.25">
      <c r="A1296" t="s">
        <v>1721</v>
      </c>
      <c r="C1296" t="s">
        <v>14</v>
      </c>
      <c r="D1296" s="1">
        <v>43238</v>
      </c>
    </row>
    <row r="1297" spans="1:4" x14ac:dyDescent="0.25">
      <c r="A1297" t="s">
        <v>1594</v>
      </c>
      <c r="C1297" t="s">
        <v>14</v>
      </c>
      <c r="D1297" s="1">
        <v>43237</v>
      </c>
    </row>
    <row r="1298" spans="1:4" x14ac:dyDescent="0.25">
      <c r="A1298" t="s">
        <v>1571</v>
      </c>
      <c r="C1298" t="s">
        <v>14</v>
      </c>
      <c r="D1298" s="1">
        <v>43237</v>
      </c>
    </row>
    <row r="1299" spans="1:4" x14ac:dyDescent="0.25">
      <c r="A1299" t="s">
        <v>1599</v>
      </c>
      <c r="C1299" t="s">
        <v>14</v>
      </c>
      <c r="D1299" s="1">
        <v>43237</v>
      </c>
    </row>
    <row r="1300" spans="1:4" x14ac:dyDescent="0.25">
      <c r="A1300" t="s">
        <v>949</v>
      </c>
      <c r="C1300" t="s">
        <v>14</v>
      </c>
      <c r="D1300" s="1">
        <v>43227</v>
      </c>
    </row>
    <row r="1301" spans="1:4" x14ac:dyDescent="0.25">
      <c r="A1301" t="s">
        <v>1722</v>
      </c>
      <c r="C1301" t="s">
        <v>14</v>
      </c>
      <c r="D1301" s="1">
        <v>43230</v>
      </c>
    </row>
    <row r="1302" spans="1:4" x14ac:dyDescent="0.25">
      <c r="A1302" t="s">
        <v>1628</v>
      </c>
      <c r="C1302" t="s">
        <v>14</v>
      </c>
      <c r="D1302" s="1">
        <v>43237</v>
      </c>
    </row>
    <row r="1303" spans="1:4" x14ac:dyDescent="0.25">
      <c r="A1303" t="s">
        <v>1629</v>
      </c>
      <c r="C1303" t="s">
        <v>14</v>
      </c>
      <c r="D1303" s="1">
        <v>43237</v>
      </c>
    </row>
    <row r="1304" spans="1:4" x14ac:dyDescent="0.25">
      <c r="A1304" t="s">
        <v>1077</v>
      </c>
      <c r="C1304" t="s">
        <v>14</v>
      </c>
      <c r="D1304" s="1">
        <v>43241</v>
      </c>
    </row>
    <row r="1305" spans="1:4" x14ac:dyDescent="0.25">
      <c r="A1305" t="s">
        <v>382</v>
      </c>
      <c r="C1305" t="s">
        <v>14</v>
      </c>
      <c r="D1305" s="1">
        <v>43251</v>
      </c>
    </row>
    <row r="1306" spans="1:4" x14ac:dyDescent="0.25">
      <c r="A1306" t="s">
        <v>1093</v>
      </c>
      <c r="C1306" t="s">
        <v>14</v>
      </c>
      <c r="D1306" s="1">
        <v>43230</v>
      </c>
    </row>
    <row r="1307" spans="1:4" x14ac:dyDescent="0.25">
      <c r="A1307" t="s">
        <v>1110</v>
      </c>
      <c r="C1307" t="s">
        <v>14</v>
      </c>
      <c r="D1307" s="1">
        <v>43235</v>
      </c>
    </row>
    <row r="1308" spans="1:4" x14ac:dyDescent="0.25">
      <c r="A1308" t="s">
        <v>556</v>
      </c>
      <c r="C1308" t="s">
        <v>14</v>
      </c>
      <c r="D1308" s="1">
        <v>43229</v>
      </c>
    </row>
    <row r="1309" spans="1:4" x14ac:dyDescent="0.25">
      <c r="A1309" t="s">
        <v>1723</v>
      </c>
      <c r="C1309" t="s">
        <v>14</v>
      </c>
      <c r="D1309" s="1">
        <v>43237</v>
      </c>
    </row>
    <row r="1310" spans="1:4" x14ac:dyDescent="0.25">
      <c r="A1310" t="s">
        <v>1724</v>
      </c>
      <c r="C1310" t="s">
        <v>14</v>
      </c>
      <c r="D1310" s="1">
        <v>43242</v>
      </c>
    </row>
    <row r="1311" spans="1:4" x14ac:dyDescent="0.25">
      <c r="A1311" t="s">
        <v>1265</v>
      </c>
      <c r="C1311" t="s">
        <v>14</v>
      </c>
      <c r="D1311" s="1">
        <v>43227</v>
      </c>
    </row>
    <row r="1312" spans="1:4" x14ac:dyDescent="0.25">
      <c r="A1312" t="s">
        <v>407</v>
      </c>
      <c r="C1312" t="s">
        <v>14</v>
      </c>
      <c r="D1312" s="1">
        <v>43251</v>
      </c>
    </row>
    <row r="1313" spans="1:4" x14ac:dyDescent="0.25">
      <c r="A1313" t="s">
        <v>1725</v>
      </c>
      <c r="C1313" t="s">
        <v>14</v>
      </c>
      <c r="D1313" s="1">
        <v>43230</v>
      </c>
    </row>
    <row r="1314" spans="1:4" x14ac:dyDescent="0.25">
      <c r="A1314" t="s">
        <v>1383</v>
      </c>
      <c r="C1314" t="s">
        <v>14</v>
      </c>
      <c r="D1314" s="1">
        <v>43227</v>
      </c>
    </row>
    <row r="1315" spans="1:4" x14ac:dyDescent="0.25">
      <c r="A1315" t="s">
        <v>2145</v>
      </c>
      <c r="C1315" t="s">
        <v>14</v>
      </c>
      <c r="D1315" s="1">
        <v>43228</v>
      </c>
    </row>
    <row r="1316" spans="1:4" x14ac:dyDescent="0.25">
      <c r="A1316" t="s">
        <v>1224</v>
      </c>
      <c r="C1316" t="s">
        <v>14</v>
      </c>
      <c r="D1316" s="1">
        <v>43227</v>
      </c>
    </row>
    <row r="1317" spans="1:4" x14ac:dyDescent="0.25">
      <c r="A1317" t="s">
        <v>990</v>
      </c>
      <c r="C1317" t="s">
        <v>14</v>
      </c>
      <c r="D1317" s="1">
        <v>43230</v>
      </c>
    </row>
    <row r="1318" spans="1:4" x14ac:dyDescent="0.25">
      <c r="A1318" t="s">
        <v>1334</v>
      </c>
      <c r="C1318" t="s">
        <v>14</v>
      </c>
      <c r="D1318" s="1">
        <v>43227</v>
      </c>
    </row>
    <row r="1319" spans="1:4" x14ac:dyDescent="0.25">
      <c r="A1319" t="s">
        <v>768</v>
      </c>
      <c r="C1319" t="s">
        <v>14</v>
      </c>
      <c r="D1319" s="1">
        <v>43245</v>
      </c>
    </row>
    <row r="1320" spans="1:4" x14ac:dyDescent="0.25">
      <c r="A1320" t="s">
        <v>48</v>
      </c>
      <c r="C1320" t="s">
        <v>14</v>
      </c>
      <c r="D1320" s="1">
        <v>43230</v>
      </c>
    </row>
    <row r="1321" spans="1:4" x14ac:dyDescent="0.25">
      <c r="A1321" t="s">
        <v>1891</v>
      </c>
      <c r="C1321" t="s">
        <v>14</v>
      </c>
      <c r="D1321" s="1">
        <v>43245</v>
      </c>
    </row>
    <row r="1322" spans="1:4" x14ac:dyDescent="0.25">
      <c r="A1322" t="s">
        <v>2146</v>
      </c>
      <c r="C1322" t="s">
        <v>14</v>
      </c>
      <c r="D1322" s="1">
        <v>43251</v>
      </c>
    </row>
    <row r="1323" spans="1:4" x14ac:dyDescent="0.25">
      <c r="A1323" t="s">
        <v>700</v>
      </c>
      <c r="C1323" t="s">
        <v>14</v>
      </c>
      <c r="D1323" s="1">
        <v>43229</v>
      </c>
    </row>
    <row r="1324" spans="1:4" x14ac:dyDescent="0.25">
      <c r="A1324" t="s">
        <v>1726</v>
      </c>
      <c r="C1324" t="s">
        <v>14</v>
      </c>
      <c r="D1324" s="1">
        <v>43229</v>
      </c>
    </row>
    <row r="1325" spans="1:4" x14ac:dyDescent="0.25">
      <c r="A1325" t="s">
        <v>2147</v>
      </c>
      <c r="C1325" t="s">
        <v>14</v>
      </c>
      <c r="D1325" s="1">
        <v>43242</v>
      </c>
    </row>
    <row r="1326" spans="1:4" x14ac:dyDescent="0.25">
      <c r="A1326" t="s">
        <v>684</v>
      </c>
      <c r="C1326" t="s">
        <v>14</v>
      </c>
      <c r="D1326" s="1">
        <v>43244</v>
      </c>
    </row>
    <row r="1327" spans="1:4" x14ac:dyDescent="0.25">
      <c r="A1327" t="s">
        <v>548</v>
      </c>
      <c r="C1327" t="s">
        <v>14</v>
      </c>
      <c r="D1327" s="1">
        <v>43244</v>
      </c>
    </row>
    <row r="1328" spans="1:4" x14ac:dyDescent="0.25">
      <c r="A1328" t="s">
        <v>2148</v>
      </c>
      <c r="C1328" t="s">
        <v>14</v>
      </c>
      <c r="D1328" s="1">
        <v>43251</v>
      </c>
    </row>
    <row r="1329" spans="1:4" x14ac:dyDescent="0.25">
      <c r="A1329" t="s">
        <v>1892</v>
      </c>
      <c r="C1329" t="s">
        <v>14</v>
      </c>
      <c r="D1329" s="1">
        <v>43245</v>
      </c>
    </row>
    <row r="1330" spans="1:4" x14ac:dyDescent="0.25">
      <c r="A1330" t="s">
        <v>1031</v>
      </c>
      <c r="C1330" t="s">
        <v>14</v>
      </c>
      <c r="D1330" s="1">
        <v>43241</v>
      </c>
    </row>
    <row r="1331" spans="1:4" x14ac:dyDescent="0.25">
      <c r="A1331" t="s">
        <v>558</v>
      </c>
      <c r="C1331" t="s">
        <v>14</v>
      </c>
      <c r="D1331" s="1">
        <v>43228</v>
      </c>
    </row>
    <row r="1332" spans="1:4" x14ac:dyDescent="0.25">
      <c r="A1332" t="s">
        <v>283</v>
      </c>
      <c r="C1332" t="s">
        <v>14</v>
      </c>
      <c r="D1332" s="1">
        <v>43250</v>
      </c>
    </row>
    <row r="1333" spans="1:4" x14ac:dyDescent="0.25">
      <c r="A1333" t="s">
        <v>643</v>
      </c>
      <c r="C1333" t="s">
        <v>14</v>
      </c>
      <c r="D1333" s="1">
        <v>43248</v>
      </c>
    </row>
    <row r="1334" spans="1:4" x14ac:dyDescent="0.25">
      <c r="A1334" t="s">
        <v>568</v>
      </c>
      <c r="C1334" t="s">
        <v>14</v>
      </c>
      <c r="D1334" s="1">
        <v>43251</v>
      </c>
    </row>
    <row r="1335" spans="1:4" x14ac:dyDescent="0.25">
      <c r="A1335" t="s">
        <v>1727</v>
      </c>
      <c r="C1335" t="s">
        <v>14</v>
      </c>
      <c r="D1335" s="1">
        <v>43230</v>
      </c>
    </row>
    <row r="1336" spans="1:4" x14ac:dyDescent="0.25">
      <c r="A1336" t="s">
        <v>1729</v>
      </c>
      <c r="C1336" t="s">
        <v>14</v>
      </c>
      <c r="D1336" s="1">
        <v>43242</v>
      </c>
    </row>
    <row r="1337" spans="1:4" x14ac:dyDescent="0.25">
      <c r="A1337" t="s">
        <v>978</v>
      </c>
      <c r="C1337" t="s">
        <v>14</v>
      </c>
      <c r="D1337" s="1">
        <v>43241</v>
      </c>
    </row>
    <row r="1338" spans="1:4" x14ac:dyDescent="0.25">
      <c r="A1338" t="s">
        <v>1730</v>
      </c>
      <c r="C1338" t="s">
        <v>14</v>
      </c>
      <c r="D1338" s="1">
        <v>43229</v>
      </c>
    </row>
    <row r="1339" spans="1:4" x14ac:dyDescent="0.25">
      <c r="A1339" t="s">
        <v>1731</v>
      </c>
      <c r="C1339" t="s">
        <v>14</v>
      </c>
      <c r="D1339" s="1">
        <v>43237</v>
      </c>
    </row>
    <row r="1340" spans="1:4" x14ac:dyDescent="0.25">
      <c r="A1340" t="s">
        <v>1040</v>
      </c>
      <c r="C1340" t="s">
        <v>14</v>
      </c>
      <c r="D1340" s="1">
        <v>43241</v>
      </c>
    </row>
    <row r="1341" spans="1:4" x14ac:dyDescent="0.25">
      <c r="A1341" t="s">
        <v>2149</v>
      </c>
      <c r="C1341" t="s">
        <v>14</v>
      </c>
      <c r="D1341" s="1">
        <v>43228</v>
      </c>
    </row>
    <row r="1342" spans="1:4" x14ac:dyDescent="0.25">
      <c r="A1342" t="s">
        <v>1151</v>
      </c>
      <c r="C1342" t="s">
        <v>14</v>
      </c>
      <c r="D1342" s="1">
        <v>43230</v>
      </c>
    </row>
    <row r="1343" spans="1:4" x14ac:dyDescent="0.25">
      <c r="A1343" t="s">
        <v>131</v>
      </c>
      <c r="C1343" t="s">
        <v>14</v>
      </c>
      <c r="D1343" s="1">
        <v>43230</v>
      </c>
    </row>
    <row r="1344" spans="1:4" x14ac:dyDescent="0.25">
      <c r="A1344" t="s">
        <v>622</v>
      </c>
      <c r="C1344" t="s">
        <v>14</v>
      </c>
      <c r="D1344" s="1">
        <v>43244</v>
      </c>
    </row>
    <row r="1345" spans="1:4" x14ac:dyDescent="0.25">
      <c r="A1345" t="s">
        <v>1893</v>
      </c>
      <c r="C1345" t="s">
        <v>14</v>
      </c>
      <c r="D1345" s="1">
        <v>43245</v>
      </c>
    </row>
    <row r="1346" spans="1:4" x14ac:dyDescent="0.25">
      <c r="A1346" t="s">
        <v>1894</v>
      </c>
      <c r="C1346" t="s">
        <v>14</v>
      </c>
      <c r="D1346" s="1">
        <v>43245</v>
      </c>
    </row>
    <row r="1347" spans="1:4" x14ac:dyDescent="0.25">
      <c r="A1347" t="s">
        <v>2150</v>
      </c>
      <c r="C1347" t="s">
        <v>14</v>
      </c>
      <c r="D1347" s="1">
        <v>43242</v>
      </c>
    </row>
    <row r="1348" spans="1:4" x14ac:dyDescent="0.25">
      <c r="A1348" t="s">
        <v>2151</v>
      </c>
      <c r="C1348" t="s">
        <v>14</v>
      </c>
      <c r="D1348" s="1">
        <v>43242</v>
      </c>
    </row>
    <row r="1349" spans="1:4" x14ac:dyDescent="0.25">
      <c r="A1349" t="s">
        <v>650</v>
      </c>
      <c r="C1349" t="s">
        <v>14</v>
      </c>
      <c r="D1349" s="1">
        <v>43251</v>
      </c>
    </row>
    <row r="1350" spans="1:4" x14ac:dyDescent="0.25">
      <c r="A1350" t="s">
        <v>1005</v>
      </c>
      <c r="C1350" t="s">
        <v>14</v>
      </c>
      <c r="D1350" s="1">
        <v>43236</v>
      </c>
    </row>
    <row r="1351" spans="1:4" x14ac:dyDescent="0.25">
      <c r="A1351" t="s">
        <v>905</v>
      </c>
      <c r="C1351" t="s">
        <v>14</v>
      </c>
      <c r="D1351" s="1">
        <v>43244</v>
      </c>
    </row>
    <row r="1352" spans="1:4" x14ac:dyDescent="0.25">
      <c r="A1352" t="s">
        <v>1061</v>
      </c>
      <c r="C1352" t="s">
        <v>14</v>
      </c>
      <c r="D1352" s="1">
        <v>43241</v>
      </c>
    </row>
    <row r="1353" spans="1:4" x14ac:dyDescent="0.25">
      <c r="A1353" t="s">
        <v>2092</v>
      </c>
      <c r="C1353" t="s">
        <v>14</v>
      </c>
      <c r="D1353" s="1">
        <v>43222</v>
      </c>
    </row>
    <row r="1354" spans="1:4" x14ac:dyDescent="0.25">
      <c r="A1354" t="s">
        <v>1732</v>
      </c>
      <c r="C1354" t="s">
        <v>14</v>
      </c>
      <c r="D1354" s="1">
        <v>43237</v>
      </c>
    </row>
    <row r="1355" spans="1:4" x14ac:dyDescent="0.25">
      <c r="A1355" t="s">
        <v>1206</v>
      </c>
      <c r="C1355" t="s">
        <v>14</v>
      </c>
      <c r="D1355" s="1">
        <v>43241</v>
      </c>
    </row>
    <row r="1356" spans="1:4" x14ac:dyDescent="0.25">
      <c r="A1356" t="s">
        <v>766</v>
      </c>
      <c r="C1356" t="s">
        <v>14</v>
      </c>
      <c r="D1356" s="1">
        <v>43234</v>
      </c>
    </row>
    <row r="1357" spans="1:4" x14ac:dyDescent="0.25">
      <c r="A1357" t="s">
        <v>843</v>
      </c>
      <c r="C1357" t="s">
        <v>14</v>
      </c>
      <c r="D1357" s="1">
        <v>43230</v>
      </c>
    </row>
    <row r="1358" spans="1:4" x14ac:dyDescent="0.25">
      <c r="A1358" t="s">
        <v>1735</v>
      </c>
      <c r="C1358" t="s">
        <v>14</v>
      </c>
      <c r="D1358" s="1">
        <v>43230</v>
      </c>
    </row>
    <row r="1359" spans="1:4" x14ac:dyDescent="0.25">
      <c r="A1359" t="s">
        <v>1123</v>
      </c>
      <c r="C1359" t="s">
        <v>14</v>
      </c>
      <c r="D1359" s="1">
        <v>43234</v>
      </c>
    </row>
    <row r="1360" spans="1:4" x14ac:dyDescent="0.25">
      <c r="A1360" t="s">
        <v>582</v>
      </c>
      <c r="C1360" t="s">
        <v>14</v>
      </c>
      <c r="D1360" s="1">
        <v>43227</v>
      </c>
    </row>
    <row r="1361" spans="1:4" x14ac:dyDescent="0.25">
      <c r="A1361" t="s">
        <v>863</v>
      </c>
      <c r="C1361" t="s">
        <v>14</v>
      </c>
      <c r="D1361" s="1">
        <v>43230</v>
      </c>
    </row>
    <row r="1362" spans="1:4" x14ac:dyDescent="0.25">
      <c r="A1362" t="s">
        <v>1173</v>
      </c>
      <c r="C1362" t="s">
        <v>14</v>
      </c>
      <c r="D1362" s="1">
        <v>43234</v>
      </c>
    </row>
    <row r="1363" spans="1:4" x14ac:dyDescent="0.25">
      <c r="A1363" t="s">
        <v>1528</v>
      </c>
      <c r="C1363" t="s">
        <v>14</v>
      </c>
      <c r="D1363" s="1">
        <v>43232</v>
      </c>
    </row>
    <row r="1364" spans="1:4" x14ac:dyDescent="0.25">
      <c r="A1364" t="s">
        <v>1736</v>
      </c>
      <c r="C1364" t="s">
        <v>14</v>
      </c>
      <c r="D1364" s="1">
        <v>43230</v>
      </c>
    </row>
    <row r="1365" spans="1:4" x14ac:dyDescent="0.25">
      <c r="A1365" t="s">
        <v>1737</v>
      </c>
      <c r="C1365" t="s">
        <v>14</v>
      </c>
      <c r="D1365" s="1">
        <v>43230</v>
      </c>
    </row>
    <row r="1366" spans="1:4" x14ac:dyDescent="0.25">
      <c r="A1366" t="s">
        <v>929</v>
      </c>
      <c r="C1366" t="s">
        <v>14</v>
      </c>
      <c r="D1366" s="1">
        <v>43230</v>
      </c>
    </row>
    <row r="1367" spans="1:4" x14ac:dyDescent="0.25">
      <c r="A1367" t="s">
        <v>1335</v>
      </c>
      <c r="C1367" t="s">
        <v>14</v>
      </c>
      <c r="D1367" s="1">
        <v>43230</v>
      </c>
    </row>
    <row r="1368" spans="1:4" x14ac:dyDescent="0.25">
      <c r="A1368" t="s">
        <v>1229</v>
      </c>
      <c r="C1368" t="s">
        <v>14</v>
      </c>
      <c r="D1368" s="1">
        <v>43234</v>
      </c>
    </row>
    <row r="1369" spans="1:4" x14ac:dyDescent="0.25">
      <c r="A1369" t="s">
        <v>103</v>
      </c>
      <c r="C1369" t="s">
        <v>14</v>
      </c>
      <c r="D1369" s="1">
        <v>43230</v>
      </c>
    </row>
    <row r="1370" spans="1:4" x14ac:dyDescent="0.25">
      <c r="A1370" t="s">
        <v>899</v>
      </c>
      <c r="C1370" t="s">
        <v>14</v>
      </c>
      <c r="D1370" s="1">
        <v>43244</v>
      </c>
    </row>
    <row r="1371" spans="1:4" x14ac:dyDescent="0.25">
      <c r="A1371" t="s">
        <v>1127</v>
      </c>
      <c r="C1371" t="s">
        <v>14</v>
      </c>
      <c r="D1371" s="1">
        <v>43251</v>
      </c>
    </row>
    <row r="1372" spans="1:4" x14ac:dyDescent="0.25">
      <c r="A1372" t="s">
        <v>1185</v>
      </c>
      <c r="C1372" t="s">
        <v>14</v>
      </c>
      <c r="D1372" s="1">
        <v>43230</v>
      </c>
    </row>
    <row r="1373" spans="1:4" x14ac:dyDescent="0.25">
      <c r="A1373" t="s">
        <v>1108</v>
      </c>
      <c r="C1373" t="s">
        <v>14</v>
      </c>
      <c r="D1373" s="1">
        <v>43237</v>
      </c>
    </row>
    <row r="1374" spans="1:4" x14ac:dyDescent="0.25">
      <c r="A1374" t="s">
        <v>1742</v>
      </c>
      <c r="C1374" t="s">
        <v>14</v>
      </c>
      <c r="D1374" s="1">
        <v>43228</v>
      </c>
    </row>
    <row r="1375" spans="1:4" x14ac:dyDescent="0.25">
      <c r="A1375" t="s">
        <v>1244</v>
      </c>
      <c r="C1375" t="s">
        <v>14</v>
      </c>
      <c r="D1375" s="1">
        <v>43228</v>
      </c>
    </row>
    <row r="1376" spans="1:4" x14ac:dyDescent="0.25">
      <c r="A1376" t="s">
        <v>1418</v>
      </c>
      <c r="C1376" t="s">
        <v>14</v>
      </c>
      <c r="D1376" s="1">
        <v>43224</v>
      </c>
    </row>
    <row r="1377" spans="1:4" x14ac:dyDescent="0.25">
      <c r="A1377" t="s">
        <v>1744</v>
      </c>
      <c r="C1377" t="s">
        <v>14</v>
      </c>
      <c r="D1377" s="1">
        <v>43237</v>
      </c>
    </row>
    <row r="1378" spans="1:4" x14ac:dyDescent="0.25">
      <c r="A1378" t="s">
        <v>1745</v>
      </c>
      <c r="C1378" t="s">
        <v>14</v>
      </c>
      <c r="D1378" s="1">
        <v>43222</v>
      </c>
    </row>
    <row r="1379" spans="1:4" x14ac:dyDescent="0.25">
      <c r="A1379" t="s">
        <v>512</v>
      </c>
      <c r="C1379" t="s">
        <v>14</v>
      </c>
      <c r="D1379" s="1">
        <v>43230</v>
      </c>
    </row>
    <row r="1380" spans="1:4" x14ac:dyDescent="0.25">
      <c r="A1380" t="s">
        <v>1747</v>
      </c>
      <c r="C1380" t="s">
        <v>14</v>
      </c>
      <c r="D1380" s="1">
        <v>43222</v>
      </c>
    </row>
    <row r="1381" spans="1:4" x14ac:dyDescent="0.25">
      <c r="A1381" t="s">
        <v>1046</v>
      </c>
      <c r="C1381" t="s">
        <v>14</v>
      </c>
      <c r="D1381" s="1">
        <v>43236</v>
      </c>
    </row>
    <row r="1382" spans="1:4" x14ac:dyDescent="0.25">
      <c r="A1382" t="s">
        <v>1269</v>
      </c>
      <c r="C1382" t="s">
        <v>14</v>
      </c>
      <c r="D1382" s="1">
        <v>43237</v>
      </c>
    </row>
    <row r="1383" spans="1:4" x14ac:dyDescent="0.25">
      <c r="A1383" t="s">
        <v>1663</v>
      </c>
      <c r="C1383" t="s">
        <v>14</v>
      </c>
      <c r="D1383" s="1">
        <v>43240</v>
      </c>
    </row>
    <row r="1384" spans="1:4" x14ac:dyDescent="0.25">
      <c r="A1384" t="s">
        <v>1748</v>
      </c>
      <c r="C1384" t="s">
        <v>14</v>
      </c>
      <c r="D1384" s="1">
        <v>43221</v>
      </c>
    </row>
    <row r="1385" spans="1:4" x14ac:dyDescent="0.25">
      <c r="A1385" t="s">
        <v>963</v>
      </c>
      <c r="C1385" t="s">
        <v>14</v>
      </c>
      <c r="D1385" s="1">
        <v>43234</v>
      </c>
    </row>
    <row r="1386" spans="1:4" x14ac:dyDescent="0.25">
      <c r="A1386" t="s">
        <v>965</v>
      </c>
      <c r="C1386" t="s">
        <v>14</v>
      </c>
      <c r="D1386" s="1">
        <v>43236</v>
      </c>
    </row>
    <row r="1387" spans="1:4" x14ac:dyDescent="0.25">
      <c r="A1387" t="s">
        <v>523</v>
      </c>
      <c r="C1387" t="s">
        <v>14</v>
      </c>
      <c r="D1387" s="1">
        <v>43241</v>
      </c>
    </row>
    <row r="1388" spans="1:4" x14ac:dyDescent="0.25">
      <c r="A1388" t="s">
        <v>1749</v>
      </c>
      <c r="C1388" t="s">
        <v>14</v>
      </c>
      <c r="D1388" s="1">
        <v>43230</v>
      </c>
    </row>
    <row r="1389" spans="1:4" x14ac:dyDescent="0.25">
      <c r="A1389" t="s">
        <v>1750</v>
      </c>
      <c r="C1389" t="s">
        <v>14</v>
      </c>
      <c r="D1389" s="1">
        <v>43234</v>
      </c>
    </row>
    <row r="1390" spans="1:4" x14ac:dyDescent="0.25">
      <c r="A1390" t="s">
        <v>1264</v>
      </c>
      <c r="C1390" t="s">
        <v>14</v>
      </c>
      <c r="D1390" s="1">
        <v>43228</v>
      </c>
    </row>
    <row r="1391" spans="1:4" x14ac:dyDescent="0.25">
      <c r="A1391" t="s">
        <v>1281</v>
      </c>
      <c r="C1391" t="s">
        <v>14</v>
      </c>
      <c r="D1391" s="1">
        <v>43227</v>
      </c>
    </row>
    <row r="1392" spans="1:4" x14ac:dyDescent="0.25">
      <c r="A1392" t="s">
        <v>1004</v>
      </c>
      <c r="C1392" t="s">
        <v>14</v>
      </c>
      <c r="D1392" s="1">
        <v>43230</v>
      </c>
    </row>
    <row r="1393" spans="1:4" x14ac:dyDescent="0.25">
      <c r="A1393" t="s">
        <v>1032</v>
      </c>
      <c r="C1393" t="s">
        <v>14</v>
      </c>
      <c r="D1393" s="1">
        <v>43251</v>
      </c>
    </row>
    <row r="1394" spans="1:4" x14ac:dyDescent="0.25">
      <c r="A1394" t="s">
        <v>1027</v>
      </c>
      <c r="C1394" t="s">
        <v>14</v>
      </c>
      <c r="D1394" s="1">
        <v>43251</v>
      </c>
    </row>
    <row r="1395" spans="1:4" x14ac:dyDescent="0.25">
      <c r="A1395" t="s">
        <v>926</v>
      </c>
      <c r="C1395" t="s">
        <v>14</v>
      </c>
      <c r="D1395" s="1">
        <v>43251</v>
      </c>
    </row>
    <row r="1396" spans="1:4" x14ac:dyDescent="0.25">
      <c r="A1396" t="s">
        <v>1039</v>
      </c>
      <c r="C1396" t="s">
        <v>14</v>
      </c>
      <c r="D1396" s="1">
        <v>43227</v>
      </c>
    </row>
    <row r="1397" spans="1:4" x14ac:dyDescent="0.25">
      <c r="A1397" t="s">
        <v>873</v>
      </c>
      <c r="C1397" t="s">
        <v>14</v>
      </c>
      <c r="D1397" s="1">
        <v>43237</v>
      </c>
    </row>
    <row r="1398" spans="1:4" x14ac:dyDescent="0.25">
      <c r="A1398" t="s">
        <v>1753</v>
      </c>
      <c r="C1398" t="s">
        <v>14</v>
      </c>
      <c r="D1398" s="1">
        <v>43230</v>
      </c>
    </row>
    <row r="1399" spans="1:4" x14ac:dyDescent="0.25">
      <c r="A1399" t="s">
        <v>1596</v>
      </c>
      <c r="C1399" t="s">
        <v>14</v>
      </c>
      <c r="D1399" s="1">
        <v>43227</v>
      </c>
    </row>
    <row r="1400" spans="1:4" x14ac:dyDescent="0.25">
      <c r="A1400" t="s">
        <v>1150</v>
      </c>
      <c r="C1400" t="s">
        <v>14</v>
      </c>
      <c r="D1400" s="1">
        <v>43234</v>
      </c>
    </row>
    <row r="1401" spans="1:4" x14ac:dyDescent="0.25">
      <c r="A1401" t="s">
        <v>948</v>
      </c>
      <c r="C1401" t="s">
        <v>14</v>
      </c>
      <c r="D1401" s="1">
        <v>43236</v>
      </c>
    </row>
    <row r="1402" spans="1:4" x14ac:dyDescent="0.25">
      <c r="A1402" t="s">
        <v>1025</v>
      </c>
      <c r="C1402" t="s">
        <v>14</v>
      </c>
      <c r="D1402" s="1">
        <v>43228</v>
      </c>
    </row>
    <row r="1403" spans="1:4" x14ac:dyDescent="0.25">
      <c r="A1403" t="s">
        <v>1561</v>
      </c>
      <c r="C1403" t="s">
        <v>14</v>
      </c>
      <c r="D1403" s="1">
        <v>43227</v>
      </c>
    </row>
    <row r="1404" spans="1:4" x14ac:dyDescent="0.25">
      <c r="A1404" t="s">
        <v>910</v>
      </c>
      <c r="C1404" t="s">
        <v>14</v>
      </c>
      <c r="D1404" s="1">
        <v>43227</v>
      </c>
    </row>
    <row r="1405" spans="1:4" x14ac:dyDescent="0.25">
      <c r="A1405" t="s">
        <v>781</v>
      </c>
      <c r="C1405" t="s">
        <v>14</v>
      </c>
      <c r="D1405" s="1">
        <v>43222</v>
      </c>
    </row>
    <row r="1406" spans="1:4" x14ac:dyDescent="0.25">
      <c r="A1406" t="s">
        <v>1755</v>
      </c>
      <c r="C1406" t="s">
        <v>14</v>
      </c>
      <c r="D1406" s="1">
        <v>43237</v>
      </c>
    </row>
    <row r="1407" spans="1:4" x14ac:dyDescent="0.25">
      <c r="A1407" t="s">
        <v>998</v>
      </c>
      <c r="C1407" t="s">
        <v>14</v>
      </c>
      <c r="D1407" s="1">
        <v>43230</v>
      </c>
    </row>
    <row r="1408" spans="1:4" x14ac:dyDescent="0.25">
      <c r="A1408" t="s">
        <v>1756</v>
      </c>
      <c r="C1408" t="s">
        <v>14</v>
      </c>
      <c r="D1408" s="1">
        <v>43230</v>
      </c>
    </row>
    <row r="1409" spans="1:4" x14ac:dyDescent="0.25">
      <c r="A1409" t="s">
        <v>1086</v>
      </c>
      <c r="C1409" t="s">
        <v>14</v>
      </c>
      <c r="D1409" s="1">
        <v>43251</v>
      </c>
    </row>
    <row r="1410" spans="1:4" x14ac:dyDescent="0.25">
      <c r="A1410" t="s">
        <v>1757</v>
      </c>
      <c r="C1410" t="s">
        <v>14</v>
      </c>
      <c r="D1410" s="1">
        <v>43230</v>
      </c>
    </row>
    <row r="1411" spans="1:4" x14ac:dyDescent="0.25">
      <c r="A1411" t="s">
        <v>530</v>
      </c>
      <c r="C1411" t="s">
        <v>14</v>
      </c>
      <c r="D1411" s="1">
        <v>43251</v>
      </c>
    </row>
    <row r="1412" spans="1:4" x14ac:dyDescent="0.25">
      <c r="A1412" t="s">
        <v>2152</v>
      </c>
      <c r="C1412" t="s">
        <v>14</v>
      </c>
      <c r="D1412" s="1">
        <v>43222</v>
      </c>
    </row>
    <row r="1413" spans="1:4" x14ac:dyDescent="0.25">
      <c r="A1413" t="s">
        <v>1152</v>
      </c>
      <c r="C1413" t="s">
        <v>14</v>
      </c>
      <c r="D1413" s="1">
        <v>43227</v>
      </c>
    </row>
    <row r="1414" spans="1:4" x14ac:dyDescent="0.25">
      <c r="A1414" t="s">
        <v>891</v>
      </c>
      <c r="C1414" t="s">
        <v>14</v>
      </c>
      <c r="D1414" s="1">
        <v>43230</v>
      </c>
    </row>
    <row r="1415" spans="1:4" x14ac:dyDescent="0.25">
      <c r="A1415" t="s">
        <v>739</v>
      </c>
      <c r="C1415" t="s">
        <v>14</v>
      </c>
      <c r="D1415" s="1">
        <v>43230</v>
      </c>
    </row>
    <row r="1416" spans="1:4" x14ac:dyDescent="0.25">
      <c r="A1416" t="s">
        <v>572</v>
      </c>
      <c r="C1416" t="s">
        <v>14</v>
      </c>
      <c r="D1416" s="1">
        <v>43234</v>
      </c>
    </row>
    <row r="1417" spans="1:4" x14ac:dyDescent="0.25">
      <c r="A1417" t="s">
        <v>848</v>
      </c>
      <c r="C1417" t="s">
        <v>14</v>
      </c>
      <c r="D1417" s="1">
        <v>43230</v>
      </c>
    </row>
    <row r="1418" spans="1:4" x14ac:dyDescent="0.25">
      <c r="A1418" t="s">
        <v>1336</v>
      </c>
      <c r="C1418" t="s">
        <v>14</v>
      </c>
      <c r="D1418" s="1">
        <v>43230</v>
      </c>
    </row>
    <row r="1419" spans="1:4" x14ac:dyDescent="0.25">
      <c r="A1419" t="s">
        <v>1247</v>
      </c>
      <c r="C1419" t="s">
        <v>14</v>
      </c>
      <c r="D1419" s="1">
        <v>43241</v>
      </c>
    </row>
    <row r="1420" spans="1:4" x14ac:dyDescent="0.25">
      <c r="A1420" t="s">
        <v>1758</v>
      </c>
      <c r="C1420" t="s">
        <v>14</v>
      </c>
      <c r="D1420" s="1">
        <v>43230</v>
      </c>
    </row>
    <row r="1421" spans="1:4" x14ac:dyDescent="0.25">
      <c r="A1421" t="s">
        <v>1759</v>
      </c>
      <c r="C1421" t="s">
        <v>14</v>
      </c>
      <c r="D1421" s="1">
        <v>43230</v>
      </c>
    </row>
    <row r="1422" spans="1:4" x14ac:dyDescent="0.25">
      <c r="A1422" t="s">
        <v>1760</v>
      </c>
      <c r="C1422" t="s">
        <v>14</v>
      </c>
      <c r="D1422" s="1">
        <v>43222</v>
      </c>
    </row>
    <row r="1423" spans="1:4" x14ac:dyDescent="0.25">
      <c r="A1423" t="s">
        <v>837</v>
      </c>
      <c r="C1423" t="s">
        <v>14</v>
      </c>
      <c r="D1423" s="1">
        <v>43237</v>
      </c>
    </row>
    <row r="1424" spans="1:4" x14ac:dyDescent="0.25">
      <c r="A1424" t="s">
        <v>1071</v>
      </c>
      <c r="C1424" t="s">
        <v>14</v>
      </c>
      <c r="D1424" s="1">
        <v>43227</v>
      </c>
    </row>
    <row r="1425" spans="1:4" x14ac:dyDescent="0.25">
      <c r="A1425" t="s">
        <v>628</v>
      </c>
      <c r="C1425" t="s">
        <v>14</v>
      </c>
      <c r="D1425" s="1">
        <v>43234</v>
      </c>
    </row>
    <row r="1426" spans="1:4" x14ac:dyDescent="0.25">
      <c r="A1426" t="s">
        <v>1024</v>
      </c>
      <c r="C1426" t="s">
        <v>14</v>
      </c>
      <c r="D1426" s="1">
        <v>43236</v>
      </c>
    </row>
    <row r="1427" spans="1:4" x14ac:dyDescent="0.25">
      <c r="A1427" t="s">
        <v>1454</v>
      </c>
      <c r="C1427" t="s">
        <v>14</v>
      </c>
      <c r="D1427" s="1">
        <v>43224</v>
      </c>
    </row>
    <row r="1428" spans="1:4" x14ac:dyDescent="0.25">
      <c r="A1428" t="s">
        <v>1007</v>
      </c>
      <c r="C1428" t="s">
        <v>14</v>
      </c>
      <c r="D1428" s="1">
        <v>43230</v>
      </c>
    </row>
    <row r="1429" spans="1:4" x14ac:dyDescent="0.25">
      <c r="A1429" t="s">
        <v>1327</v>
      </c>
      <c r="C1429" t="s">
        <v>14</v>
      </c>
      <c r="D1429" s="1">
        <v>43227</v>
      </c>
    </row>
    <row r="1430" spans="1:4" x14ac:dyDescent="0.25">
      <c r="A1430" t="s">
        <v>1101</v>
      </c>
      <c r="C1430" t="s">
        <v>14</v>
      </c>
      <c r="D1430" s="1">
        <v>43237</v>
      </c>
    </row>
    <row r="1431" spans="1:4" x14ac:dyDescent="0.25">
      <c r="A1431" t="s">
        <v>1763</v>
      </c>
      <c r="C1431" t="s">
        <v>14</v>
      </c>
      <c r="D1431" s="1">
        <v>43234</v>
      </c>
    </row>
    <row r="1432" spans="1:4" x14ac:dyDescent="0.25">
      <c r="A1432" t="s">
        <v>974</v>
      </c>
      <c r="C1432" t="s">
        <v>14</v>
      </c>
      <c r="D1432" s="1">
        <v>43234</v>
      </c>
    </row>
    <row r="1433" spans="1:4" x14ac:dyDescent="0.25">
      <c r="A1433" t="s">
        <v>1765</v>
      </c>
      <c r="C1433" t="s">
        <v>14</v>
      </c>
      <c r="D1433" s="1">
        <v>43228</v>
      </c>
    </row>
    <row r="1434" spans="1:4" x14ac:dyDescent="0.25">
      <c r="A1434" t="s">
        <v>806</v>
      </c>
      <c r="C1434" t="s">
        <v>14</v>
      </c>
      <c r="D1434" s="1">
        <v>43237</v>
      </c>
    </row>
    <row r="1435" spans="1:4" x14ac:dyDescent="0.25">
      <c r="A1435" t="s">
        <v>885</v>
      </c>
      <c r="C1435" t="s">
        <v>14</v>
      </c>
      <c r="D1435" s="1">
        <v>43230</v>
      </c>
    </row>
    <row r="1436" spans="1:4" x14ac:dyDescent="0.25">
      <c r="A1436" t="s">
        <v>1331</v>
      </c>
      <c r="C1436" t="s">
        <v>14</v>
      </c>
      <c r="D1436" s="1">
        <v>43228</v>
      </c>
    </row>
    <row r="1437" spans="1:4" x14ac:dyDescent="0.25">
      <c r="A1437" t="s">
        <v>1767</v>
      </c>
      <c r="C1437" t="s">
        <v>14</v>
      </c>
      <c r="D1437" s="1">
        <v>43230</v>
      </c>
    </row>
    <row r="1438" spans="1:4" x14ac:dyDescent="0.25">
      <c r="A1438" t="s">
        <v>1768</v>
      </c>
      <c r="C1438" t="s">
        <v>14</v>
      </c>
      <c r="D1438" s="1">
        <v>43230</v>
      </c>
    </row>
    <row r="1439" spans="1:4" x14ac:dyDescent="0.25">
      <c r="A1439" t="s">
        <v>149</v>
      </c>
      <c r="C1439" t="s">
        <v>14</v>
      </c>
      <c r="D1439" s="1">
        <v>43237</v>
      </c>
    </row>
    <row r="1440" spans="1:4" x14ac:dyDescent="0.25">
      <c r="A1440" t="s">
        <v>1120</v>
      </c>
      <c r="C1440" t="s">
        <v>14</v>
      </c>
      <c r="D1440" s="1">
        <v>43251</v>
      </c>
    </row>
    <row r="1441" spans="1:4" x14ac:dyDescent="0.25">
      <c r="A1441" t="s">
        <v>1305</v>
      </c>
      <c r="C1441" t="s">
        <v>14</v>
      </c>
      <c r="D1441" s="1">
        <v>43228</v>
      </c>
    </row>
    <row r="1442" spans="1:4" x14ac:dyDescent="0.25">
      <c r="A1442" t="s">
        <v>1102</v>
      </c>
      <c r="C1442" t="s">
        <v>14</v>
      </c>
      <c r="D1442" s="1">
        <v>43234</v>
      </c>
    </row>
    <row r="1443" spans="1:4" x14ac:dyDescent="0.25">
      <c r="A1443" t="s">
        <v>968</v>
      </c>
      <c r="C1443" t="s">
        <v>14</v>
      </c>
      <c r="D1443" s="1">
        <v>43234</v>
      </c>
    </row>
    <row r="1444" spans="1:4" x14ac:dyDescent="0.25">
      <c r="A1444" t="s">
        <v>1769</v>
      </c>
      <c r="C1444" t="s">
        <v>14</v>
      </c>
      <c r="D1444" s="1">
        <v>43221</v>
      </c>
    </row>
    <row r="1445" spans="1:4" x14ac:dyDescent="0.25">
      <c r="A1445" t="s">
        <v>857</v>
      </c>
      <c r="C1445" t="s">
        <v>14</v>
      </c>
      <c r="D1445" s="1">
        <v>43251</v>
      </c>
    </row>
    <row r="1446" spans="1:4" x14ac:dyDescent="0.25">
      <c r="A1446" t="s">
        <v>1772</v>
      </c>
      <c r="C1446" t="s">
        <v>14</v>
      </c>
      <c r="D1446" s="1">
        <v>43230</v>
      </c>
    </row>
    <row r="1447" spans="1:4" x14ac:dyDescent="0.25">
      <c r="A1447" t="s">
        <v>653</v>
      </c>
      <c r="C1447" t="s">
        <v>14</v>
      </c>
      <c r="D1447" s="1">
        <v>43237</v>
      </c>
    </row>
    <row r="1448" spans="1:4" x14ac:dyDescent="0.25">
      <c r="A1448" t="s">
        <v>1773</v>
      </c>
      <c r="C1448" t="s">
        <v>14</v>
      </c>
      <c r="D1448" s="1">
        <v>43230</v>
      </c>
    </row>
    <row r="1449" spans="1:4" x14ac:dyDescent="0.25">
      <c r="A1449" t="s">
        <v>1012</v>
      </c>
      <c r="C1449" t="s">
        <v>14</v>
      </c>
      <c r="D1449" s="1">
        <v>43230</v>
      </c>
    </row>
    <row r="1450" spans="1:4" x14ac:dyDescent="0.25">
      <c r="A1450" t="s">
        <v>1775</v>
      </c>
      <c r="C1450" t="s">
        <v>14</v>
      </c>
      <c r="D1450" s="1">
        <v>43230</v>
      </c>
    </row>
    <row r="1451" spans="1:4" x14ac:dyDescent="0.25">
      <c r="A1451" t="s">
        <v>996</v>
      </c>
      <c r="C1451" t="s">
        <v>14</v>
      </c>
      <c r="D1451" s="1">
        <v>43230</v>
      </c>
    </row>
    <row r="1452" spans="1:4" x14ac:dyDescent="0.25">
      <c r="A1452" t="s">
        <v>1776</v>
      </c>
      <c r="C1452" t="s">
        <v>14</v>
      </c>
      <c r="D1452" s="1">
        <v>43237</v>
      </c>
    </row>
    <row r="1453" spans="1:4" x14ac:dyDescent="0.25">
      <c r="A1453" t="s">
        <v>1777</v>
      </c>
      <c r="C1453" t="s">
        <v>14</v>
      </c>
      <c r="D1453" s="1">
        <v>43230</v>
      </c>
    </row>
    <row r="1454" spans="1:4" x14ac:dyDescent="0.25">
      <c r="A1454" t="s">
        <v>971</v>
      </c>
      <c r="C1454" t="s">
        <v>14</v>
      </c>
      <c r="D1454" s="1">
        <v>43242</v>
      </c>
    </row>
    <row r="1455" spans="1:4" x14ac:dyDescent="0.25">
      <c r="A1455" t="s">
        <v>731</v>
      </c>
      <c r="C1455" t="s">
        <v>14</v>
      </c>
      <c r="D1455" s="1">
        <v>43230</v>
      </c>
    </row>
    <row r="1456" spans="1:4" x14ac:dyDescent="0.25">
      <c r="A1456" t="s">
        <v>99</v>
      </c>
      <c r="C1456" t="s">
        <v>14</v>
      </c>
      <c r="D1456" s="1">
        <v>43230</v>
      </c>
    </row>
    <row r="1457" spans="1:4" x14ac:dyDescent="0.25">
      <c r="A1457" t="s">
        <v>1038</v>
      </c>
      <c r="C1457" t="s">
        <v>14</v>
      </c>
      <c r="D1457" s="1">
        <v>43236</v>
      </c>
    </row>
    <row r="1458" spans="1:4" x14ac:dyDescent="0.25">
      <c r="A1458" t="s">
        <v>1779</v>
      </c>
      <c r="C1458" t="s">
        <v>14</v>
      </c>
      <c r="D1458" s="1">
        <v>43221</v>
      </c>
    </row>
    <row r="1459" spans="1:4" x14ac:dyDescent="0.25">
      <c r="A1459" t="s">
        <v>1781</v>
      </c>
      <c r="C1459" t="s">
        <v>14</v>
      </c>
      <c r="D1459" s="1">
        <v>43237</v>
      </c>
    </row>
    <row r="1460" spans="1:4" x14ac:dyDescent="0.25">
      <c r="A1460" t="s">
        <v>1034</v>
      </c>
      <c r="C1460" t="s">
        <v>14</v>
      </c>
      <c r="D1460" s="1">
        <v>43234</v>
      </c>
    </row>
    <row r="1461" spans="1:4" x14ac:dyDescent="0.25">
      <c r="A1461" t="s">
        <v>1782</v>
      </c>
      <c r="C1461" t="s">
        <v>14</v>
      </c>
      <c r="D1461" s="1">
        <v>43230</v>
      </c>
    </row>
    <row r="1462" spans="1:4" x14ac:dyDescent="0.25">
      <c r="A1462" t="s">
        <v>1783</v>
      </c>
      <c r="C1462" t="s">
        <v>14</v>
      </c>
      <c r="D1462" s="1">
        <v>43230</v>
      </c>
    </row>
    <row r="1463" spans="1:4" x14ac:dyDescent="0.25">
      <c r="A1463" t="s">
        <v>1197</v>
      </c>
      <c r="C1463" t="s">
        <v>14</v>
      </c>
      <c r="D1463" s="1">
        <v>43241</v>
      </c>
    </row>
    <row r="1464" spans="1:4" x14ac:dyDescent="0.25">
      <c r="A1464" t="s">
        <v>1267</v>
      </c>
      <c r="C1464" t="s">
        <v>14</v>
      </c>
      <c r="D1464" s="1">
        <v>43237</v>
      </c>
    </row>
    <row r="1465" spans="1:4" x14ac:dyDescent="0.25">
      <c r="A1465" t="s">
        <v>102</v>
      </c>
      <c r="C1465" t="s">
        <v>14</v>
      </c>
      <c r="D1465" s="1">
        <v>43230</v>
      </c>
    </row>
    <row r="1466" spans="1:4" x14ac:dyDescent="0.25">
      <c r="A1466" t="s">
        <v>845</v>
      </c>
      <c r="C1466" t="s">
        <v>14</v>
      </c>
      <c r="D1466" s="1">
        <v>43228</v>
      </c>
    </row>
    <row r="1467" spans="1:4" x14ac:dyDescent="0.25">
      <c r="A1467" t="s">
        <v>1011</v>
      </c>
      <c r="C1467" t="s">
        <v>14</v>
      </c>
      <c r="D1467" s="1">
        <v>43236</v>
      </c>
    </row>
    <row r="1468" spans="1:4" x14ac:dyDescent="0.25">
      <c r="A1468" t="s">
        <v>1784</v>
      </c>
      <c r="C1468" t="s">
        <v>14</v>
      </c>
      <c r="D1468" s="1">
        <v>43237</v>
      </c>
    </row>
    <row r="1469" spans="1:4" x14ac:dyDescent="0.25">
      <c r="A1469" t="s">
        <v>992</v>
      </c>
      <c r="C1469" t="s">
        <v>14</v>
      </c>
      <c r="D1469" s="1">
        <v>43230</v>
      </c>
    </row>
    <row r="1470" spans="1:4" x14ac:dyDescent="0.25">
      <c r="A1470" t="s">
        <v>1566</v>
      </c>
      <c r="C1470" t="s">
        <v>14</v>
      </c>
      <c r="D1470" s="1">
        <v>43227</v>
      </c>
    </row>
    <row r="1471" spans="1:4" x14ac:dyDescent="0.25">
      <c r="A1471" t="s">
        <v>1785</v>
      </c>
      <c r="C1471" t="s">
        <v>14</v>
      </c>
      <c r="D1471" s="1">
        <v>43230</v>
      </c>
    </row>
    <row r="1472" spans="1:4" x14ac:dyDescent="0.25">
      <c r="A1472" t="s">
        <v>1786</v>
      </c>
      <c r="C1472" t="s">
        <v>14</v>
      </c>
      <c r="D1472" s="1">
        <v>43222</v>
      </c>
    </row>
    <row r="1473" spans="1:4" x14ac:dyDescent="0.25">
      <c r="A1473" t="s">
        <v>357</v>
      </c>
      <c r="C1473" t="s">
        <v>14</v>
      </c>
      <c r="D1473" s="1">
        <v>43230</v>
      </c>
    </row>
    <row r="1474" spans="1:4" x14ac:dyDescent="0.25">
      <c r="A1474" t="s">
        <v>1787</v>
      </c>
      <c r="C1474" t="s">
        <v>14</v>
      </c>
      <c r="D1474" s="1">
        <v>43234</v>
      </c>
    </row>
    <row r="1475" spans="1:4" x14ac:dyDescent="0.25">
      <c r="A1475" t="s">
        <v>1132</v>
      </c>
      <c r="C1475" t="s">
        <v>14</v>
      </c>
      <c r="D1475" s="1">
        <v>43227</v>
      </c>
    </row>
    <row r="1476" spans="1:4" x14ac:dyDescent="0.25">
      <c r="A1476" t="s">
        <v>667</v>
      </c>
      <c r="C1476" t="s">
        <v>14</v>
      </c>
      <c r="D1476" s="1">
        <v>43227</v>
      </c>
    </row>
    <row r="1477" spans="1:4" x14ac:dyDescent="0.25">
      <c r="A1477" t="s">
        <v>1076</v>
      </c>
      <c r="C1477" t="s">
        <v>14</v>
      </c>
      <c r="D1477" s="1">
        <v>43229</v>
      </c>
    </row>
    <row r="1478" spans="1:4" x14ac:dyDescent="0.25">
      <c r="A1478" t="s">
        <v>1015</v>
      </c>
      <c r="C1478" t="s">
        <v>14</v>
      </c>
      <c r="D1478" s="1">
        <v>43251</v>
      </c>
    </row>
    <row r="1479" spans="1:4" x14ac:dyDescent="0.25">
      <c r="A1479" t="s">
        <v>719</v>
      </c>
      <c r="C1479" t="s">
        <v>14</v>
      </c>
      <c r="D1479" s="1">
        <v>43234</v>
      </c>
    </row>
    <row r="1480" spans="1:4" x14ac:dyDescent="0.25">
      <c r="A1480" t="s">
        <v>1368</v>
      </c>
      <c r="C1480" t="s">
        <v>14</v>
      </c>
      <c r="D1480" s="1">
        <v>43224</v>
      </c>
    </row>
    <row r="1481" spans="1:4" x14ac:dyDescent="0.25">
      <c r="A1481" t="s">
        <v>1789</v>
      </c>
      <c r="C1481" t="s">
        <v>14</v>
      </c>
      <c r="D1481" s="1">
        <v>43234</v>
      </c>
    </row>
    <row r="1482" spans="1:4" x14ac:dyDescent="0.25">
      <c r="A1482" t="s">
        <v>1112</v>
      </c>
      <c r="C1482" t="s">
        <v>14</v>
      </c>
      <c r="D1482" s="1">
        <v>43251</v>
      </c>
    </row>
    <row r="1483" spans="1:4" x14ac:dyDescent="0.25">
      <c r="A1483" t="s">
        <v>859</v>
      </c>
      <c r="C1483" t="s">
        <v>14</v>
      </c>
      <c r="D1483" s="1">
        <v>43230</v>
      </c>
    </row>
    <row r="1484" spans="1:4" x14ac:dyDescent="0.25">
      <c r="A1484" t="s">
        <v>844</v>
      </c>
      <c r="C1484" t="s">
        <v>14</v>
      </c>
      <c r="D1484" s="1">
        <v>43228</v>
      </c>
    </row>
    <row r="1485" spans="1:4" x14ac:dyDescent="0.25">
      <c r="A1485" t="s">
        <v>1010</v>
      </c>
      <c r="C1485" t="s">
        <v>14</v>
      </c>
      <c r="D1485" s="1">
        <v>43230</v>
      </c>
    </row>
    <row r="1486" spans="1:4" x14ac:dyDescent="0.25">
      <c r="A1486" t="s">
        <v>1791</v>
      </c>
      <c r="C1486" t="s">
        <v>14</v>
      </c>
      <c r="D1486" s="1">
        <v>43230</v>
      </c>
    </row>
    <row r="1487" spans="1:4" x14ac:dyDescent="0.25">
      <c r="A1487" t="s">
        <v>1792</v>
      </c>
      <c r="C1487" t="s">
        <v>14</v>
      </c>
      <c r="D1487" s="1">
        <v>43222</v>
      </c>
    </row>
    <row r="1488" spans="1:4" x14ac:dyDescent="0.25">
      <c r="A1488" t="s">
        <v>1378</v>
      </c>
      <c r="C1488" t="s">
        <v>14</v>
      </c>
      <c r="D1488" s="1">
        <v>43228</v>
      </c>
    </row>
    <row r="1489" spans="1:4" x14ac:dyDescent="0.25">
      <c r="A1489" t="s">
        <v>1131</v>
      </c>
      <c r="C1489" t="s">
        <v>14</v>
      </c>
      <c r="D1489" s="1">
        <v>43227</v>
      </c>
    </row>
    <row r="1490" spans="1:4" x14ac:dyDescent="0.25">
      <c r="A1490" t="s">
        <v>1347</v>
      </c>
      <c r="C1490" t="s">
        <v>14</v>
      </c>
      <c r="D1490" s="1">
        <v>43228</v>
      </c>
    </row>
    <row r="1491" spans="1:4" x14ac:dyDescent="0.25">
      <c r="A1491" t="s">
        <v>1793</v>
      </c>
      <c r="C1491" t="s">
        <v>14</v>
      </c>
      <c r="D1491" s="1">
        <v>43224</v>
      </c>
    </row>
    <row r="1492" spans="1:4" x14ac:dyDescent="0.25">
      <c r="A1492" t="s">
        <v>1795</v>
      </c>
      <c r="C1492" t="s">
        <v>14</v>
      </c>
      <c r="D1492" s="1">
        <v>43230</v>
      </c>
    </row>
    <row r="1493" spans="1:4" x14ac:dyDescent="0.25">
      <c r="A1493" t="s">
        <v>600</v>
      </c>
      <c r="C1493" t="s">
        <v>14</v>
      </c>
      <c r="D1493" s="1">
        <v>43234</v>
      </c>
    </row>
    <row r="1494" spans="1:4" x14ac:dyDescent="0.25">
      <c r="A1494" t="s">
        <v>1502</v>
      </c>
      <c r="C1494" t="s">
        <v>14</v>
      </c>
      <c r="D1494" s="1">
        <v>43222</v>
      </c>
    </row>
    <row r="1495" spans="1:4" x14ac:dyDescent="0.25">
      <c r="A1495" t="s">
        <v>1797</v>
      </c>
      <c r="C1495" t="s">
        <v>14</v>
      </c>
      <c r="D1495" s="1">
        <v>43229</v>
      </c>
    </row>
    <row r="1496" spans="1:4" x14ac:dyDescent="0.25">
      <c r="A1496" t="s">
        <v>1798</v>
      </c>
      <c r="C1496" t="s">
        <v>14</v>
      </c>
      <c r="D1496" s="1">
        <v>43221</v>
      </c>
    </row>
    <row r="1497" spans="1:4" x14ac:dyDescent="0.25">
      <c r="A1497" t="s">
        <v>785</v>
      </c>
      <c r="C1497" t="s">
        <v>14</v>
      </c>
      <c r="D1497" s="1">
        <v>43227</v>
      </c>
    </row>
    <row r="1498" spans="1:4" x14ac:dyDescent="0.25">
      <c r="A1498" t="s">
        <v>2114</v>
      </c>
      <c r="C1498" t="s">
        <v>14</v>
      </c>
      <c r="D1498" s="1">
        <v>43222</v>
      </c>
    </row>
    <row r="1499" spans="1:4" x14ac:dyDescent="0.25">
      <c r="A1499" t="s">
        <v>1243</v>
      </c>
      <c r="C1499" t="s">
        <v>14</v>
      </c>
      <c r="D1499" s="1">
        <v>43251</v>
      </c>
    </row>
    <row r="1500" spans="1:4" x14ac:dyDescent="0.25">
      <c r="A1500" t="s">
        <v>892</v>
      </c>
      <c r="C1500" t="s">
        <v>14</v>
      </c>
      <c r="D1500" s="1">
        <v>43230</v>
      </c>
    </row>
    <row r="1501" spans="1:4" x14ac:dyDescent="0.25">
      <c r="A1501" t="s">
        <v>1234</v>
      </c>
      <c r="C1501" t="s">
        <v>14</v>
      </c>
      <c r="D1501" s="1">
        <v>43227</v>
      </c>
    </row>
    <row r="1502" spans="1:4" x14ac:dyDescent="0.25">
      <c r="A1502" t="s">
        <v>1799</v>
      </c>
      <c r="C1502" t="s">
        <v>14</v>
      </c>
      <c r="D1502" s="1">
        <v>43237</v>
      </c>
    </row>
    <row r="1503" spans="1:4" x14ac:dyDescent="0.25">
      <c r="A1503" t="s">
        <v>1209</v>
      </c>
      <c r="C1503" t="s">
        <v>14</v>
      </c>
      <c r="D1503" s="1">
        <v>43241</v>
      </c>
    </row>
    <row r="1504" spans="1:4" x14ac:dyDescent="0.25">
      <c r="A1504" t="s">
        <v>1801</v>
      </c>
      <c r="C1504" t="s">
        <v>14</v>
      </c>
      <c r="D1504" s="1">
        <v>43228</v>
      </c>
    </row>
    <row r="1505" spans="1:4" x14ac:dyDescent="0.25">
      <c r="A1505" t="s">
        <v>696</v>
      </c>
      <c r="C1505" t="s">
        <v>14</v>
      </c>
      <c r="D1505" s="1">
        <v>43234</v>
      </c>
    </row>
    <row r="1506" spans="1:4" x14ac:dyDescent="0.25">
      <c r="A1506" t="s">
        <v>39</v>
      </c>
      <c r="C1506" t="s">
        <v>14</v>
      </c>
      <c r="D1506" s="1">
        <v>43237</v>
      </c>
    </row>
    <row r="1507" spans="1:4" x14ac:dyDescent="0.25">
      <c r="A1507" t="s">
        <v>1521</v>
      </c>
      <c r="C1507" t="s">
        <v>14</v>
      </c>
      <c r="D1507" s="1">
        <v>43232</v>
      </c>
    </row>
    <row r="1508" spans="1:4" x14ac:dyDescent="0.25">
      <c r="A1508" t="s">
        <v>1172</v>
      </c>
      <c r="C1508" t="s">
        <v>14</v>
      </c>
      <c r="D1508" s="1">
        <v>43234</v>
      </c>
    </row>
    <row r="1509" spans="1:4" x14ac:dyDescent="0.25">
      <c r="A1509" t="s">
        <v>901</v>
      </c>
      <c r="C1509" t="s">
        <v>14</v>
      </c>
      <c r="D1509" s="1">
        <v>43244</v>
      </c>
    </row>
    <row r="1510" spans="1:4" x14ac:dyDescent="0.25">
      <c r="A1510" t="s">
        <v>1328</v>
      </c>
      <c r="C1510" t="s">
        <v>14</v>
      </c>
      <c r="D1510" s="1">
        <v>43228</v>
      </c>
    </row>
    <row r="1511" spans="1:4" x14ac:dyDescent="0.25">
      <c r="A1511" t="s">
        <v>827</v>
      </c>
      <c r="C1511" t="s">
        <v>14</v>
      </c>
      <c r="D1511" s="1">
        <v>43251</v>
      </c>
    </row>
    <row r="1512" spans="1:4" x14ac:dyDescent="0.25">
      <c r="A1512" t="s">
        <v>1313</v>
      </c>
      <c r="C1512" t="s">
        <v>14</v>
      </c>
      <c r="D1512" s="1">
        <v>43228</v>
      </c>
    </row>
    <row r="1513" spans="1:4" x14ac:dyDescent="0.25">
      <c r="A1513" t="s">
        <v>1804</v>
      </c>
      <c r="C1513" t="s">
        <v>14</v>
      </c>
      <c r="D1513" s="1">
        <v>43234</v>
      </c>
    </row>
    <row r="1514" spans="1:4" x14ac:dyDescent="0.25">
      <c r="A1514" t="s">
        <v>1179</v>
      </c>
      <c r="C1514" t="s">
        <v>14</v>
      </c>
      <c r="D1514" s="1">
        <v>43251</v>
      </c>
    </row>
    <row r="1515" spans="1:4" x14ac:dyDescent="0.25">
      <c r="A1515" t="s">
        <v>967</v>
      </c>
      <c r="C1515" t="s">
        <v>14</v>
      </c>
      <c r="D1515" s="1">
        <v>43234</v>
      </c>
    </row>
    <row r="1516" spans="1:4" x14ac:dyDescent="0.25">
      <c r="A1516" t="s">
        <v>1805</v>
      </c>
      <c r="C1516" t="s">
        <v>14</v>
      </c>
      <c r="D1516" s="1">
        <v>43222</v>
      </c>
    </row>
    <row r="1517" spans="1:4" x14ac:dyDescent="0.25">
      <c r="A1517" t="s">
        <v>1806</v>
      </c>
      <c r="C1517" t="s">
        <v>14</v>
      </c>
      <c r="D1517" s="1">
        <v>43234</v>
      </c>
    </row>
    <row r="1518" spans="1:4" x14ac:dyDescent="0.25">
      <c r="A1518" t="s">
        <v>1228</v>
      </c>
      <c r="C1518" t="s">
        <v>14</v>
      </c>
      <c r="D1518" s="1">
        <v>43221</v>
      </c>
    </row>
    <row r="1519" spans="1:4" x14ac:dyDescent="0.25">
      <c r="A1519" t="s">
        <v>1808</v>
      </c>
      <c r="C1519" t="s">
        <v>14</v>
      </c>
      <c r="D1519" s="1">
        <v>43237</v>
      </c>
    </row>
    <row r="1520" spans="1:4" x14ac:dyDescent="0.25">
      <c r="A1520" t="s">
        <v>1661</v>
      </c>
      <c r="C1520" t="s">
        <v>14</v>
      </c>
      <c r="D1520" s="1">
        <v>43240</v>
      </c>
    </row>
    <row r="1521" spans="1:4" x14ac:dyDescent="0.25">
      <c r="A1521" t="s">
        <v>1416</v>
      </c>
      <c r="C1521" t="s">
        <v>14</v>
      </c>
      <c r="D1521" s="1">
        <v>43232</v>
      </c>
    </row>
    <row r="1522" spans="1:4" x14ac:dyDescent="0.25">
      <c r="A1522" t="s">
        <v>1161</v>
      </c>
      <c r="C1522" t="s">
        <v>14</v>
      </c>
      <c r="D1522" s="1">
        <v>43251</v>
      </c>
    </row>
    <row r="1523" spans="1:4" x14ac:dyDescent="0.25">
      <c r="A1523" t="s">
        <v>846</v>
      </c>
      <c r="C1523" t="s">
        <v>14</v>
      </c>
      <c r="D1523" s="1">
        <v>43244</v>
      </c>
    </row>
    <row r="1524" spans="1:4" x14ac:dyDescent="0.25">
      <c r="A1524" t="s">
        <v>854</v>
      </c>
      <c r="C1524" t="s">
        <v>14</v>
      </c>
      <c r="D1524" s="1">
        <v>43230</v>
      </c>
    </row>
    <row r="1525" spans="1:4" x14ac:dyDescent="0.25">
      <c r="A1525" t="s">
        <v>1809</v>
      </c>
      <c r="C1525" t="s">
        <v>14</v>
      </c>
      <c r="D1525" s="1">
        <v>43237</v>
      </c>
    </row>
    <row r="1526" spans="1:4" x14ac:dyDescent="0.25">
      <c r="A1526" t="s">
        <v>1810</v>
      </c>
      <c r="C1526" t="s">
        <v>14</v>
      </c>
      <c r="D1526" s="1">
        <v>43230</v>
      </c>
    </row>
    <row r="1527" spans="1:4" x14ac:dyDescent="0.25">
      <c r="A1527" t="s">
        <v>1312</v>
      </c>
      <c r="C1527" t="s">
        <v>14</v>
      </c>
      <c r="D1527" s="1">
        <v>43234</v>
      </c>
    </row>
    <row r="1528" spans="1:4" x14ac:dyDescent="0.25">
      <c r="A1528" t="s">
        <v>976</v>
      </c>
      <c r="C1528" t="s">
        <v>14</v>
      </c>
      <c r="D1528" s="1">
        <v>43230</v>
      </c>
    </row>
    <row r="1529" spans="1:4" x14ac:dyDescent="0.25">
      <c r="A1529" t="s">
        <v>1256</v>
      </c>
      <c r="C1529" t="s">
        <v>14</v>
      </c>
      <c r="D1529" s="1">
        <v>43230</v>
      </c>
    </row>
    <row r="1530" spans="1:4" x14ac:dyDescent="0.25">
      <c r="A1530" t="s">
        <v>898</v>
      </c>
      <c r="C1530" t="s">
        <v>14</v>
      </c>
      <c r="D1530" s="1">
        <v>43244</v>
      </c>
    </row>
    <row r="1531" spans="1:4" x14ac:dyDescent="0.25">
      <c r="A1531" t="s">
        <v>601</v>
      </c>
      <c r="C1531" t="s">
        <v>14</v>
      </c>
      <c r="D1531" s="1">
        <v>43230</v>
      </c>
    </row>
    <row r="1532" spans="1:4" x14ac:dyDescent="0.25">
      <c r="A1532" t="s">
        <v>1812</v>
      </c>
      <c r="C1532" t="s">
        <v>14</v>
      </c>
      <c r="D1532" s="1">
        <v>43242</v>
      </c>
    </row>
    <row r="1533" spans="1:4" x14ac:dyDescent="0.25">
      <c r="A1533" t="s">
        <v>127</v>
      </c>
      <c r="C1533" t="s">
        <v>14</v>
      </c>
      <c r="D1533" s="1">
        <v>43251</v>
      </c>
    </row>
    <row r="1534" spans="1:4" x14ac:dyDescent="0.25">
      <c r="A1534" t="s">
        <v>1315</v>
      </c>
      <c r="C1534" t="s">
        <v>14</v>
      </c>
      <c r="D1534" s="1">
        <v>43237</v>
      </c>
    </row>
    <row r="1535" spans="1:4" x14ac:dyDescent="0.25">
      <c r="A1535" t="s">
        <v>1529</v>
      </c>
      <c r="C1535" t="s">
        <v>14</v>
      </c>
      <c r="D1535" s="1">
        <v>43232</v>
      </c>
    </row>
    <row r="1536" spans="1:4" x14ac:dyDescent="0.25">
      <c r="A1536" t="s">
        <v>1813</v>
      </c>
      <c r="C1536" t="s">
        <v>14</v>
      </c>
      <c r="D1536" s="1">
        <v>43222</v>
      </c>
    </row>
    <row r="1537" spans="1:4" x14ac:dyDescent="0.25">
      <c r="A1537" t="s">
        <v>1814</v>
      </c>
      <c r="C1537" t="s">
        <v>14</v>
      </c>
      <c r="D1537" s="1">
        <v>43237</v>
      </c>
    </row>
    <row r="1538" spans="1:4" x14ac:dyDescent="0.25">
      <c r="A1538" t="s">
        <v>1353</v>
      </c>
      <c r="C1538" t="s">
        <v>14</v>
      </c>
      <c r="D1538" s="1">
        <v>43234</v>
      </c>
    </row>
    <row r="1539" spans="1:4" x14ac:dyDescent="0.25">
      <c r="A1539" t="s">
        <v>1239</v>
      </c>
      <c r="C1539" t="s">
        <v>14</v>
      </c>
      <c r="D1539" s="1">
        <v>43221</v>
      </c>
    </row>
    <row r="1540" spans="1:4" x14ac:dyDescent="0.25">
      <c r="A1540" t="s">
        <v>956</v>
      </c>
      <c r="C1540" t="s">
        <v>14</v>
      </c>
      <c r="D1540" s="1">
        <v>43229</v>
      </c>
    </row>
    <row r="1541" spans="1:4" x14ac:dyDescent="0.25">
      <c r="A1541" t="s">
        <v>1406</v>
      </c>
      <c r="C1541" t="s">
        <v>14</v>
      </c>
      <c r="D1541" s="1">
        <v>43232</v>
      </c>
    </row>
    <row r="1542" spans="1:4" x14ac:dyDescent="0.25">
      <c r="A1542" t="s">
        <v>802</v>
      </c>
      <c r="C1542" t="s">
        <v>14</v>
      </c>
      <c r="D1542" s="1">
        <v>43244</v>
      </c>
    </row>
    <row r="1543" spans="1:4" x14ac:dyDescent="0.25">
      <c r="A1543" t="s">
        <v>663</v>
      </c>
      <c r="C1543" t="s">
        <v>14</v>
      </c>
      <c r="D1543" s="1">
        <v>43241</v>
      </c>
    </row>
    <row r="1544" spans="1:4" x14ac:dyDescent="0.25">
      <c r="A1544" t="s">
        <v>1033</v>
      </c>
      <c r="C1544" t="s">
        <v>14</v>
      </c>
      <c r="D1544" s="1">
        <v>43236</v>
      </c>
    </row>
    <row r="1545" spans="1:4" x14ac:dyDescent="0.25">
      <c r="A1545" t="s">
        <v>2124</v>
      </c>
      <c r="C1545" t="s">
        <v>14</v>
      </c>
      <c r="D1545" s="1">
        <v>43222</v>
      </c>
    </row>
    <row r="1546" spans="1:4" x14ac:dyDescent="0.25">
      <c r="A1546" t="s">
        <v>954</v>
      </c>
      <c r="C1546" t="s">
        <v>14</v>
      </c>
      <c r="D1546" s="1">
        <v>43241</v>
      </c>
    </row>
    <row r="1547" spans="1:4" x14ac:dyDescent="0.25">
      <c r="A1547" t="s">
        <v>1189</v>
      </c>
      <c r="C1547" t="s">
        <v>14</v>
      </c>
      <c r="D1547" s="1">
        <v>43241</v>
      </c>
    </row>
    <row r="1548" spans="1:4" x14ac:dyDescent="0.25">
      <c r="A1548" t="s">
        <v>1815</v>
      </c>
      <c r="C1548" t="s">
        <v>14</v>
      </c>
      <c r="D1548" s="1">
        <v>43230</v>
      </c>
    </row>
    <row r="1549" spans="1:4" x14ac:dyDescent="0.25">
      <c r="A1549" t="s">
        <v>1816</v>
      </c>
      <c r="C1549" t="s">
        <v>14</v>
      </c>
      <c r="D1549" s="1">
        <v>43230</v>
      </c>
    </row>
    <row r="1550" spans="1:4" x14ac:dyDescent="0.25">
      <c r="A1550" t="s">
        <v>144</v>
      </c>
      <c r="C1550" t="s">
        <v>14</v>
      </c>
      <c r="D1550" s="1">
        <v>43251</v>
      </c>
    </row>
    <row r="1551" spans="1:4" x14ac:dyDescent="0.25">
      <c r="A1551" t="s">
        <v>1817</v>
      </c>
      <c r="C1551" t="s">
        <v>14</v>
      </c>
      <c r="D1551" s="1">
        <v>43240</v>
      </c>
    </row>
    <row r="1552" spans="1:4" x14ac:dyDescent="0.25">
      <c r="A1552" t="s">
        <v>1225</v>
      </c>
      <c r="C1552" t="s">
        <v>14</v>
      </c>
      <c r="D1552" s="1">
        <v>43227</v>
      </c>
    </row>
    <row r="1553" spans="1:4" x14ac:dyDescent="0.25">
      <c r="A1553" t="s">
        <v>98</v>
      </c>
      <c r="C1553" t="s">
        <v>14</v>
      </c>
      <c r="D1553" s="1">
        <v>43230</v>
      </c>
    </row>
    <row r="1554" spans="1:4" x14ac:dyDescent="0.25">
      <c r="A1554" t="s">
        <v>69</v>
      </c>
      <c r="C1554" t="s">
        <v>14</v>
      </c>
      <c r="D1554" s="1">
        <v>43251</v>
      </c>
    </row>
    <row r="1555" spans="1:4" x14ac:dyDescent="0.25">
      <c r="A1555" t="s">
        <v>1670</v>
      </c>
      <c r="C1555" t="s">
        <v>14</v>
      </c>
      <c r="D1555" s="1">
        <v>43227</v>
      </c>
    </row>
    <row r="1556" spans="1:4" x14ac:dyDescent="0.25">
      <c r="A1556" t="s">
        <v>1138</v>
      </c>
      <c r="C1556" t="s">
        <v>14</v>
      </c>
      <c r="D1556" s="1">
        <v>43227</v>
      </c>
    </row>
    <row r="1557" spans="1:4" x14ac:dyDescent="0.25">
      <c r="A1557" t="s">
        <v>1220</v>
      </c>
      <c r="C1557" t="s">
        <v>14</v>
      </c>
      <c r="D1557" s="1">
        <v>43241</v>
      </c>
    </row>
    <row r="1558" spans="1:4" x14ac:dyDescent="0.25">
      <c r="A1558" t="s">
        <v>838</v>
      </c>
      <c r="C1558" t="s">
        <v>14</v>
      </c>
      <c r="D1558" s="1">
        <v>43230</v>
      </c>
    </row>
    <row r="1559" spans="1:4" x14ac:dyDescent="0.25">
      <c r="A1559" t="s">
        <v>1091</v>
      </c>
      <c r="C1559" t="s">
        <v>14</v>
      </c>
      <c r="D1559" s="1">
        <v>43230</v>
      </c>
    </row>
    <row r="1560" spans="1:4" x14ac:dyDescent="0.25">
      <c r="A1560" t="s">
        <v>692</v>
      </c>
      <c r="C1560" t="s">
        <v>14</v>
      </c>
      <c r="D1560" s="1">
        <v>43234</v>
      </c>
    </row>
    <row r="1561" spans="1:4" x14ac:dyDescent="0.25">
      <c r="A1561" t="s">
        <v>1820</v>
      </c>
      <c r="C1561" t="s">
        <v>14</v>
      </c>
      <c r="D1561" s="1">
        <v>43227</v>
      </c>
    </row>
    <row r="1562" spans="1:4" x14ac:dyDescent="0.25">
      <c r="A1562" t="s">
        <v>1821</v>
      </c>
      <c r="C1562" t="s">
        <v>14</v>
      </c>
      <c r="D1562" s="1">
        <v>43237</v>
      </c>
    </row>
    <row r="1563" spans="1:4" x14ac:dyDescent="0.25">
      <c r="A1563" t="s">
        <v>280</v>
      </c>
      <c r="C1563" t="s">
        <v>14</v>
      </c>
      <c r="D1563" s="1">
        <v>43230</v>
      </c>
    </row>
    <row r="1564" spans="1:4" x14ac:dyDescent="0.25">
      <c r="A1564" t="s">
        <v>1822</v>
      </c>
      <c r="C1564" t="s">
        <v>14</v>
      </c>
      <c r="D1564" s="1">
        <v>43230</v>
      </c>
    </row>
    <row r="1565" spans="1:4" x14ac:dyDescent="0.25">
      <c r="A1565" t="s">
        <v>70</v>
      </c>
      <c r="C1565" t="s">
        <v>14</v>
      </c>
      <c r="D1565" s="1">
        <v>43237</v>
      </c>
    </row>
    <row r="1566" spans="1:4" x14ac:dyDescent="0.25">
      <c r="A1566" t="s">
        <v>1823</v>
      </c>
      <c r="C1566" t="s">
        <v>14</v>
      </c>
      <c r="D1566" s="1">
        <v>43230</v>
      </c>
    </row>
    <row r="1567" spans="1:4" x14ac:dyDescent="0.25">
      <c r="A1567" t="s">
        <v>1824</v>
      </c>
      <c r="C1567" t="s">
        <v>14</v>
      </c>
      <c r="D1567" s="1">
        <v>43234</v>
      </c>
    </row>
    <row r="1568" spans="1:4" x14ac:dyDescent="0.25">
      <c r="A1568" t="s">
        <v>1825</v>
      </c>
      <c r="C1568" t="s">
        <v>14</v>
      </c>
      <c r="D1568" s="1">
        <v>43237</v>
      </c>
    </row>
    <row r="1569" spans="1:4" x14ac:dyDescent="0.25">
      <c r="A1569" t="s">
        <v>746</v>
      </c>
      <c r="C1569" t="s">
        <v>14</v>
      </c>
      <c r="D1569" s="1">
        <v>43251</v>
      </c>
    </row>
    <row r="1570" spans="1:4" x14ac:dyDescent="0.25">
      <c r="A1570" t="s">
        <v>850</v>
      </c>
      <c r="C1570" t="s">
        <v>14</v>
      </c>
      <c r="D1570" s="1">
        <v>43234</v>
      </c>
    </row>
    <row r="1571" spans="1:4" x14ac:dyDescent="0.25">
      <c r="A1571" t="s">
        <v>1826</v>
      </c>
      <c r="C1571" t="s">
        <v>14</v>
      </c>
      <c r="D1571" s="1">
        <v>43230</v>
      </c>
    </row>
    <row r="1572" spans="1:4" x14ac:dyDescent="0.25">
      <c r="A1572" t="s">
        <v>583</v>
      </c>
      <c r="C1572" t="s">
        <v>14</v>
      </c>
      <c r="D1572" s="1">
        <v>43227</v>
      </c>
    </row>
    <row r="1573" spans="1:4" x14ac:dyDescent="0.25">
      <c r="A1573" t="s">
        <v>1013</v>
      </c>
      <c r="C1573" t="s">
        <v>14</v>
      </c>
      <c r="D1573" s="1">
        <v>43222</v>
      </c>
    </row>
    <row r="1574" spans="1:4" x14ac:dyDescent="0.25">
      <c r="A1574" t="s">
        <v>657</v>
      </c>
      <c r="C1574" t="s">
        <v>14</v>
      </c>
      <c r="D1574" s="1">
        <v>43230</v>
      </c>
    </row>
    <row r="1575" spans="1:4" x14ac:dyDescent="0.25">
      <c r="A1575" t="s">
        <v>1575</v>
      </c>
      <c r="C1575" t="s">
        <v>14</v>
      </c>
      <c r="D1575" s="1">
        <v>43240</v>
      </c>
    </row>
    <row r="1576" spans="1:4" x14ac:dyDescent="0.25">
      <c r="A1576" t="s">
        <v>923</v>
      </c>
      <c r="C1576" t="s">
        <v>14</v>
      </c>
      <c r="D1576" s="1">
        <v>43230</v>
      </c>
    </row>
    <row r="1577" spans="1:4" x14ac:dyDescent="0.25">
      <c r="A1577" t="s">
        <v>813</v>
      </c>
      <c r="C1577" t="s">
        <v>14</v>
      </c>
      <c r="D1577" s="1">
        <v>43228</v>
      </c>
    </row>
    <row r="1578" spans="1:4" x14ac:dyDescent="0.25">
      <c r="A1578" t="s">
        <v>521</v>
      </c>
      <c r="C1578" t="s">
        <v>14</v>
      </c>
      <c r="D1578" s="1">
        <v>43228</v>
      </c>
    </row>
    <row r="1579" spans="1:4" x14ac:dyDescent="0.25">
      <c r="A1579" t="s">
        <v>1235</v>
      </c>
      <c r="C1579" t="s">
        <v>14</v>
      </c>
      <c r="D1579" s="1">
        <v>43228</v>
      </c>
    </row>
    <row r="1580" spans="1:4" x14ac:dyDescent="0.25">
      <c r="A1580" t="s">
        <v>981</v>
      </c>
      <c r="C1580" t="s">
        <v>14</v>
      </c>
      <c r="D1580" s="1">
        <v>43228</v>
      </c>
    </row>
    <row r="1581" spans="1:4" x14ac:dyDescent="0.25">
      <c r="A1581" t="s">
        <v>1055</v>
      </c>
      <c r="C1581" t="s">
        <v>14</v>
      </c>
      <c r="D1581" s="1">
        <v>43241</v>
      </c>
    </row>
    <row r="1582" spans="1:4" x14ac:dyDescent="0.25">
      <c r="A1582" t="s">
        <v>1167</v>
      </c>
      <c r="C1582" t="s">
        <v>14</v>
      </c>
      <c r="D1582" s="1">
        <v>43234</v>
      </c>
    </row>
    <row r="1583" spans="1:4" x14ac:dyDescent="0.25">
      <c r="A1583" t="s">
        <v>830</v>
      </c>
      <c r="C1583" t="s">
        <v>14</v>
      </c>
      <c r="D1583" s="1">
        <v>43244</v>
      </c>
    </row>
    <row r="1584" spans="1:4" x14ac:dyDescent="0.25">
      <c r="A1584" t="s">
        <v>1116</v>
      </c>
      <c r="C1584" t="s">
        <v>14</v>
      </c>
      <c r="D1584" s="1">
        <v>43234</v>
      </c>
    </row>
    <row r="1585" spans="1:4" x14ac:dyDescent="0.25">
      <c r="A1585" t="s">
        <v>1354</v>
      </c>
      <c r="C1585" t="s">
        <v>14</v>
      </c>
      <c r="D1585" s="1">
        <v>43241</v>
      </c>
    </row>
    <row r="1586" spans="1:4" x14ac:dyDescent="0.25">
      <c r="A1586" t="s">
        <v>982</v>
      </c>
      <c r="C1586" t="s">
        <v>14</v>
      </c>
      <c r="D1586" s="1">
        <v>43221</v>
      </c>
    </row>
    <row r="1587" spans="1:4" x14ac:dyDescent="0.25">
      <c r="A1587" t="s">
        <v>811</v>
      </c>
      <c r="C1587" t="s">
        <v>14</v>
      </c>
      <c r="D1587" s="1">
        <v>43228</v>
      </c>
    </row>
    <row r="1588" spans="1:4" x14ac:dyDescent="0.25">
      <c r="A1588" t="s">
        <v>1068</v>
      </c>
      <c r="C1588" t="s">
        <v>14</v>
      </c>
      <c r="D1588" s="1">
        <v>43240</v>
      </c>
    </row>
    <row r="1589" spans="1:4" x14ac:dyDescent="0.25">
      <c r="A1589" t="s">
        <v>1829</v>
      </c>
      <c r="C1589" t="s">
        <v>14</v>
      </c>
      <c r="D1589" s="1">
        <v>43240</v>
      </c>
    </row>
    <row r="1590" spans="1:4" x14ac:dyDescent="0.25">
      <c r="A1590" t="s">
        <v>1350</v>
      </c>
      <c r="C1590" t="s">
        <v>14</v>
      </c>
      <c r="D1590" s="1">
        <v>43241</v>
      </c>
    </row>
    <row r="1591" spans="1:4" x14ac:dyDescent="0.25">
      <c r="A1591" t="s">
        <v>834</v>
      </c>
      <c r="C1591" t="s">
        <v>14</v>
      </c>
      <c r="D1591" s="1">
        <v>43228</v>
      </c>
    </row>
    <row r="1592" spans="1:4" x14ac:dyDescent="0.25">
      <c r="A1592" t="s">
        <v>1145</v>
      </c>
      <c r="C1592" t="s">
        <v>14</v>
      </c>
      <c r="D1592" s="1">
        <v>43230</v>
      </c>
    </row>
    <row r="1593" spans="1:4" x14ac:dyDescent="0.25">
      <c r="A1593" t="s">
        <v>629</v>
      </c>
      <c r="C1593" t="s">
        <v>14</v>
      </c>
      <c r="D1593" s="1">
        <v>43230</v>
      </c>
    </row>
    <row r="1594" spans="1:4" x14ac:dyDescent="0.25">
      <c r="A1594" t="s">
        <v>984</v>
      </c>
      <c r="C1594" t="s">
        <v>14</v>
      </c>
      <c r="D1594" s="1">
        <v>43221</v>
      </c>
    </row>
    <row r="1595" spans="1:4" x14ac:dyDescent="0.25">
      <c r="A1595" t="s">
        <v>1090</v>
      </c>
      <c r="C1595" t="s">
        <v>14</v>
      </c>
      <c r="D1595" s="1">
        <v>43228</v>
      </c>
    </row>
    <row r="1596" spans="1:4" x14ac:dyDescent="0.25">
      <c r="A1596" t="s">
        <v>1830</v>
      </c>
      <c r="C1596" t="s">
        <v>14</v>
      </c>
      <c r="D1596" s="1">
        <v>43228</v>
      </c>
    </row>
    <row r="1597" spans="1:4" x14ac:dyDescent="0.25">
      <c r="A1597" t="s">
        <v>1831</v>
      </c>
      <c r="C1597" t="s">
        <v>14</v>
      </c>
      <c r="D1597" s="1">
        <v>43229</v>
      </c>
    </row>
    <row r="1598" spans="1:4" x14ac:dyDescent="0.25">
      <c r="A1598" t="s">
        <v>1017</v>
      </c>
      <c r="C1598" t="s">
        <v>14</v>
      </c>
      <c r="D1598" s="1">
        <v>43228</v>
      </c>
    </row>
    <row r="1599" spans="1:4" x14ac:dyDescent="0.25">
      <c r="A1599" t="s">
        <v>1124</v>
      </c>
      <c r="C1599" t="s">
        <v>14</v>
      </c>
      <c r="D1599" s="1">
        <v>43230</v>
      </c>
    </row>
    <row r="1600" spans="1:4" x14ac:dyDescent="0.25">
      <c r="A1600" t="s">
        <v>1212</v>
      </c>
      <c r="C1600" t="s">
        <v>14</v>
      </c>
      <c r="D1600" s="1">
        <v>43240</v>
      </c>
    </row>
    <row r="1601" spans="1:4" x14ac:dyDescent="0.25">
      <c r="A1601" t="s">
        <v>1832</v>
      </c>
      <c r="C1601" t="s">
        <v>14</v>
      </c>
      <c r="D1601" s="1">
        <v>43228</v>
      </c>
    </row>
    <row r="1602" spans="1:4" x14ac:dyDescent="0.25">
      <c r="A1602" t="s">
        <v>1833</v>
      </c>
      <c r="C1602" t="s">
        <v>14</v>
      </c>
      <c r="D1602" s="1">
        <v>43229</v>
      </c>
    </row>
    <row r="1603" spans="1:4" x14ac:dyDescent="0.25">
      <c r="A1603" t="s">
        <v>1026</v>
      </c>
      <c r="C1603" t="s">
        <v>14</v>
      </c>
      <c r="D1603" s="1">
        <v>43228</v>
      </c>
    </row>
    <row r="1604" spans="1:4" x14ac:dyDescent="0.25">
      <c r="A1604" t="s">
        <v>977</v>
      </c>
      <c r="C1604" t="s">
        <v>14</v>
      </c>
      <c r="D1604" s="1">
        <v>43228</v>
      </c>
    </row>
    <row r="1605" spans="1:4" x14ac:dyDescent="0.25">
      <c r="A1605" t="s">
        <v>1107</v>
      </c>
      <c r="C1605" t="s">
        <v>14</v>
      </c>
      <c r="D1605" s="1">
        <v>43230</v>
      </c>
    </row>
    <row r="1606" spans="1:4" x14ac:dyDescent="0.25">
      <c r="A1606" t="s">
        <v>1142</v>
      </c>
      <c r="C1606" t="s">
        <v>14</v>
      </c>
      <c r="D1606" s="1">
        <v>43228</v>
      </c>
    </row>
    <row r="1607" spans="1:4" x14ac:dyDescent="0.25">
      <c r="A1607" t="s">
        <v>864</v>
      </c>
      <c r="C1607" t="s">
        <v>14</v>
      </c>
      <c r="D1607" s="1">
        <v>43228</v>
      </c>
    </row>
    <row r="1608" spans="1:4" x14ac:dyDescent="0.25">
      <c r="A1608" t="s">
        <v>1035</v>
      </c>
      <c r="C1608" t="s">
        <v>14</v>
      </c>
      <c r="D1608" s="1">
        <v>43230</v>
      </c>
    </row>
    <row r="1609" spans="1:4" x14ac:dyDescent="0.25">
      <c r="A1609" t="s">
        <v>1834</v>
      </c>
      <c r="C1609" t="s">
        <v>14</v>
      </c>
      <c r="D1609" s="1">
        <v>43228</v>
      </c>
    </row>
    <row r="1610" spans="1:4" x14ac:dyDescent="0.25">
      <c r="A1610" t="s">
        <v>1835</v>
      </c>
      <c r="C1610" t="s">
        <v>14</v>
      </c>
      <c r="D1610" s="1">
        <v>43229</v>
      </c>
    </row>
    <row r="1611" spans="1:4" x14ac:dyDescent="0.25">
      <c r="A1611" t="s">
        <v>1836</v>
      </c>
      <c r="C1611" t="s">
        <v>14</v>
      </c>
      <c r="D1611" s="1">
        <v>43228</v>
      </c>
    </row>
    <row r="1612" spans="1:4" x14ac:dyDescent="0.25">
      <c r="A1612" t="s">
        <v>1837</v>
      </c>
      <c r="C1612" t="s">
        <v>14</v>
      </c>
      <c r="D1612" s="1">
        <v>43240</v>
      </c>
    </row>
    <row r="1613" spans="1:4" x14ac:dyDescent="0.25">
      <c r="A1613" t="s">
        <v>1838</v>
      </c>
      <c r="C1613" t="s">
        <v>14</v>
      </c>
      <c r="D1613" s="1">
        <v>43240</v>
      </c>
    </row>
    <row r="1614" spans="1:4" x14ac:dyDescent="0.25">
      <c r="A1614" t="s">
        <v>945</v>
      </c>
      <c r="C1614" t="s">
        <v>14</v>
      </c>
      <c r="D1614" s="1">
        <v>43230</v>
      </c>
    </row>
    <row r="1615" spans="1:4" x14ac:dyDescent="0.25">
      <c r="A1615" t="s">
        <v>1048</v>
      </c>
      <c r="C1615" t="s">
        <v>14</v>
      </c>
      <c r="D1615" s="1">
        <v>43240</v>
      </c>
    </row>
    <row r="1616" spans="1:4" x14ac:dyDescent="0.25">
      <c r="A1616" t="s">
        <v>1309</v>
      </c>
      <c r="C1616" t="s">
        <v>14</v>
      </c>
      <c r="D1616" s="1">
        <v>43241</v>
      </c>
    </row>
    <row r="1617" spans="1:4" x14ac:dyDescent="0.25">
      <c r="A1617" t="s">
        <v>1841</v>
      </c>
      <c r="C1617" t="s">
        <v>14</v>
      </c>
      <c r="D1617" s="1">
        <v>43240</v>
      </c>
    </row>
    <row r="1618" spans="1:4" x14ac:dyDescent="0.25">
      <c r="A1618" t="s">
        <v>1154</v>
      </c>
      <c r="C1618" t="s">
        <v>14</v>
      </c>
      <c r="D1618" s="1">
        <v>43241</v>
      </c>
    </row>
    <row r="1619" spans="1:4" x14ac:dyDescent="0.25">
      <c r="A1619" t="s">
        <v>1842</v>
      </c>
      <c r="C1619" t="s">
        <v>14</v>
      </c>
      <c r="D1619" s="1">
        <v>43228</v>
      </c>
    </row>
    <row r="1620" spans="1:4" x14ac:dyDescent="0.25">
      <c r="A1620" t="s">
        <v>529</v>
      </c>
      <c r="C1620" t="s">
        <v>14</v>
      </c>
      <c r="D1620" s="1">
        <v>43230</v>
      </c>
    </row>
    <row r="1621" spans="1:4" x14ac:dyDescent="0.25">
      <c r="A1621" t="s">
        <v>754</v>
      </c>
      <c r="C1621" t="s">
        <v>14</v>
      </c>
      <c r="D1621" s="1">
        <v>43230</v>
      </c>
    </row>
    <row r="1622" spans="1:4" x14ac:dyDescent="0.25">
      <c r="A1622" t="s">
        <v>847</v>
      </c>
      <c r="C1622" t="s">
        <v>14</v>
      </c>
      <c r="D1622" s="1">
        <v>43236</v>
      </c>
    </row>
    <row r="1623" spans="1:4" x14ac:dyDescent="0.25">
      <c r="A1623" t="s">
        <v>105</v>
      </c>
      <c r="C1623" t="s">
        <v>14</v>
      </c>
      <c r="D1623" s="1">
        <v>43237</v>
      </c>
    </row>
    <row r="1624" spans="1:4" x14ac:dyDescent="0.25">
      <c r="A1624" t="s">
        <v>1844</v>
      </c>
      <c r="C1624" t="s">
        <v>14</v>
      </c>
      <c r="D1624" s="1">
        <v>43240</v>
      </c>
    </row>
    <row r="1625" spans="1:4" x14ac:dyDescent="0.25">
      <c r="A1625" t="s">
        <v>1846</v>
      </c>
      <c r="C1625" t="s">
        <v>14</v>
      </c>
      <c r="D1625" s="1">
        <v>43236</v>
      </c>
    </row>
    <row r="1626" spans="1:4" x14ac:dyDescent="0.25">
      <c r="A1626" t="s">
        <v>1388</v>
      </c>
      <c r="C1626" t="s">
        <v>14</v>
      </c>
      <c r="D1626" s="1">
        <v>43227</v>
      </c>
    </row>
    <row r="1627" spans="1:4" x14ac:dyDescent="0.25">
      <c r="A1627" t="s">
        <v>1113</v>
      </c>
      <c r="C1627" t="s">
        <v>14</v>
      </c>
      <c r="D1627" s="1">
        <v>43230</v>
      </c>
    </row>
    <row r="1628" spans="1:4" x14ac:dyDescent="0.25">
      <c r="A1628" t="s">
        <v>1196</v>
      </c>
      <c r="C1628" t="s">
        <v>14</v>
      </c>
      <c r="D1628" s="1">
        <v>43230</v>
      </c>
    </row>
    <row r="1629" spans="1:4" x14ac:dyDescent="0.25">
      <c r="A1629" t="s">
        <v>1626</v>
      </c>
      <c r="C1629" t="s">
        <v>14</v>
      </c>
      <c r="D1629" s="1">
        <v>43230</v>
      </c>
    </row>
    <row r="1630" spans="1:4" x14ac:dyDescent="0.25">
      <c r="A1630" t="s">
        <v>1852</v>
      </c>
      <c r="C1630" t="s">
        <v>14</v>
      </c>
      <c r="D1630" s="1">
        <v>43228</v>
      </c>
    </row>
    <row r="1631" spans="1:4" x14ac:dyDescent="0.25">
      <c r="A1631" t="s">
        <v>623</v>
      </c>
      <c r="C1631" t="s">
        <v>14</v>
      </c>
      <c r="D1631" s="1">
        <v>43230</v>
      </c>
    </row>
    <row r="1632" spans="1:4" x14ac:dyDescent="0.25">
      <c r="A1632" t="s">
        <v>276</v>
      </c>
      <c r="C1632" t="s">
        <v>14</v>
      </c>
      <c r="D1632" s="1">
        <v>43237</v>
      </c>
    </row>
    <row r="1633" spans="1:4" x14ac:dyDescent="0.25">
      <c r="A1633" t="s">
        <v>1853</v>
      </c>
      <c r="C1633" t="s">
        <v>14</v>
      </c>
      <c r="D1633" s="1">
        <v>43236</v>
      </c>
    </row>
    <row r="1634" spans="1:4" x14ac:dyDescent="0.25">
      <c r="A1634" t="s">
        <v>1855</v>
      </c>
      <c r="C1634" t="s">
        <v>14</v>
      </c>
      <c r="D1634" s="1">
        <v>43228</v>
      </c>
    </row>
    <row r="1635" spans="1:4" x14ac:dyDescent="0.25">
      <c r="A1635" t="s">
        <v>183</v>
      </c>
      <c r="C1635" t="s">
        <v>14</v>
      </c>
      <c r="D1635" s="1">
        <v>43237</v>
      </c>
    </row>
    <row r="1636" spans="1:4" x14ac:dyDescent="0.25">
      <c r="A1636" t="s">
        <v>987</v>
      </c>
      <c r="C1636" t="s">
        <v>14</v>
      </c>
      <c r="D1636" s="1">
        <v>43234</v>
      </c>
    </row>
    <row r="1637" spans="1:4" x14ac:dyDescent="0.25">
      <c r="A1637" t="s">
        <v>1100</v>
      </c>
      <c r="C1637" t="s">
        <v>14</v>
      </c>
      <c r="D1637" s="1">
        <v>43230</v>
      </c>
    </row>
    <row r="1638" spans="1:4" x14ac:dyDescent="0.25">
      <c r="A1638" t="s">
        <v>1464</v>
      </c>
      <c r="C1638" t="s">
        <v>14</v>
      </c>
      <c r="D1638" s="1">
        <v>43227</v>
      </c>
    </row>
    <row r="1639" spans="1:4" x14ac:dyDescent="0.25">
      <c r="A1639" t="s">
        <v>1022</v>
      </c>
      <c r="C1639" t="s">
        <v>14</v>
      </c>
      <c r="D1639" s="1">
        <v>43230</v>
      </c>
    </row>
    <row r="1640" spans="1:4" x14ac:dyDescent="0.25">
      <c r="A1640" t="s">
        <v>632</v>
      </c>
      <c r="C1640" t="s">
        <v>14</v>
      </c>
      <c r="D1640" s="1">
        <v>43230</v>
      </c>
    </row>
    <row r="1641" spans="1:4" x14ac:dyDescent="0.25">
      <c r="A1641" t="s">
        <v>707</v>
      </c>
      <c r="C1641" t="s">
        <v>14</v>
      </c>
      <c r="D1641" s="1">
        <v>43230</v>
      </c>
    </row>
    <row r="1642" spans="1:4" x14ac:dyDescent="0.25">
      <c r="A1642" t="s">
        <v>1654</v>
      </c>
      <c r="C1642" t="s">
        <v>14</v>
      </c>
      <c r="D1642" s="1">
        <v>43230</v>
      </c>
    </row>
    <row r="1643" spans="1:4" x14ac:dyDescent="0.25">
      <c r="A1643" t="s">
        <v>156</v>
      </c>
      <c r="C1643" t="s">
        <v>14</v>
      </c>
      <c r="D1643" s="1">
        <v>43230</v>
      </c>
    </row>
    <row r="1644" spans="1:4" x14ac:dyDescent="0.25">
      <c r="A1644" t="s">
        <v>1903</v>
      </c>
      <c r="C1644" t="s">
        <v>14</v>
      </c>
      <c r="D1644" s="1">
        <v>43239</v>
      </c>
    </row>
    <row r="1645" spans="1:4" x14ac:dyDescent="0.25">
      <c r="A1645" t="s">
        <v>1657</v>
      </c>
      <c r="C1645" t="s">
        <v>14</v>
      </c>
      <c r="D1645" s="1">
        <v>43230</v>
      </c>
    </row>
    <row r="1646" spans="1:4" x14ac:dyDescent="0.25">
      <c r="A1646" t="s">
        <v>265</v>
      </c>
      <c r="C1646" t="s">
        <v>14</v>
      </c>
      <c r="D1646" s="1">
        <v>43237</v>
      </c>
    </row>
    <row r="1647" spans="1:4" x14ac:dyDescent="0.25">
      <c r="A1647" t="s">
        <v>683</v>
      </c>
      <c r="C1647" t="s">
        <v>14</v>
      </c>
      <c r="D1647" s="1">
        <v>43230</v>
      </c>
    </row>
    <row r="1648" spans="1:4" x14ac:dyDescent="0.25">
      <c r="A1648" t="s">
        <v>1904</v>
      </c>
      <c r="C1648" t="s">
        <v>14</v>
      </c>
      <c r="D1648" s="1">
        <v>43239</v>
      </c>
    </row>
    <row r="1649" spans="1:4" x14ac:dyDescent="0.25">
      <c r="A1649" t="s">
        <v>1524</v>
      </c>
      <c r="C1649" t="s">
        <v>14</v>
      </c>
      <c r="D1649" s="1">
        <v>43227</v>
      </c>
    </row>
    <row r="1650" spans="1:4" x14ac:dyDescent="0.25">
      <c r="A1650" t="s">
        <v>1905</v>
      </c>
      <c r="C1650" t="s">
        <v>14</v>
      </c>
      <c r="D1650" s="1">
        <v>43239</v>
      </c>
    </row>
    <row r="1651" spans="1:4" x14ac:dyDescent="0.25">
      <c r="A1651" t="s">
        <v>935</v>
      </c>
      <c r="C1651" t="s">
        <v>14</v>
      </c>
      <c r="D1651" s="1">
        <v>43236</v>
      </c>
    </row>
    <row r="1652" spans="1:4" x14ac:dyDescent="0.25">
      <c r="A1652" t="s">
        <v>1861</v>
      </c>
      <c r="C1652" t="s">
        <v>14</v>
      </c>
      <c r="D1652" s="1">
        <v>43240</v>
      </c>
    </row>
    <row r="1653" spans="1:4" x14ac:dyDescent="0.25">
      <c r="A1653" t="s">
        <v>1862</v>
      </c>
      <c r="C1653" t="s">
        <v>14</v>
      </c>
      <c r="D1653" s="1">
        <v>43236</v>
      </c>
    </row>
    <row r="1654" spans="1:4" x14ac:dyDescent="0.25">
      <c r="A1654" t="s">
        <v>1863</v>
      </c>
      <c r="C1654" t="s">
        <v>14</v>
      </c>
      <c r="D1654" s="1">
        <v>43228</v>
      </c>
    </row>
    <row r="1655" spans="1:4" x14ac:dyDescent="0.25">
      <c r="A1655" t="s">
        <v>703</v>
      </c>
      <c r="C1655" t="s">
        <v>14</v>
      </c>
      <c r="D1655" s="1">
        <v>43230</v>
      </c>
    </row>
    <row r="1656" spans="1:4" x14ac:dyDescent="0.25">
      <c r="A1656" t="s">
        <v>1864</v>
      </c>
      <c r="C1656" t="s">
        <v>14</v>
      </c>
      <c r="D1656" s="1">
        <v>43228</v>
      </c>
    </row>
    <row r="1657" spans="1:4" x14ac:dyDescent="0.25">
      <c r="A1657" t="s">
        <v>1865</v>
      </c>
      <c r="C1657" t="s">
        <v>14</v>
      </c>
      <c r="D1657" s="1">
        <v>43228</v>
      </c>
    </row>
    <row r="1658" spans="1:4" x14ac:dyDescent="0.25">
      <c r="A1658" t="s">
        <v>1310</v>
      </c>
      <c r="C1658" t="s">
        <v>14</v>
      </c>
      <c r="D1658" s="1">
        <v>43234</v>
      </c>
    </row>
    <row r="1659" spans="1:4" x14ac:dyDescent="0.25">
      <c r="A1659" t="s">
        <v>1157</v>
      </c>
      <c r="C1659" t="s">
        <v>14</v>
      </c>
      <c r="D1659" s="1">
        <v>43227</v>
      </c>
    </row>
    <row r="1660" spans="1:4" x14ac:dyDescent="0.25">
      <c r="A1660" t="s">
        <v>2153</v>
      </c>
      <c r="C1660" t="s">
        <v>14</v>
      </c>
      <c r="D1660" s="1">
        <v>43239</v>
      </c>
    </row>
    <row r="1661" spans="1:4" x14ac:dyDescent="0.25">
      <c r="A1661" t="s">
        <v>1866</v>
      </c>
      <c r="C1661" t="s">
        <v>14</v>
      </c>
      <c r="D1661" s="1">
        <v>43236</v>
      </c>
    </row>
    <row r="1662" spans="1:4" x14ac:dyDescent="0.25">
      <c r="A1662" t="s">
        <v>779</v>
      </c>
      <c r="C1662" t="s">
        <v>14</v>
      </c>
      <c r="D1662" s="1">
        <v>43230</v>
      </c>
    </row>
    <row r="1663" spans="1:4" x14ac:dyDescent="0.25">
      <c r="A1663" t="s">
        <v>1105</v>
      </c>
      <c r="C1663" t="s">
        <v>14</v>
      </c>
      <c r="D1663" s="1">
        <v>43230</v>
      </c>
    </row>
    <row r="1664" spans="1:4" x14ac:dyDescent="0.25">
      <c r="A1664" t="s">
        <v>1560</v>
      </c>
      <c r="C1664" t="s">
        <v>14</v>
      </c>
      <c r="D1664" s="1">
        <v>43230</v>
      </c>
    </row>
    <row r="1665" spans="1:4" x14ac:dyDescent="0.25">
      <c r="A1665" t="s">
        <v>1868</v>
      </c>
      <c r="C1665" t="s">
        <v>14</v>
      </c>
      <c r="D1665" s="1">
        <v>43228</v>
      </c>
    </row>
    <row r="1666" spans="1:4" x14ac:dyDescent="0.25">
      <c r="A1666" t="s">
        <v>1190</v>
      </c>
      <c r="C1666" t="s">
        <v>14</v>
      </c>
      <c r="D1666" s="1">
        <v>43230</v>
      </c>
    </row>
    <row r="1667" spans="1:4" x14ac:dyDescent="0.25">
      <c r="A1667" t="s">
        <v>953</v>
      </c>
      <c r="C1667" t="s">
        <v>14</v>
      </c>
      <c r="D1667" s="1">
        <v>43230</v>
      </c>
    </row>
    <row r="1668" spans="1:4" x14ac:dyDescent="0.25">
      <c r="A1668" t="s">
        <v>562</v>
      </c>
      <c r="C1668" t="s">
        <v>14</v>
      </c>
      <c r="D1668" s="1">
        <v>43230</v>
      </c>
    </row>
    <row r="1669" spans="1:4" x14ac:dyDescent="0.25">
      <c r="A1669" t="s">
        <v>1872</v>
      </c>
      <c r="C1669" t="s">
        <v>14</v>
      </c>
      <c r="D1669" s="1">
        <v>43240</v>
      </c>
    </row>
    <row r="1670" spans="1:4" x14ac:dyDescent="0.25">
      <c r="A1670" t="s">
        <v>1036</v>
      </c>
      <c r="C1670" t="s">
        <v>14</v>
      </c>
      <c r="D1670" s="1">
        <v>43244</v>
      </c>
    </row>
    <row r="1671" spans="1:4" x14ac:dyDescent="0.25">
      <c r="A1671" t="s">
        <v>1053</v>
      </c>
      <c r="C1671" t="s">
        <v>14</v>
      </c>
      <c r="D1671" s="1">
        <v>43228</v>
      </c>
    </row>
    <row r="1672" spans="1:4" x14ac:dyDescent="0.25">
      <c r="A1672" t="s">
        <v>1204</v>
      </c>
      <c r="C1672" t="s">
        <v>14</v>
      </c>
      <c r="D1672" s="1">
        <v>43228</v>
      </c>
    </row>
    <row r="1673" spans="1:4" x14ac:dyDescent="0.25">
      <c r="A1673" t="s">
        <v>1103</v>
      </c>
      <c r="C1673" t="s">
        <v>14</v>
      </c>
      <c r="D1673" s="1">
        <v>43244</v>
      </c>
    </row>
    <row r="1674" spans="1:4" x14ac:dyDescent="0.25">
      <c r="A1674" t="s">
        <v>1873</v>
      </c>
      <c r="C1674" t="s">
        <v>14</v>
      </c>
      <c r="D1674" s="1">
        <v>43240</v>
      </c>
    </row>
    <row r="1675" spans="1:4" x14ac:dyDescent="0.25">
      <c r="A1675" t="s">
        <v>1066</v>
      </c>
      <c r="C1675" t="s">
        <v>14</v>
      </c>
      <c r="D1675" s="1">
        <v>43228</v>
      </c>
    </row>
    <row r="1676" spans="1:4" x14ac:dyDescent="0.25">
      <c r="A1676" t="s">
        <v>1874</v>
      </c>
      <c r="C1676" t="s">
        <v>14</v>
      </c>
      <c r="D1676" s="1">
        <v>43234</v>
      </c>
    </row>
    <row r="1677" spans="1:4" x14ac:dyDescent="0.25">
      <c r="A1677" t="s">
        <v>1875</v>
      </c>
      <c r="C1677" t="s">
        <v>14</v>
      </c>
      <c r="D1677" s="1">
        <v>43237</v>
      </c>
    </row>
    <row r="1678" spans="1:4" x14ac:dyDescent="0.25">
      <c r="A1678" t="s">
        <v>1876</v>
      </c>
      <c r="C1678" t="s">
        <v>14</v>
      </c>
      <c r="D1678" s="1">
        <v>43228</v>
      </c>
    </row>
    <row r="1679" spans="1:4" x14ac:dyDescent="0.25">
      <c r="A1679" t="s">
        <v>1065</v>
      </c>
      <c r="C1679" t="s">
        <v>14</v>
      </c>
      <c r="D1679" s="1">
        <v>43228</v>
      </c>
    </row>
    <row r="1680" spans="1:4" x14ac:dyDescent="0.25">
      <c r="A1680" t="s">
        <v>2154</v>
      </c>
      <c r="C1680" t="s">
        <v>14</v>
      </c>
      <c r="D1680" s="1">
        <v>43244</v>
      </c>
    </row>
    <row r="1681" spans="1:4" x14ac:dyDescent="0.25">
      <c r="A1681" t="s">
        <v>1877</v>
      </c>
      <c r="C1681" t="s">
        <v>14</v>
      </c>
      <c r="D1681" s="1">
        <v>43240</v>
      </c>
    </row>
    <row r="1682" spans="1:4" x14ac:dyDescent="0.25">
      <c r="A1682" t="s">
        <v>1878</v>
      </c>
      <c r="C1682" t="s">
        <v>14</v>
      </c>
      <c r="D1682" s="1">
        <v>43228</v>
      </c>
    </row>
    <row r="1683" spans="1:4" x14ac:dyDescent="0.25">
      <c r="A1683" t="s">
        <v>1879</v>
      </c>
      <c r="C1683" t="s">
        <v>14</v>
      </c>
      <c r="D1683" s="1">
        <v>43234</v>
      </c>
    </row>
    <row r="1684" spans="1:4" x14ac:dyDescent="0.25">
      <c r="A1684" t="s">
        <v>1117</v>
      </c>
      <c r="C1684" t="s">
        <v>14</v>
      </c>
      <c r="D1684" s="1">
        <v>43228</v>
      </c>
    </row>
    <row r="1685" spans="1:4" x14ac:dyDescent="0.25">
      <c r="A1685" t="s">
        <v>2155</v>
      </c>
      <c r="C1685" t="s">
        <v>14</v>
      </c>
      <c r="D1685" s="1">
        <v>43241</v>
      </c>
    </row>
    <row r="1686" spans="1:4" x14ac:dyDescent="0.25">
      <c r="A1686" t="s">
        <v>230</v>
      </c>
      <c r="C1686" t="s">
        <v>14</v>
      </c>
      <c r="D1686" s="1">
        <v>43240</v>
      </c>
    </row>
    <row r="1687" spans="1:4" x14ac:dyDescent="0.25">
      <c r="A1687" t="s">
        <v>2156</v>
      </c>
      <c r="C1687" t="s">
        <v>14</v>
      </c>
      <c r="D1687" s="1">
        <v>43238</v>
      </c>
    </row>
    <row r="1688" spans="1:4" x14ac:dyDescent="0.25">
      <c r="A1688" t="s">
        <v>2157</v>
      </c>
      <c r="C1688" t="s">
        <v>14</v>
      </c>
      <c r="D1688" s="1">
        <v>43238</v>
      </c>
    </row>
    <row r="1689" spans="1:4" x14ac:dyDescent="0.25">
      <c r="A1689" t="s">
        <v>2158</v>
      </c>
      <c r="C1689" t="s">
        <v>14</v>
      </c>
      <c r="D1689" s="1">
        <v>43238</v>
      </c>
    </row>
    <row r="1690" spans="1:4" x14ac:dyDescent="0.25">
      <c r="A1690" t="s">
        <v>2159</v>
      </c>
      <c r="C1690" t="s">
        <v>14</v>
      </c>
      <c r="D1690" s="1">
        <v>43238</v>
      </c>
    </row>
    <row r="1691" spans="1:4" x14ac:dyDescent="0.25">
      <c r="A1691" t="s">
        <v>1268</v>
      </c>
      <c r="C1691" t="s">
        <v>14</v>
      </c>
      <c r="D1691" s="1">
        <v>43227</v>
      </c>
    </row>
    <row r="1692" spans="1:4" x14ac:dyDescent="0.25">
      <c r="A1692" t="s">
        <v>1176</v>
      </c>
      <c r="C1692" t="s">
        <v>14</v>
      </c>
      <c r="D1692" s="1">
        <v>43235</v>
      </c>
    </row>
    <row r="1693" spans="1:4" x14ac:dyDescent="0.25">
      <c r="A1693" t="s">
        <v>1356</v>
      </c>
      <c r="C1693" t="s">
        <v>14</v>
      </c>
      <c r="D1693" s="1">
        <v>43240</v>
      </c>
    </row>
    <row r="1694" spans="1:4" x14ac:dyDescent="0.25">
      <c r="A1694" t="s">
        <v>661</v>
      </c>
      <c r="C1694" t="s">
        <v>14</v>
      </c>
      <c r="D1694" s="1">
        <v>43241</v>
      </c>
    </row>
    <row r="1695" spans="1:4" x14ac:dyDescent="0.25">
      <c r="A1695" t="s">
        <v>1882</v>
      </c>
      <c r="C1695" t="s">
        <v>14</v>
      </c>
      <c r="D1695" s="1">
        <v>43237</v>
      </c>
    </row>
    <row r="1696" spans="1:4" x14ac:dyDescent="0.25">
      <c r="A1696" t="s">
        <v>2160</v>
      </c>
      <c r="C1696" t="s">
        <v>14</v>
      </c>
      <c r="D1696" s="1">
        <v>43242</v>
      </c>
    </row>
    <row r="1697" spans="1:4" x14ac:dyDescent="0.25">
      <c r="A1697" t="s">
        <v>2161</v>
      </c>
      <c r="C1697" t="s">
        <v>14</v>
      </c>
      <c r="D1697" s="1">
        <v>43242</v>
      </c>
    </row>
    <row r="1698" spans="1:4" x14ac:dyDescent="0.25">
      <c r="A1698" t="s">
        <v>1883</v>
      </c>
      <c r="C1698" t="s">
        <v>14</v>
      </c>
      <c r="D1698" s="1">
        <v>43230</v>
      </c>
    </row>
    <row r="1699" spans="1:4" x14ac:dyDescent="0.25">
      <c r="A1699" t="s">
        <v>903</v>
      </c>
      <c r="C1699" t="s">
        <v>14</v>
      </c>
      <c r="D1699" s="1">
        <v>43228</v>
      </c>
    </row>
    <row r="1700" spans="1:4" x14ac:dyDescent="0.25">
      <c r="A1700" t="s">
        <v>679</v>
      </c>
      <c r="C1700" t="s">
        <v>14</v>
      </c>
      <c r="D1700" s="1">
        <v>43244</v>
      </c>
    </row>
    <row r="1701" spans="1:4" x14ac:dyDescent="0.25">
      <c r="A1701" t="s">
        <v>1081</v>
      </c>
      <c r="C1701" t="s">
        <v>14</v>
      </c>
      <c r="D1701" s="1">
        <v>43241</v>
      </c>
    </row>
    <row r="1702" spans="1:4" x14ac:dyDescent="0.25">
      <c r="A1702" t="s">
        <v>1140</v>
      </c>
      <c r="C1702" t="s">
        <v>14</v>
      </c>
      <c r="D1702" s="1">
        <v>43241</v>
      </c>
    </row>
    <row r="1703" spans="1:4" x14ac:dyDescent="0.25">
      <c r="A1703" t="s">
        <v>1884</v>
      </c>
      <c r="C1703" t="s">
        <v>14</v>
      </c>
      <c r="D1703" s="1">
        <v>43229</v>
      </c>
    </row>
    <row r="1704" spans="1:4" x14ac:dyDescent="0.25">
      <c r="A1704" t="s">
        <v>2162</v>
      </c>
      <c r="C1704" t="s">
        <v>14</v>
      </c>
      <c r="D1704" s="1">
        <v>43228</v>
      </c>
    </row>
    <row r="1705" spans="1:4" x14ac:dyDescent="0.25">
      <c r="A1705" t="s">
        <v>2163</v>
      </c>
      <c r="C1705" t="s">
        <v>14</v>
      </c>
      <c r="D1705" s="1">
        <v>43242</v>
      </c>
    </row>
    <row r="1706" spans="1:4" x14ac:dyDescent="0.25">
      <c r="A1706" t="s">
        <v>1930</v>
      </c>
      <c r="C1706" t="s">
        <v>17</v>
      </c>
      <c r="D1706" s="1">
        <v>43245</v>
      </c>
    </row>
    <row r="1707" spans="1:4" x14ac:dyDescent="0.25">
      <c r="A1707" t="s">
        <v>2164</v>
      </c>
      <c r="C1707" t="s">
        <v>17</v>
      </c>
      <c r="D1707" s="1">
        <v>43223</v>
      </c>
    </row>
    <row r="1708" spans="1:4" x14ac:dyDescent="0.25">
      <c r="A1708" t="s">
        <v>2165</v>
      </c>
      <c r="C1708" t="s">
        <v>17</v>
      </c>
      <c r="D1708" s="1">
        <v>43222</v>
      </c>
    </row>
    <row r="1709" spans="1:4" x14ac:dyDescent="0.25">
      <c r="A1709" t="s">
        <v>2166</v>
      </c>
      <c r="C1709" t="s">
        <v>17</v>
      </c>
      <c r="D1709" s="1">
        <v>43224</v>
      </c>
    </row>
    <row r="1710" spans="1:4" x14ac:dyDescent="0.25">
      <c r="A1710" t="s">
        <v>1567</v>
      </c>
      <c r="C1710" t="s">
        <v>17</v>
      </c>
      <c r="D1710" s="1">
        <v>43227</v>
      </c>
    </row>
    <row r="1711" spans="1:4" x14ac:dyDescent="0.25">
      <c r="A1711" t="s">
        <v>1934</v>
      </c>
      <c r="C1711" t="s">
        <v>17</v>
      </c>
      <c r="D1711" s="1">
        <v>43245</v>
      </c>
    </row>
    <row r="1712" spans="1:4" x14ac:dyDescent="0.25">
      <c r="A1712" t="s">
        <v>2167</v>
      </c>
      <c r="C1712" t="s">
        <v>17</v>
      </c>
      <c r="D1712" s="1">
        <v>43250</v>
      </c>
    </row>
    <row r="1713" spans="1:4" x14ac:dyDescent="0.25">
      <c r="A1713" t="s">
        <v>2080</v>
      </c>
      <c r="C1713" t="s">
        <v>17</v>
      </c>
      <c r="D1713" s="1">
        <v>43250</v>
      </c>
    </row>
    <row r="1714" spans="1:4" x14ac:dyDescent="0.25">
      <c r="A1714" t="s">
        <v>2168</v>
      </c>
      <c r="C1714" t="s">
        <v>17</v>
      </c>
      <c r="D1714" s="1">
        <v>43221</v>
      </c>
    </row>
    <row r="1715" spans="1:4" x14ac:dyDescent="0.25">
      <c r="A1715" t="s">
        <v>2086</v>
      </c>
      <c r="C1715" t="s">
        <v>17</v>
      </c>
      <c r="D1715" s="1">
        <v>43222</v>
      </c>
    </row>
    <row r="1716" spans="1:4" x14ac:dyDescent="0.25">
      <c r="A1716" t="s">
        <v>2087</v>
      </c>
      <c r="C1716" t="s">
        <v>17</v>
      </c>
      <c r="D1716" s="1">
        <v>43250</v>
      </c>
    </row>
    <row r="1717" spans="1:4" x14ac:dyDescent="0.25">
      <c r="A1717" t="s">
        <v>2088</v>
      </c>
      <c r="C1717" t="s">
        <v>17</v>
      </c>
      <c r="D1717" s="1">
        <v>43222</v>
      </c>
    </row>
    <row r="1718" spans="1:4" x14ac:dyDescent="0.25">
      <c r="A1718" t="s">
        <v>2169</v>
      </c>
      <c r="C1718" t="s">
        <v>17</v>
      </c>
      <c r="D1718" s="1">
        <v>43250</v>
      </c>
    </row>
    <row r="1719" spans="1:4" x14ac:dyDescent="0.25">
      <c r="A1719" t="s">
        <v>2170</v>
      </c>
      <c r="C1719" t="s">
        <v>17</v>
      </c>
      <c r="D1719" s="1">
        <v>43231</v>
      </c>
    </row>
    <row r="1720" spans="1:4" x14ac:dyDescent="0.25">
      <c r="A1720" t="s">
        <v>2171</v>
      </c>
      <c r="C1720" t="s">
        <v>17</v>
      </c>
      <c r="D1720" s="1">
        <v>43230</v>
      </c>
    </row>
    <row r="1721" spans="1:4" x14ac:dyDescent="0.25">
      <c r="A1721" t="s">
        <v>2172</v>
      </c>
      <c r="C1721" t="s">
        <v>17</v>
      </c>
      <c r="D1721" s="1">
        <v>43221</v>
      </c>
    </row>
    <row r="1722" spans="1:4" x14ac:dyDescent="0.25">
      <c r="A1722" t="s">
        <v>2090</v>
      </c>
      <c r="C1722" t="s">
        <v>17</v>
      </c>
      <c r="D1722" s="1">
        <v>43222</v>
      </c>
    </row>
    <row r="1723" spans="1:4" x14ac:dyDescent="0.25">
      <c r="A1723" t="s">
        <v>1941</v>
      </c>
      <c r="C1723" t="s">
        <v>17</v>
      </c>
      <c r="D1723" s="1">
        <v>43227</v>
      </c>
    </row>
    <row r="1724" spans="1:4" x14ac:dyDescent="0.25">
      <c r="A1724" t="s">
        <v>2173</v>
      </c>
      <c r="C1724" t="s">
        <v>17</v>
      </c>
      <c r="D1724" s="1">
        <v>43238</v>
      </c>
    </row>
    <row r="1725" spans="1:4" x14ac:dyDescent="0.25">
      <c r="A1725" t="s">
        <v>2174</v>
      </c>
      <c r="C1725" t="s">
        <v>17</v>
      </c>
      <c r="D1725" s="1">
        <v>43227</v>
      </c>
    </row>
    <row r="1726" spans="1:4" x14ac:dyDescent="0.25">
      <c r="A1726" t="s">
        <v>2175</v>
      </c>
      <c r="C1726" t="s">
        <v>17</v>
      </c>
      <c r="D1726" s="1">
        <v>43238</v>
      </c>
    </row>
    <row r="1727" spans="1:4" x14ac:dyDescent="0.25">
      <c r="A1727" t="s">
        <v>2176</v>
      </c>
      <c r="C1727" t="s">
        <v>17</v>
      </c>
      <c r="D1727" s="1">
        <v>43234</v>
      </c>
    </row>
    <row r="1728" spans="1:4" x14ac:dyDescent="0.25">
      <c r="A1728" t="s">
        <v>2177</v>
      </c>
      <c r="C1728" t="s">
        <v>17</v>
      </c>
      <c r="D1728" s="1">
        <v>43221</v>
      </c>
    </row>
    <row r="1729" spans="1:4" x14ac:dyDescent="0.25">
      <c r="A1729" t="s">
        <v>2178</v>
      </c>
      <c r="C1729" t="s">
        <v>17</v>
      </c>
      <c r="D1729" s="1">
        <v>43238</v>
      </c>
    </row>
    <row r="1730" spans="1:4" x14ac:dyDescent="0.25">
      <c r="A1730" t="s">
        <v>1404</v>
      </c>
      <c r="C1730" t="s">
        <v>17</v>
      </c>
      <c r="D1730" s="1">
        <v>43229</v>
      </c>
    </row>
    <row r="1731" spans="1:4" x14ac:dyDescent="0.25">
      <c r="A1731" t="s">
        <v>1943</v>
      </c>
      <c r="C1731" t="s">
        <v>17</v>
      </c>
      <c r="D1731" s="1">
        <v>43239</v>
      </c>
    </row>
    <row r="1732" spans="1:4" x14ac:dyDescent="0.25">
      <c r="A1732" t="s">
        <v>2179</v>
      </c>
      <c r="C1732" t="s">
        <v>17</v>
      </c>
      <c r="D1732" s="1">
        <v>43238</v>
      </c>
    </row>
    <row r="1733" spans="1:4" x14ac:dyDescent="0.25">
      <c r="A1733" t="s">
        <v>1944</v>
      </c>
      <c r="C1733" t="s">
        <v>17</v>
      </c>
      <c r="D1733" s="1">
        <v>43239</v>
      </c>
    </row>
    <row r="1734" spans="1:4" x14ac:dyDescent="0.25">
      <c r="A1734" t="s">
        <v>1947</v>
      </c>
      <c r="C1734" t="s">
        <v>17</v>
      </c>
      <c r="D1734" s="1">
        <v>43244</v>
      </c>
    </row>
    <row r="1735" spans="1:4" x14ac:dyDescent="0.25">
      <c r="A1735" t="s">
        <v>1948</v>
      </c>
      <c r="C1735" t="s">
        <v>17</v>
      </c>
      <c r="D1735" s="1">
        <v>43238</v>
      </c>
    </row>
    <row r="1736" spans="1:4" x14ac:dyDescent="0.25">
      <c r="A1736" t="s">
        <v>1429</v>
      </c>
      <c r="C1736" t="s">
        <v>17</v>
      </c>
      <c r="D1736" s="1">
        <v>43241</v>
      </c>
    </row>
    <row r="1737" spans="1:4" x14ac:dyDescent="0.25">
      <c r="A1737" t="s">
        <v>1559</v>
      </c>
      <c r="C1737" t="s">
        <v>17</v>
      </c>
      <c r="D1737" s="1">
        <v>43231</v>
      </c>
    </row>
    <row r="1738" spans="1:4" x14ac:dyDescent="0.25">
      <c r="A1738" t="s">
        <v>1470</v>
      </c>
      <c r="C1738" t="s">
        <v>17</v>
      </c>
      <c r="D1738" s="1">
        <v>43250</v>
      </c>
    </row>
    <row r="1739" spans="1:4" x14ac:dyDescent="0.25">
      <c r="A1739" t="s">
        <v>2180</v>
      </c>
      <c r="C1739" t="s">
        <v>17</v>
      </c>
      <c r="D1739" s="1">
        <v>43223</v>
      </c>
    </row>
    <row r="1740" spans="1:4" x14ac:dyDescent="0.25">
      <c r="A1740" t="s">
        <v>2181</v>
      </c>
      <c r="C1740" t="s">
        <v>17</v>
      </c>
      <c r="D1740" s="1">
        <v>43234</v>
      </c>
    </row>
    <row r="1741" spans="1:4" x14ac:dyDescent="0.25">
      <c r="A1741" t="s">
        <v>1957</v>
      </c>
      <c r="C1741" t="s">
        <v>17</v>
      </c>
      <c r="D1741" s="1">
        <v>43248</v>
      </c>
    </row>
    <row r="1742" spans="1:4" x14ac:dyDescent="0.25">
      <c r="A1742" t="s">
        <v>2182</v>
      </c>
      <c r="C1742" t="s">
        <v>17</v>
      </c>
      <c r="D1742" s="1">
        <v>43223</v>
      </c>
    </row>
    <row r="1743" spans="1:4" x14ac:dyDescent="0.25">
      <c r="A1743" t="s">
        <v>2183</v>
      </c>
      <c r="C1743" t="s">
        <v>17</v>
      </c>
      <c r="D1743" s="1">
        <v>43236</v>
      </c>
    </row>
    <row r="1744" spans="1:4" x14ac:dyDescent="0.25">
      <c r="A1744" t="s">
        <v>2094</v>
      </c>
      <c r="C1744" t="s">
        <v>17</v>
      </c>
      <c r="D1744" s="1">
        <v>43248</v>
      </c>
    </row>
    <row r="1745" spans="1:4" x14ac:dyDescent="0.25">
      <c r="A1745" t="s">
        <v>1958</v>
      </c>
      <c r="C1745" t="s">
        <v>17</v>
      </c>
      <c r="D1745" s="1">
        <v>43235</v>
      </c>
    </row>
    <row r="1746" spans="1:4" x14ac:dyDescent="0.25">
      <c r="A1746" t="s">
        <v>2095</v>
      </c>
      <c r="C1746" t="s">
        <v>17</v>
      </c>
      <c r="D1746" s="1">
        <v>43250</v>
      </c>
    </row>
    <row r="1747" spans="1:4" x14ac:dyDescent="0.25">
      <c r="A1747" t="s">
        <v>2096</v>
      </c>
      <c r="C1747" t="s">
        <v>17</v>
      </c>
      <c r="D1747" s="1">
        <v>43238</v>
      </c>
    </row>
    <row r="1748" spans="1:4" x14ac:dyDescent="0.25">
      <c r="A1748" t="s">
        <v>2184</v>
      </c>
      <c r="C1748" t="s">
        <v>17</v>
      </c>
      <c r="D1748" s="1">
        <v>43222</v>
      </c>
    </row>
    <row r="1749" spans="1:4" x14ac:dyDescent="0.25">
      <c r="A1749" t="s">
        <v>1962</v>
      </c>
      <c r="C1749" t="s">
        <v>17</v>
      </c>
      <c r="D1749" s="1">
        <v>43225</v>
      </c>
    </row>
    <row r="1750" spans="1:4" x14ac:dyDescent="0.25">
      <c r="A1750" t="s">
        <v>2185</v>
      </c>
      <c r="C1750" t="s">
        <v>17</v>
      </c>
      <c r="D1750" s="1">
        <v>43224</v>
      </c>
    </row>
    <row r="1751" spans="1:4" x14ac:dyDescent="0.25">
      <c r="A1751" t="s">
        <v>1344</v>
      </c>
      <c r="C1751" t="s">
        <v>17</v>
      </c>
      <c r="D1751" s="1">
        <v>43239</v>
      </c>
    </row>
    <row r="1752" spans="1:4" x14ac:dyDescent="0.25">
      <c r="A1752" t="s">
        <v>1611</v>
      </c>
      <c r="C1752" t="s">
        <v>17</v>
      </c>
      <c r="D1752" s="1">
        <v>43240</v>
      </c>
    </row>
    <row r="1753" spans="1:4" x14ac:dyDescent="0.25">
      <c r="A1753" t="s">
        <v>1964</v>
      </c>
      <c r="C1753" t="s">
        <v>17</v>
      </c>
      <c r="D1753" s="1">
        <v>43238</v>
      </c>
    </row>
    <row r="1754" spans="1:4" x14ac:dyDescent="0.25">
      <c r="A1754" t="s">
        <v>2097</v>
      </c>
      <c r="C1754" t="s">
        <v>17</v>
      </c>
      <c r="D1754" s="1">
        <v>43224</v>
      </c>
    </row>
    <row r="1755" spans="1:4" x14ac:dyDescent="0.25">
      <c r="A1755" t="s">
        <v>2186</v>
      </c>
      <c r="C1755" t="s">
        <v>17</v>
      </c>
      <c r="D1755" s="1">
        <v>43222</v>
      </c>
    </row>
    <row r="1756" spans="1:4" x14ac:dyDescent="0.25">
      <c r="A1756" t="s">
        <v>2098</v>
      </c>
      <c r="C1756" t="s">
        <v>17</v>
      </c>
      <c r="D1756" s="1">
        <v>43232</v>
      </c>
    </row>
    <row r="1757" spans="1:4" x14ac:dyDescent="0.25">
      <c r="A1757" t="s">
        <v>2187</v>
      </c>
      <c r="C1757" t="s">
        <v>17</v>
      </c>
      <c r="D1757" s="1">
        <v>43223</v>
      </c>
    </row>
    <row r="1758" spans="1:4" x14ac:dyDescent="0.25">
      <c r="A1758" t="s">
        <v>1967</v>
      </c>
      <c r="C1758" t="s">
        <v>17</v>
      </c>
      <c r="D1758" s="1">
        <v>43232</v>
      </c>
    </row>
    <row r="1759" spans="1:4" x14ac:dyDescent="0.25">
      <c r="A1759" t="s">
        <v>1968</v>
      </c>
      <c r="C1759" t="s">
        <v>17</v>
      </c>
      <c r="D1759" s="1">
        <v>43239</v>
      </c>
    </row>
    <row r="1760" spans="1:4" x14ac:dyDescent="0.25">
      <c r="A1760" t="s">
        <v>1969</v>
      </c>
      <c r="C1760" t="s">
        <v>17</v>
      </c>
      <c r="D1760" s="1">
        <v>43239</v>
      </c>
    </row>
    <row r="1761" spans="1:4" x14ac:dyDescent="0.25">
      <c r="A1761" t="s">
        <v>2188</v>
      </c>
      <c r="C1761" t="s">
        <v>17</v>
      </c>
      <c r="D1761" s="1">
        <v>43223</v>
      </c>
    </row>
    <row r="1762" spans="1:4" x14ac:dyDescent="0.25">
      <c r="A1762" t="s">
        <v>1971</v>
      </c>
      <c r="C1762" t="s">
        <v>17</v>
      </c>
      <c r="D1762" s="1">
        <v>43238</v>
      </c>
    </row>
    <row r="1763" spans="1:4" x14ac:dyDescent="0.25">
      <c r="A1763" t="s">
        <v>2189</v>
      </c>
      <c r="C1763" t="s">
        <v>17</v>
      </c>
      <c r="D1763" s="1">
        <v>43225</v>
      </c>
    </row>
    <row r="1764" spans="1:4" x14ac:dyDescent="0.25">
      <c r="A1764" t="s">
        <v>2100</v>
      </c>
      <c r="C1764" t="s">
        <v>17</v>
      </c>
      <c r="D1764" s="1">
        <v>43239</v>
      </c>
    </row>
    <row r="1765" spans="1:4" x14ac:dyDescent="0.25">
      <c r="A1765" t="s">
        <v>1340</v>
      </c>
      <c r="C1765" t="s">
        <v>17</v>
      </c>
      <c r="D1765" s="1">
        <v>43239</v>
      </c>
    </row>
    <row r="1766" spans="1:4" x14ac:dyDescent="0.25">
      <c r="A1766" t="s">
        <v>1659</v>
      </c>
      <c r="C1766" t="s">
        <v>17</v>
      </c>
      <c r="D1766" s="1">
        <v>43235</v>
      </c>
    </row>
    <row r="1767" spans="1:4" x14ac:dyDescent="0.25">
      <c r="A1767" t="s">
        <v>2190</v>
      </c>
      <c r="C1767" t="s">
        <v>17</v>
      </c>
      <c r="D1767" s="1">
        <v>43238</v>
      </c>
    </row>
    <row r="1768" spans="1:4" x14ac:dyDescent="0.25">
      <c r="A1768" t="s">
        <v>2101</v>
      </c>
      <c r="C1768" t="s">
        <v>17</v>
      </c>
      <c r="D1768" s="1">
        <v>43248</v>
      </c>
    </row>
    <row r="1769" spans="1:4" x14ac:dyDescent="0.25">
      <c r="A1769" t="s">
        <v>1972</v>
      </c>
      <c r="C1769" t="s">
        <v>17</v>
      </c>
      <c r="D1769" s="1">
        <v>43235</v>
      </c>
    </row>
    <row r="1770" spans="1:4" x14ac:dyDescent="0.25">
      <c r="A1770" t="s">
        <v>2102</v>
      </c>
      <c r="C1770" t="s">
        <v>17</v>
      </c>
      <c r="D1770" s="1">
        <v>43224</v>
      </c>
    </row>
    <row r="1771" spans="1:4" x14ac:dyDescent="0.25">
      <c r="A1771" t="s">
        <v>2191</v>
      </c>
      <c r="C1771" t="s">
        <v>17</v>
      </c>
      <c r="D1771" s="1">
        <v>43236</v>
      </c>
    </row>
    <row r="1772" spans="1:4" x14ac:dyDescent="0.25">
      <c r="A1772" t="s">
        <v>1449</v>
      </c>
      <c r="C1772" t="s">
        <v>17</v>
      </c>
      <c r="D1772" s="1">
        <v>43241</v>
      </c>
    </row>
    <row r="1773" spans="1:4" x14ac:dyDescent="0.25">
      <c r="A1773" t="s">
        <v>2192</v>
      </c>
      <c r="C1773" t="s">
        <v>17</v>
      </c>
      <c r="D1773" s="1">
        <v>43222</v>
      </c>
    </row>
    <row r="1774" spans="1:4" x14ac:dyDescent="0.25">
      <c r="A1774" t="s">
        <v>2193</v>
      </c>
      <c r="C1774" t="s">
        <v>17</v>
      </c>
      <c r="D1774" s="1">
        <v>43234</v>
      </c>
    </row>
    <row r="1775" spans="1:4" x14ac:dyDescent="0.25">
      <c r="A1775" t="s">
        <v>2103</v>
      </c>
      <c r="C1775" t="s">
        <v>17</v>
      </c>
      <c r="D1775" s="1">
        <v>43250</v>
      </c>
    </row>
    <row r="1776" spans="1:4" x14ac:dyDescent="0.25">
      <c r="A1776" t="s">
        <v>1977</v>
      </c>
      <c r="C1776" t="s">
        <v>17</v>
      </c>
      <c r="D1776" s="1">
        <v>43248</v>
      </c>
    </row>
    <row r="1777" spans="1:4" x14ac:dyDescent="0.25">
      <c r="A1777" t="s">
        <v>1387</v>
      </c>
      <c r="C1777" t="s">
        <v>17</v>
      </c>
      <c r="D1777" s="1">
        <v>43250</v>
      </c>
    </row>
    <row r="1778" spans="1:4" x14ac:dyDescent="0.25">
      <c r="A1778" t="s">
        <v>1978</v>
      </c>
      <c r="C1778" t="s">
        <v>17</v>
      </c>
      <c r="D1778" s="1">
        <v>43244</v>
      </c>
    </row>
    <row r="1779" spans="1:4" x14ac:dyDescent="0.25">
      <c r="A1779" t="s">
        <v>2194</v>
      </c>
      <c r="C1779" t="s">
        <v>17</v>
      </c>
      <c r="D1779" s="1">
        <v>43223</v>
      </c>
    </row>
    <row r="1780" spans="1:4" x14ac:dyDescent="0.25">
      <c r="A1780" t="s">
        <v>2104</v>
      </c>
      <c r="C1780" t="s">
        <v>17</v>
      </c>
      <c r="D1780" s="1">
        <v>43232</v>
      </c>
    </row>
    <row r="1781" spans="1:4" x14ac:dyDescent="0.25">
      <c r="A1781" t="s">
        <v>2105</v>
      </c>
      <c r="C1781" t="s">
        <v>17</v>
      </c>
      <c r="D1781" s="1">
        <v>43246</v>
      </c>
    </row>
    <row r="1782" spans="1:4" x14ac:dyDescent="0.25">
      <c r="A1782" t="s">
        <v>1981</v>
      </c>
      <c r="C1782" t="s">
        <v>17</v>
      </c>
      <c r="D1782" s="1">
        <v>43239</v>
      </c>
    </row>
    <row r="1783" spans="1:4" x14ac:dyDescent="0.25">
      <c r="A1783" t="s">
        <v>2195</v>
      </c>
      <c r="C1783" t="s">
        <v>17</v>
      </c>
      <c r="D1783" s="1">
        <v>43249</v>
      </c>
    </row>
    <row r="1784" spans="1:4" x14ac:dyDescent="0.25">
      <c r="A1784" t="s">
        <v>1985</v>
      </c>
      <c r="C1784" t="s">
        <v>17</v>
      </c>
      <c r="D1784" s="1">
        <v>43225</v>
      </c>
    </row>
    <row r="1785" spans="1:4" x14ac:dyDescent="0.25">
      <c r="A1785" t="s">
        <v>2196</v>
      </c>
      <c r="C1785" t="s">
        <v>17</v>
      </c>
      <c r="D1785" s="1">
        <v>43223</v>
      </c>
    </row>
    <row r="1786" spans="1:4" x14ac:dyDescent="0.25">
      <c r="A1786" t="s">
        <v>2107</v>
      </c>
      <c r="C1786" t="s">
        <v>17</v>
      </c>
      <c r="D1786" s="1">
        <v>43232</v>
      </c>
    </row>
    <row r="1787" spans="1:4" x14ac:dyDescent="0.25">
      <c r="A1787" t="s">
        <v>1987</v>
      </c>
      <c r="C1787" t="s">
        <v>17</v>
      </c>
      <c r="D1787" s="1">
        <v>43238</v>
      </c>
    </row>
    <row r="1788" spans="1:4" x14ac:dyDescent="0.25">
      <c r="A1788" t="s">
        <v>1518</v>
      </c>
      <c r="C1788" t="s">
        <v>17</v>
      </c>
      <c r="D1788" s="1">
        <v>43250</v>
      </c>
    </row>
    <row r="1789" spans="1:4" x14ac:dyDescent="0.25">
      <c r="A1789" t="s">
        <v>1988</v>
      </c>
      <c r="C1789" t="s">
        <v>17</v>
      </c>
      <c r="D1789" s="1">
        <v>43230</v>
      </c>
    </row>
    <row r="1790" spans="1:4" x14ac:dyDescent="0.25">
      <c r="A1790" t="s">
        <v>2197</v>
      </c>
      <c r="C1790" t="s">
        <v>17</v>
      </c>
      <c r="D1790" s="1">
        <v>43224</v>
      </c>
    </row>
    <row r="1791" spans="1:4" x14ac:dyDescent="0.25">
      <c r="A1791" t="s">
        <v>2198</v>
      </c>
      <c r="C1791" t="s">
        <v>17</v>
      </c>
      <c r="D1791" s="1">
        <v>43222</v>
      </c>
    </row>
    <row r="1792" spans="1:4" x14ac:dyDescent="0.25">
      <c r="A1792" t="s">
        <v>2199</v>
      </c>
      <c r="C1792" t="s">
        <v>17</v>
      </c>
      <c r="D1792" s="1">
        <v>43238</v>
      </c>
    </row>
    <row r="1793" spans="1:4" x14ac:dyDescent="0.25">
      <c r="A1793" t="s">
        <v>2200</v>
      </c>
      <c r="C1793" t="s">
        <v>17</v>
      </c>
      <c r="D1793" s="1">
        <v>43223</v>
      </c>
    </row>
    <row r="1794" spans="1:4" x14ac:dyDescent="0.25">
      <c r="A1794" t="s">
        <v>2108</v>
      </c>
      <c r="C1794" t="s">
        <v>17</v>
      </c>
      <c r="D1794" s="1">
        <v>43231</v>
      </c>
    </row>
    <row r="1795" spans="1:4" x14ac:dyDescent="0.25">
      <c r="A1795" t="s">
        <v>2201</v>
      </c>
      <c r="C1795" t="s">
        <v>17</v>
      </c>
      <c r="D1795" s="1">
        <v>43238</v>
      </c>
    </row>
    <row r="1796" spans="1:4" x14ac:dyDescent="0.25">
      <c r="A1796" t="s">
        <v>1991</v>
      </c>
      <c r="C1796" t="s">
        <v>17</v>
      </c>
      <c r="D1796" s="1">
        <v>43239</v>
      </c>
    </row>
    <row r="1797" spans="1:4" x14ac:dyDescent="0.25">
      <c r="A1797" t="s">
        <v>1992</v>
      </c>
      <c r="C1797" t="s">
        <v>17</v>
      </c>
      <c r="D1797" s="1">
        <v>43238</v>
      </c>
    </row>
    <row r="1798" spans="1:4" x14ac:dyDescent="0.25">
      <c r="A1798" t="s">
        <v>1993</v>
      </c>
      <c r="C1798" t="s">
        <v>17</v>
      </c>
      <c r="D1798" s="1">
        <v>43239</v>
      </c>
    </row>
    <row r="1799" spans="1:4" x14ac:dyDescent="0.25">
      <c r="A1799" t="s">
        <v>2109</v>
      </c>
      <c r="C1799" t="s">
        <v>17</v>
      </c>
      <c r="D1799" s="1">
        <v>43244</v>
      </c>
    </row>
    <row r="1800" spans="1:4" x14ac:dyDescent="0.25">
      <c r="A1800" t="s">
        <v>2202</v>
      </c>
      <c r="C1800" t="s">
        <v>17</v>
      </c>
      <c r="D1800" s="1">
        <v>43223</v>
      </c>
    </row>
    <row r="1801" spans="1:4" x14ac:dyDescent="0.25">
      <c r="A1801" t="s">
        <v>2203</v>
      </c>
      <c r="C1801" t="s">
        <v>17</v>
      </c>
      <c r="D1801" s="1">
        <v>43222</v>
      </c>
    </row>
    <row r="1802" spans="1:4" x14ac:dyDescent="0.25">
      <c r="A1802" t="s">
        <v>2111</v>
      </c>
      <c r="C1802" t="s">
        <v>17</v>
      </c>
      <c r="D1802" s="1">
        <v>43231</v>
      </c>
    </row>
    <row r="1803" spans="1:4" x14ac:dyDescent="0.25">
      <c r="A1803" t="s">
        <v>1076</v>
      </c>
      <c r="C1803" t="s">
        <v>17</v>
      </c>
      <c r="D1803" s="1">
        <v>43239</v>
      </c>
    </row>
    <row r="1804" spans="1:4" x14ac:dyDescent="0.25">
      <c r="A1804" t="s">
        <v>1789</v>
      </c>
      <c r="C1804" t="s">
        <v>17</v>
      </c>
      <c r="D1804" s="1">
        <v>43250</v>
      </c>
    </row>
    <row r="1805" spans="1:4" x14ac:dyDescent="0.25">
      <c r="A1805" t="s">
        <v>1997</v>
      </c>
      <c r="C1805" t="s">
        <v>17</v>
      </c>
      <c r="D1805" s="1">
        <v>43235</v>
      </c>
    </row>
    <row r="1806" spans="1:4" x14ac:dyDescent="0.25">
      <c r="A1806" t="s">
        <v>2112</v>
      </c>
      <c r="C1806" t="s">
        <v>17</v>
      </c>
      <c r="D1806" s="1">
        <v>43238</v>
      </c>
    </row>
    <row r="1807" spans="1:4" x14ac:dyDescent="0.25">
      <c r="A1807" t="s">
        <v>1378</v>
      </c>
      <c r="C1807" t="s">
        <v>17</v>
      </c>
      <c r="D1807" s="1">
        <v>43239</v>
      </c>
    </row>
    <row r="1808" spans="1:4" x14ac:dyDescent="0.25">
      <c r="A1808" t="s">
        <v>2204</v>
      </c>
      <c r="C1808" t="s">
        <v>17</v>
      </c>
      <c r="D1808" s="1">
        <v>43222</v>
      </c>
    </row>
    <row r="1809" spans="1:4" x14ac:dyDescent="0.25">
      <c r="A1809" t="s">
        <v>2205</v>
      </c>
      <c r="C1809" t="s">
        <v>17</v>
      </c>
      <c r="D1809" s="1">
        <v>43235</v>
      </c>
    </row>
    <row r="1810" spans="1:4" x14ac:dyDescent="0.25">
      <c r="A1810" t="s">
        <v>1797</v>
      </c>
      <c r="C1810" t="s">
        <v>17</v>
      </c>
      <c r="D1810" s="1">
        <v>43250</v>
      </c>
    </row>
    <row r="1811" spans="1:4" x14ac:dyDescent="0.25">
      <c r="A1811" t="s">
        <v>1999</v>
      </c>
      <c r="C1811" t="s">
        <v>17</v>
      </c>
      <c r="D1811" s="1">
        <v>43234</v>
      </c>
    </row>
    <row r="1812" spans="1:4" x14ac:dyDescent="0.25">
      <c r="A1812" t="s">
        <v>2206</v>
      </c>
      <c r="C1812" t="s">
        <v>17</v>
      </c>
      <c r="D1812" s="1">
        <v>43248</v>
      </c>
    </row>
    <row r="1813" spans="1:4" x14ac:dyDescent="0.25">
      <c r="A1813" t="s">
        <v>2113</v>
      </c>
      <c r="C1813" t="s">
        <v>17</v>
      </c>
      <c r="D1813" s="1">
        <v>43246</v>
      </c>
    </row>
    <row r="1814" spans="1:4" x14ac:dyDescent="0.25">
      <c r="A1814" t="s">
        <v>2207</v>
      </c>
      <c r="C1814" t="s">
        <v>17</v>
      </c>
      <c r="D1814" s="1">
        <v>43236</v>
      </c>
    </row>
    <row r="1815" spans="1:4" x14ac:dyDescent="0.25">
      <c r="A1815" t="s">
        <v>2002</v>
      </c>
      <c r="C1815" t="s">
        <v>17</v>
      </c>
      <c r="D1815" s="1">
        <v>43239</v>
      </c>
    </row>
    <row r="1816" spans="1:4" x14ac:dyDescent="0.25">
      <c r="A1816" t="s">
        <v>2115</v>
      </c>
      <c r="C1816" t="s">
        <v>17</v>
      </c>
      <c r="D1816" s="1">
        <v>43224</v>
      </c>
    </row>
    <row r="1817" spans="1:4" x14ac:dyDescent="0.25">
      <c r="A1817" t="s">
        <v>2005</v>
      </c>
      <c r="C1817" t="s">
        <v>17</v>
      </c>
      <c r="D1817" s="1">
        <v>43232</v>
      </c>
    </row>
    <row r="1818" spans="1:4" x14ac:dyDescent="0.25">
      <c r="A1818" t="s">
        <v>2006</v>
      </c>
      <c r="C1818" t="s">
        <v>17</v>
      </c>
      <c r="D1818" s="1">
        <v>43248</v>
      </c>
    </row>
    <row r="1819" spans="1:4" x14ac:dyDescent="0.25">
      <c r="A1819" t="s">
        <v>1448</v>
      </c>
      <c r="C1819" t="s">
        <v>17</v>
      </c>
      <c r="D1819" s="1">
        <v>43241</v>
      </c>
    </row>
    <row r="1820" spans="1:4" x14ac:dyDescent="0.25">
      <c r="A1820" t="s">
        <v>2118</v>
      </c>
      <c r="C1820" t="s">
        <v>17</v>
      </c>
      <c r="D1820" s="1">
        <v>43250</v>
      </c>
    </row>
    <row r="1821" spans="1:4" x14ac:dyDescent="0.25">
      <c r="A1821" t="s">
        <v>2119</v>
      </c>
      <c r="C1821" t="s">
        <v>17</v>
      </c>
      <c r="D1821" s="1">
        <v>43238</v>
      </c>
    </row>
    <row r="1822" spans="1:4" x14ac:dyDescent="0.25">
      <c r="A1822" t="s">
        <v>1549</v>
      </c>
      <c r="C1822" t="s">
        <v>17</v>
      </c>
      <c r="D1822" s="1">
        <v>43229</v>
      </c>
    </row>
    <row r="1823" spans="1:4" x14ac:dyDescent="0.25">
      <c r="A1823" t="s">
        <v>2208</v>
      </c>
      <c r="C1823" t="s">
        <v>17</v>
      </c>
      <c r="D1823" s="1">
        <v>43249</v>
      </c>
    </row>
    <row r="1824" spans="1:4" x14ac:dyDescent="0.25">
      <c r="A1824" t="s">
        <v>2012</v>
      </c>
      <c r="C1824" t="s">
        <v>17</v>
      </c>
      <c r="D1824" s="1">
        <v>43225</v>
      </c>
    </row>
    <row r="1825" spans="1:4" x14ac:dyDescent="0.25">
      <c r="A1825" t="s">
        <v>2013</v>
      </c>
      <c r="C1825" t="s">
        <v>17</v>
      </c>
      <c r="D1825" s="1">
        <v>43239</v>
      </c>
    </row>
    <row r="1826" spans="1:4" x14ac:dyDescent="0.25">
      <c r="A1826" t="s">
        <v>2121</v>
      </c>
      <c r="C1826" t="s">
        <v>17</v>
      </c>
      <c r="D1826" s="1">
        <v>43239</v>
      </c>
    </row>
    <row r="1827" spans="1:4" x14ac:dyDescent="0.25">
      <c r="A1827" t="s">
        <v>2209</v>
      </c>
      <c r="C1827" t="s">
        <v>17</v>
      </c>
      <c r="D1827" s="1">
        <v>43234</v>
      </c>
    </row>
    <row r="1828" spans="1:4" x14ac:dyDescent="0.25">
      <c r="A1828" t="s">
        <v>2122</v>
      </c>
      <c r="C1828" t="s">
        <v>17</v>
      </c>
      <c r="D1828" s="1">
        <v>43239</v>
      </c>
    </row>
    <row r="1829" spans="1:4" x14ac:dyDescent="0.25">
      <c r="A1829" t="s">
        <v>2210</v>
      </c>
      <c r="C1829" t="s">
        <v>17</v>
      </c>
      <c r="D1829" s="1">
        <v>43224</v>
      </c>
    </row>
    <row r="1830" spans="1:4" x14ac:dyDescent="0.25">
      <c r="A1830" t="s">
        <v>2211</v>
      </c>
      <c r="C1830" t="s">
        <v>17</v>
      </c>
      <c r="D1830" s="1">
        <v>43238</v>
      </c>
    </row>
    <row r="1831" spans="1:4" x14ac:dyDescent="0.25">
      <c r="A1831" t="s">
        <v>2014</v>
      </c>
      <c r="C1831" t="s">
        <v>17</v>
      </c>
      <c r="D1831" s="1">
        <v>43232</v>
      </c>
    </row>
    <row r="1832" spans="1:4" x14ac:dyDescent="0.25">
      <c r="A1832" t="s">
        <v>2125</v>
      </c>
      <c r="C1832" t="s">
        <v>17</v>
      </c>
      <c r="D1832" s="1">
        <v>43249</v>
      </c>
    </row>
    <row r="1833" spans="1:4" x14ac:dyDescent="0.25">
      <c r="A1833" t="s">
        <v>2212</v>
      </c>
      <c r="C1833" t="s">
        <v>17</v>
      </c>
      <c r="D1833" s="1">
        <v>43222</v>
      </c>
    </row>
    <row r="1834" spans="1:4" x14ac:dyDescent="0.25">
      <c r="A1834" t="s">
        <v>1137</v>
      </c>
      <c r="C1834" t="s">
        <v>17</v>
      </c>
      <c r="D1834" s="1">
        <v>43238</v>
      </c>
    </row>
    <row r="1835" spans="1:4" x14ac:dyDescent="0.25">
      <c r="A1835" t="s">
        <v>1058</v>
      </c>
      <c r="C1835" t="s">
        <v>17</v>
      </c>
      <c r="D1835" s="1">
        <v>43239</v>
      </c>
    </row>
    <row r="1836" spans="1:4" x14ac:dyDescent="0.25">
      <c r="A1836" t="s">
        <v>704</v>
      </c>
      <c r="C1836" t="s">
        <v>17</v>
      </c>
      <c r="D1836" s="1">
        <v>43239</v>
      </c>
    </row>
    <row r="1837" spans="1:4" x14ac:dyDescent="0.25">
      <c r="A1837" t="s">
        <v>1490</v>
      </c>
      <c r="C1837" t="s">
        <v>17</v>
      </c>
      <c r="D1837" s="1">
        <v>43229</v>
      </c>
    </row>
    <row r="1838" spans="1:4" x14ac:dyDescent="0.25">
      <c r="A1838" t="s">
        <v>2213</v>
      </c>
      <c r="C1838" t="s">
        <v>17</v>
      </c>
      <c r="D1838" s="1">
        <v>43238</v>
      </c>
    </row>
    <row r="1839" spans="1:4" x14ac:dyDescent="0.25">
      <c r="A1839" t="s">
        <v>2127</v>
      </c>
      <c r="C1839" t="s">
        <v>17</v>
      </c>
      <c r="D1839" s="1">
        <v>43237</v>
      </c>
    </row>
    <row r="1840" spans="1:4" x14ac:dyDescent="0.25">
      <c r="A1840" t="s">
        <v>1149</v>
      </c>
      <c r="C1840" t="s">
        <v>17</v>
      </c>
      <c r="D1840" s="1">
        <v>43240</v>
      </c>
    </row>
    <row r="1841" spans="1:4" x14ac:dyDescent="0.25">
      <c r="A1841" t="s">
        <v>1098</v>
      </c>
      <c r="C1841" t="s">
        <v>17</v>
      </c>
      <c r="D1841" s="1">
        <v>43240</v>
      </c>
    </row>
    <row r="1842" spans="1:4" x14ac:dyDescent="0.25">
      <c r="A1842" t="s">
        <v>1435</v>
      </c>
      <c r="C1842" t="s">
        <v>17</v>
      </c>
      <c r="D1842" s="1">
        <v>43235</v>
      </c>
    </row>
    <row r="1843" spans="1:4" x14ac:dyDescent="0.25">
      <c r="A1843" t="s">
        <v>2021</v>
      </c>
      <c r="C1843" t="s">
        <v>17</v>
      </c>
      <c r="D1843" s="1">
        <v>43235</v>
      </c>
    </row>
    <row r="1844" spans="1:4" x14ac:dyDescent="0.25">
      <c r="A1844" t="s">
        <v>1363</v>
      </c>
      <c r="C1844" t="s">
        <v>17</v>
      </c>
      <c r="D1844" s="1">
        <v>43235</v>
      </c>
    </row>
    <row r="1845" spans="1:4" x14ac:dyDescent="0.25">
      <c r="A1845" t="s">
        <v>1482</v>
      </c>
      <c r="C1845" t="s">
        <v>17</v>
      </c>
      <c r="D1845" s="1">
        <v>43235</v>
      </c>
    </row>
    <row r="1846" spans="1:4" x14ac:dyDescent="0.25">
      <c r="A1846" t="s">
        <v>2026</v>
      </c>
      <c r="C1846" t="s">
        <v>17</v>
      </c>
      <c r="D1846" s="1">
        <v>43240</v>
      </c>
    </row>
    <row r="1847" spans="1:4" x14ac:dyDescent="0.25">
      <c r="A1847" t="s">
        <v>2027</v>
      </c>
      <c r="C1847" t="s">
        <v>17</v>
      </c>
      <c r="D1847" s="1">
        <v>43235</v>
      </c>
    </row>
    <row r="1848" spans="1:4" x14ac:dyDescent="0.25">
      <c r="A1848" t="s">
        <v>1481</v>
      </c>
      <c r="C1848" t="s">
        <v>17</v>
      </c>
      <c r="D1848" s="1">
        <v>43235</v>
      </c>
    </row>
    <row r="1849" spans="1:4" x14ac:dyDescent="0.25">
      <c r="A1849" t="s">
        <v>2033</v>
      </c>
      <c r="C1849" t="s">
        <v>17</v>
      </c>
      <c r="D1849" s="1">
        <v>43247</v>
      </c>
    </row>
    <row r="1850" spans="1:4" x14ac:dyDescent="0.25">
      <c r="A1850" t="s">
        <v>2130</v>
      </c>
      <c r="C1850" t="s">
        <v>17</v>
      </c>
      <c r="D1850" s="1">
        <v>43240</v>
      </c>
    </row>
    <row r="1851" spans="1:4" x14ac:dyDescent="0.25">
      <c r="A1851" t="s">
        <v>2042</v>
      </c>
      <c r="C1851" t="s">
        <v>17</v>
      </c>
      <c r="D1851" s="1">
        <v>43248</v>
      </c>
    </row>
    <row r="1852" spans="1:4" x14ac:dyDescent="0.25">
      <c r="A1852" t="s">
        <v>2133</v>
      </c>
      <c r="C1852" t="s">
        <v>17</v>
      </c>
      <c r="D1852" s="1">
        <v>43240</v>
      </c>
    </row>
    <row r="1853" spans="1:4" x14ac:dyDescent="0.25">
      <c r="A1853" t="s">
        <v>2048</v>
      </c>
      <c r="C1853" t="s">
        <v>17</v>
      </c>
      <c r="D1853" s="1">
        <v>43247</v>
      </c>
    </row>
    <row r="1854" spans="1:4" x14ac:dyDescent="0.25">
      <c r="A1854" t="s">
        <v>2049</v>
      </c>
      <c r="C1854" t="s">
        <v>17</v>
      </c>
      <c r="D1854" s="1">
        <v>43247</v>
      </c>
    </row>
    <row r="1855" spans="1:4" x14ac:dyDescent="0.25">
      <c r="A1855" t="s">
        <v>2052</v>
      </c>
      <c r="C1855" t="s">
        <v>17</v>
      </c>
      <c r="D1855" s="1">
        <v>43248</v>
      </c>
    </row>
    <row r="1856" spans="1:4" x14ac:dyDescent="0.25">
      <c r="A1856" t="s">
        <v>2136</v>
      </c>
      <c r="C1856" t="s">
        <v>17</v>
      </c>
      <c r="D1856" s="1">
        <v>43237</v>
      </c>
    </row>
    <row r="1857" spans="1:4" x14ac:dyDescent="0.25">
      <c r="A1857" t="s">
        <v>2137</v>
      </c>
      <c r="C1857" t="s">
        <v>17</v>
      </c>
      <c r="D1857" s="1">
        <v>43240</v>
      </c>
    </row>
    <row r="1858" spans="1:4" x14ac:dyDescent="0.25">
      <c r="A1858" t="s">
        <v>2214</v>
      </c>
      <c r="C1858" t="s">
        <v>17</v>
      </c>
      <c r="D1858" s="1">
        <v>43250</v>
      </c>
    </row>
    <row r="1859" spans="1:4" x14ac:dyDescent="0.25">
      <c r="A1859" t="s">
        <v>1627</v>
      </c>
      <c r="C1859" t="s">
        <v>17</v>
      </c>
      <c r="D1859" s="1">
        <v>43240</v>
      </c>
    </row>
    <row r="1860" spans="1:4" x14ac:dyDescent="0.25">
      <c r="A1860" t="s">
        <v>1498</v>
      </c>
      <c r="C1860" t="s">
        <v>17</v>
      </c>
      <c r="D1860" s="1">
        <v>43240</v>
      </c>
    </row>
    <row r="1861" spans="1:4" x14ac:dyDescent="0.25">
      <c r="A1861" t="s">
        <v>1450</v>
      </c>
      <c r="C1861" t="s">
        <v>17</v>
      </c>
      <c r="D1861" s="1">
        <v>43240</v>
      </c>
    </row>
    <row r="1862" spans="1:4" x14ac:dyDescent="0.25">
      <c r="A1862" t="s">
        <v>2215</v>
      </c>
      <c r="C1862" t="s">
        <v>17</v>
      </c>
      <c r="D1862" s="1">
        <v>43250</v>
      </c>
    </row>
    <row r="1863" spans="1:4" x14ac:dyDescent="0.25">
      <c r="A1863" t="s">
        <v>2216</v>
      </c>
      <c r="C1863" t="s">
        <v>17</v>
      </c>
      <c r="D1863" s="1">
        <v>43231</v>
      </c>
    </row>
    <row r="1864" spans="1:4" x14ac:dyDescent="0.25">
      <c r="A1864" t="s">
        <v>2217</v>
      </c>
      <c r="C1864" t="s">
        <v>17</v>
      </c>
      <c r="D1864" s="1">
        <v>43250</v>
      </c>
    </row>
    <row r="1865" spans="1:4" x14ac:dyDescent="0.25">
      <c r="A1865" t="s">
        <v>2218</v>
      </c>
      <c r="C1865" t="s">
        <v>15</v>
      </c>
      <c r="D1865" s="1">
        <v>43236</v>
      </c>
    </row>
    <row r="1866" spans="1:4" x14ac:dyDescent="0.25">
      <c r="A1866" t="s">
        <v>2219</v>
      </c>
      <c r="C1866" t="s">
        <v>15</v>
      </c>
      <c r="D1866" s="1">
        <v>43224</v>
      </c>
    </row>
    <row r="1867" spans="1:4" x14ac:dyDescent="0.25">
      <c r="A1867" t="s">
        <v>2220</v>
      </c>
      <c r="C1867" t="s">
        <v>15</v>
      </c>
      <c r="D1867" s="1">
        <v>43236</v>
      </c>
    </row>
    <row r="1868" spans="1:4" x14ac:dyDescent="0.25">
      <c r="A1868" t="s">
        <v>2221</v>
      </c>
      <c r="C1868" t="s">
        <v>15</v>
      </c>
      <c r="D1868" s="1">
        <v>43243</v>
      </c>
    </row>
    <row r="1869" spans="1:4" x14ac:dyDescent="0.25">
      <c r="A1869" t="s">
        <v>2222</v>
      </c>
      <c r="C1869" t="s">
        <v>15</v>
      </c>
      <c r="D1869" s="1">
        <v>43224</v>
      </c>
    </row>
    <row r="1870" spans="1:4" x14ac:dyDescent="0.25">
      <c r="A1870" t="s">
        <v>2223</v>
      </c>
      <c r="C1870" t="s">
        <v>15</v>
      </c>
      <c r="D1870" s="1">
        <v>43224</v>
      </c>
    </row>
    <row r="1871" spans="1:4" x14ac:dyDescent="0.25">
      <c r="A1871" t="s">
        <v>2224</v>
      </c>
      <c r="C1871" t="s">
        <v>15</v>
      </c>
      <c r="D1871" s="1">
        <v>43247</v>
      </c>
    </row>
    <row r="1872" spans="1:4" x14ac:dyDescent="0.25">
      <c r="A1872" t="s">
        <v>1567</v>
      </c>
      <c r="C1872" t="s">
        <v>15</v>
      </c>
      <c r="D1872" s="1">
        <v>43247</v>
      </c>
    </row>
    <row r="1873" spans="1:4" x14ac:dyDescent="0.25">
      <c r="A1873" t="s">
        <v>2225</v>
      </c>
      <c r="C1873" t="s">
        <v>15</v>
      </c>
      <c r="D1873" s="1">
        <v>43221</v>
      </c>
    </row>
    <row r="1874" spans="1:4" x14ac:dyDescent="0.25">
      <c r="A1874" t="s">
        <v>2226</v>
      </c>
      <c r="C1874" t="s">
        <v>15</v>
      </c>
      <c r="D1874" s="1">
        <v>43243</v>
      </c>
    </row>
    <row r="1875" spans="1:4" x14ac:dyDescent="0.25">
      <c r="A1875" t="s">
        <v>2227</v>
      </c>
      <c r="C1875" t="s">
        <v>15</v>
      </c>
      <c r="D1875" s="1">
        <v>43247</v>
      </c>
    </row>
    <row r="1876" spans="1:4" x14ac:dyDescent="0.25">
      <c r="A1876" t="s">
        <v>2228</v>
      </c>
      <c r="C1876" t="s">
        <v>15</v>
      </c>
      <c r="D1876" s="1">
        <v>43236</v>
      </c>
    </row>
    <row r="1877" spans="1:4" x14ac:dyDescent="0.25">
      <c r="A1877" t="s">
        <v>2167</v>
      </c>
      <c r="C1877" t="s">
        <v>15</v>
      </c>
      <c r="D1877" s="1">
        <v>43250</v>
      </c>
    </row>
    <row r="1878" spans="1:4" x14ac:dyDescent="0.25">
      <c r="A1878" t="s">
        <v>2229</v>
      </c>
      <c r="C1878" t="s">
        <v>15</v>
      </c>
      <c r="D1878" s="1">
        <v>43221</v>
      </c>
    </row>
    <row r="1879" spans="1:4" x14ac:dyDescent="0.25">
      <c r="A1879" t="s">
        <v>2230</v>
      </c>
      <c r="C1879" t="s">
        <v>15</v>
      </c>
      <c r="D1879" s="1">
        <v>43251</v>
      </c>
    </row>
    <row r="1880" spans="1:4" x14ac:dyDescent="0.25">
      <c r="A1880" t="s">
        <v>2168</v>
      </c>
      <c r="C1880" t="s">
        <v>15</v>
      </c>
      <c r="D1880" s="1">
        <v>43221</v>
      </c>
    </row>
    <row r="1881" spans="1:4" x14ac:dyDescent="0.25">
      <c r="A1881" t="s">
        <v>2083</v>
      </c>
      <c r="C1881" t="s">
        <v>15</v>
      </c>
      <c r="D1881" s="1">
        <v>43236</v>
      </c>
    </row>
    <row r="1882" spans="1:4" x14ac:dyDescent="0.25">
      <c r="A1882" t="s">
        <v>2231</v>
      </c>
      <c r="C1882" t="s">
        <v>15</v>
      </c>
      <c r="D1882" s="1">
        <v>43221</v>
      </c>
    </row>
    <row r="1883" spans="1:4" x14ac:dyDescent="0.25">
      <c r="A1883" t="s">
        <v>2232</v>
      </c>
      <c r="C1883" t="s">
        <v>15</v>
      </c>
      <c r="D1883" s="1">
        <v>43230</v>
      </c>
    </row>
    <row r="1884" spans="1:4" x14ac:dyDescent="0.25">
      <c r="A1884" t="s">
        <v>2233</v>
      </c>
      <c r="C1884" t="s">
        <v>15</v>
      </c>
      <c r="D1884" s="1">
        <v>43247</v>
      </c>
    </row>
    <row r="1885" spans="1:4" x14ac:dyDescent="0.25">
      <c r="A1885" t="s">
        <v>2234</v>
      </c>
      <c r="C1885" t="s">
        <v>15</v>
      </c>
      <c r="D1885" s="1">
        <v>43243</v>
      </c>
    </row>
    <row r="1886" spans="1:4" x14ac:dyDescent="0.25">
      <c r="A1886" t="s">
        <v>2235</v>
      </c>
      <c r="C1886" t="s">
        <v>15</v>
      </c>
      <c r="D1886" s="1">
        <v>43247</v>
      </c>
    </row>
    <row r="1887" spans="1:4" x14ac:dyDescent="0.25">
      <c r="A1887" t="s">
        <v>2236</v>
      </c>
      <c r="C1887" t="s">
        <v>15</v>
      </c>
      <c r="D1887" s="1">
        <v>43221</v>
      </c>
    </row>
    <row r="1888" spans="1:4" x14ac:dyDescent="0.25">
      <c r="A1888" t="s">
        <v>2182</v>
      </c>
      <c r="C1888" t="s">
        <v>15</v>
      </c>
      <c r="D1888" s="1">
        <v>43247</v>
      </c>
    </row>
    <row r="1889" spans="1:4" x14ac:dyDescent="0.25">
      <c r="A1889" t="s">
        <v>1558</v>
      </c>
      <c r="C1889" t="s">
        <v>15</v>
      </c>
      <c r="D1889" s="1">
        <v>43247</v>
      </c>
    </row>
    <row r="1890" spans="1:4" x14ac:dyDescent="0.25">
      <c r="A1890" t="s">
        <v>2184</v>
      </c>
      <c r="C1890" t="s">
        <v>15</v>
      </c>
      <c r="D1890" s="1">
        <v>43247</v>
      </c>
    </row>
    <row r="1891" spans="1:4" x14ac:dyDescent="0.25">
      <c r="A1891" t="s">
        <v>1959</v>
      </c>
      <c r="C1891" t="s">
        <v>15</v>
      </c>
      <c r="D1891" s="1">
        <v>43247</v>
      </c>
    </row>
    <row r="1892" spans="1:4" x14ac:dyDescent="0.25">
      <c r="A1892" t="s">
        <v>2185</v>
      </c>
      <c r="C1892" t="s">
        <v>15</v>
      </c>
      <c r="D1892" s="1">
        <v>43247</v>
      </c>
    </row>
    <row r="1893" spans="1:4" x14ac:dyDescent="0.25">
      <c r="A1893" t="s">
        <v>2237</v>
      </c>
      <c r="C1893" t="s">
        <v>15</v>
      </c>
      <c r="D1893" s="1">
        <v>43247</v>
      </c>
    </row>
    <row r="1894" spans="1:4" x14ac:dyDescent="0.25">
      <c r="A1894" t="s">
        <v>2238</v>
      </c>
      <c r="C1894" t="s">
        <v>15</v>
      </c>
      <c r="D1894" s="1">
        <v>43246</v>
      </c>
    </row>
    <row r="1895" spans="1:4" x14ac:dyDescent="0.25">
      <c r="A1895" t="s">
        <v>2188</v>
      </c>
      <c r="C1895" t="s">
        <v>15</v>
      </c>
      <c r="D1895" s="1">
        <v>43247</v>
      </c>
    </row>
    <row r="1896" spans="1:4" x14ac:dyDescent="0.25">
      <c r="A1896" t="s">
        <v>2239</v>
      </c>
      <c r="C1896" t="s">
        <v>15</v>
      </c>
      <c r="D1896" s="1">
        <v>43247</v>
      </c>
    </row>
    <row r="1897" spans="1:4" x14ac:dyDescent="0.25">
      <c r="A1897" t="s">
        <v>2192</v>
      </c>
      <c r="C1897" t="s">
        <v>15</v>
      </c>
      <c r="D1897" s="1">
        <v>43247</v>
      </c>
    </row>
    <row r="1898" spans="1:4" x14ac:dyDescent="0.25">
      <c r="A1898" t="s">
        <v>1541</v>
      </c>
      <c r="C1898" t="s">
        <v>15</v>
      </c>
      <c r="D1898" s="1">
        <v>43247</v>
      </c>
    </row>
    <row r="1899" spans="1:4" x14ac:dyDescent="0.25">
      <c r="A1899" t="s">
        <v>2240</v>
      </c>
      <c r="C1899" t="s">
        <v>15</v>
      </c>
      <c r="D1899" s="1">
        <v>43247</v>
      </c>
    </row>
    <row r="1900" spans="1:4" x14ac:dyDescent="0.25">
      <c r="A1900" t="s">
        <v>2241</v>
      </c>
      <c r="C1900" t="s">
        <v>15</v>
      </c>
      <c r="D1900" s="1">
        <v>43243</v>
      </c>
    </row>
    <row r="1901" spans="1:4" x14ac:dyDescent="0.25">
      <c r="A1901" t="s">
        <v>2242</v>
      </c>
      <c r="C1901" t="s">
        <v>15</v>
      </c>
      <c r="D1901" s="1">
        <v>43247</v>
      </c>
    </row>
    <row r="1902" spans="1:4" x14ac:dyDescent="0.25">
      <c r="A1902" t="s">
        <v>2243</v>
      </c>
      <c r="C1902" t="s">
        <v>15</v>
      </c>
      <c r="D1902" s="1">
        <v>43242</v>
      </c>
    </row>
    <row r="1903" spans="1:4" x14ac:dyDescent="0.25">
      <c r="A1903" t="s">
        <v>2197</v>
      </c>
      <c r="C1903" t="s">
        <v>15</v>
      </c>
      <c r="D1903" s="1">
        <v>43247</v>
      </c>
    </row>
    <row r="1904" spans="1:4" x14ac:dyDescent="0.25">
      <c r="A1904" t="s">
        <v>2244</v>
      </c>
      <c r="C1904" t="s">
        <v>15</v>
      </c>
      <c r="D1904" s="1">
        <v>43246</v>
      </c>
    </row>
    <row r="1905" spans="1:4" x14ac:dyDescent="0.25">
      <c r="A1905" t="s">
        <v>2202</v>
      </c>
      <c r="C1905" t="s">
        <v>15</v>
      </c>
      <c r="D1905" s="1">
        <v>43247</v>
      </c>
    </row>
    <row r="1906" spans="1:4" x14ac:dyDescent="0.25">
      <c r="A1906" t="s">
        <v>2204</v>
      </c>
      <c r="C1906" t="s">
        <v>15</v>
      </c>
      <c r="D1906" s="1">
        <v>43247</v>
      </c>
    </row>
    <row r="1907" spans="1:4" x14ac:dyDescent="0.25">
      <c r="A1907" t="s">
        <v>2245</v>
      </c>
      <c r="C1907" t="s">
        <v>15</v>
      </c>
      <c r="D1907" s="1">
        <v>43247</v>
      </c>
    </row>
    <row r="1908" spans="1:4" x14ac:dyDescent="0.25">
      <c r="A1908" t="s">
        <v>2246</v>
      </c>
      <c r="C1908" t="s">
        <v>15</v>
      </c>
      <c r="D1908" s="1">
        <v>43242</v>
      </c>
    </row>
    <row r="1909" spans="1:4" x14ac:dyDescent="0.25">
      <c r="A1909" t="s">
        <v>2247</v>
      </c>
      <c r="C1909" t="s">
        <v>15</v>
      </c>
      <c r="D1909" s="1">
        <v>43242</v>
      </c>
    </row>
    <row r="1910" spans="1:4" x14ac:dyDescent="0.25">
      <c r="A1910" t="s">
        <v>2248</v>
      </c>
      <c r="C1910" t="s">
        <v>15</v>
      </c>
      <c r="D1910" s="1">
        <v>43239</v>
      </c>
    </row>
    <row r="1911" spans="1:4" x14ac:dyDescent="0.25">
      <c r="A1911" t="s">
        <v>2249</v>
      </c>
      <c r="C1911" t="s">
        <v>15</v>
      </c>
      <c r="D1911" s="1">
        <v>43247</v>
      </c>
    </row>
    <row r="1912" spans="1:4" x14ac:dyDescent="0.25">
      <c r="A1912" t="s">
        <v>2250</v>
      </c>
      <c r="C1912" t="s">
        <v>15</v>
      </c>
      <c r="D1912" s="1">
        <v>43247</v>
      </c>
    </row>
    <row r="1913" spans="1:4" x14ac:dyDescent="0.25">
      <c r="A1913" t="s">
        <v>2251</v>
      </c>
      <c r="C1913" t="s">
        <v>15</v>
      </c>
      <c r="D1913" s="1">
        <v>43247</v>
      </c>
    </row>
    <row r="1914" spans="1:4" x14ac:dyDescent="0.25">
      <c r="A1914" t="s">
        <v>2252</v>
      </c>
      <c r="C1914" t="s">
        <v>15</v>
      </c>
      <c r="D1914" s="1">
        <v>43243</v>
      </c>
    </row>
    <row r="1915" spans="1:4" x14ac:dyDescent="0.25">
      <c r="A1915" t="s">
        <v>2210</v>
      </c>
      <c r="C1915" t="s">
        <v>15</v>
      </c>
      <c r="D1915" s="1">
        <v>43247</v>
      </c>
    </row>
    <row r="1916" spans="1:4" x14ac:dyDescent="0.25">
      <c r="A1916" t="s">
        <v>2253</v>
      </c>
      <c r="C1916" t="s">
        <v>15</v>
      </c>
      <c r="D1916" s="1">
        <v>43224</v>
      </c>
    </row>
    <row r="1917" spans="1:4" x14ac:dyDescent="0.25">
      <c r="A1917" t="s">
        <v>2254</v>
      </c>
      <c r="C1917" t="s">
        <v>15</v>
      </c>
      <c r="D1917" s="1">
        <v>43247</v>
      </c>
    </row>
    <row r="1918" spans="1:4" x14ac:dyDescent="0.25">
      <c r="A1918" t="s">
        <v>2255</v>
      </c>
      <c r="C1918" t="s">
        <v>15</v>
      </c>
      <c r="D1918" s="1">
        <v>43235</v>
      </c>
    </row>
    <row r="1919" spans="1:4" x14ac:dyDescent="0.25">
      <c r="A1919" t="s">
        <v>2256</v>
      </c>
      <c r="C1919" t="s">
        <v>15</v>
      </c>
      <c r="D1919" s="1">
        <v>43247</v>
      </c>
    </row>
    <row r="1920" spans="1:4" x14ac:dyDescent="0.25">
      <c r="A1920" t="s">
        <v>2257</v>
      </c>
      <c r="C1920" t="s">
        <v>15</v>
      </c>
      <c r="D1920" s="1">
        <v>43224</v>
      </c>
    </row>
    <row r="1921" spans="1:4" x14ac:dyDescent="0.25">
      <c r="A1921" t="s">
        <v>2041</v>
      </c>
      <c r="C1921" t="s">
        <v>15</v>
      </c>
      <c r="D1921" s="1">
        <v>43247</v>
      </c>
    </row>
    <row r="1922" spans="1:4" x14ac:dyDescent="0.25">
      <c r="A1922" t="s">
        <v>2258</v>
      </c>
      <c r="C1922" t="s">
        <v>15</v>
      </c>
      <c r="D1922" s="1">
        <v>43247</v>
      </c>
    </row>
    <row r="1923" spans="1:4" x14ac:dyDescent="0.25">
      <c r="A1923" t="s">
        <v>2259</v>
      </c>
      <c r="C1923" t="s">
        <v>15</v>
      </c>
      <c r="D1923" s="1">
        <v>43232</v>
      </c>
    </row>
    <row r="1924" spans="1:4" x14ac:dyDescent="0.25">
      <c r="A1924" t="s">
        <v>2260</v>
      </c>
      <c r="C1924" t="s">
        <v>15</v>
      </c>
      <c r="D1924" s="1">
        <v>43247</v>
      </c>
    </row>
    <row r="1925" spans="1:4" x14ac:dyDescent="0.25">
      <c r="A1925" t="s">
        <v>2261</v>
      </c>
      <c r="C1925" t="s">
        <v>15</v>
      </c>
      <c r="D1925" s="1">
        <v>43236</v>
      </c>
    </row>
    <row r="1926" spans="1:4" x14ac:dyDescent="0.25">
      <c r="A1926" t="s">
        <v>2262</v>
      </c>
      <c r="C1926" t="s">
        <v>15</v>
      </c>
      <c r="D1926" s="1">
        <v>43247</v>
      </c>
    </row>
    <row r="1927" spans="1:4" x14ac:dyDescent="0.25">
      <c r="A1927" t="s">
        <v>2263</v>
      </c>
      <c r="C1927" t="s">
        <v>15</v>
      </c>
      <c r="D1927" s="1">
        <v>43247</v>
      </c>
    </row>
    <row r="1928" spans="1:4" x14ac:dyDescent="0.25">
      <c r="A1928" t="s">
        <v>2264</v>
      </c>
      <c r="C1928" t="s">
        <v>15</v>
      </c>
      <c r="D1928" s="1">
        <v>43247</v>
      </c>
    </row>
    <row r="1929" spans="1:4" x14ac:dyDescent="0.25">
      <c r="A1929" t="s">
        <v>2265</v>
      </c>
      <c r="C1929" t="s">
        <v>15</v>
      </c>
      <c r="D1929" s="1">
        <v>43247</v>
      </c>
    </row>
    <row r="1930" spans="1:4" x14ac:dyDescent="0.25">
      <c r="A1930" t="s">
        <v>2266</v>
      </c>
      <c r="C1930" t="s">
        <v>15</v>
      </c>
      <c r="D1930" s="1">
        <v>43247</v>
      </c>
    </row>
    <row r="1931" spans="1:4" x14ac:dyDescent="0.25">
      <c r="A1931" t="s">
        <v>2267</v>
      </c>
      <c r="C1931" t="s">
        <v>15</v>
      </c>
      <c r="D1931" s="1">
        <v>43223</v>
      </c>
    </row>
    <row r="1932" spans="1:4" x14ac:dyDescent="0.25">
      <c r="A1932" t="s">
        <v>2268</v>
      </c>
      <c r="C1932" t="s">
        <v>15</v>
      </c>
      <c r="D1932" s="1">
        <v>43239</v>
      </c>
    </row>
    <row r="1933" spans="1:4" x14ac:dyDescent="0.25">
      <c r="A1933" t="s">
        <v>2215</v>
      </c>
      <c r="C1933" t="s">
        <v>15</v>
      </c>
      <c r="D1933" s="1">
        <v>43236</v>
      </c>
    </row>
    <row r="1934" spans="1:4" x14ac:dyDescent="0.25">
      <c r="A1934" t="s">
        <v>2143</v>
      </c>
      <c r="C1934" t="s">
        <v>15</v>
      </c>
      <c r="D1934" s="1">
        <v>43236</v>
      </c>
    </row>
    <row r="1935" spans="1:4" x14ac:dyDescent="0.25">
      <c r="A1935" t="s">
        <v>2217</v>
      </c>
      <c r="C1935" t="s">
        <v>15</v>
      </c>
      <c r="D1935" s="1">
        <v>43250</v>
      </c>
    </row>
    <row r="1936" spans="1:4" x14ac:dyDescent="0.25">
      <c r="A1936" t="s">
        <v>1927</v>
      </c>
      <c r="C1936" t="s">
        <v>1709</v>
      </c>
      <c r="D1936" s="1">
        <v>43231</v>
      </c>
    </row>
    <row r="1937" spans="1:4" x14ac:dyDescent="0.25">
      <c r="A1937" t="s">
        <v>1710</v>
      </c>
      <c r="C1937" t="s">
        <v>1709</v>
      </c>
      <c r="D1937" s="1">
        <v>43231</v>
      </c>
    </row>
    <row r="1938" spans="1:4" x14ac:dyDescent="0.25">
      <c r="A1938" t="s">
        <v>1713</v>
      </c>
      <c r="C1938" t="s">
        <v>1709</v>
      </c>
      <c r="D1938" s="1">
        <v>43231</v>
      </c>
    </row>
    <row r="1939" spans="1:4" x14ac:dyDescent="0.25">
      <c r="A1939" t="s">
        <v>1718</v>
      </c>
      <c r="C1939" t="s">
        <v>1709</v>
      </c>
      <c r="D1939" s="1">
        <v>43231</v>
      </c>
    </row>
    <row r="1940" spans="1:4" x14ac:dyDescent="0.25">
      <c r="A1940" t="s">
        <v>1711</v>
      </c>
      <c r="C1940" t="s">
        <v>1709</v>
      </c>
      <c r="D1940" s="1">
        <v>43231</v>
      </c>
    </row>
    <row r="1941" spans="1:4" x14ac:dyDescent="0.25">
      <c r="A1941" t="s">
        <v>1719</v>
      </c>
      <c r="C1941" t="s">
        <v>1709</v>
      </c>
      <c r="D1941" s="1">
        <v>43231</v>
      </c>
    </row>
    <row r="1942" spans="1:4" x14ac:dyDescent="0.25">
      <c r="A1942" t="s">
        <v>2269</v>
      </c>
      <c r="C1942" t="s">
        <v>1709</v>
      </c>
      <c r="D1942" s="1">
        <v>43231</v>
      </c>
    </row>
    <row r="1943" spans="1:4" x14ac:dyDescent="0.25">
      <c r="A1943" t="s">
        <v>2270</v>
      </c>
      <c r="C1943" t="s">
        <v>1709</v>
      </c>
      <c r="D1943" s="1">
        <v>43231</v>
      </c>
    </row>
    <row r="1944" spans="1:4" x14ac:dyDescent="0.25">
      <c r="A1944" t="s">
        <v>2271</v>
      </c>
      <c r="C1944" t="s">
        <v>1709</v>
      </c>
      <c r="D1944" s="1">
        <v>43231</v>
      </c>
    </row>
    <row r="1945" spans="1:4" x14ac:dyDescent="0.25">
      <c r="A1945" t="s">
        <v>1712</v>
      </c>
      <c r="C1945" t="s">
        <v>1709</v>
      </c>
      <c r="D1945" s="1">
        <v>43231</v>
      </c>
    </row>
    <row r="1946" spans="1:4" x14ac:dyDescent="0.25">
      <c r="A1946" t="s">
        <v>1715</v>
      </c>
      <c r="C1946" t="s">
        <v>1709</v>
      </c>
      <c r="D1946" s="1">
        <v>43231</v>
      </c>
    </row>
    <row r="1947" spans="1:4" x14ac:dyDescent="0.25">
      <c r="A1947" t="s">
        <v>2272</v>
      </c>
      <c r="C1947" t="s">
        <v>1709</v>
      </c>
      <c r="D1947" s="1">
        <v>43222</v>
      </c>
    </row>
    <row r="1948" spans="1:4" x14ac:dyDescent="0.25">
      <c r="A1948" t="s">
        <v>1596</v>
      </c>
      <c r="C1948" t="s">
        <v>1709</v>
      </c>
      <c r="D1948" s="1">
        <v>43234</v>
      </c>
    </row>
    <row r="1949" spans="1:4" x14ac:dyDescent="0.25">
      <c r="A1949" t="s">
        <v>1561</v>
      </c>
      <c r="C1949" t="s">
        <v>1709</v>
      </c>
      <c r="D1949" s="1">
        <v>43234</v>
      </c>
    </row>
    <row r="1950" spans="1:4" x14ac:dyDescent="0.25">
      <c r="A1950" t="s">
        <v>2273</v>
      </c>
      <c r="C1950" t="s">
        <v>1709</v>
      </c>
      <c r="D1950" s="1">
        <v>43231</v>
      </c>
    </row>
    <row r="1951" spans="1:4" x14ac:dyDescent="0.25">
      <c r="A1951" t="s">
        <v>2274</v>
      </c>
      <c r="C1951" t="s">
        <v>1709</v>
      </c>
      <c r="D1951" s="1">
        <v>43231</v>
      </c>
    </row>
    <row r="1952" spans="1:4" x14ac:dyDescent="0.25">
      <c r="A1952" t="s">
        <v>2275</v>
      </c>
      <c r="C1952" t="s">
        <v>1709</v>
      </c>
      <c r="D1952" s="1">
        <v>43231</v>
      </c>
    </row>
    <row r="1953" spans="1:4" x14ac:dyDescent="0.25">
      <c r="A1953" t="s">
        <v>2276</v>
      </c>
      <c r="C1953" t="s">
        <v>1709</v>
      </c>
      <c r="D1953" s="1">
        <v>43231</v>
      </c>
    </row>
    <row r="1954" spans="1:4" x14ac:dyDescent="0.25">
      <c r="A1954" t="s">
        <v>2277</v>
      </c>
      <c r="C1954" t="s">
        <v>1709</v>
      </c>
      <c r="D1954" s="1">
        <v>43222</v>
      </c>
    </row>
    <row r="1955" spans="1:4" x14ac:dyDescent="0.25">
      <c r="A1955" t="s">
        <v>1566</v>
      </c>
      <c r="C1955" t="s">
        <v>1709</v>
      </c>
      <c r="D1955" s="1">
        <v>43234</v>
      </c>
    </row>
    <row r="1956" spans="1:4" x14ac:dyDescent="0.25">
      <c r="A1956" t="s">
        <v>1720</v>
      </c>
      <c r="C1956" t="s">
        <v>1709</v>
      </c>
      <c r="D1956" s="1">
        <v>43231</v>
      </c>
    </row>
    <row r="1957" spans="1:4" x14ac:dyDescent="0.25">
      <c r="A1957" t="s">
        <v>1716</v>
      </c>
      <c r="C1957" t="s">
        <v>1709</v>
      </c>
      <c r="D1957" s="1">
        <v>43231</v>
      </c>
    </row>
    <row r="1958" spans="1:4" x14ac:dyDescent="0.25">
      <c r="A1958" t="s">
        <v>1670</v>
      </c>
      <c r="C1958" t="s">
        <v>1709</v>
      </c>
      <c r="D1958" s="1">
        <v>43234</v>
      </c>
    </row>
    <row r="1959" spans="1:4" x14ac:dyDescent="0.25">
      <c r="A1959" t="s">
        <v>1717</v>
      </c>
      <c r="C1959" t="s">
        <v>1709</v>
      </c>
      <c r="D1959" s="1">
        <v>43231</v>
      </c>
    </row>
    <row r="1960" spans="1:4" x14ac:dyDescent="0.25">
      <c r="A1960" t="s">
        <v>2278</v>
      </c>
      <c r="C1960" t="s">
        <v>1709</v>
      </c>
      <c r="D1960" s="1">
        <v>43231</v>
      </c>
    </row>
    <row r="1961" spans="1:4" x14ac:dyDescent="0.25">
      <c r="A1961" t="s">
        <v>2279</v>
      </c>
      <c r="C1961" t="s">
        <v>1709</v>
      </c>
      <c r="D1961" s="1">
        <v>43231</v>
      </c>
    </row>
    <row r="1962" spans="1:4" x14ac:dyDescent="0.25">
      <c r="A1962" t="s">
        <v>2280</v>
      </c>
      <c r="C1962" t="s">
        <v>1709</v>
      </c>
      <c r="D1962" s="1">
        <v>43231</v>
      </c>
    </row>
    <row r="1963" spans="1:4" x14ac:dyDescent="0.25">
      <c r="A1963" t="s">
        <v>2281</v>
      </c>
      <c r="C1963" t="s">
        <v>1709</v>
      </c>
      <c r="D1963" s="1">
        <v>43231</v>
      </c>
    </row>
    <row r="1964" spans="1:4" x14ac:dyDescent="0.25">
      <c r="A1964" t="s">
        <v>2282</v>
      </c>
      <c r="C1964" t="s">
        <v>1709</v>
      </c>
      <c r="D1964" s="1">
        <v>43231</v>
      </c>
    </row>
    <row r="1965" spans="1:4" x14ac:dyDescent="0.25">
      <c r="A1965" t="s">
        <v>2283</v>
      </c>
      <c r="C1965" t="s">
        <v>1709</v>
      </c>
      <c r="D1965" s="1">
        <v>43231</v>
      </c>
    </row>
    <row r="1966" spans="1:4" x14ac:dyDescent="0.25">
      <c r="A1966" t="s">
        <v>2284</v>
      </c>
      <c r="C1966" t="s">
        <v>1709</v>
      </c>
      <c r="D1966" s="1">
        <v>43231</v>
      </c>
    </row>
    <row r="1967" spans="1:4" x14ac:dyDescent="0.25">
      <c r="A1967" t="s">
        <v>2285</v>
      </c>
      <c r="C1967" t="s">
        <v>1709</v>
      </c>
      <c r="D1967" s="1">
        <v>43231</v>
      </c>
    </row>
    <row r="1968" spans="1:4" x14ac:dyDescent="0.25">
      <c r="A1968" t="s">
        <v>2286</v>
      </c>
      <c r="C1968" t="s">
        <v>1709</v>
      </c>
      <c r="D1968" s="1">
        <v>43231</v>
      </c>
    </row>
    <row r="1969" spans="1:4" x14ac:dyDescent="0.25">
      <c r="A1969" t="s">
        <v>2287</v>
      </c>
      <c r="C1969" t="s">
        <v>1709</v>
      </c>
      <c r="D1969" s="1">
        <v>43231</v>
      </c>
    </row>
    <row r="1970" spans="1:4" x14ac:dyDescent="0.25">
      <c r="A1970" t="s">
        <v>2288</v>
      </c>
      <c r="C1970" t="s">
        <v>1709</v>
      </c>
      <c r="D1970" s="1">
        <v>43231</v>
      </c>
    </row>
    <row r="1971" spans="1:4" x14ac:dyDescent="0.25">
      <c r="A1971" t="s">
        <v>2289</v>
      </c>
      <c r="C1971" t="s">
        <v>1709</v>
      </c>
      <c r="D1971" s="1">
        <v>43231</v>
      </c>
    </row>
    <row r="1972" spans="1:4" x14ac:dyDescent="0.25">
      <c r="A1972" t="s">
        <v>2290</v>
      </c>
      <c r="C1972" t="s">
        <v>1709</v>
      </c>
      <c r="D1972" s="1">
        <v>43231</v>
      </c>
    </row>
    <row r="1973" spans="1:4" x14ac:dyDescent="0.25">
      <c r="A1973" t="s">
        <v>1918</v>
      </c>
      <c r="C1973" t="s">
        <v>1709</v>
      </c>
      <c r="D1973" s="1">
        <v>43232</v>
      </c>
    </row>
    <row r="1974" spans="1:4" x14ac:dyDescent="0.25">
      <c r="A1974" t="s">
        <v>2291</v>
      </c>
      <c r="C1974" t="s">
        <v>1709</v>
      </c>
      <c r="D1974" s="1">
        <v>43231</v>
      </c>
    </row>
    <row r="1975" spans="1:4" x14ac:dyDescent="0.25">
      <c r="A1975" t="s">
        <v>2292</v>
      </c>
      <c r="C1975" t="s">
        <v>1709</v>
      </c>
      <c r="D1975" s="1">
        <v>43222</v>
      </c>
    </row>
    <row r="1976" spans="1:4" x14ac:dyDescent="0.25">
      <c r="A1976" t="s">
        <v>2293</v>
      </c>
      <c r="C1976" t="s">
        <v>1709</v>
      </c>
      <c r="D1976" s="1">
        <v>43231</v>
      </c>
    </row>
    <row r="1977" spans="1:4" x14ac:dyDescent="0.25">
      <c r="A1977" t="s">
        <v>2294</v>
      </c>
      <c r="C1977" t="s">
        <v>1709</v>
      </c>
      <c r="D1977" s="1">
        <v>43222</v>
      </c>
    </row>
    <row r="1978" spans="1:4" x14ac:dyDescent="0.25">
      <c r="A1978" t="s">
        <v>2295</v>
      </c>
      <c r="C1978" t="s">
        <v>1709</v>
      </c>
      <c r="D1978" s="1">
        <v>43231</v>
      </c>
    </row>
    <row r="1979" spans="1:4" x14ac:dyDescent="0.25">
      <c r="A1979" t="s">
        <v>2296</v>
      </c>
      <c r="C1979" t="s">
        <v>1709</v>
      </c>
      <c r="D1979" s="1">
        <v>43231</v>
      </c>
    </row>
    <row r="1980" spans="1:4" x14ac:dyDescent="0.25">
      <c r="A1980" t="s">
        <v>2297</v>
      </c>
      <c r="C1980" t="s">
        <v>1709</v>
      </c>
      <c r="D1980" s="1">
        <v>43231</v>
      </c>
    </row>
    <row r="1981" spans="1:4" x14ac:dyDescent="0.25">
      <c r="A1981" t="s">
        <v>2298</v>
      </c>
      <c r="C1981" t="s">
        <v>1709</v>
      </c>
      <c r="D1981" s="1">
        <v>43231</v>
      </c>
    </row>
    <row r="1982" spans="1:4" x14ac:dyDescent="0.25">
      <c r="A1982" t="s">
        <v>2299</v>
      </c>
      <c r="C1982" t="s">
        <v>1709</v>
      </c>
      <c r="D1982" s="1">
        <v>43228</v>
      </c>
    </row>
    <row r="1983" spans="1:4" x14ac:dyDescent="0.25">
      <c r="A1983" t="s">
        <v>2300</v>
      </c>
      <c r="C1983" t="s">
        <v>1709</v>
      </c>
      <c r="D1983" s="1">
        <v>43231</v>
      </c>
    </row>
    <row r="1984" spans="1:4" x14ac:dyDescent="0.25">
      <c r="A1984" t="s">
        <v>2301</v>
      </c>
      <c r="C1984" t="s">
        <v>1709</v>
      </c>
      <c r="D1984" s="1">
        <v>43231</v>
      </c>
    </row>
    <row r="1985" spans="1:4" x14ac:dyDescent="0.25">
      <c r="A1985" t="s">
        <v>243</v>
      </c>
      <c r="C1985" t="s">
        <v>1709</v>
      </c>
      <c r="D1985" s="1">
        <v>43231</v>
      </c>
    </row>
    <row r="1986" spans="1:4" x14ac:dyDescent="0.25">
      <c r="A1986" t="s">
        <v>2302</v>
      </c>
      <c r="C1986" t="s">
        <v>1709</v>
      </c>
      <c r="D1986" s="1">
        <v>43231</v>
      </c>
    </row>
    <row r="1987" spans="1:4" x14ac:dyDescent="0.25">
      <c r="A1987" t="s">
        <v>2303</v>
      </c>
      <c r="C1987" t="s">
        <v>1709</v>
      </c>
      <c r="D1987" s="1">
        <v>43231</v>
      </c>
    </row>
    <row r="1988" spans="1:4" x14ac:dyDescent="0.25">
      <c r="A1988" t="s">
        <v>2304</v>
      </c>
      <c r="C1988" t="s">
        <v>1709</v>
      </c>
      <c r="D1988" s="1">
        <v>43231</v>
      </c>
    </row>
    <row r="1989" spans="1:4" x14ac:dyDescent="0.25">
      <c r="A1989" t="s">
        <v>2305</v>
      </c>
      <c r="C1989" t="s">
        <v>1709</v>
      </c>
      <c r="D1989" s="1">
        <v>43223</v>
      </c>
    </row>
    <row r="1990" spans="1:4" x14ac:dyDescent="0.25">
      <c r="A1990" t="s">
        <v>2306</v>
      </c>
      <c r="C1990" t="s">
        <v>1709</v>
      </c>
      <c r="D1990" s="1">
        <v>43231</v>
      </c>
    </row>
    <row r="1991" spans="1:4" x14ac:dyDescent="0.25">
      <c r="A1991" t="s">
        <v>345</v>
      </c>
      <c r="C1991" t="s">
        <v>1709</v>
      </c>
      <c r="D1991" s="1">
        <v>43231</v>
      </c>
    </row>
    <row r="1992" spans="1:4" x14ac:dyDescent="0.25">
      <c r="A1992" t="s">
        <v>2307</v>
      </c>
      <c r="C1992" t="s">
        <v>1709</v>
      </c>
      <c r="D1992" s="1">
        <v>43231</v>
      </c>
    </row>
    <row r="1993" spans="1:4" x14ac:dyDescent="0.25">
      <c r="A1993" t="s">
        <v>2308</v>
      </c>
      <c r="C1993" t="s">
        <v>1709</v>
      </c>
      <c r="D1993" s="1">
        <v>43231</v>
      </c>
    </row>
    <row r="1994" spans="1:4" x14ac:dyDescent="0.25">
      <c r="A1994" t="s">
        <v>2309</v>
      </c>
      <c r="C1994" t="s">
        <v>1709</v>
      </c>
      <c r="D1994" s="1">
        <v>43231</v>
      </c>
    </row>
    <row r="1995" spans="1:4" x14ac:dyDescent="0.25">
      <c r="A1995" t="s">
        <v>2310</v>
      </c>
      <c r="C1995" t="s">
        <v>1709</v>
      </c>
      <c r="D1995" s="1">
        <v>43223</v>
      </c>
    </row>
    <row r="1996" spans="1:4" x14ac:dyDescent="0.25">
      <c r="A1996" t="s">
        <v>2311</v>
      </c>
      <c r="C1996" t="s">
        <v>1709</v>
      </c>
      <c r="D1996" s="1">
        <v>43231</v>
      </c>
    </row>
    <row r="1997" spans="1:4" x14ac:dyDescent="0.25">
      <c r="A1997" t="s">
        <v>2312</v>
      </c>
      <c r="C1997" t="s">
        <v>1709</v>
      </c>
      <c r="D1997" s="1">
        <v>43231</v>
      </c>
    </row>
    <row r="1998" spans="1:4" x14ac:dyDescent="0.25">
      <c r="A1998" t="s">
        <v>2313</v>
      </c>
      <c r="C1998" t="s">
        <v>1709</v>
      </c>
      <c r="D1998" s="1">
        <v>43231</v>
      </c>
    </row>
    <row r="1999" spans="1:4" x14ac:dyDescent="0.25">
      <c r="A1999" t="s">
        <v>2314</v>
      </c>
      <c r="C1999" t="s">
        <v>1709</v>
      </c>
      <c r="D1999" s="1">
        <v>43231</v>
      </c>
    </row>
    <row r="2000" spans="1:4" x14ac:dyDescent="0.25">
      <c r="A2000" t="s">
        <v>341</v>
      </c>
      <c r="C2000" t="s">
        <v>1709</v>
      </c>
      <c r="D2000" s="1">
        <v>43224</v>
      </c>
    </row>
    <row r="2001" spans="1:4" x14ac:dyDescent="0.25">
      <c r="A2001" t="s">
        <v>61</v>
      </c>
      <c r="C2001" t="s">
        <v>1709</v>
      </c>
      <c r="D2001" s="1">
        <v>43223</v>
      </c>
    </row>
    <row r="2002" spans="1:4" x14ac:dyDescent="0.25">
      <c r="A2002" t="s">
        <v>139</v>
      </c>
      <c r="C2002" t="s">
        <v>1709</v>
      </c>
      <c r="D2002" s="1">
        <v>43223</v>
      </c>
    </row>
    <row r="2003" spans="1:4" x14ac:dyDescent="0.25">
      <c r="A2003" t="s">
        <v>1714</v>
      </c>
      <c r="C2003" t="s">
        <v>1709</v>
      </c>
      <c r="D2003" s="1">
        <v>43231</v>
      </c>
    </row>
    <row r="2004" spans="1:4" x14ac:dyDescent="0.25">
      <c r="A2004" t="s">
        <v>2315</v>
      </c>
      <c r="C2004" t="s">
        <v>1709</v>
      </c>
      <c r="D2004" s="1">
        <v>43231</v>
      </c>
    </row>
    <row r="2005" spans="1:4" x14ac:dyDescent="0.25">
      <c r="A2005" t="s">
        <v>2316</v>
      </c>
      <c r="C2005" t="s">
        <v>16</v>
      </c>
      <c r="D2005" s="1">
        <v>43224</v>
      </c>
    </row>
    <row r="2006" spans="1:4" x14ac:dyDescent="0.25">
      <c r="A2006" t="s">
        <v>2317</v>
      </c>
      <c r="C2006" t="s">
        <v>16</v>
      </c>
      <c r="D2006" s="1">
        <v>43238</v>
      </c>
    </row>
    <row r="2007" spans="1:4" x14ac:dyDescent="0.25">
      <c r="A2007" t="s">
        <v>318</v>
      </c>
      <c r="C2007" t="s">
        <v>16</v>
      </c>
      <c r="D2007" s="1">
        <v>43247</v>
      </c>
    </row>
    <row r="2008" spans="1:4" x14ac:dyDescent="0.25">
      <c r="A2008" t="s">
        <v>2318</v>
      </c>
      <c r="C2008" t="s">
        <v>16</v>
      </c>
      <c r="D2008" s="1">
        <v>43225</v>
      </c>
    </row>
    <row r="2009" spans="1:4" x14ac:dyDescent="0.25">
      <c r="A2009" t="s">
        <v>2319</v>
      </c>
      <c r="C2009" t="s">
        <v>16</v>
      </c>
      <c r="D2009" s="1">
        <v>43225</v>
      </c>
    </row>
    <row r="2010" spans="1:4" x14ac:dyDescent="0.25">
      <c r="A2010" t="s">
        <v>2320</v>
      </c>
      <c r="C2010" t="s">
        <v>16</v>
      </c>
      <c r="D2010" s="1">
        <v>43230</v>
      </c>
    </row>
    <row r="2011" spans="1:4" x14ac:dyDescent="0.25">
      <c r="A2011" t="s">
        <v>2230</v>
      </c>
      <c r="C2011" t="s">
        <v>16</v>
      </c>
      <c r="D2011" s="1">
        <v>43230</v>
      </c>
    </row>
    <row r="2012" spans="1:4" x14ac:dyDescent="0.25">
      <c r="A2012" t="s">
        <v>1888</v>
      </c>
      <c r="C2012" t="s">
        <v>16</v>
      </c>
      <c r="D2012" s="1">
        <v>43230</v>
      </c>
    </row>
    <row r="2013" spans="1:4" x14ac:dyDescent="0.25">
      <c r="A2013" t="s">
        <v>2079</v>
      </c>
      <c r="C2013" t="s">
        <v>16</v>
      </c>
      <c r="D2013" s="1">
        <v>43230</v>
      </c>
    </row>
    <row r="2014" spans="1:4" x14ac:dyDescent="0.25">
      <c r="A2014" t="s">
        <v>2080</v>
      </c>
      <c r="C2014" t="s">
        <v>16</v>
      </c>
      <c r="D2014" s="1">
        <v>43224</v>
      </c>
    </row>
    <row r="2015" spans="1:4" x14ac:dyDescent="0.25">
      <c r="A2015" t="s">
        <v>1889</v>
      </c>
      <c r="C2015" t="s">
        <v>16</v>
      </c>
      <c r="D2015" s="1">
        <v>43230</v>
      </c>
    </row>
    <row r="2016" spans="1:4" x14ac:dyDescent="0.25">
      <c r="A2016" t="s">
        <v>1890</v>
      </c>
      <c r="C2016" t="s">
        <v>16</v>
      </c>
      <c r="D2016" s="1">
        <v>43230</v>
      </c>
    </row>
    <row r="2017" spans="1:4" x14ac:dyDescent="0.25">
      <c r="A2017" t="s">
        <v>2084</v>
      </c>
      <c r="C2017" t="s">
        <v>16</v>
      </c>
      <c r="D2017" s="1">
        <v>43230</v>
      </c>
    </row>
    <row r="2018" spans="1:4" x14ac:dyDescent="0.25">
      <c r="A2018" t="s">
        <v>2085</v>
      </c>
      <c r="C2018" t="s">
        <v>16</v>
      </c>
      <c r="D2018" s="1">
        <v>43230</v>
      </c>
    </row>
    <row r="2019" spans="1:4" x14ac:dyDescent="0.25">
      <c r="A2019" t="s">
        <v>1938</v>
      </c>
      <c r="C2019" t="s">
        <v>16</v>
      </c>
      <c r="D2019" s="1">
        <v>43230</v>
      </c>
    </row>
    <row r="2020" spans="1:4" x14ac:dyDescent="0.25">
      <c r="A2020" t="s">
        <v>1939</v>
      </c>
      <c r="C2020" t="s">
        <v>16</v>
      </c>
      <c r="D2020" s="1">
        <v>43230</v>
      </c>
    </row>
    <row r="2021" spans="1:4" x14ac:dyDescent="0.25">
      <c r="A2021" t="s">
        <v>2321</v>
      </c>
      <c r="C2021" t="s">
        <v>16</v>
      </c>
      <c r="D2021" s="1">
        <v>43245</v>
      </c>
    </row>
    <row r="2022" spans="1:4" x14ac:dyDescent="0.25">
      <c r="A2022" t="s">
        <v>693</v>
      </c>
      <c r="C2022" t="s">
        <v>16</v>
      </c>
      <c r="D2022" s="1">
        <v>43231</v>
      </c>
    </row>
    <row r="2023" spans="1:4" x14ac:dyDescent="0.25">
      <c r="A2023" t="s">
        <v>2322</v>
      </c>
      <c r="C2023" t="s">
        <v>16</v>
      </c>
      <c r="D2023" s="1">
        <v>43245</v>
      </c>
    </row>
    <row r="2024" spans="1:4" x14ac:dyDescent="0.25">
      <c r="A2024" t="s">
        <v>725</v>
      </c>
      <c r="C2024" t="s">
        <v>16</v>
      </c>
      <c r="D2024" s="1">
        <v>43232</v>
      </c>
    </row>
    <row r="2025" spans="1:4" x14ac:dyDescent="0.25">
      <c r="A2025" t="s">
        <v>382</v>
      </c>
      <c r="C2025" t="s">
        <v>16</v>
      </c>
      <c r="D2025" s="1">
        <v>43231</v>
      </c>
    </row>
    <row r="2026" spans="1:4" x14ac:dyDescent="0.25">
      <c r="A2026" t="s">
        <v>642</v>
      </c>
      <c r="C2026" t="s">
        <v>16</v>
      </c>
      <c r="D2026" s="1">
        <v>43238</v>
      </c>
    </row>
    <row r="2027" spans="1:4" x14ac:dyDescent="0.25">
      <c r="A2027" t="s">
        <v>464</v>
      </c>
      <c r="C2027" t="s">
        <v>16</v>
      </c>
      <c r="D2027" s="1">
        <v>43238</v>
      </c>
    </row>
    <row r="2028" spans="1:4" x14ac:dyDescent="0.25">
      <c r="A2028" t="s">
        <v>1093</v>
      </c>
      <c r="C2028" t="s">
        <v>16</v>
      </c>
      <c r="D2028" s="1">
        <v>43224</v>
      </c>
    </row>
    <row r="2029" spans="1:4" x14ac:dyDescent="0.25">
      <c r="A2029" t="s">
        <v>2323</v>
      </c>
      <c r="C2029" t="s">
        <v>16</v>
      </c>
      <c r="D2029" s="1">
        <v>43231</v>
      </c>
    </row>
    <row r="2030" spans="1:4" x14ac:dyDescent="0.25">
      <c r="A2030" t="s">
        <v>1723</v>
      </c>
      <c r="C2030" t="s">
        <v>16</v>
      </c>
      <c r="D2030" s="1">
        <v>43224</v>
      </c>
    </row>
    <row r="2031" spans="1:4" x14ac:dyDescent="0.25">
      <c r="A2031" t="s">
        <v>1724</v>
      </c>
      <c r="C2031" t="s">
        <v>16</v>
      </c>
      <c r="D2031" s="1">
        <v>43241</v>
      </c>
    </row>
    <row r="2032" spans="1:4" x14ac:dyDescent="0.25">
      <c r="A2032" t="s">
        <v>246</v>
      </c>
      <c r="C2032" t="s">
        <v>16</v>
      </c>
      <c r="D2032" s="1">
        <v>43238</v>
      </c>
    </row>
    <row r="2033" spans="1:4" x14ac:dyDescent="0.25">
      <c r="A2033" t="s">
        <v>2324</v>
      </c>
      <c r="C2033" t="s">
        <v>16</v>
      </c>
      <c r="D2033" s="1">
        <v>43245</v>
      </c>
    </row>
    <row r="2034" spans="1:4" x14ac:dyDescent="0.25">
      <c r="A2034" t="s">
        <v>1146</v>
      </c>
      <c r="C2034" t="s">
        <v>16</v>
      </c>
      <c r="D2034" s="1">
        <v>43224</v>
      </c>
    </row>
    <row r="2035" spans="1:4" x14ac:dyDescent="0.25">
      <c r="A2035" t="s">
        <v>407</v>
      </c>
      <c r="C2035" t="s">
        <v>16</v>
      </c>
      <c r="D2035" s="1">
        <v>43231</v>
      </c>
    </row>
    <row r="2036" spans="1:4" x14ac:dyDescent="0.25">
      <c r="A2036" t="s">
        <v>2325</v>
      </c>
      <c r="C2036" t="s">
        <v>16</v>
      </c>
      <c r="D2036" s="1">
        <v>43231</v>
      </c>
    </row>
    <row r="2037" spans="1:4" x14ac:dyDescent="0.25">
      <c r="A2037" t="s">
        <v>2326</v>
      </c>
      <c r="C2037" t="s">
        <v>16</v>
      </c>
      <c r="D2037" s="1">
        <v>43238</v>
      </c>
    </row>
    <row r="2038" spans="1:4" x14ac:dyDescent="0.25">
      <c r="A2038" t="s">
        <v>694</v>
      </c>
      <c r="C2038" t="s">
        <v>16</v>
      </c>
      <c r="D2038" s="1">
        <v>43231</v>
      </c>
    </row>
    <row r="2039" spans="1:4" x14ac:dyDescent="0.25">
      <c r="A2039" t="s">
        <v>990</v>
      </c>
      <c r="C2039" t="s">
        <v>16</v>
      </c>
      <c r="D2039" s="1">
        <v>43224</v>
      </c>
    </row>
    <row r="2040" spans="1:4" x14ac:dyDescent="0.25">
      <c r="A2040" t="s">
        <v>397</v>
      </c>
      <c r="C2040" t="s">
        <v>16</v>
      </c>
      <c r="D2040" s="1">
        <v>43238</v>
      </c>
    </row>
    <row r="2041" spans="1:4" x14ac:dyDescent="0.25">
      <c r="A2041" t="s">
        <v>768</v>
      </c>
      <c r="C2041" t="s">
        <v>16</v>
      </c>
      <c r="D2041" s="1">
        <v>43236</v>
      </c>
    </row>
    <row r="2042" spans="1:4" x14ac:dyDescent="0.25">
      <c r="A2042" t="s">
        <v>702</v>
      </c>
      <c r="C2042" t="s">
        <v>16</v>
      </c>
      <c r="D2042" s="1">
        <v>43224</v>
      </c>
    </row>
    <row r="2043" spans="1:4" x14ac:dyDescent="0.25">
      <c r="A2043" t="s">
        <v>2327</v>
      </c>
      <c r="C2043" t="s">
        <v>16</v>
      </c>
      <c r="D2043" s="1">
        <v>43240</v>
      </c>
    </row>
    <row r="2044" spans="1:4" x14ac:dyDescent="0.25">
      <c r="A2044" t="s">
        <v>48</v>
      </c>
      <c r="C2044" t="s">
        <v>16</v>
      </c>
      <c r="D2044" s="1">
        <v>43238</v>
      </c>
    </row>
    <row r="2045" spans="1:4" x14ac:dyDescent="0.25">
      <c r="A2045" t="s">
        <v>2328</v>
      </c>
      <c r="C2045" t="s">
        <v>16</v>
      </c>
      <c r="D2045" s="1">
        <v>43224</v>
      </c>
    </row>
    <row r="2046" spans="1:4" x14ac:dyDescent="0.25">
      <c r="A2046" t="s">
        <v>651</v>
      </c>
      <c r="C2046" t="s">
        <v>16</v>
      </c>
      <c r="D2046" s="1">
        <v>43238</v>
      </c>
    </row>
    <row r="2047" spans="1:4" x14ac:dyDescent="0.25">
      <c r="A2047" t="s">
        <v>1891</v>
      </c>
      <c r="C2047" t="s">
        <v>16</v>
      </c>
      <c r="D2047" s="1">
        <v>43225</v>
      </c>
    </row>
    <row r="2048" spans="1:4" x14ac:dyDescent="0.25">
      <c r="A2048" t="s">
        <v>585</v>
      </c>
      <c r="C2048" t="s">
        <v>16</v>
      </c>
      <c r="D2048" s="1">
        <v>43238</v>
      </c>
    </row>
    <row r="2049" spans="1:4" x14ac:dyDescent="0.25">
      <c r="A2049" t="s">
        <v>476</v>
      </c>
      <c r="C2049" t="s">
        <v>16</v>
      </c>
      <c r="D2049" s="1">
        <v>43238</v>
      </c>
    </row>
    <row r="2050" spans="1:4" x14ac:dyDescent="0.25">
      <c r="A2050" t="s">
        <v>2329</v>
      </c>
      <c r="C2050" t="s">
        <v>16</v>
      </c>
      <c r="D2050" s="1">
        <v>43245</v>
      </c>
    </row>
    <row r="2051" spans="1:4" x14ac:dyDescent="0.25">
      <c r="A2051" t="s">
        <v>2146</v>
      </c>
      <c r="C2051" t="s">
        <v>16</v>
      </c>
      <c r="D2051" s="1">
        <v>43231</v>
      </c>
    </row>
    <row r="2052" spans="1:4" x14ac:dyDescent="0.25">
      <c r="A2052" t="s">
        <v>533</v>
      </c>
      <c r="C2052" t="s">
        <v>16</v>
      </c>
      <c r="D2052" s="1">
        <v>43232</v>
      </c>
    </row>
    <row r="2053" spans="1:4" x14ac:dyDescent="0.25">
      <c r="A2053" t="s">
        <v>895</v>
      </c>
      <c r="C2053" t="s">
        <v>16</v>
      </c>
      <c r="D2053" s="1">
        <v>43238</v>
      </c>
    </row>
    <row r="2054" spans="1:4" x14ac:dyDescent="0.25">
      <c r="A2054" t="s">
        <v>1726</v>
      </c>
      <c r="C2054" t="s">
        <v>16</v>
      </c>
      <c r="D2054" s="1">
        <v>43224</v>
      </c>
    </row>
    <row r="2055" spans="1:4" x14ac:dyDescent="0.25">
      <c r="A2055" t="s">
        <v>2330</v>
      </c>
      <c r="C2055" t="s">
        <v>16</v>
      </c>
      <c r="D2055" s="1">
        <v>43238</v>
      </c>
    </row>
    <row r="2056" spans="1:4" x14ac:dyDescent="0.25">
      <c r="A2056" t="s">
        <v>823</v>
      </c>
      <c r="C2056" t="s">
        <v>16</v>
      </c>
      <c r="D2056" s="1">
        <v>43238</v>
      </c>
    </row>
    <row r="2057" spans="1:4" x14ac:dyDescent="0.25">
      <c r="A2057" t="s">
        <v>1000</v>
      </c>
      <c r="C2057" t="s">
        <v>16</v>
      </c>
      <c r="D2057" s="1">
        <v>43236</v>
      </c>
    </row>
    <row r="2058" spans="1:4" x14ac:dyDescent="0.25">
      <c r="A2058" t="s">
        <v>684</v>
      </c>
      <c r="C2058" t="s">
        <v>16</v>
      </c>
      <c r="D2058" s="1">
        <v>43224</v>
      </c>
    </row>
    <row r="2059" spans="1:4" x14ac:dyDescent="0.25">
      <c r="A2059" t="s">
        <v>548</v>
      </c>
      <c r="C2059" t="s">
        <v>16</v>
      </c>
      <c r="D2059" s="1">
        <v>43224</v>
      </c>
    </row>
    <row r="2060" spans="1:4" x14ac:dyDescent="0.25">
      <c r="A2060" t="s">
        <v>2331</v>
      </c>
      <c r="C2060" t="s">
        <v>16</v>
      </c>
      <c r="D2060" s="1">
        <v>43245</v>
      </c>
    </row>
    <row r="2061" spans="1:4" x14ac:dyDescent="0.25">
      <c r="A2061" t="s">
        <v>132</v>
      </c>
      <c r="C2061" t="s">
        <v>16</v>
      </c>
      <c r="D2061" s="1">
        <v>43238</v>
      </c>
    </row>
    <row r="2062" spans="1:4" x14ac:dyDescent="0.25">
      <c r="A2062" t="s">
        <v>499</v>
      </c>
      <c r="C2062" t="s">
        <v>16</v>
      </c>
      <c r="D2062" s="1">
        <v>43238</v>
      </c>
    </row>
    <row r="2063" spans="1:4" x14ac:dyDescent="0.25">
      <c r="A2063" t="s">
        <v>2332</v>
      </c>
      <c r="C2063" t="s">
        <v>16</v>
      </c>
      <c r="D2063" s="1">
        <v>43224</v>
      </c>
    </row>
    <row r="2064" spans="1:4" x14ac:dyDescent="0.25">
      <c r="A2064" t="s">
        <v>370</v>
      </c>
      <c r="C2064" t="s">
        <v>16</v>
      </c>
      <c r="D2064" s="1">
        <v>43238</v>
      </c>
    </row>
    <row r="2065" spans="1:4" x14ac:dyDescent="0.25">
      <c r="A2065" t="s">
        <v>883</v>
      </c>
      <c r="C2065" t="s">
        <v>16</v>
      </c>
      <c r="D2065" s="1">
        <v>43238</v>
      </c>
    </row>
    <row r="2066" spans="1:4" x14ac:dyDescent="0.25">
      <c r="A2066" t="s">
        <v>576</v>
      </c>
      <c r="C2066" t="s">
        <v>16</v>
      </c>
      <c r="D2066" s="1">
        <v>43238</v>
      </c>
    </row>
    <row r="2067" spans="1:4" x14ac:dyDescent="0.25">
      <c r="A2067" t="s">
        <v>2148</v>
      </c>
      <c r="C2067" t="s">
        <v>16</v>
      </c>
      <c r="D2067" s="1">
        <v>43231</v>
      </c>
    </row>
    <row r="2068" spans="1:4" x14ac:dyDescent="0.25">
      <c r="A2068" t="s">
        <v>2333</v>
      </c>
      <c r="C2068" t="s">
        <v>16</v>
      </c>
      <c r="D2068" s="1">
        <v>43238</v>
      </c>
    </row>
    <row r="2069" spans="1:4" x14ac:dyDescent="0.25">
      <c r="A2069" t="s">
        <v>1892</v>
      </c>
      <c r="C2069" t="s">
        <v>16</v>
      </c>
      <c r="D2069" s="1">
        <v>43225</v>
      </c>
    </row>
    <row r="2070" spans="1:4" x14ac:dyDescent="0.25">
      <c r="A2070" t="s">
        <v>1031</v>
      </c>
      <c r="C2070" t="s">
        <v>16</v>
      </c>
      <c r="D2070" s="1">
        <v>43238</v>
      </c>
    </row>
    <row r="2071" spans="1:4" x14ac:dyDescent="0.25">
      <c r="A2071" t="s">
        <v>2334</v>
      </c>
      <c r="C2071" t="s">
        <v>16</v>
      </c>
      <c r="D2071" s="1">
        <v>43245</v>
      </c>
    </row>
    <row r="2072" spans="1:4" x14ac:dyDescent="0.25">
      <c r="A2072" t="s">
        <v>988</v>
      </c>
      <c r="C2072" t="s">
        <v>16</v>
      </c>
      <c r="D2072" s="1">
        <v>43224</v>
      </c>
    </row>
    <row r="2073" spans="1:4" x14ac:dyDescent="0.25">
      <c r="A2073" t="s">
        <v>426</v>
      </c>
      <c r="C2073" t="s">
        <v>16</v>
      </c>
      <c r="D2073" s="1">
        <v>43238</v>
      </c>
    </row>
    <row r="2074" spans="1:4" x14ac:dyDescent="0.25">
      <c r="A2074" t="s">
        <v>550</v>
      </c>
      <c r="C2074" t="s">
        <v>16</v>
      </c>
      <c r="D2074" s="1">
        <v>43224</v>
      </c>
    </row>
    <row r="2075" spans="1:4" x14ac:dyDescent="0.25">
      <c r="A2075" t="s">
        <v>660</v>
      </c>
      <c r="C2075" t="s">
        <v>16</v>
      </c>
      <c r="D2075" s="1">
        <v>43238</v>
      </c>
    </row>
    <row r="2076" spans="1:4" x14ac:dyDescent="0.25">
      <c r="A2076" t="s">
        <v>1729</v>
      </c>
      <c r="C2076" t="s">
        <v>16</v>
      </c>
      <c r="D2076" s="1">
        <v>43241</v>
      </c>
    </row>
    <row r="2077" spans="1:4" x14ac:dyDescent="0.25">
      <c r="A2077" t="s">
        <v>124</v>
      </c>
      <c r="C2077" t="s">
        <v>16</v>
      </c>
      <c r="D2077" s="1">
        <v>43238</v>
      </c>
    </row>
    <row r="2078" spans="1:4" x14ac:dyDescent="0.25">
      <c r="A2078" t="s">
        <v>978</v>
      </c>
      <c r="C2078" t="s">
        <v>16</v>
      </c>
      <c r="D2078" s="1">
        <v>43238</v>
      </c>
    </row>
    <row r="2079" spans="1:4" x14ac:dyDescent="0.25">
      <c r="A2079" t="s">
        <v>2335</v>
      </c>
      <c r="C2079" t="s">
        <v>16</v>
      </c>
      <c r="D2079" s="1">
        <v>43238</v>
      </c>
    </row>
    <row r="2080" spans="1:4" x14ac:dyDescent="0.25">
      <c r="A2080" t="s">
        <v>1023</v>
      </c>
      <c r="C2080" t="s">
        <v>16</v>
      </c>
      <c r="D2080" s="1">
        <v>43224</v>
      </c>
    </row>
    <row r="2081" spans="1:4" x14ac:dyDescent="0.25">
      <c r="A2081" t="s">
        <v>1151</v>
      </c>
      <c r="C2081" t="s">
        <v>16</v>
      </c>
      <c r="D2081" s="1">
        <v>43224</v>
      </c>
    </row>
    <row r="2082" spans="1:4" x14ac:dyDescent="0.25">
      <c r="A2082" t="s">
        <v>442</v>
      </c>
      <c r="C2082" t="s">
        <v>16</v>
      </c>
      <c r="D2082" s="1">
        <v>43238</v>
      </c>
    </row>
    <row r="2083" spans="1:4" x14ac:dyDescent="0.25">
      <c r="A2083" t="s">
        <v>2336</v>
      </c>
      <c r="C2083" t="s">
        <v>16</v>
      </c>
      <c r="D2083" s="1">
        <v>43238</v>
      </c>
    </row>
    <row r="2084" spans="1:4" x14ac:dyDescent="0.25">
      <c r="A2084" t="s">
        <v>131</v>
      </c>
      <c r="C2084" t="s">
        <v>16</v>
      </c>
      <c r="D2084" s="1">
        <v>43238</v>
      </c>
    </row>
    <row r="2085" spans="1:4" x14ac:dyDescent="0.25">
      <c r="A2085" t="s">
        <v>622</v>
      </c>
      <c r="C2085" t="s">
        <v>16</v>
      </c>
      <c r="D2085" s="1">
        <v>43224</v>
      </c>
    </row>
    <row r="2086" spans="1:4" x14ac:dyDescent="0.25">
      <c r="A2086" t="s">
        <v>1893</v>
      </c>
      <c r="C2086" t="s">
        <v>16</v>
      </c>
      <c r="D2086" s="1">
        <v>43225</v>
      </c>
    </row>
    <row r="2087" spans="1:4" x14ac:dyDescent="0.25">
      <c r="A2087" t="s">
        <v>1894</v>
      </c>
      <c r="C2087" t="s">
        <v>16</v>
      </c>
      <c r="D2087" s="1">
        <v>43225</v>
      </c>
    </row>
    <row r="2088" spans="1:4" x14ac:dyDescent="0.25">
      <c r="A2088" t="s">
        <v>2337</v>
      </c>
      <c r="C2088" t="s">
        <v>16</v>
      </c>
      <c r="D2088" s="1">
        <v>43245</v>
      </c>
    </row>
    <row r="2089" spans="1:4" x14ac:dyDescent="0.25">
      <c r="A2089" t="s">
        <v>2338</v>
      </c>
      <c r="C2089" t="s">
        <v>16</v>
      </c>
      <c r="D2089" s="1">
        <v>43238</v>
      </c>
    </row>
    <row r="2090" spans="1:4" x14ac:dyDescent="0.25">
      <c r="A2090" t="s">
        <v>641</v>
      </c>
      <c r="C2090" t="s">
        <v>16</v>
      </c>
      <c r="D2090" s="1">
        <v>43238</v>
      </c>
    </row>
    <row r="2091" spans="1:4" x14ac:dyDescent="0.25">
      <c r="A2091" t="s">
        <v>695</v>
      </c>
      <c r="C2091" t="s">
        <v>16</v>
      </c>
      <c r="D2091" s="1">
        <v>43238</v>
      </c>
    </row>
    <row r="2092" spans="1:4" x14ac:dyDescent="0.25">
      <c r="A2092" t="s">
        <v>2339</v>
      </c>
      <c r="C2092" t="s">
        <v>16</v>
      </c>
      <c r="D2092" s="1">
        <v>43236</v>
      </c>
    </row>
    <row r="2093" spans="1:4" x14ac:dyDescent="0.25">
      <c r="A2093" t="s">
        <v>905</v>
      </c>
      <c r="C2093" t="s">
        <v>16</v>
      </c>
      <c r="D2093" s="1">
        <v>43231</v>
      </c>
    </row>
    <row r="2094" spans="1:4" x14ac:dyDescent="0.25">
      <c r="A2094" t="s">
        <v>609</v>
      </c>
      <c r="C2094" t="s">
        <v>16</v>
      </c>
      <c r="D2094" s="1">
        <v>43245</v>
      </c>
    </row>
    <row r="2095" spans="1:4" x14ac:dyDescent="0.25">
      <c r="A2095" t="s">
        <v>983</v>
      </c>
      <c r="C2095" t="s">
        <v>16</v>
      </c>
      <c r="D2095" s="1">
        <v>43250</v>
      </c>
    </row>
    <row r="2096" spans="1:4" x14ac:dyDescent="0.25">
      <c r="A2096" t="s">
        <v>64</v>
      </c>
      <c r="C2096" t="s">
        <v>16</v>
      </c>
      <c r="D2096" s="1">
        <v>43224</v>
      </c>
    </row>
    <row r="2097" spans="1:4" x14ac:dyDescent="0.25">
      <c r="A2097" t="s">
        <v>100</v>
      </c>
      <c r="C2097" t="s">
        <v>16</v>
      </c>
      <c r="D2097" s="1">
        <v>43238</v>
      </c>
    </row>
    <row r="2098" spans="1:4" x14ac:dyDescent="0.25">
      <c r="A2098" t="s">
        <v>2340</v>
      </c>
      <c r="C2098" t="s">
        <v>16</v>
      </c>
      <c r="D2098" s="1">
        <v>43236</v>
      </c>
    </row>
    <row r="2099" spans="1:4" x14ac:dyDescent="0.25">
      <c r="A2099" t="s">
        <v>843</v>
      </c>
      <c r="C2099" t="s">
        <v>16</v>
      </c>
      <c r="D2099" s="1">
        <v>43224</v>
      </c>
    </row>
    <row r="2100" spans="1:4" x14ac:dyDescent="0.25">
      <c r="A2100" t="s">
        <v>1735</v>
      </c>
      <c r="C2100" t="s">
        <v>16</v>
      </c>
      <c r="D2100" s="1">
        <v>43224</v>
      </c>
    </row>
    <row r="2101" spans="1:4" x14ac:dyDescent="0.25">
      <c r="A2101" t="s">
        <v>582</v>
      </c>
      <c r="C2101" t="s">
        <v>16</v>
      </c>
      <c r="D2101" s="1">
        <v>43224</v>
      </c>
    </row>
    <row r="2102" spans="1:4" x14ac:dyDescent="0.25">
      <c r="A2102" t="s">
        <v>1070</v>
      </c>
      <c r="C2102" t="s">
        <v>16</v>
      </c>
      <c r="D2102" s="1">
        <v>43223</v>
      </c>
    </row>
    <row r="2103" spans="1:4" x14ac:dyDescent="0.25">
      <c r="A2103" t="s">
        <v>2341</v>
      </c>
      <c r="C2103" t="s">
        <v>16</v>
      </c>
      <c r="D2103" s="1">
        <v>43237</v>
      </c>
    </row>
    <row r="2104" spans="1:4" x14ac:dyDescent="0.25">
      <c r="A2104" t="s">
        <v>1736</v>
      </c>
      <c r="C2104" t="s">
        <v>16</v>
      </c>
      <c r="D2104" s="1">
        <v>43231</v>
      </c>
    </row>
    <row r="2105" spans="1:4" x14ac:dyDescent="0.25">
      <c r="A2105" t="s">
        <v>1737</v>
      </c>
      <c r="C2105" t="s">
        <v>16</v>
      </c>
      <c r="D2105" s="1">
        <v>43231</v>
      </c>
    </row>
    <row r="2106" spans="1:4" x14ac:dyDescent="0.25">
      <c r="A2106" t="s">
        <v>929</v>
      </c>
      <c r="C2106" t="s">
        <v>16</v>
      </c>
      <c r="D2106" s="1">
        <v>43224</v>
      </c>
    </row>
    <row r="2107" spans="1:4" x14ac:dyDescent="0.25">
      <c r="A2107" t="s">
        <v>103</v>
      </c>
      <c r="C2107" t="s">
        <v>16</v>
      </c>
      <c r="D2107" s="1">
        <v>43224</v>
      </c>
    </row>
    <row r="2108" spans="1:4" x14ac:dyDescent="0.25">
      <c r="A2108" t="s">
        <v>552</v>
      </c>
      <c r="C2108" t="s">
        <v>16</v>
      </c>
      <c r="D2108" s="1">
        <v>43245</v>
      </c>
    </row>
    <row r="2109" spans="1:4" x14ac:dyDescent="0.25">
      <c r="A2109" t="s">
        <v>899</v>
      </c>
      <c r="C2109" t="s">
        <v>16</v>
      </c>
      <c r="D2109" s="1">
        <v>43224</v>
      </c>
    </row>
    <row r="2110" spans="1:4" x14ac:dyDescent="0.25">
      <c r="A2110" t="s">
        <v>1127</v>
      </c>
      <c r="C2110" t="s">
        <v>16</v>
      </c>
      <c r="D2110" s="1">
        <v>43231</v>
      </c>
    </row>
    <row r="2111" spans="1:4" x14ac:dyDescent="0.25">
      <c r="A2111" t="s">
        <v>1185</v>
      </c>
      <c r="C2111" t="s">
        <v>16</v>
      </c>
      <c r="D2111" s="1">
        <v>43244</v>
      </c>
    </row>
    <row r="2112" spans="1:4" x14ac:dyDescent="0.25">
      <c r="A2112" t="s">
        <v>893</v>
      </c>
      <c r="C2112" t="s">
        <v>16</v>
      </c>
      <c r="D2112" s="1">
        <v>43242</v>
      </c>
    </row>
    <row r="2113" spans="1:4" x14ac:dyDescent="0.25">
      <c r="A2113" t="s">
        <v>1084</v>
      </c>
      <c r="C2113" t="s">
        <v>16</v>
      </c>
      <c r="D2113" s="1">
        <v>43238</v>
      </c>
    </row>
    <row r="2114" spans="1:4" x14ac:dyDescent="0.25">
      <c r="A2114" t="s">
        <v>2342</v>
      </c>
      <c r="C2114" t="s">
        <v>16</v>
      </c>
      <c r="D2114" s="1">
        <v>43238</v>
      </c>
    </row>
    <row r="2115" spans="1:4" x14ac:dyDescent="0.25">
      <c r="A2115" t="s">
        <v>398</v>
      </c>
      <c r="C2115" t="s">
        <v>16</v>
      </c>
      <c r="D2115" s="1">
        <v>43250</v>
      </c>
    </row>
    <row r="2116" spans="1:4" x14ac:dyDescent="0.25">
      <c r="A2116" t="s">
        <v>771</v>
      </c>
      <c r="C2116" t="s">
        <v>16</v>
      </c>
      <c r="D2116" s="1">
        <v>43238</v>
      </c>
    </row>
    <row r="2117" spans="1:4" x14ac:dyDescent="0.25">
      <c r="A2117" t="s">
        <v>812</v>
      </c>
      <c r="C2117" t="s">
        <v>16</v>
      </c>
      <c r="D2117" s="1">
        <v>43236</v>
      </c>
    </row>
    <row r="2118" spans="1:4" x14ac:dyDescent="0.25">
      <c r="A2118" t="s">
        <v>818</v>
      </c>
      <c r="C2118" t="s">
        <v>16</v>
      </c>
      <c r="D2118" s="1">
        <v>43231</v>
      </c>
    </row>
    <row r="2119" spans="1:4" x14ac:dyDescent="0.25">
      <c r="A2119" t="s">
        <v>1744</v>
      </c>
      <c r="C2119" t="s">
        <v>16</v>
      </c>
      <c r="D2119" s="1">
        <v>43225</v>
      </c>
    </row>
    <row r="2120" spans="1:4" x14ac:dyDescent="0.25">
      <c r="A2120" t="s">
        <v>900</v>
      </c>
      <c r="C2120" t="s">
        <v>16</v>
      </c>
      <c r="D2120" s="1">
        <v>43238</v>
      </c>
    </row>
    <row r="2121" spans="1:4" x14ac:dyDescent="0.25">
      <c r="A2121" t="s">
        <v>512</v>
      </c>
      <c r="C2121" t="s">
        <v>16</v>
      </c>
      <c r="D2121" s="1">
        <v>43227</v>
      </c>
    </row>
    <row r="2122" spans="1:4" x14ac:dyDescent="0.25">
      <c r="A2122" t="s">
        <v>1089</v>
      </c>
      <c r="C2122" t="s">
        <v>16</v>
      </c>
      <c r="D2122" s="1">
        <v>43239</v>
      </c>
    </row>
    <row r="2123" spans="1:4" x14ac:dyDescent="0.25">
      <c r="A2123" t="s">
        <v>1046</v>
      </c>
      <c r="C2123" t="s">
        <v>16</v>
      </c>
      <c r="D2123" s="1">
        <v>43224</v>
      </c>
    </row>
    <row r="2124" spans="1:4" x14ac:dyDescent="0.25">
      <c r="A2124" t="s">
        <v>706</v>
      </c>
      <c r="C2124" t="s">
        <v>16</v>
      </c>
      <c r="D2124" s="1">
        <v>43224</v>
      </c>
    </row>
    <row r="2125" spans="1:4" x14ac:dyDescent="0.25">
      <c r="A2125" t="s">
        <v>2343</v>
      </c>
      <c r="C2125" t="s">
        <v>16</v>
      </c>
      <c r="D2125" s="1">
        <v>43245</v>
      </c>
    </row>
    <row r="2126" spans="1:4" x14ac:dyDescent="0.25">
      <c r="A2126" t="s">
        <v>1121</v>
      </c>
      <c r="C2126" t="s">
        <v>16</v>
      </c>
      <c r="D2126" s="1">
        <v>43238</v>
      </c>
    </row>
    <row r="2127" spans="1:4" x14ac:dyDescent="0.25">
      <c r="A2127" t="s">
        <v>2344</v>
      </c>
      <c r="C2127" t="s">
        <v>16</v>
      </c>
      <c r="D2127" s="1">
        <v>43238</v>
      </c>
    </row>
    <row r="2128" spans="1:4" x14ac:dyDescent="0.25">
      <c r="A2128" t="s">
        <v>2345</v>
      </c>
      <c r="C2128" t="s">
        <v>16</v>
      </c>
      <c r="D2128" s="1">
        <v>43237</v>
      </c>
    </row>
    <row r="2129" spans="1:4" x14ac:dyDescent="0.25">
      <c r="A2129" t="s">
        <v>1601</v>
      </c>
      <c r="C2129" t="s">
        <v>16</v>
      </c>
      <c r="D2129" s="1">
        <v>43242</v>
      </c>
    </row>
    <row r="2130" spans="1:4" x14ac:dyDescent="0.25">
      <c r="A2130" t="s">
        <v>1060</v>
      </c>
      <c r="C2130" t="s">
        <v>16</v>
      </c>
      <c r="D2130" s="1">
        <v>43242</v>
      </c>
    </row>
    <row r="2131" spans="1:4" x14ac:dyDescent="0.25">
      <c r="A2131" t="s">
        <v>654</v>
      </c>
      <c r="C2131" t="s">
        <v>16</v>
      </c>
      <c r="D2131" s="1">
        <v>43238</v>
      </c>
    </row>
    <row r="2132" spans="1:4" x14ac:dyDescent="0.25">
      <c r="A2132" t="s">
        <v>251</v>
      </c>
      <c r="C2132" t="s">
        <v>16</v>
      </c>
      <c r="D2132" s="1">
        <v>43241</v>
      </c>
    </row>
    <row r="2133" spans="1:4" x14ac:dyDescent="0.25">
      <c r="A2133" t="s">
        <v>965</v>
      </c>
      <c r="C2133" t="s">
        <v>16</v>
      </c>
      <c r="D2133" s="1">
        <v>43224</v>
      </c>
    </row>
    <row r="2134" spans="1:4" x14ac:dyDescent="0.25">
      <c r="A2134" t="s">
        <v>2346</v>
      </c>
      <c r="C2134" t="s">
        <v>16</v>
      </c>
      <c r="D2134" s="1">
        <v>43238</v>
      </c>
    </row>
    <row r="2135" spans="1:4" x14ac:dyDescent="0.25">
      <c r="A2135" t="s">
        <v>523</v>
      </c>
      <c r="C2135" t="s">
        <v>16</v>
      </c>
      <c r="D2135" s="1">
        <v>43224</v>
      </c>
    </row>
    <row r="2136" spans="1:4" x14ac:dyDescent="0.25">
      <c r="A2136" t="s">
        <v>1134</v>
      </c>
      <c r="C2136" t="s">
        <v>16</v>
      </c>
      <c r="D2136" s="1">
        <v>43241</v>
      </c>
    </row>
    <row r="2137" spans="1:4" x14ac:dyDescent="0.25">
      <c r="A2137" t="s">
        <v>1174</v>
      </c>
      <c r="C2137" t="s">
        <v>16</v>
      </c>
      <c r="D2137" s="1">
        <v>43231</v>
      </c>
    </row>
    <row r="2138" spans="1:4" x14ac:dyDescent="0.25">
      <c r="A2138" t="s">
        <v>1032</v>
      </c>
      <c r="C2138" t="s">
        <v>16</v>
      </c>
      <c r="D2138" s="1">
        <v>43231</v>
      </c>
    </row>
    <row r="2139" spans="1:4" x14ac:dyDescent="0.25">
      <c r="A2139" t="s">
        <v>1027</v>
      </c>
      <c r="C2139" t="s">
        <v>16</v>
      </c>
      <c r="D2139" s="1">
        <v>43231</v>
      </c>
    </row>
    <row r="2140" spans="1:4" x14ac:dyDescent="0.25">
      <c r="A2140" t="s">
        <v>926</v>
      </c>
      <c r="C2140" t="s">
        <v>16</v>
      </c>
      <c r="D2140" s="1">
        <v>43231</v>
      </c>
    </row>
    <row r="2141" spans="1:4" x14ac:dyDescent="0.25">
      <c r="A2141" t="s">
        <v>1753</v>
      </c>
      <c r="C2141" t="s">
        <v>16</v>
      </c>
      <c r="D2141" s="1">
        <v>43224</v>
      </c>
    </row>
    <row r="2142" spans="1:4" x14ac:dyDescent="0.25">
      <c r="A2142" t="s">
        <v>1150</v>
      </c>
      <c r="C2142" t="s">
        <v>16</v>
      </c>
      <c r="D2142" s="1">
        <v>43221</v>
      </c>
    </row>
    <row r="2143" spans="1:4" x14ac:dyDescent="0.25">
      <c r="A2143" t="s">
        <v>1083</v>
      </c>
      <c r="C2143" t="s">
        <v>16</v>
      </c>
      <c r="D2143" s="1">
        <v>43250</v>
      </c>
    </row>
    <row r="2144" spans="1:4" x14ac:dyDescent="0.25">
      <c r="A2144" t="s">
        <v>1133</v>
      </c>
      <c r="C2144" t="s">
        <v>16</v>
      </c>
      <c r="D2144" s="1">
        <v>43223</v>
      </c>
    </row>
    <row r="2145" spans="1:4" x14ac:dyDescent="0.25">
      <c r="A2145" t="s">
        <v>836</v>
      </c>
      <c r="C2145" t="s">
        <v>16</v>
      </c>
      <c r="D2145" s="1">
        <v>43242</v>
      </c>
    </row>
    <row r="2146" spans="1:4" x14ac:dyDescent="0.25">
      <c r="A2146" t="s">
        <v>2347</v>
      </c>
      <c r="C2146" t="s">
        <v>16</v>
      </c>
      <c r="D2146" s="1">
        <v>43239</v>
      </c>
    </row>
    <row r="2147" spans="1:4" x14ac:dyDescent="0.25">
      <c r="A2147" t="s">
        <v>688</v>
      </c>
      <c r="C2147" t="s">
        <v>16</v>
      </c>
      <c r="D2147" s="1">
        <v>43245</v>
      </c>
    </row>
    <row r="2148" spans="1:4" x14ac:dyDescent="0.25">
      <c r="A2148" t="s">
        <v>516</v>
      </c>
      <c r="C2148" t="s">
        <v>16</v>
      </c>
      <c r="D2148" s="1">
        <v>43224</v>
      </c>
    </row>
    <row r="2149" spans="1:4" x14ac:dyDescent="0.25">
      <c r="A2149" t="s">
        <v>998</v>
      </c>
      <c r="C2149" t="s">
        <v>16</v>
      </c>
      <c r="D2149" s="1">
        <v>43244</v>
      </c>
    </row>
    <row r="2150" spans="1:4" x14ac:dyDescent="0.25">
      <c r="A2150" t="s">
        <v>1756</v>
      </c>
      <c r="C2150" t="s">
        <v>16</v>
      </c>
      <c r="D2150" s="1">
        <v>43224</v>
      </c>
    </row>
    <row r="2151" spans="1:4" x14ac:dyDescent="0.25">
      <c r="A2151" t="s">
        <v>1086</v>
      </c>
      <c r="C2151" t="s">
        <v>16</v>
      </c>
      <c r="D2151" s="1">
        <v>43231</v>
      </c>
    </row>
    <row r="2152" spans="1:4" x14ac:dyDescent="0.25">
      <c r="A2152" t="s">
        <v>1757</v>
      </c>
      <c r="C2152" t="s">
        <v>16</v>
      </c>
      <c r="D2152" s="1">
        <v>43224</v>
      </c>
    </row>
    <row r="2153" spans="1:4" x14ac:dyDescent="0.25">
      <c r="A2153" t="s">
        <v>530</v>
      </c>
      <c r="C2153" t="s">
        <v>16</v>
      </c>
      <c r="D2153" s="1">
        <v>43231</v>
      </c>
    </row>
    <row r="2154" spans="1:4" x14ac:dyDescent="0.25">
      <c r="A2154" t="s">
        <v>419</v>
      </c>
      <c r="C2154" t="s">
        <v>16</v>
      </c>
      <c r="D2154" s="1">
        <v>43239</v>
      </c>
    </row>
    <row r="2155" spans="1:4" x14ac:dyDescent="0.25">
      <c r="A2155" t="s">
        <v>2348</v>
      </c>
      <c r="C2155" t="s">
        <v>16</v>
      </c>
      <c r="D2155" s="1">
        <v>43236</v>
      </c>
    </row>
    <row r="2156" spans="1:4" x14ac:dyDescent="0.25">
      <c r="A2156" t="s">
        <v>891</v>
      </c>
      <c r="C2156" t="s">
        <v>16</v>
      </c>
      <c r="D2156" s="1">
        <v>43224</v>
      </c>
    </row>
    <row r="2157" spans="1:4" x14ac:dyDescent="0.25">
      <c r="A2157" t="s">
        <v>739</v>
      </c>
      <c r="C2157" t="s">
        <v>16</v>
      </c>
      <c r="D2157" s="1">
        <v>43227</v>
      </c>
    </row>
    <row r="2158" spans="1:4" x14ac:dyDescent="0.25">
      <c r="A2158" t="s">
        <v>2349</v>
      </c>
      <c r="C2158" t="s">
        <v>16</v>
      </c>
      <c r="D2158" s="1">
        <v>43236</v>
      </c>
    </row>
    <row r="2159" spans="1:4" x14ac:dyDescent="0.25">
      <c r="A2159" t="s">
        <v>848</v>
      </c>
      <c r="C2159" t="s">
        <v>16</v>
      </c>
      <c r="D2159" s="1">
        <v>43224</v>
      </c>
    </row>
    <row r="2160" spans="1:4" x14ac:dyDescent="0.25">
      <c r="A2160" t="s">
        <v>1639</v>
      </c>
      <c r="C2160" t="s">
        <v>16</v>
      </c>
      <c r="D2160" s="1">
        <v>43242</v>
      </c>
    </row>
    <row r="2161" spans="1:4" x14ac:dyDescent="0.25">
      <c r="A2161" t="s">
        <v>479</v>
      </c>
      <c r="C2161" t="s">
        <v>16</v>
      </c>
      <c r="D2161" s="1">
        <v>43245</v>
      </c>
    </row>
    <row r="2162" spans="1:4" x14ac:dyDescent="0.25">
      <c r="A2162" t="s">
        <v>216</v>
      </c>
      <c r="C2162" t="s">
        <v>16</v>
      </c>
      <c r="D2162" s="1">
        <v>43224</v>
      </c>
    </row>
    <row r="2163" spans="1:4" x14ac:dyDescent="0.25">
      <c r="A2163" t="s">
        <v>630</v>
      </c>
      <c r="C2163" t="s">
        <v>16</v>
      </c>
      <c r="D2163" s="1">
        <v>43245</v>
      </c>
    </row>
    <row r="2164" spans="1:4" x14ac:dyDescent="0.25">
      <c r="A2164" t="s">
        <v>943</v>
      </c>
      <c r="C2164" t="s">
        <v>16</v>
      </c>
      <c r="D2164" s="1">
        <v>43242</v>
      </c>
    </row>
    <row r="2165" spans="1:4" x14ac:dyDescent="0.25">
      <c r="A2165" t="s">
        <v>1029</v>
      </c>
      <c r="C2165" t="s">
        <v>16</v>
      </c>
      <c r="D2165" s="1">
        <v>43224</v>
      </c>
    </row>
    <row r="2166" spans="1:4" x14ac:dyDescent="0.25">
      <c r="A2166" t="s">
        <v>1759</v>
      </c>
      <c r="C2166" t="s">
        <v>16</v>
      </c>
      <c r="D2166" s="1">
        <v>43224</v>
      </c>
    </row>
    <row r="2167" spans="1:4" x14ac:dyDescent="0.25">
      <c r="A2167" t="s">
        <v>428</v>
      </c>
      <c r="C2167" t="s">
        <v>16</v>
      </c>
      <c r="D2167" s="1">
        <v>43250</v>
      </c>
    </row>
    <row r="2168" spans="1:4" x14ac:dyDescent="0.25">
      <c r="A2168" t="s">
        <v>84</v>
      </c>
      <c r="C2168" t="s">
        <v>16</v>
      </c>
      <c r="D2168" s="1">
        <v>43238</v>
      </c>
    </row>
    <row r="2169" spans="1:4" x14ac:dyDescent="0.25">
      <c r="A2169" t="s">
        <v>1896</v>
      </c>
      <c r="C2169" t="s">
        <v>16</v>
      </c>
      <c r="D2169" s="1">
        <v>43224</v>
      </c>
    </row>
    <row r="2170" spans="1:4" x14ac:dyDescent="0.25">
      <c r="A2170" t="s">
        <v>2350</v>
      </c>
      <c r="C2170" t="s">
        <v>16</v>
      </c>
      <c r="D2170" s="1">
        <v>43236</v>
      </c>
    </row>
    <row r="2171" spans="1:4" x14ac:dyDescent="0.25">
      <c r="A2171" t="s">
        <v>1141</v>
      </c>
      <c r="C2171" t="s">
        <v>16</v>
      </c>
      <c r="D2171" s="1">
        <v>43238</v>
      </c>
    </row>
    <row r="2172" spans="1:4" x14ac:dyDescent="0.25">
      <c r="A2172" t="s">
        <v>1024</v>
      </c>
      <c r="C2172" t="s">
        <v>16</v>
      </c>
      <c r="D2172" s="1">
        <v>43224</v>
      </c>
    </row>
    <row r="2173" spans="1:4" x14ac:dyDescent="0.25">
      <c r="A2173" t="s">
        <v>1101</v>
      </c>
      <c r="C2173" t="s">
        <v>16</v>
      </c>
      <c r="D2173" s="1">
        <v>43224</v>
      </c>
    </row>
    <row r="2174" spans="1:4" x14ac:dyDescent="0.25">
      <c r="A2174" t="s">
        <v>938</v>
      </c>
      <c r="C2174" t="s">
        <v>16</v>
      </c>
      <c r="D2174" s="1">
        <v>43236</v>
      </c>
    </row>
    <row r="2175" spans="1:4" x14ac:dyDescent="0.25">
      <c r="A2175" t="s">
        <v>2351</v>
      </c>
      <c r="C2175" t="s">
        <v>16</v>
      </c>
      <c r="D2175" s="1">
        <v>43237</v>
      </c>
    </row>
    <row r="2176" spans="1:4" x14ac:dyDescent="0.25">
      <c r="A2176" t="s">
        <v>2352</v>
      </c>
      <c r="C2176" t="s">
        <v>16</v>
      </c>
      <c r="D2176" s="1">
        <v>43238</v>
      </c>
    </row>
    <row r="2177" spans="1:4" x14ac:dyDescent="0.25">
      <c r="A2177" t="s">
        <v>909</v>
      </c>
      <c r="C2177" t="s">
        <v>16</v>
      </c>
      <c r="D2177" s="1">
        <v>43231</v>
      </c>
    </row>
    <row r="2178" spans="1:4" x14ac:dyDescent="0.25">
      <c r="A2178" t="s">
        <v>833</v>
      </c>
      <c r="C2178" t="s">
        <v>16</v>
      </c>
      <c r="D2178" s="1">
        <v>43238</v>
      </c>
    </row>
    <row r="2179" spans="1:4" x14ac:dyDescent="0.25">
      <c r="A2179" t="s">
        <v>1767</v>
      </c>
      <c r="C2179" t="s">
        <v>16</v>
      </c>
      <c r="D2179" s="1">
        <v>43231</v>
      </c>
    </row>
    <row r="2180" spans="1:4" x14ac:dyDescent="0.25">
      <c r="A2180" t="s">
        <v>1768</v>
      </c>
      <c r="C2180" t="s">
        <v>16</v>
      </c>
      <c r="D2180" s="1">
        <v>43231</v>
      </c>
    </row>
    <row r="2181" spans="1:4" x14ac:dyDescent="0.25">
      <c r="A2181" t="s">
        <v>1120</v>
      </c>
      <c r="C2181" t="s">
        <v>16</v>
      </c>
      <c r="D2181" s="1">
        <v>43231</v>
      </c>
    </row>
    <row r="2182" spans="1:4" x14ac:dyDescent="0.25">
      <c r="A2182" t="s">
        <v>1102</v>
      </c>
      <c r="C2182" t="s">
        <v>16</v>
      </c>
      <c r="D2182" s="1">
        <v>43224</v>
      </c>
    </row>
    <row r="2183" spans="1:4" x14ac:dyDescent="0.25">
      <c r="A2183" t="s">
        <v>968</v>
      </c>
      <c r="C2183" t="s">
        <v>16</v>
      </c>
      <c r="D2183" s="1">
        <v>43221</v>
      </c>
    </row>
    <row r="2184" spans="1:4" x14ac:dyDescent="0.25">
      <c r="A2184" t="s">
        <v>857</v>
      </c>
      <c r="C2184" t="s">
        <v>16</v>
      </c>
      <c r="D2184" s="1">
        <v>43231</v>
      </c>
    </row>
    <row r="2185" spans="1:4" x14ac:dyDescent="0.25">
      <c r="A2185" t="s">
        <v>416</v>
      </c>
      <c r="C2185" t="s">
        <v>16</v>
      </c>
      <c r="D2185" s="1">
        <v>43239</v>
      </c>
    </row>
    <row r="2186" spans="1:4" x14ac:dyDescent="0.25">
      <c r="A2186" t="s">
        <v>2353</v>
      </c>
      <c r="C2186" t="s">
        <v>16</v>
      </c>
      <c r="D2186" s="1">
        <v>43246</v>
      </c>
    </row>
    <row r="2187" spans="1:4" x14ac:dyDescent="0.25">
      <c r="A2187" t="s">
        <v>653</v>
      </c>
      <c r="C2187" t="s">
        <v>16</v>
      </c>
      <c r="D2187" s="1">
        <v>43224</v>
      </c>
    </row>
    <row r="2188" spans="1:4" x14ac:dyDescent="0.25">
      <c r="A2188" t="s">
        <v>934</v>
      </c>
      <c r="C2188" t="s">
        <v>16</v>
      </c>
      <c r="D2188" s="1">
        <v>43242</v>
      </c>
    </row>
    <row r="2189" spans="1:4" x14ac:dyDescent="0.25">
      <c r="A2189" t="s">
        <v>472</v>
      </c>
      <c r="C2189" t="s">
        <v>16</v>
      </c>
      <c r="D2189" s="1">
        <v>43245</v>
      </c>
    </row>
    <row r="2190" spans="1:4" x14ac:dyDescent="0.25">
      <c r="A2190" t="s">
        <v>1773</v>
      </c>
      <c r="C2190" t="s">
        <v>16</v>
      </c>
      <c r="D2190" s="1">
        <v>43224</v>
      </c>
    </row>
    <row r="2191" spans="1:4" x14ac:dyDescent="0.25">
      <c r="A2191" t="s">
        <v>2354</v>
      </c>
      <c r="C2191" t="s">
        <v>16</v>
      </c>
      <c r="D2191" s="1">
        <v>43236</v>
      </c>
    </row>
    <row r="2192" spans="1:4" x14ac:dyDescent="0.25">
      <c r="A2192" t="s">
        <v>384</v>
      </c>
      <c r="C2192" t="s">
        <v>16</v>
      </c>
      <c r="D2192" s="1">
        <v>43231</v>
      </c>
    </row>
    <row r="2193" spans="1:4" x14ac:dyDescent="0.25">
      <c r="A2193" t="s">
        <v>1775</v>
      </c>
      <c r="C2193" t="s">
        <v>16</v>
      </c>
      <c r="D2193" s="1">
        <v>43231</v>
      </c>
    </row>
    <row r="2194" spans="1:4" x14ac:dyDescent="0.25">
      <c r="A2194" t="s">
        <v>996</v>
      </c>
      <c r="C2194" t="s">
        <v>16</v>
      </c>
      <c r="D2194" s="1">
        <v>43244</v>
      </c>
    </row>
    <row r="2195" spans="1:4" x14ac:dyDescent="0.25">
      <c r="A2195" t="s">
        <v>1777</v>
      </c>
      <c r="C2195" t="s">
        <v>16</v>
      </c>
      <c r="D2195" s="1">
        <v>43224</v>
      </c>
    </row>
    <row r="2196" spans="1:4" x14ac:dyDescent="0.25">
      <c r="A2196" t="s">
        <v>2355</v>
      </c>
      <c r="C2196" t="s">
        <v>16</v>
      </c>
      <c r="D2196" s="1">
        <v>43231</v>
      </c>
    </row>
    <row r="2197" spans="1:4" x14ac:dyDescent="0.25">
      <c r="A2197" t="s">
        <v>1210</v>
      </c>
      <c r="C2197" t="s">
        <v>16</v>
      </c>
      <c r="D2197" s="1">
        <v>43224</v>
      </c>
    </row>
    <row r="2198" spans="1:4" x14ac:dyDescent="0.25">
      <c r="A2198" t="s">
        <v>2356</v>
      </c>
      <c r="C2198" t="s">
        <v>16</v>
      </c>
      <c r="D2198" s="1">
        <v>43245</v>
      </c>
    </row>
    <row r="2199" spans="1:4" x14ac:dyDescent="0.25">
      <c r="A2199" t="s">
        <v>731</v>
      </c>
      <c r="C2199" t="s">
        <v>16</v>
      </c>
      <c r="D2199" s="1">
        <v>43227</v>
      </c>
    </row>
    <row r="2200" spans="1:4" x14ac:dyDescent="0.25">
      <c r="A2200" t="s">
        <v>99</v>
      </c>
      <c r="C2200" t="s">
        <v>16</v>
      </c>
      <c r="D2200" s="1">
        <v>43224</v>
      </c>
    </row>
    <row r="2201" spans="1:4" x14ac:dyDescent="0.25">
      <c r="A2201" t="s">
        <v>759</v>
      </c>
      <c r="C2201" t="s">
        <v>16</v>
      </c>
      <c r="D2201" s="1">
        <v>43238</v>
      </c>
    </row>
    <row r="2202" spans="1:4" x14ac:dyDescent="0.25">
      <c r="A2202" t="s">
        <v>2357</v>
      </c>
      <c r="C2202" t="s">
        <v>16</v>
      </c>
      <c r="D2202" s="1">
        <v>43238</v>
      </c>
    </row>
    <row r="2203" spans="1:4" x14ac:dyDescent="0.25">
      <c r="A2203" t="s">
        <v>2358</v>
      </c>
      <c r="C2203" t="s">
        <v>16</v>
      </c>
      <c r="D2203" s="1">
        <v>43224</v>
      </c>
    </row>
    <row r="2204" spans="1:4" x14ac:dyDescent="0.25">
      <c r="A2204" t="s">
        <v>2359</v>
      </c>
      <c r="C2204" t="s">
        <v>16</v>
      </c>
      <c r="D2204" s="1">
        <v>43236</v>
      </c>
    </row>
    <row r="2205" spans="1:4" x14ac:dyDescent="0.25">
      <c r="A2205" t="s">
        <v>305</v>
      </c>
      <c r="C2205" t="s">
        <v>16</v>
      </c>
      <c r="D2205" s="1">
        <v>43224</v>
      </c>
    </row>
    <row r="2206" spans="1:4" x14ac:dyDescent="0.25">
      <c r="A2206" t="s">
        <v>1162</v>
      </c>
      <c r="C2206" t="s">
        <v>16</v>
      </c>
      <c r="D2206" s="1">
        <v>43224</v>
      </c>
    </row>
    <row r="2207" spans="1:4" x14ac:dyDescent="0.25">
      <c r="A2207" t="s">
        <v>478</v>
      </c>
      <c r="C2207" t="s">
        <v>16</v>
      </c>
      <c r="D2207" s="1">
        <v>43245</v>
      </c>
    </row>
    <row r="2208" spans="1:4" x14ac:dyDescent="0.25">
      <c r="A2208" t="s">
        <v>1028</v>
      </c>
      <c r="C2208" t="s">
        <v>16</v>
      </c>
      <c r="D2208" s="1">
        <v>43245</v>
      </c>
    </row>
    <row r="2209" spans="1:4" x14ac:dyDescent="0.25">
      <c r="A2209" t="s">
        <v>1637</v>
      </c>
      <c r="C2209" t="s">
        <v>16</v>
      </c>
      <c r="D2209" s="1">
        <v>43242</v>
      </c>
    </row>
    <row r="2210" spans="1:4" x14ac:dyDescent="0.25">
      <c r="A2210" t="s">
        <v>77</v>
      </c>
      <c r="C2210" t="s">
        <v>16</v>
      </c>
      <c r="D2210" s="1">
        <v>43238</v>
      </c>
    </row>
    <row r="2211" spans="1:4" x14ac:dyDescent="0.25">
      <c r="A2211" t="s">
        <v>1267</v>
      </c>
      <c r="C2211" t="s">
        <v>16</v>
      </c>
      <c r="D2211" s="1">
        <v>43224</v>
      </c>
    </row>
    <row r="2212" spans="1:4" x14ac:dyDescent="0.25">
      <c r="A2212" t="s">
        <v>477</v>
      </c>
      <c r="C2212" t="s">
        <v>16</v>
      </c>
      <c r="D2212" s="1">
        <v>43245</v>
      </c>
    </row>
    <row r="2213" spans="1:4" x14ac:dyDescent="0.25">
      <c r="A2213" t="s">
        <v>1171</v>
      </c>
      <c r="C2213" t="s">
        <v>16</v>
      </c>
      <c r="D2213" s="1">
        <v>43224</v>
      </c>
    </row>
    <row r="2214" spans="1:4" x14ac:dyDescent="0.25">
      <c r="A2214" t="s">
        <v>299</v>
      </c>
      <c r="C2214" t="s">
        <v>16</v>
      </c>
      <c r="D2214" s="1">
        <v>43224</v>
      </c>
    </row>
    <row r="2215" spans="1:4" x14ac:dyDescent="0.25">
      <c r="A2215" t="s">
        <v>2360</v>
      </c>
      <c r="C2215" t="s">
        <v>16</v>
      </c>
      <c r="D2215" s="1">
        <v>43241</v>
      </c>
    </row>
    <row r="2216" spans="1:4" x14ac:dyDescent="0.25">
      <c r="A2216" t="s">
        <v>102</v>
      </c>
      <c r="C2216" t="s">
        <v>16</v>
      </c>
      <c r="D2216" s="1">
        <v>43224</v>
      </c>
    </row>
    <row r="2217" spans="1:4" x14ac:dyDescent="0.25">
      <c r="A2217" t="s">
        <v>332</v>
      </c>
      <c r="C2217" t="s">
        <v>16</v>
      </c>
      <c r="D2217" s="1">
        <v>43238</v>
      </c>
    </row>
    <row r="2218" spans="1:4" x14ac:dyDescent="0.25">
      <c r="A2218" t="s">
        <v>603</v>
      </c>
      <c r="C2218" t="s">
        <v>16</v>
      </c>
      <c r="D2218" s="1">
        <v>43245</v>
      </c>
    </row>
    <row r="2219" spans="1:4" x14ac:dyDescent="0.25">
      <c r="A2219" t="s">
        <v>1073</v>
      </c>
      <c r="C2219" t="s">
        <v>16</v>
      </c>
      <c r="D2219" s="1">
        <v>43250</v>
      </c>
    </row>
    <row r="2220" spans="1:4" x14ac:dyDescent="0.25">
      <c r="A2220" t="s">
        <v>1784</v>
      </c>
      <c r="C2220" t="s">
        <v>16</v>
      </c>
      <c r="D2220" s="1">
        <v>43224</v>
      </c>
    </row>
    <row r="2221" spans="1:4" x14ac:dyDescent="0.25">
      <c r="A2221" t="s">
        <v>992</v>
      </c>
      <c r="C2221" t="s">
        <v>16</v>
      </c>
      <c r="D2221" s="1">
        <v>43224</v>
      </c>
    </row>
    <row r="2222" spans="1:4" x14ac:dyDescent="0.25">
      <c r="A2222" t="s">
        <v>484</v>
      </c>
      <c r="C2222" t="s">
        <v>16</v>
      </c>
      <c r="D2222" s="1">
        <v>43239</v>
      </c>
    </row>
    <row r="2223" spans="1:4" x14ac:dyDescent="0.25">
      <c r="A2223" t="s">
        <v>1785</v>
      </c>
      <c r="C2223" t="s">
        <v>16</v>
      </c>
      <c r="D2223" s="1">
        <v>43224</v>
      </c>
    </row>
    <row r="2224" spans="1:4" x14ac:dyDescent="0.25">
      <c r="A2224" t="s">
        <v>1079</v>
      </c>
      <c r="C2224" t="s">
        <v>16</v>
      </c>
      <c r="D2224" s="1">
        <v>43238</v>
      </c>
    </row>
    <row r="2225" spans="1:4" x14ac:dyDescent="0.25">
      <c r="A2225" t="s">
        <v>357</v>
      </c>
      <c r="C2225" t="s">
        <v>16</v>
      </c>
      <c r="D2225" s="1">
        <v>43224</v>
      </c>
    </row>
    <row r="2226" spans="1:4" x14ac:dyDescent="0.25">
      <c r="A2226" t="s">
        <v>2361</v>
      </c>
      <c r="C2226" t="s">
        <v>16</v>
      </c>
      <c r="D2226" s="1">
        <v>43241</v>
      </c>
    </row>
    <row r="2227" spans="1:4" x14ac:dyDescent="0.25">
      <c r="A2227" t="s">
        <v>2362</v>
      </c>
      <c r="C2227" t="s">
        <v>16</v>
      </c>
      <c r="D2227" s="1">
        <v>43239</v>
      </c>
    </row>
    <row r="2228" spans="1:4" x14ac:dyDescent="0.25">
      <c r="A2228" t="s">
        <v>667</v>
      </c>
      <c r="C2228" t="s">
        <v>16</v>
      </c>
      <c r="D2228" s="1">
        <v>43224</v>
      </c>
    </row>
    <row r="2229" spans="1:4" x14ac:dyDescent="0.25">
      <c r="A2229" t="s">
        <v>1016</v>
      </c>
      <c r="C2229" t="s">
        <v>16</v>
      </c>
      <c r="D2229" s="1">
        <v>43238</v>
      </c>
    </row>
    <row r="2230" spans="1:4" x14ac:dyDescent="0.25">
      <c r="A2230" t="s">
        <v>1015</v>
      </c>
      <c r="C2230" t="s">
        <v>16</v>
      </c>
      <c r="D2230" s="1">
        <v>43231</v>
      </c>
    </row>
    <row r="2231" spans="1:4" x14ac:dyDescent="0.25">
      <c r="A2231" t="s">
        <v>2363</v>
      </c>
      <c r="C2231" t="s">
        <v>16</v>
      </c>
      <c r="D2231" s="1">
        <v>43239</v>
      </c>
    </row>
    <row r="2232" spans="1:4" x14ac:dyDescent="0.25">
      <c r="A2232" t="s">
        <v>887</v>
      </c>
      <c r="C2232" t="s">
        <v>16</v>
      </c>
      <c r="D2232" s="1">
        <v>43236</v>
      </c>
    </row>
    <row r="2233" spans="1:4" x14ac:dyDescent="0.25">
      <c r="A2233" t="s">
        <v>851</v>
      </c>
      <c r="C2233" t="s">
        <v>16</v>
      </c>
      <c r="D2233" s="1">
        <v>43231</v>
      </c>
    </row>
    <row r="2234" spans="1:4" x14ac:dyDescent="0.25">
      <c r="A2234" t="s">
        <v>2364</v>
      </c>
      <c r="C2234" t="s">
        <v>16</v>
      </c>
      <c r="D2234" s="1">
        <v>43236</v>
      </c>
    </row>
    <row r="2235" spans="1:4" x14ac:dyDescent="0.25">
      <c r="A2235" t="s">
        <v>1112</v>
      </c>
      <c r="C2235" t="s">
        <v>16</v>
      </c>
      <c r="D2235" s="1">
        <v>43231</v>
      </c>
    </row>
    <row r="2236" spans="1:4" x14ac:dyDescent="0.25">
      <c r="A2236" t="s">
        <v>859</v>
      </c>
      <c r="C2236" t="s">
        <v>16</v>
      </c>
      <c r="D2236" s="1">
        <v>43224</v>
      </c>
    </row>
    <row r="2237" spans="1:4" x14ac:dyDescent="0.25">
      <c r="A2237" t="s">
        <v>2365</v>
      </c>
      <c r="C2237" t="s">
        <v>16</v>
      </c>
      <c r="D2237" s="1">
        <v>43236</v>
      </c>
    </row>
    <row r="2238" spans="1:4" x14ac:dyDescent="0.25">
      <c r="A2238" t="s">
        <v>1791</v>
      </c>
      <c r="C2238" t="s">
        <v>16</v>
      </c>
      <c r="D2238" s="1">
        <v>43224</v>
      </c>
    </row>
    <row r="2239" spans="1:4" x14ac:dyDescent="0.25">
      <c r="A2239" t="s">
        <v>506</v>
      </c>
      <c r="C2239" t="s">
        <v>16</v>
      </c>
      <c r="D2239" s="1">
        <v>43250</v>
      </c>
    </row>
    <row r="2240" spans="1:4" x14ac:dyDescent="0.25">
      <c r="A2240" t="s">
        <v>946</v>
      </c>
      <c r="C2240" t="s">
        <v>16</v>
      </c>
      <c r="D2240" s="1">
        <v>43238</v>
      </c>
    </row>
    <row r="2241" spans="1:4" x14ac:dyDescent="0.25">
      <c r="A2241" t="s">
        <v>1795</v>
      </c>
      <c r="C2241" t="s">
        <v>16</v>
      </c>
      <c r="D2241" s="1">
        <v>43224</v>
      </c>
    </row>
    <row r="2242" spans="1:4" x14ac:dyDescent="0.25">
      <c r="A2242" t="s">
        <v>2366</v>
      </c>
      <c r="C2242" t="s">
        <v>16</v>
      </c>
      <c r="D2242" s="1">
        <v>43238</v>
      </c>
    </row>
    <row r="2243" spans="1:4" x14ac:dyDescent="0.25">
      <c r="A2243" t="s">
        <v>600</v>
      </c>
      <c r="C2243" t="s">
        <v>16</v>
      </c>
      <c r="D2243" s="1">
        <v>43221</v>
      </c>
    </row>
    <row r="2244" spans="1:4" x14ac:dyDescent="0.25">
      <c r="A2244" t="s">
        <v>402</v>
      </c>
      <c r="C2244" t="s">
        <v>16</v>
      </c>
      <c r="D2244" s="1">
        <v>43250</v>
      </c>
    </row>
    <row r="2245" spans="1:4" x14ac:dyDescent="0.25">
      <c r="A2245" t="s">
        <v>918</v>
      </c>
      <c r="C2245" t="s">
        <v>16</v>
      </c>
      <c r="D2245" s="1">
        <v>43225</v>
      </c>
    </row>
    <row r="2246" spans="1:4" x14ac:dyDescent="0.25">
      <c r="A2246" t="s">
        <v>855</v>
      </c>
      <c r="C2246" t="s">
        <v>16</v>
      </c>
      <c r="D2246" s="1">
        <v>43236</v>
      </c>
    </row>
    <row r="2247" spans="1:4" x14ac:dyDescent="0.25">
      <c r="A2247" t="s">
        <v>415</v>
      </c>
      <c r="C2247" t="s">
        <v>16</v>
      </c>
      <c r="D2247" s="1">
        <v>43241</v>
      </c>
    </row>
    <row r="2248" spans="1:4" x14ac:dyDescent="0.25">
      <c r="A2248" t="s">
        <v>1243</v>
      </c>
      <c r="C2248" t="s">
        <v>16</v>
      </c>
      <c r="D2248" s="1">
        <v>43231</v>
      </c>
    </row>
    <row r="2249" spans="1:4" x14ac:dyDescent="0.25">
      <c r="A2249" t="s">
        <v>892</v>
      </c>
      <c r="C2249" t="s">
        <v>16</v>
      </c>
      <c r="D2249" s="1">
        <v>43224</v>
      </c>
    </row>
    <row r="2250" spans="1:4" x14ac:dyDescent="0.25">
      <c r="A2250" t="s">
        <v>1799</v>
      </c>
      <c r="C2250" t="s">
        <v>16</v>
      </c>
      <c r="D2250" s="1">
        <v>43225</v>
      </c>
    </row>
    <row r="2251" spans="1:4" x14ac:dyDescent="0.25">
      <c r="A2251" t="s">
        <v>179</v>
      </c>
      <c r="C2251" t="s">
        <v>16</v>
      </c>
      <c r="D2251" s="1">
        <v>43241</v>
      </c>
    </row>
    <row r="2252" spans="1:4" x14ac:dyDescent="0.25">
      <c r="A2252" t="s">
        <v>799</v>
      </c>
      <c r="C2252" t="s">
        <v>16</v>
      </c>
      <c r="D2252" s="1">
        <v>43245</v>
      </c>
    </row>
    <row r="2253" spans="1:4" x14ac:dyDescent="0.25">
      <c r="A2253" t="s">
        <v>2367</v>
      </c>
      <c r="C2253" t="s">
        <v>16</v>
      </c>
      <c r="D2253" s="1">
        <v>43242</v>
      </c>
    </row>
    <row r="2254" spans="1:4" x14ac:dyDescent="0.25">
      <c r="A2254" t="s">
        <v>801</v>
      </c>
      <c r="C2254" t="s">
        <v>16</v>
      </c>
      <c r="D2254" s="1">
        <v>43238</v>
      </c>
    </row>
    <row r="2255" spans="1:4" x14ac:dyDescent="0.25">
      <c r="A2255" t="s">
        <v>604</v>
      </c>
      <c r="C2255" t="s">
        <v>16</v>
      </c>
      <c r="D2255" s="1">
        <v>43245</v>
      </c>
    </row>
    <row r="2256" spans="1:4" x14ac:dyDescent="0.25">
      <c r="A2256" t="s">
        <v>1172</v>
      </c>
      <c r="C2256" t="s">
        <v>16</v>
      </c>
      <c r="D2256" s="1">
        <v>43224</v>
      </c>
    </row>
    <row r="2257" spans="1:4" x14ac:dyDescent="0.25">
      <c r="A2257" t="s">
        <v>901</v>
      </c>
      <c r="C2257" t="s">
        <v>16</v>
      </c>
      <c r="D2257" s="1">
        <v>43231</v>
      </c>
    </row>
    <row r="2258" spans="1:4" x14ac:dyDescent="0.25">
      <c r="A2258" t="s">
        <v>827</v>
      </c>
      <c r="C2258" t="s">
        <v>16</v>
      </c>
      <c r="D2258" s="1">
        <v>43231</v>
      </c>
    </row>
    <row r="2259" spans="1:4" x14ac:dyDescent="0.25">
      <c r="A2259" t="s">
        <v>1179</v>
      </c>
      <c r="C2259" t="s">
        <v>16</v>
      </c>
      <c r="D2259" s="1">
        <v>43231</v>
      </c>
    </row>
    <row r="2260" spans="1:4" x14ac:dyDescent="0.25">
      <c r="A2260" t="s">
        <v>912</v>
      </c>
      <c r="C2260" t="s">
        <v>16</v>
      </c>
      <c r="D2260" s="1">
        <v>43231</v>
      </c>
    </row>
    <row r="2261" spans="1:4" x14ac:dyDescent="0.25">
      <c r="A2261" t="s">
        <v>967</v>
      </c>
      <c r="C2261" t="s">
        <v>16</v>
      </c>
      <c r="D2261" s="1">
        <v>43221</v>
      </c>
    </row>
    <row r="2262" spans="1:4" x14ac:dyDescent="0.25">
      <c r="A2262" t="s">
        <v>1898</v>
      </c>
      <c r="C2262" t="s">
        <v>16</v>
      </c>
      <c r="D2262" s="1">
        <v>43224</v>
      </c>
    </row>
    <row r="2263" spans="1:4" x14ac:dyDescent="0.25">
      <c r="A2263" t="s">
        <v>686</v>
      </c>
      <c r="C2263" t="s">
        <v>16</v>
      </c>
      <c r="D2263" s="1">
        <v>43245</v>
      </c>
    </row>
    <row r="2264" spans="1:4" x14ac:dyDescent="0.25">
      <c r="A2264" t="s">
        <v>594</v>
      </c>
      <c r="C2264" t="s">
        <v>16</v>
      </c>
      <c r="D2264" s="1">
        <v>43245</v>
      </c>
    </row>
    <row r="2265" spans="1:4" x14ac:dyDescent="0.25">
      <c r="A2265" t="s">
        <v>820</v>
      </c>
      <c r="C2265" t="s">
        <v>16</v>
      </c>
      <c r="D2265" s="1">
        <v>43245</v>
      </c>
    </row>
    <row r="2266" spans="1:4" x14ac:dyDescent="0.25">
      <c r="A2266" t="s">
        <v>1808</v>
      </c>
      <c r="C2266" t="s">
        <v>16</v>
      </c>
      <c r="D2266" s="1">
        <v>43225</v>
      </c>
    </row>
    <row r="2267" spans="1:4" x14ac:dyDescent="0.25">
      <c r="A2267" t="s">
        <v>264</v>
      </c>
      <c r="C2267" t="s">
        <v>16</v>
      </c>
      <c r="D2267" s="1">
        <v>43241</v>
      </c>
    </row>
    <row r="2268" spans="1:4" x14ac:dyDescent="0.25">
      <c r="A2268" t="s">
        <v>933</v>
      </c>
      <c r="C2268" t="s">
        <v>16</v>
      </c>
      <c r="D2268" s="1">
        <v>43242</v>
      </c>
    </row>
    <row r="2269" spans="1:4" x14ac:dyDescent="0.25">
      <c r="A2269" t="s">
        <v>1161</v>
      </c>
      <c r="C2269" t="s">
        <v>16</v>
      </c>
      <c r="D2269" s="1">
        <v>43231</v>
      </c>
    </row>
    <row r="2270" spans="1:4" x14ac:dyDescent="0.25">
      <c r="A2270" t="s">
        <v>846</v>
      </c>
      <c r="C2270" t="s">
        <v>16</v>
      </c>
      <c r="D2270" s="1">
        <v>43231</v>
      </c>
    </row>
    <row r="2271" spans="1:4" x14ac:dyDescent="0.25">
      <c r="A2271" t="s">
        <v>854</v>
      </c>
      <c r="C2271" t="s">
        <v>16</v>
      </c>
      <c r="D2271" s="1">
        <v>43224</v>
      </c>
    </row>
    <row r="2272" spans="1:4" x14ac:dyDescent="0.25">
      <c r="A2272" t="s">
        <v>1810</v>
      </c>
      <c r="C2272" t="s">
        <v>16</v>
      </c>
      <c r="D2272" s="1">
        <v>43224</v>
      </c>
    </row>
    <row r="2273" spans="1:4" x14ac:dyDescent="0.25">
      <c r="A2273" t="s">
        <v>976</v>
      </c>
      <c r="C2273" t="s">
        <v>16</v>
      </c>
      <c r="D2273" s="1">
        <v>43244</v>
      </c>
    </row>
    <row r="2274" spans="1:4" x14ac:dyDescent="0.25">
      <c r="A2274" t="s">
        <v>119</v>
      </c>
      <c r="C2274" t="s">
        <v>16</v>
      </c>
      <c r="D2274" s="1">
        <v>43238</v>
      </c>
    </row>
    <row r="2275" spans="1:4" x14ac:dyDescent="0.25">
      <c r="A2275" t="s">
        <v>621</v>
      </c>
      <c r="C2275" t="s">
        <v>16</v>
      </c>
      <c r="D2275" s="1">
        <v>43238</v>
      </c>
    </row>
    <row r="2276" spans="1:4" x14ac:dyDescent="0.25">
      <c r="A2276" t="s">
        <v>612</v>
      </c>
      <c r="C2276" t="s">
        <v>16</v>
      </c>
      <c r="D2276" s="1">
        <v>43245</v>
      </c>
    </row>
    <row r="2277" spans="1:4" x14ac:dyDescent="0.25">
      <c r="A2277" t="s">
        <v>597</v>
      </c>
      <c r="C2277" t="s">
        <v>16</v>
      </c>
      <c r="D2277" s="1">
        <v>43245</v>
      </c>
    </row>
    <row r="2278" spans="1:4" x14ac:dyDescent="0.25">
      <c r="A2278" t="s">
        <v>969</v>
      </c>
      <c r="C2278" t="s">
        <v>16</v>
      </c>
      <c r="D2278" s="1">
        <v>43224</v>
      </c>
    </row>
    <row r="2279" spans="1:4" x14ac:dyDescent="0.25">
      <c r="A2279" t="s">
        <v>807</v>
      </c>
      <c r="C2279" t="s">
        <v>16</v>
      </c>
      <c r="D2279" s="1">
        <v>43225</v>
      </c>
    </row>
    <row r="2280" spans="1:4" x14ac:dyDescent="0.25">
      <c r="A2280" t="s">
        <v>2368</v>
      </c>
      <c r="C2280" t="s">
        <v>16</v>
      </c>
      <c r="D2280" s="1">
        <v>43238</v>
      </c>
    </row>
    <row r="2281" spans="1:4" x14ac:dyDescent="0.25">
      <c r="A2281" t="s">
        <v>475</v>
      </c>
      <c r="C2281" t="s">
        <v>16</v>
      </c>
      <c r="D2281" s="1">
        <v>43241</v>
      </c>
    </row>
    <row r="2282" spans="1:4" x14ac:dyDescent="0.25">
      <c r="A2282" t="s">
        <v>898</v>
      </c>
      <c r="C2282" t="s">
        <v>16</v>
      </c>
      <c r="D2282" s="1">
        <v>43224</v>
      </c>
    </row>
    <row r="2283" spans="1:4" x14ac:dyDescent="0.25">
      <c r="A2283" t="s">
        <v>601</v>
      </c>
      <c r="C2283" t="s">
        <v>16</v>
      </c>
      <c r="D2283" s="1">
        <v>43227</v>
      </c>
    </row>
    <row r="2284" spans="1:4" x14ac:dyDescent="0.25">
      <c r="A2284" t="s">
        <v>2369</v>
      </c>
      <c r="C2284" t="s">
        <v>16</v>
      </c>
      <c r="D2284" s="1">
        <v>43238</v>
      </c>
    </row>
    <row r="2285" spans="1:4" x14ac:dyDescent="0.25">
      <c r="A2285" t="s">
        <v>1669</v>
      </c>
      <c r="C2285" t="s">
        <v>16</v>
      </c>
      <c r="D2285" s="1">
        <v>43242</v>
      </c>
    </row>
    <row r="2286" spans="1:4" x14ac:dyDescent="0.25">
      <c r="A2286" t="s">
        <v>1812</v>
      </c>
      <c r="C2286" t="s">
        <v>16</v>
      </c>
      <c r="D2286" s="1">
        <v>43241</v>
      </c>
    </row>
    <row r="2287" spans="1:4" x14ac:dyDescent="0.25">
      <c r="A2287" t="s">
        <v>186</v>
      </c>
      <c r="C2287" t="s">
        <v>16</v>
      </c>
      <c r="D2287" s="1">
        <v>43238</v>
      </c>
    </row>
    <row r="2288" spans="1:4" x14ac:dyDescent="0.25">
      <c r="A2288" t="s">
        <v>1899</v>
      </c>
      <c r="C2288" t="s">
        <v>16</v>
      </c>
      <c r="D2288" s="1">
        <v>43224</v>
      </c>
    </row>
    <row r="2289" spans="1:4" x14ac:dyDescent="0.25">
      <c r="A2289" t="s">
        <v>574</v>
      </c>
      <c r="C2289" t="s">
        <v>16</v>
      </c>
      <c r="D2289" s="1">
        <v>43238</v>
      </c>
    </row>
    <row r="2290" spans="1:4" x14ac:dyDescent="0.25">
      <c r="A2290" t="s">
        <v>127</v>
      </c>
      <c r="C2290" t="s">
        <v>16</v>
      </c>
      <c r="D2290" s="1">
        <v>43231</v>
      </c>
    </row>
    <row r="2291" spans="1:4" x14ac:dyDescent="0.25">
      <c r="A2291" t="s">
        <v>2370</v>
      </c>
      <c r="C2291" t="s">
        <v>16</v>
      </c>
      <c r="D2291" s="1">
        <v>43237</v>
      </c>
    </row>
    <row r="2292" spans="1:4" x14ac:dyDescent="0.25">
      <c r="A2292" t="s">
        <v>1183</v>
      </c>
      <c r="C2292" t="s">
        <v>16</v>
      </c>
      <c r="D2292" s="1">
        <v>43242</v>
      </c>
    </row>
    <row r="2293" spans="1:4" x14ac:dyDescent="0.25">
      <c r="A2293" t="s">
        <v>1315</v>
      </c>
      <c r="C2293" t="s">
        <v>16</v>
      </c>
      <c r="D2293" s="1">
        <v>43224</v>
      </c>
    </row>
    <row r="2294" spans="1:4" x14ac:dyDescent="0.25">
      <c r="A2294" t="s">
        <v>877</v>
      </c>
      <c r="C2294" t="s">
        <v>16</v>
      </c>
      <c r="D2294" s="1">
        <v>43225</v>
      </c>
    </row>
    <row r="2295" spans="1:4" x14ac:dyDescent="0.25">
      <c r="A2295" t="s">
        <v>2371</v>
      </c>
      <c r="C2295" t="s">
        <v>16</v>
      </c>
      <c r="D2295" s="1">
        <v>43236</v>
      </c>
    </row>
    <row r="2296" spans="1:4" x14ac:dyDescent="0.25">
      <c r="A2296" t="s">
        <v>28</v>
      </c>
      <c r="C2296" t="s">
        <v>16</v>
      </c>
      <c r="D2296" s="1">
        <v>43241</v>
      </c>
    </row>
    <row r="2297" spans="1:4" x14ac:dyDescent="0.25">
      <c r="A2297" t="s">
        <v>396</v>
      </c>
      <c r="C2297" t="s">
        <v>16</v>
      </c>
      <c r="D2297" s="1">
        <v>43241</v>
      </c>
    </row>
    <row r="2298" spans="1:4" x14ac:dyDescent="0.25">
      <c r="A2298" t="s">
        <v>546</v>
      </c>
      <c r="C2298" t="s">
        <v>16</v>
      </c>
      <c r="D2298" s="1">
        <v>43245</v>
      </c>
    </row>
    <row r="2299" spans="1:4" x14ac:dyDescent="0.25">
      <c r="A2299" t="s">
        <v>406</v>
      </c>
      <c r="C2299" t="s">
        <v>16</v>
      </c>
      <c r="D2299" s="1">
        <v>43241</v>
      </c>
    </row>
    <row r="2300" spans="1:4" x14ac:dyDescent="0.25">
      <c r="A2300" t="s">
        <v>1814</v>
      </c>
      <c r="C2300" t="s">
        <v>16</v>
      </c>
      <c r="D2300" s="1">
        <v>43225</v>
      </c>
    </row>
    <row r="2301" spans="1:4" x14ac:dyDescent="0.25">
      <c r="A2301" t="s">
        <v>358</v>
      </c>
      <c r="C2301" t="s">
        <v>16</v>
      </c>
      <c r="D2301" s="1">
        <v>43241</v>
      </c>
    </row>
    <row r="2302" spans="1:4" x14ac:dyDescent="0.25">
      <c r="A2302" t="s">
        <v>2372</v>
      </c>
      <c r="C2302" t="s">
        <v>16</v>
      </c>
      <c r="D2302" s="1">
        <v>43236</v>
      </c>
    </row>
    <row r="2303" spans="1:4" x14ac:dyDescent="0.25">
      <c r="A2303" t="s">
        <v>894</v>
      </c>
      <c r="C2303" t="s">
        <v>16</v>
      </c>
      <c r="D2303" s="1">
        <v>43245</v>
      </c>
    </row>
    <row r="2304" spans="1:4" x14ac:dyDescent="0.25">
      <c r="A2304" t="s">
        <v>802</v>
      </c>
      <c r="C2304" t="s">
        <v>16</v>
      </c>
      <c r="D2304" s="1">
        <v>43231</v>
      </c>
    </row>
    <row r="2305" spans="1:4" x14ac:dyDescent="0.25">
      <c r="A2305" t="s">
        <v>663</v>
      </c>
      <c r="C2305" t="s">
        <v>16</v>
      </c>
      <c r="D2305" s="1">
        <v>43224</v>
      </c>
    </row>
    <row r="2306" spans="1:4" x14ac:dyDescent="0.25">
      <c r="A2306" t="s">
        <v>1033</v>
      </c>
      <c r="C2306" t="s">
        <v>16</v>
      </c>
      <c r="D2306" s="1">
        <v>43238</v>
      </c>
    </row>
    <row r="2307" spans="1:4" x14ac:dyDescent="0.25">
      <c r="A2307" t="s">
        <v>1198</v>
      </c>
      <c r="C2307" t="s">
        <v>16</v>
      </c>
      <c r="D2307" s="1">
        <v>43238</v>
      </c>
    </row>
    <row r="2308" spans="1:4" x14ac:dyDescent="0.25">
      <c r="A2308" t="s">
        <v>1900</v>
      </c>
      <c r="C2308" t="s">
        <v>16</v>
      </c>
      <c r="D2308" s="1">
        <v>43224</v>
      </c>
    </row>
    <row r="2309" spans="1:4" x14ac:dyDescent="0.25">
      <c r="A2309" t="s">
        <v>1049</v>
      </c>
      <c r="C2309" t="s">
        <v>16</v>
      </c>
      <c r="D2309" s="1">
        <v>43242</v>
      </c>
    </row>
    <row r="2310" spans="1:4" x14ac:dyDescent="0.25">
      <c r="A2310" t="s">
        <v>2373</v>
      </c>
      <c r="C2310" t="s">
        <v>16</v>
      </c>
      <c r="D2310" s="1">
        <v>43238</v>
      </c>
    </row>
    <row r="2311" spans="1:4" x14ac:dyDescent="0.25">
      <c r="A2311" t="s">
        <v>952</v>
      </c>
      <c r="C2311" t="s">
        <v>16</v>
      </c>
      <c r="D2311" s="1">
        <v>43231</v>
      </c>
    </row>
    <row r="2312" spans="1:4" x14ac:dyDescent="0.25">
      <c r="A2312" t="s">
        <v>1815</v>
      </c>
      <c r="C2312" t="s">
        <v>16</v>
      </c>
      <c r="D2312" s="1">
        <v>43224</v>
      </c>
    </row>
    <row r="2313" spans="1:4" x14ac:dyDescent="0.25">
      <c r="A2313" t="s">
        <v>1816</v>
      </c>
      <c r="C2313" t="s">
        <v>16</v>
      </c>
      <c r="D2313" s="1">
        <v>43224</v>
      </c>
    </row>
    <row r="2314" spans="1:4" x14ac:dyDescent="0.25">
      <c r="A2314" t="s">
        <v>2374</v>
      </c>
      <c r="C2314" t="s">
        <v>16</v>
      </c>
      <c r="D2314" s="1">
        <v>43245</v>
      </c>
    </row>
    <row r="2315" spans="1:4" x14ac:dyDescent="0.25">
      <c r="A2315" t="s">
        <v>2375</v>
      </c>
      <c r="C2315" t="s">
        <v>16</v>
      </c>
      <c r="D2315" s="1">
        <v>43245</v>
      </c>
    </row>
    <row r="2316" spans="1:4" x14ac:dyDescent="0.25">
      <c r="A2316" t="s">
        <v>828</v>
      </c>
      <c r="C2316" t="s">
        <v>16</v>
      </c>
      <c r="D2316" s="1">
        <v>43224</v>
      </c>
    </row>
    <row r="2317" spans="1:4" x14ac:dyDescent="0.25">
      <c r="A2317" t="s">
        <v>711</v>
      </c>
      <c r="C2317" t="s">
        <v>16</v>
      </c>
      <c r="D2317" s="1">
        <v>43245</v>
      </c>
    </row>
    <row r="2318" spans="1:4" x14ac:dyDescent="0.25">
      <c r="A2318" t="s">
        <v>2376</v>
      </c>
      <c r="C2318" t="s">
        <v>16</v>
      </c>
      <c r="D2318" s="1">
        <v>43245</v>
      </c>
    </row>
    <row r="2319" spans="1:4" x14ac:dyDescent="0.25">
      <c r="A2319" t="s">
        <v>1817</v>
      </c>
      <c r="C2319" t="s">
        <v>16</v>
      </c>
      <c r="D2319" s="1">
        <v>43224</v>
      </c>
    </row>
    <row r="2320" spans="1:4" x14ac:dyDescent="0.25">
      <c r="A2320" t="s">
        <v>2377</v>
      </c>
      <c r="C2320" t="s">
        <v>16</v>
      </c>
      <c r="D2320" s="1">
        <v>43237</v>
      </c>
    </row>
    <row r="2321" spans="1:4" x14ac:dyDescent="0.25">
      <c r="A2321" t="s">
        <v>2378</v>
      </c>
      <c r="C2321" t="s">
        <v>16</v>
      </c>
      <c r="D2321" s="1">
        <v>43237</v>
      </c>
    </row>
    <row r="2322" spans="1:4" x14ac:dyDescent="0.25">
      <c r="A2322" t="s">
        <v>278</v>
      </c>
      <c r="C2322" t="s">
        <v>16</v>
      </c>
      <c r="D2322" s="1">
        <v>43245</v>
      </c>
    </row>
    <row r="2323" spans="1:4" x14ac:dyDescent="0.25">
      <c r="A2323" t="s">
        <v>2379</v>
      </c>
      <c r="C2323" t="s">
        <v>16</v>
      </c>
      <c r="D2323" s="1">
        <v>43245</v>
      </c>
    </row>
    <row r="2324" spans="1:4" x14ac:dyDescent="0.25">
      <c r="A2324" t="s">
        <v>98</v>
      </c>
      <c r="C2324" t="s">
        <v>16</v>
      </c>
      <c r="D2324" s="1">
        <v>43231</v>
      </c>
    </row>
    <row r="2325" spans="1:4" x14ac:dyDescent="0.25">
      <c r="A2325" t="s">
        <v>2380</v>
      </c>
      <c r="C2325" t="s">
        <v>16</v>
      </c>
      <c r="D2325" s="1">
        <v>43237</v>
      </c>
    </row>
    <row r="2326" spans="1:4" x14ac:dyDescent="0.25">
      <c r="A2326" t="s">
        <v>773</v>
      </c>
      <c r="C2326" t="s">
        <v>16</v>
      </c>
      <c r="D2326" s="1">
        <v>43245</v>
      </c>
    </row>
    <row r="2327" spans="1:4" x14ac:dyDescent="0.25">
      <c r="A2327" t="s">
        <v>1821</v>
      </c>
      <c r="C2327" t="s">
        <v>16</v>
      </c>
      <c r="D2327" s="1">
        <v>43225</v>
      </c>
    </row>
    <row r="2328" spans="1:4" x14ac:dyDescent="0.25">
      <c r="A2328" t="s">
        <v>1009</v>
      </c>
      <c r="C2328" t="s">
        <v>16</v>
      </c>
      <c r="D2328" s="1">
        <v>43223</v>
      </c>
    </row>
    <row r="2329" spans="1:4" x14ac:dyDescent="0.25">
      <c r="A2329" t="s">
        <v>280</v>
      </c>
      <c r="C2329" t="s">
        <v>16</v>
      </c>
      <c r="D2329" s="1">
        <v>43224</v>
      </c>
    </row>
    <row r="2330" spans="1:4" x14ac:dyDescent="0.25">
      <c r="A2330" t="s">
        <v>1823</v>
      </c>
      <c r="C2330" t="s">
        <v>16</v>
      </c>
      <c r="D2330" s="1">
        <v>43231</v>
      </c>
    </row>
    <row r="2331" spans="1:4" x14ac:dyDescent="0.25">
      <c r="A2331" t="s">
        <v>746</v>
      </c>
      <c r="C2331" t="s">
        <v>16</v>
      </c>
      <c r="D2331" s="1">
        <v>43231</v>
      </c>
    </row>
    <row r="2332" spans="1:4" x14ac:dyDescent="0.25">
      <c r="A2332" t="s">
        <v>850</v>
      </c>
      <c r="C2332" t="s">
        <v>16</v>
      </c>
      <c r="D2332" s="1">
        <v>43224</v>
      </c>
    </row>
    <row r="2333" spans="1:4" x14ac:dyDescent="0.25">
      <c r="A2333" t="s">
        <v>1826</v>
      </c>
      <c r="C2333" t="s">
        <v>16</v>
      </c>
      <c r="D2333" s="1">
        <v>43231</v>
      </c>
    </row>
    <row r="2334" spans="1:4" x14ac:dyDescent="0.25">
      <c r="A2334" t="s">
        <v>583</v>
      </c>
      <c r="C2334" t="s">
        <v>16</v>
      </c>
      <c r="D2334" s="1">
        <v>43224</v>
      </c>
    </row>
    <row r="2335" spans="1:4" x14ac:dyDescent="0.25">
      <c r="A2335" t="s">
        <v>657</v>
      </c>
      <c r="C2335" t="s">
        <v>16</v>
      </c>
      <c r="D2335" s="1">
        <v>43227</v>
      </c>
    </row>
    <row r="2336" spans="1:4" x14ac:dyDescent="0.25">
      <c r="A2336" t="s">
        <v>923</v>
      </c>
      <c r="C2336" t="s">
        <v>16</v>
      </c>
      <c r="D2336" s="1">
        <v>43224</v>
      </c>
    </row>
    <row r="2337" spans="1:4" x14ac:dyDescent="0.25">
      <c r="A2337" t="s">
        <v>508</v>
      </c>
      <c r="C2337" t="s">
        <v>16</v>
      </c>
      <c r="D2337" s="1">
        <v>43238</v>
      </c>
    </row>
    <row r="2338" spans="1:4" x14ac:dyDescent="0.25">
      <c r="A2338" t="s">
        <v>832</v>
      </c>
      <c r="C2338" t="s">
        <v>16</v>
      </c>
      <c r="D2338" s="1">
        <v>43238</v>
      </c>
    </row>
    <row r="2339" spans="1:4" x14ac:dyDescent="0.25">
      <c r="A2339" t="s">
        <v>2381</v>
      </c>
      <c r="C2339" t="s">
        <v>16</v>
      </c>
      <c r="D2339" s="1">
        <v>43238</v>
      </c>
    </row>
    <row r="2340" spans="1:4" x14ac:dyDescent="0.25">
      <c r="A2340" t="s">
        <v>2382</v>
      </c>
      <c r="C2340" t="s">
        <v>16</v>
      </c>
      <c r="D2340" s="1">
        <v>43237</v>
      </c>
    </row>
    <row r="2341" spans="1:4" x14ac:dyDescent="0.25">
      <c r="A2341" t="s">
        <v>571</v>
      </c>
      <c r="C2341" t="s">
        <v>16</v>
      </c>
      <c r="D2341" s="1">
        <v>43245</v>
      </c>
    </row>
    <row r="2342" spans="1:4" x14ac:dyDescent="0.25">
      <c r="A2342" t="s">
        <v>830</v>
      </c>
      <c r="C2342" t="s">
        <v>16</v>
      </c>
      <c r="D2342" s="1">
        <v>43224</v>
      </c>
    </row>
    <row r="2343" spans="1:4" x14ac:dyDescent="0.25">
      <c r="A2343" t="s">
        <v>282</v>
      </c>
      <c r="C2343" t="s">
        <v>16</v>
      </c>
      <c r="D2343" s="1">
        <v>43238</v>
      </c>
    </row>
    <row r="2344" spans="1:4" x14ac:dyDescent="0.25">
      <c r="A2344" t="s">
        <v>89</v>
      </c>
      <c r="C2344" t="s">
        <v>16</v>
      </c>
      <c r="D2344" s="1">
        <v>43245</v>
      </c>
    </row>
    <row r="2345" spans="1:4" x14ac:dyDescent="0.25">
      <c r="A2345" t="s">
        <v>520</v>
      </c>
      <c r="C2345" t="s">
        <v>16</v>
      </c>
      <c r="D2345" s="1">
        <v>43245</v>
      </c>
    </row>
    <row r="2346" spans="1:4" x14ac:dyDescent="0.25">
      <c r="A2346" t="s">
        <v>698</v>
      </c>
      <c r="C2346" t="s">
        <v>16</v>
      </c>
      <c r="D2346" s="1">
        <v>43242</v>
      </c>
    </row>
    <row r="2347" spans="1:4" x14ac:dyDescent="0.25">
      <c r="A2347" t="s">
        <v>982</v>
      </c>
      <c r="C2347" t="s">
        <v>16</v>
      </c>
      <c r="D2347" s="1">
        <v>43224</v>
      </c>
    </row>
    <row r="2348" spans="1:4" x14ac:dyDescent="0.25">
      <c r="A2348" t="s">
        <v>598</v>
      </c>
      <c r="C2348" t="s">
        <v>16</v>
      </c>
      <c r="D2348" s="1">
        <v>43242</v>
      </c>
    </row>
    <row r="2349" spans="1:4" x14ac:dyDescent="0.25">
      <c r="A2349" t="s">
        <v>972</v>
      </c>
      <c r="C2349" t="s">
        <v>16</v>
      </c>
      <c r="D2349" s="1">
        <v>43236</v>
      </c>
    </row>
    <row r="2350" spans="1:4" x14ac:dyDescent="0.25">
      <c r="A2350" t="s">
        <v>1829</v>
      </c>
      <c r="C2350" t="s">
        <v>16</v>
      </c>
      <c r="D2350" s="1">
        <v>43224</v>
      </c>
    </row>
    <row r="2351" spans="1:4" x14ac:dyDescent="0.25">
      <c r="A2351" t="s">
        <v>2383</v>
      </c>
      <c r="C2351" t="s">
        <v>16</v>
      </c>
      <c r="D2351" s="1">
        <v>43224</v>
      </c>
    </row>
    <row r="2352" spans="1:4" x14ac:dyDescent="0.25">
      <c r="A2352" t="s">
        <v>1153</v>
      </c>
      <c r="C2352" t="s">
        <v>16</v>
      </c>
      <c r="D2352" s="1">
        <v>43224</v>
      </c>
    </row>
    <row r="2353" spans="1:4" x14ac:dyDescent="0.25">
      <c r="A2353" t="s">
        <v>1096</v>
      </c>
      <c r="C2353" t="s">
        <v>16</v>
      </c>
      <c r="D2353" s="1">
        <v>43224</v>
      </c>
    </row>
    <row r="2354" spans="1:4" x14ac:dyDescent="0.25">
      <c r="A2354" t="s">
        <v>984</v>
      </c>
      <c r="C2354" t="s">
        <v>16</v>
      </c>
      <c r="D2354" s="1">
        <v>43224</v>
      </c>
    </row>
    <row r="2355" spans="1:4" x14ac:dyDescent="0.25">
      <c r="A2355" t="s">
        <v>2384</v>
      </c>
      <c r="C2355" t="s">
        <v>16</v>
      </c>
      <c r="D2355" s="1">
        <v>43224</v>
      </c>
    </row>
    <row r="2356" spans="1:4" x14ac:dyDescent="0.25">
      <c r="A2356" t="s">
        <v>2385</v>
      </c>
      <c r="C2356" t="s">
        <v>16</v>
      </c>
      <c r="D2356" s="1">
        <v>43237</v>
      </c>
    </row>
    <row r="2357" spans="1:4" x14ac:dyDescent="0.25">
      <c r="A2357" t="s">
        <v>2386</v>
      </c>
      <c r="C2357" t="s">
        <v>16</v>
      </c>
      <c r="D2357" s="1">
        <v>43250</v>
      </c>
    </row>
    <row r="2358" spans="1:4" x14ac:dyDescent="0.25">
      <c r="A2358" t="s">
        <v>930</v>
      </c>
      <c r="C2358" t="s">
        <v>16</v>
      </c>
      <c r="D2358" s="1">
        <v>43236</v>
      </c>
    </row>
    <row r="2359" spans="1:4" x14ac:dyDescent="0.25">
      <c r="A2359" t="s">
        <v>1212</v>
      </c>
      <c r="C2359" t="s">
        <v>16</v>
      </c>
      <c r="D2359" s="1">
        <v>43224</v>
      </c>
    </row>
    <row r="2360" spans="1:4" x14ac:dyDescent="0.25">
      <c r="A2360" t="s">
        <v>733</v>
      </c>
      <c r="C2360" t="s">
        <v>16</v>
      </c>
      <c r="D2360" s="1">
        <v>43238</v>
      </c>
    </row>
    <row r="2361" spans="1:4" x14ac:dyDescent="0.25">
      <c r="A2361" t="s">
        <v>2387</v>
      </c>
      <c r="C2361" t="s">
        <v>16</v>
      </c>
      <c r="D2361" s="1">
        <v>43237</v>
      </c>
    </row>
    <row r="2362" spans="1:4" x14ac:dyDescent="0.25">
      <c r="A2362" t="s">
        <v>2388</v>
      </c>
      <c r="C2362" t="s">
        <v>16</v>
      </c>
      <c r="D2362" s="1">
        <v>43224</v>
      </c>
    </row>
    <row r="2363" spans="1:4" x14ac:dyDescent="0.25">
      <c r="A2363" t="s">
        <v>2389</v>
      </c>
      <c r="C2363" t="s">
        <v>16</v>
      </c>
      <c r="D2363" s="1">
        <v>43236</v>
      </c>
    </row>
    <row r="2364" spans="1:4" x14ac:dyDescent="0.25">
      <c r="A2364" t="s">
        <v>716</v>
      </c>
      <c r="C2364" t="s">
        <v>16</v>
      </c>
      <c r="D2364" s="1">
        <v>43224</v>
      </c>
    </row>
    <row r="2365" spans="1:4" x14ac:dyDescent="0.25">
      <c r="A2365" t="s">
        <v>2390</v>
      </c>
      <c r="C2365" t="s">
        <v>16</v>
      </c>
      <c r="D2365" s="1">
        <v>43224</v>
      </c>
    </row>
    <row r="2366" spans="1:4" x14ac:dyDescent="0.25">
      <c r="A2366" t="s">
        <v>819</v>
      </c>
      <c r="C2366" t="s">
        <v>16</v>
      </c>
      <c r="D2366" s="1">
        <v>43245</v>
      </c>
    </row>
    <row r="2367" spans="1:4" x14ac:dyDescent="0.25">
      <c r="A2367" t="s">
        <v>2391</v>
      </c>
      <c r="C2367" t="s">
        <v>16</v>
      </c>
      <c r="D2367" s="1">
        <v>43224</v>
      </c>
    </row>
    <row r="2368" spans="1:4" x14ac:dyDescent="0.25">
      <c r="A2368" t="s">
        <v>2392</v>
      </c>
      <c r="C2368" t="s">
        <v>16</v>
      </c>
      <c r="D2368" s="1">
        <v>43237</v>
      </c>
    </row>
    <row r="2369" spans="1:4" x14ac:dyDescent="0.25">
      <c r="A2369" t="s">
        <v>2393</v>
      </c>
      <c r="C2369" t="s">
        <v>16</v>
      </c>
      <c r="D2369" s="1">
        <v>43250</v>
      </c>
    </row>
    <row r="2370" spans="1:4" x14ac:dyDescent="0.25">
      <c r="A2370" t="s">
        <v>997</v>
      </c>
      <c r="C2370" t="s">
        <v>16</v>
      </c>
      <c r="D2370" s="1">
        <v>43231</v>
      </c>
    </row>
    <row r="2371" spans="1:4" x14ac:dyDescent="0.25">
      <c r="A2371" t="s">
        <v>886</v>
      </c>
      <c r="C2371" t="s">
        <v>16</v>
      </c>
      <c r="D2371" s="1">
        <v>43231</v>
      </c>
    </row>
    <row r="2372" spans="1:4" x14ac:dyDescent="0.25">
      <c r="A2372" t="s">
        <v>1550</v>
      </c>
      <c r="C2372" t="s">
        <v>16</v>
      </c>
      <c r="D2372" s="1">
        <v>43224</v>
      </c>
    </row>
    <row r="2373" spans="1:4" x14ac:dyDescent="0.25">
      <c r="A2373" t="s">
        <v>486</v>
      </c>
      <c r="C2373" t="s">
        <v>16</v>
      </c>
      <c r="D2373" s="1">
        <v>43245</v>
      </c>
    </row>
    <row r="2374" spans="1:4" x14ac:dyDescent="0.25">
      <c r="A2374" t="s">
        <v>616</v>
      </c>
      <c r="C2374" t="s">
        <v>16</v>
      </c>
      <c r="D2374" s="1">
        <v>43245</v>
      </c>
    </row>
    <row r="2375" spans="1:4" x14ac:dyDescent="0.25">
      <c r="A2375" t="s">
        <v>2394</v>
      </c>
      <c r="C2375" t="s">
        <v>16</v>
      </c>
      <c r="D2375" s="1">
        <v>43245</v>
      </c>
    </row>
    <row r="2376" spans="1:4" x14ac:dyDescent="0.25">
      <c r="A2376" t="s">
        <v>991</v>
      </c>
      <c r="C2376" t="s">
        <v>16</v>
      </c>
      <c r="D2376" s="1">
        <v>43224</v>
      </c>
    </row>
    <row r="2377" spans="1:4" x14ac:dyDescent="0.25">
      <c r="A2377" t="s">
        <v>2395</v>
      </c>
      <c r="C2377" t="s">
        <v>16</v>
      </c>
      <c r="D2377" s="1">
        <v>43224</v>
      </c>
    </row>
    <row r="2378" spans="1:4" x14ac:dyDescent="0.25">
      <c r="A2378" t="s">
        <v>772</v>
      </c>
      <c r="C2378" t="s">
        <v>16</v>
      </c>
      <c r="D2378" s="1">
        <v>43245</v>
      </c>
    </row>
    <row r="2379" spans="1:4" x14ac:dyDescent="0.25">
      <c r="A2379" t="s">
        <v>2396</v>
      </c>
      <c r="C2379" t="s">
        <v>16</v>
      </c>
      <c r="D2379" s="1">
        <v>43237</v>
      </c>
    </row>
    <row r="2380" spans="1:4" x14ac:dyDescent="0.25">
      <c r="A2380" t="s">
        <v>2397</v>
      </c>
      <c r="C2380" t="s">
        <v>16</v>
      </c>
      <c r="D2380" s="1">
        <v>43236</v>
      </c>
    </row>
    <row r="2381" spans="1:4" x14ac:dyDescent="0.25">
      <c r="A2381" t="s">
        <v>2398</v>
      </c>
      <c r="C2381" t="s">
        <v>16</v>
      </c>
      <c r="D2381" s="1">
        <v>43237</v>
      </c>
    </row>
    <row r="2382" spans="1:4" x14ac:dyDescent="0.25">
      <c r="A2382" t="s">
        <v>793</v>
      </c>
      <c r="C2382" t="s">
        <v>16</v>
      </c>
      <c r="D2382" s="1">
        <v>43236</v>
      </c>
    </row>
    <row r="2383" spans="1:4" x14ac:dyDescent="0.25">
      <c r="A2383" t="s">
        <v>1841</v>
      </c>
      <c r="C2383" t="s">
        <v>16</v>
      </c>
      <c r="D2383" s="1">
        <v>43224</v>
      </c>
    </row>
    <row r="2384" spans="1:4" x14ac:dyDescent="0.25">
      <c r="A2384" t="s">
        <v>624</v>
      </c>
      <c r="C2384" t="s">
        <v>16</v>
      </c>
      <c r="D2384" s="1">
        <v>43245</v>
      </c>
    </row>
    <row r="2385" spans="1:4" x14ac:dyDescent="0.25">
      <c r="A2385" t="s">
        <v>502</v>
      </c>
      <c r="C2385" t="s">
        <v>16</v>
      </c>
      <c r="D2385" s="1">
        <v>43239</v>
      </c>
    </row>
    <row r="2386" spans="1:4" x14ac:dyDescent="0.25">
      <c r="A2386" t="s">
        <v>858</v>
      </c>
      <c r="C2386" t="s">
        <v>16</v>
      </c>
      <c r="D2386" s="1">
        <v>43236</v>
      </c>
    </row>
    <row r="2387" spans="1:4" x14ac:dyDescent="0.25">
      <c r="A2387" t="s">
        <v>758</v>
      </c>
      <c r="C2387" t="s">
        <v>16</v>
      </c>
      <c r="D2387" s="1">
        <v>43238</v>
      </c>
    </row>
    <row r="2388" spans="1:4" x14ac:dyDescent="0.25">
      <c r="A2388" t="s">
        <v>989</v>
      </c>
      <c r="C2388" t="s">
        <v>16</v>
      </c>
      <c r="D2388" s="1">
        <v>43239</v>
      </c>
    </row>
    <row r="2389" spans="1:4" x14ac:dyDescent="0.25">
      <c r="A2389" t="s">
        <v>67</v>
      </c>
      <c r="C2389" t="s">
        <v>16</v>
      </c>
      <c r="D2389" s="1">
        <v>43231</v>
      </c>
    </row>
    <row r="2390" spans="1:4" x14ac:dyDescent="0.25">
      <c r="A2390" t="s">
        <v>1109</v>
      </c>
      <c r="C2390" t="s">
        <v>16</v>
      </c>
      <c r="D2390" s="1">
        <v>43236</v>
      </c>
    </row>
    <row r="2391" spans="1:4" x14ac:dyDescent="0.25">
      <c r="A2391" t="s">
        <v>750</v>
      </c>
      <c r="C2391" t="s">
        <v>16</v>
      </c>
      <c r="D2391" s="1">
        <v>43238</v>
      </c>
    </row>
    <row r="2392" spans="1:4" x14ac:dyDescent="0.25">
      <c r="A2392" t="s">
        <v>399</v>
      </c>
      <c r="C2392" t="s">
        <v>16</v>
      </c>
      <c r="D2392" s="1">
        <v>43238</v>
      </c>
    </row>
    <row r="2393" spans="1:4" x14ac:dyDescent="0.25">
      <c r="A2393" t="s">
        <v>294</v>
      </c>
      <c r="C2393" t="s">
        <v>16</v>
      </c>
      <c r="D2393" s="1">
        <v>43231</v>
      </c>
    </row>
    <row r="2394" spans="1:4" x14ac:dyDescent="0.25">
      <c r="A2394" t="s">
        <v>754</v>
      </c>
      <c r="C2394" t="s">
        <v>16</v>
      </c>
      <c r="D2394" s="1">
        <v>43224</v>
      </c>
    </row>
    <row r="2395" spans="1:4" x14ac:dyDescent="0.25">
      <c r="A2395" t="s">
        <v>493</v>
      </c>
      <c r="C2395" t="s">
        <v>16</v>
      </c>
      <c r="D2395" s="1">
        <v>43231</v>
      </c>
    </row>
    <row r="2396" spans="1:4" x14ac:dyDescent="0.25">
      <c r="A2396" t="s">
        <v>38</v>
      </c>
      <c r="C2396" t="s">
        <v>16</v>
      </c>
      <c r="D2396" s="1">
        <v>43245</v>
      </c>
    </row>
    <row r="2397" spans="1:4" x14ac:dyDescent="0.25">
      <c r="A2397" t="s">
        <v>501</v>
      </c>
      <c r="C2397" t="s">
        <v>16</v>
      </c>
      <c r="D2397" s="1">
        <v>43231</v>
      </c>
    </row>
    <row r="2398" spans="1:4" x14ac:dyDescent="0.25">
      <c r="A2398" t="s">
        <v>2399</v>
      </c>
      <c r="C2398" t="s">
        <v>16</v>
      </c>
      <c r="D2398" s="1">
        <v>43245</v>
      </c>
    </row>
    <row r="2399" spans="1:4" x14ac:dyDescent="0.25">
      <c r="A2399" t="s">
        <v>2400</v>
      </c>
      <c r="C2399" t="s">
        <v>16</v>
      </c>
      <c r="D2399" s="1">
        <v>43224</v>
      </c>
    </row>
    <row r="2400" spans="1:4" x14ac:dyDescent="0.25">
      <c r="A2400" t="s">
        <v>2401</v>
      </c>
      <c r="C2400" t="s">
        <v>16</v>
      </c>
      <c r="D2400" s="1">
        <v>43237</v>
      </c>
    </row>
    <row r="2401" spans="1:4" x14ac:dyDescent="0.25">
      <c r="A2401" t="s">
        <v>709</v>
      </c>
      <c r="C2401" t="s">
        <v>16</v>
      </c>
      <c r="D2401" s="1">
        <v>43245</v>
      </c>
    </row>
    <row r="2402" spans="1:4" x14ac:dyDescent="0.25">
      <c r="A2402" t="s">
        <v>1087</v>
      </c>
      <c r="C2402" t="s">
        <v>16</v>
      </c>
      <c r="D2402" s="1">
        <v>43224</v>
      </c>
    </row>
    <row r="2403" spans="1:4" x14ac:dyDescent="0.25">
      <c r="A2403" t="s">
        <v>1191</v>
      </c>
      <c r="C2403" t="s">
        <v>16</v>
      </c>
      <c r="D2403" s="1">
        <v>43231</v>
      </c>
    </row>
    <row r="2404" spans="1:4" x14ac:dyDescent="0.25">
      <c r="A2404" t="s">
        <v>2402</v>
      </c>
      <c r="C2404" t="s">
        <v>16</v>
      </c>
      <c r="D2404" s="1">
        <v>43238</v>
      </c>
    </row>
    <row r="2405" spans="1:4" x14ac:dyDescent="0.25">
      <c r="A2405" t="s">
        <v>829</v>
      </c>
      <c r="C2405" t="s">
        <v>16</v>
      </c>
      <c r="D2405" s="1">
        <v>43231</v>
      </c>
    </row>
    <row r="2406" spans="1:4" x14ac:dyDescent="0.25">
      <c r="A2406" t="s">
        <v>455</v>
      </c>
      <c r="C2406" t="s">
        <v>16</v>
      </c>
      <c r="D2406" s="1">
        <v>43245</v>
      </c>
    </row>
    <row r="2407" spans="1:4" x14ac:dyDescent="0.25">
      <c r="A2407" t="s">
        <v>881</v>
      </c>
      <c r="C2407" t="s">
        <v>16</v>
      </c>
      <c r="D2407" s="1">
        <v>43245</v>
      </c>
    </row>
    <row r="2408" spans="1:4" x14ac:dyDescent="0.25">
      <c r="A2408" t="s">
        <v>35</v>
      </c>
      <c r="C2408" t="s">
        <v>16</v>
      </c>
      <c r="D2408" s="1">
        <v>43238</v>
      </c>
    </row>
    <row r="2409" spans="1:4" x14ac:dyDescent="0.25">
      <c r="A2409" t="s">
        <v>2403</v>
      </c>
      <c r="C2409" t="s">
        <v>16</v>
      </c>
      <c r="D2409" s="1">
        <v>43238</v>
      </c>
    </row>
    <row r="2410" spans="1:4" x14ac:dyDescent="0.25">
      <c r="A2410" t="s">
        <v>497</v>
      </c>
      <c r="C2410" t="s">
        <v>16</v>
      </c>
      <c r="D2410" s="1">
        <v>43238</v>
      </c>
    </row>
    <row r="2411" spans="1:4" x14ac:dyDescent="0.25">
      <c r="A2411" t="s">
        <v>2404</v>
      </c>
      <c r="C2411" t="s">
        <v>16</v>
      </c>
      <c r="D2411" s="1">
        <v>43245</v>
      </c>
    </row>
    <row r="2412" spans="1:4" x14ac:dyDescent="0.25">
      <c r="A2412" t="s">
        <v>560</v>
      </c>
      <c r="C2412" t="s">
        <v>16</v>
      </c>
      <c r="D2412" s="1">
        <v>43245</v>
      </c>
    </row>
    <row r="2413" spans="1:4" x14ac:dyDescent="0.25">
      <c r="A2413" t="s">
        <v>505</v>
      </c>
      <c r="C2413" t="s">
        <v>16</v>
      </c>
      <c r="D2413" s="1">
        <v>43245</v>
      </c>
    </row>
    <row r="2414" spans="1:4" x14ac:dyDescent="0.25">
      <c r="A2414" t="s">
        <v>379</v>
      </c>
      <c r="C2414" t="s">
        <v>16</v>
      </c>
      <c r="D2414" s="1">
        <v>43245</v>
      </c>
    </row>
    <row r="2415" spans="1:4" x14ac:dyDescent="0.25">
      <c r="A2415" t="s">
        <v>602</v>
      </c>
      <c r="C2415" t="s">
        <v>16</v>
      </c>
      <c r="D2415" s="1">
        <v>43224</v>
      </c>
    </row>
    <row r="2416" spans="1:4" x14ac:dyDescent="0.25">
      <c r="A2416" t="s">
        <v>2405</v>
      </c>
      <c r="C2416" t="s">
        <v>16</v>
      </c>
      <c r="D2416" s="1">
        <v>43224</v>
      </c>
    </row>
    <row r="2417" spans="1:4" x14ac:dyDescent="0.25">
      <c r="A2417" t="s">
        <v>794</v>
      </c>
      <c r="C2417" t="s">
        <v>16</v>
      </c>
      <c r="D2417" s="1">
        <v>43236</v>
      </c>
    </row>
    <row r="2418" spans="1:4" x14ac:dyDescent="0.25">
      <c r="A2418" t="s">
        <v>914</v>
      </c>
      <c r="C2418" t="s">
        <v>16</v>
      </c>
      <c r="D2418" s="1">
        <v>43235</v>
      </c>
    </row>
    <row r="2419" spans="1:4" x14ac:dyDescent="0.25">
      <c r="A2419" t="s">
        <v>433</v>
      </c>
      <c r="C2419" t="s">
        <v>16</v>
      </c>
      <c r="D2419" s="1">
        <v>43245</v>
      </c>
    </row>
    <row r="2420" spans="1:4" x14ac:dyDescent="0.25">
      <c r="A2420" t="s">
        <v>1043</v>
      </c>
      <c r="C2420" t="s">
        <v>16</v>
      </c>
      <c r="D2420" s="1">
        <v>43224</v>
      </c>
    </row>
    <row r="2421" spans="1:4" x14ac:dyDescent="0.25">
      <c r="A2421" t="s">
        <v>1405</v>
      </c>
      <c r="C2421" t="s">
        <v>16</v>
      </c>
      <c r="D2421" s="1">
        <v>43224</v>
      </c>
    </row>
    <row r="2422" spans="1:4" x14ac:dyDescent="0.25">
      <c r="A2422" t="s">
        <v>590</v>
      </c>
      <c r="C2422" t="s">
        <v>16</v>
      </c>
      <c r="D2422" s="1">
        <v>43245</v>
      </c>
    </row>
    <row r="2423" spans="1:4" x14ac:dyDescent="0.25">
      <c r="A2423" t="s">
        <v>623</v>
      </c>
      <c r="C2423" t="s">
        <v>16</v>
      </c>
      <c r="D2423" s="1">
        <v>43224</v>
      </c>
    </row>
    <row r="2424" spans="1:4" x14ac:dyDescent="0.25">
      <c r="A2424" t="s">
        <v>1503</v>
      </c>
      <c r="C2424" t="s">
        <v>16</v>
      </c>
      <c r="D2424" s="1">
        <v>43224</v>
      </c>
    </row>
    <row r="2425" spans="1:4" x14ac:dyDescent="0.25">
      <c r="A2425" t="s">
        <v>788</v>
      </c>
      <c r="C2425" t="s">
        <v>16</v>
      </c>
      <c r="D2425" s="1">
        <v>43245</v>
      </c>
    </row>
    <row r="2426" spans="1:4" x14ac:dyDescent="0.25">
      <c r="A2426" t="s">
        <v>2406</v>
      </c>
      <c r="C2426" t="s">
        <v>16</v>
      </c>
      <c r="D2426" s="1">
        <v>43224</v>
      </c>
    </row>
    <row r="2427" spans="1:4" x14ac:dyDescent="0.25">
      <c r="A2427" t="s">
        <v>276</v>
      </c>
      <c r="C2427" t="s">
        <v>16</v>
      </c>
      <c r="D2427" s="1">
        <v>43224</v>
      </c>
    </row>
    <row r="2428" spans="1:4" x14ac:dyDescent="0.25">
      <c r="A2428" t="s">
        <v>304</v>
      </c>
      <c r="C2428" t="s">
        <v>16</v>
      </c>
      <c r="D2428" s="1">
        <v>43245</v>
      </c>
    </row>
    <row r="2429" spans="1:4" x14ac:dyDescent="0.25">
      <c r="A2429" t="s">
        <v>2407</v>
      </c>
      <c r="C2429" t="s">
        <v>16</v>
      </c>
      <c r="D2429" s="1">
        <v>43245</v>
      </c>
    </row>
    <row r="2430" spans="1:4" x14ac:dyDescent="0.25">
      <c r="A2430" t="s">
        <v>853</v>
      </c>
      <c r="C2430" t="s">
        <v>16</v>
      </c>
      <c r="D2430" s="1">
        <v>43245</v>
      </c>
    </row>
    <row r="2431" spans="1:4" x14ac:dyDescent="0.25">
      <c r="A2431" t="s">
        <v>422</v>
      </c>
      <c r="C2431" t="s">
        <v>16</v>
      </c>
      <c r="D2431" s="1">
        <v>43245</v>
      </c>
    </row>
    <row r="2432" spans="1:4" x14ac:dyDescent="0.25">
      <c r="A2432" t="s">
        <v>2408</v>
      </c>
      <c r="C2432" t="s">
        <v>16</v>
      </c>
      <c r="D2432" s="1">
        <v>43245</v>
      </c>
    </row>
    <row r="2433" spans="1:4" x14ac:dyDescent="0.25">
      <c r="A2433" t="s">
        <v>931</v>
      </c>
      <c r="C2433" t="s">
        <v>16</v>
      </c>
      <c r="D2433" s="1">
        <v>43237</v>
      </c>
    </row>
    <row r="2434" spans="1:4" x14ac:dyDescent="0.25">
      <c r="A2434" t="s">
        <v>1100</v>
      </c>
      <c r="C2434" t="s">
        <v>16</v>
      </c>
      <c r="D2434" s="1">
        <v>43224</v>
      </c>
    </row>
    <row r="2435" spans="1:4" x14ac:dyDescent="0.25">
      <c r="A2435" t="s">
        <v>1022</v>
      </c>
      <c r="C2435" t="s">
        <v>16</v>
      </c>
      <c r="D2435" s="1">
        <v>43224</v>
      </c>
    </row>
    <row r="2436" spans="1:4" x14ac:dyDescent="0.25">
      <c r="A2436" t="s">
        <v>632</v>
      </c>
      <c r="C2436" t="s">
        <v>16</v>
      </c>
      <c r="D2436" s="1">
        <v>43224</v>
      </c>
    </row>
    <row r="2437" spans="1:4" x14ac:dyDescent="0.25">
      <c r="A2437" t="s">
        <v>418</v>
      </c>
      <c r="C2437" t="s">
        <v>16</v>
      </c>
      <c r="D2437" s="1">
        <v>43245</v>
      </c>
    </row>
    <row r="2438" spans="1:4" x14ac:dyDescent="0.25">
      <c r="A2438" t="s">
        <v>707</v>
      </c>
      <c r="C2438" t="s">
        <v>16</v>
      </c>
      <c r="D2438" s="1">
        <v>43224</v>
      </c>
    </row>
    <row r="2439" spans="1:4" x14ac:dyDescent="0.25">
      <c r="A2439" t="s">
        <v>485</v>
      </c>
      <c r="C2439" t="s">
        <v>16</v>
      </c>
      <c r="D2439" s="1">
        <v>43245</v>
      </c>
    </row>
    <row r="2440" spans="1:4" x14ac:dyDescent="0.25">
      <c r="A2440" t="s">
        <v>2409</v>
      </c>
      <c r="C2440" t="s">
        <v>16</v>
      </c>
      <c r="D2440" s="1">
        <v>43224</v>
      </c>
    </row>
    <row r="2441" spans="1:4" x14ac:dyDescent="0.25">
      <c r="A2441" t="s">
        <v>2410</v>
      </c>
      <c r="C2441" t="s">
        <v>16</v>
      </c>
      <c r="D2441" s="1">
        <v>43231</v>
      </c>
    </row>
    <row r="2442" spans="1:4" x14ac:dyDescent="0.25">
      <c r="A2442" t="s">
        <v>2411</v>
      </c>
      <c r="C2442" t="s">
        <v>16</v>
      </c>
      <c r="D2442" s="1">
        <v>43231</v>
      </c>
    </row>
    <row r="2443" spans="1:4" x14ac:dyDescent="0.25">
      <c r="A2443" t="s">
        <v>156</v>
      </c>
      <c r="C2443" t="s">
        <v>16</v>
      </c>
      <c r="D2443" s="1">
        <v>43224</v>
      </c>
    </row>
    <row r="2444" spans="1:4" x14ac:dyDescent="0.25">
      <c r="A2444" t="s">
        <v>685</v>
      </c>
      <c r="C2444" t="s">
        <v>16</v>
      </c>
      <c r="D2444" s="1">
        <v>43238</v>
      </c>
    </row>
    <row r="2445" spans="1:4" x14ac:dyDescent="0.25">
      <c r="A2445" t="s">
        <v>874</v>
      </c>
      <c r="C2445" t="s">
        <v>16</v>
      </c>
      <c r="D2445" s="1">
        <v>43235</v>
      </c>
    </row>
    <row r="2446" spans="1:4" x14ac:dyDescent="0.25">
      <c r="A2446" t="s">
        <v>490</v>
      </c>
      <c r="C2446" t="s">
        <v>16</v>
      </c>
      <c r="D2446" s="1">
        <v>43239</v>
      </c>
    </row>
    <row r="2447" spans="1:4" x14ac:dyDescent="0.25">
      <c r="A2447" t="s">
        <v>786</v>
      </c>
      <c r="C2447" t="s">
        <v>16</v>
      </c>
      <c r="D2447" s="1">
        <v>43245</v>
      </c>
    </row>
    <row r="2448" spans="1:4" x14ac:dyDescent="0.25">
      <c r="A2448" t="s">
        <v>593</v>
      </c>
      <c r="C2448" t="s">
        <v>16</v>
      </c>
      <c r="D2448" s="1">
        <v>43238</v>
      </c>
    </row>
    <row r="2449" spans="1:4" x14ac:dyDescent="0.25">
      <c r="A2449" t="s">
        <v>631</v>
      </c>
      <c r="C2449" t="s">
        <v>16</v>
      </c>
      <c r="D2449" s="1">
        <v>43238</v>
      </c>
    </row>
    <row r="2450" spans="1:4" x14ac:dyDescent="0.25">
      <c r="A2450" t="s">
        <v>2412</v>
      </c>
      <c r="C2450" t="s">
        <v>16</v>
      </c>
      <c r="D2450" s="1">
        <v>43245</v>
      </c>
    </row>
    <row r="2451" spans="1:4" x14ac:dyDescent="0.25">
      <c r="A2451" t="s">
        <v>795</v>
      </c>
      <c r="C2451" t="s">
        <v>16</v>
      </c>
      <c r="D2451" s="1">
        <v>43245</v>
      </c>
    </row>
    <row r="2452" spans="1:4" x14ac:dyDescent="0.25">
      <c r="A2452" t="s">
        <v>2413</v>
      </c>
      <c r="C2452" t="s">
        <v>16</v>
      </c>
      <c r="D2452" s="1">
        <v>43224</v>
      </c>
    </row>
    <row r="2453" spans="1:4" x14ac:dyDescent="0.25">
      <c r="A2453" t="s">
        <v>1294</v>
      </c>
      <c r="C2453" t="s">
        <v>16</v>
      </c>
      <c r="D2453" s="1">
        <v>43239</v>
      </c>
    </row>
    <row r="2454" spans="1:4" x14ac:dyDescent="0.25">
      <c r="A2454" t="s">
        <v>429</v>
      </c>
      <c r="C2454" t="s">
        <v>16</v>
      </c>
      <c r="D2454" s="1">
        <v>43245</v>
      </c>
    </row>
    <row r="2455" spans="1:4" x14ac:dyDescent="0.25">
      <c r="A2455" t="s">
        <v>619</v>
      </c>
      <c r="C2455" t="s">
        <v>16</v>
      </c>
      <c r="D2455" s="1">
        <v>43238</v>
      </c>
    </row>
    <row r="2456" spans="1:4" x14ac:dyDescent="0.25">
      <c r="A2456" t="s">
        <v>549</v>
      </c>
      <c r="C2456" t="s">
        <v>16</v>
      </c>
      <c r="D2456" s="1">
        <v>43238</v>
      </c>
    </row>
    <row r="2457" spans="1:4" x14ac:dyDescent="0.25">
      <c r="A2457" t="s">
        <v>164</v>
      </c>
      <c r="C2457" t="s">
        <v>16</v>
      </c>
      <c r="D2457" s="1">
        <v>43238</v>
      </c>
    </row>
    <row r="2458" spans="1:4" x14ac:dyDescent="0.25">
      <c r="A2458" t="s">
        <v>683</v>
      </c>
      <c r="C2458" t="s">
        <v>16</v>
      </c>
      <c r="D2458" s="1">
        <v>43224</v>
      </c>
    </row>
    <row r="2459" spans="1:4" x14ac:dyDescent="0.25">
      <c r="A2459" t="s">
        <v>400</v>
      </c>
      <c r="C2459" t="s">
        <v>16</v>
      </c>
      <c r="D2459" s="1">
        <v>43238</v>
      </c>
    </row>
    <row r="2460" spans="1:4" x14ac:dyDescent="0.25">
      <c r="A2460" t="s">
        <v>825</v>
      </c>
      <c r="C2460" t="s">
        <v>16</v>
      </c>
      <c r="D2460" s="1">
        <v>43245</v>
      </c>
    </row>
    <row r="2461" spans="1:4" x14ac:dyDescent="0.25">
      <c r="A2461" t="s">
        <v>391</v>
      </c>
      <c r="C2461" t="s">
        <v>16</v>
      </c>
      <c r="D2461" s="1">
        <v>43245</v>
      </c>
    </row>
    <row r="2462" spans="1:4" x14ac:dyDescent="0.25">
      <c r="A2462" t="s">
        <v>544</v>
      </c>
      <c r="C2462" t="s">
        <v>16</v>
      </c>
      <c r="D2462" s="1">
        <v>43224</v>
      </c>
    </row>
    <row r="2463" spans="1:4" x14ac:dyDescent="0.25">
      <c r="A2463" t="s">
        <v>2414</v>
      </c>
      <c r="C2463" t="s">
        <v>16</v>
      </c>
      <c r="D2463" s="1">
        <v>43224</v>
      </c>
    </row>
    <row r="2464" spans="1:4" x14ac:dyDescent="0.25">
      <c r="A2464" t="s">
        <v>896</v>
      </c>
      <c r="C2464" t="s">
        <v>16</v>
      </c>
      <c r="D2464" s="1">
        <v>43245</v>
      </c>
    </row>
    <row r="2465" spans="1:4" x14ac:dyDescent="0.25">
      <c r="A2465" t="s">
        <v>2415</v>
      </c>
      <c r="C2465" t="s">
        <v>16</v>
      </c>
      <c r="D2465" s="1">
        <v>43231</v>
      </c>
    </row>
    <row r="2466" spans="1:4" x14ac:dyDescent="0.25">
      <c r="A2466" t="s">
        <v>2416</v>
      </c>
      <c r="C2466" t="s">
        <v>16</v>
      </c>
      <c r="D2466" s="1">
        <v>43231</v>
      </c>
    </row>
    <row r="2467" spans="1:4" x14ac:dyDescent="0.25">
      <c r="A2467" t="s">
        <v>699</v>
      </c>
      <c r="C2467" t="s">
        <v>16</v>
      </c>
      <c r="D2467" s="1">
        <v>43245</v>
      </c>
    </row>
    <row r="2468" spans="1:4" x14ac:dyDescent="0.25">
      <c r="A2468" t="s">
        <v>2417</v>
      </c>
      <c r="C2468" t="s">
        <v>16</v>
      </c>
      <c r="D2468" s="1">
        <v>43231</v>
      </c>
    </row>
    <row r="2469" spans="1:4" x14ac:dyDescent="0.25">
      <c r="A2469" t="s">
        <v>2418</v>
      </c>
      <c r="C2469" t="s">
        <v>16</v>
      </c>
      <c r="D2469" s="1">
        <v>43231</v>
      </c>
    </row>
    <row r="2470" spans="1:4" x14ac:dyDescent="0.25">
      <c r="A2470" t="s">
        <v>388</v>
      </c>
      <c r="C2470" t="s">
        <v>16</v>
      </c>
      <c r="D2470" s="1">
        <v>43245</v>
      </c>
    </row>
    <row r="2471" spans="1:4" x14ac:dyDescent="0.25">
      <c r="A2471" t="s">
        <v>430</v>
      </c>
      <c r="C2471" t="s">
        <v>16</v>
      </c>
      <c r="D2471" s="1">
        <v>43245</v>
      </c>
    </row>
    <row r="2472" spans="1:4" x14ac:dyDescent="0.25">
      <c r="A2472" t="s">
        <v>2419</v>
      </c>
      <c r="C2472" t="s">
        <v>16</v>
      </c>
      <c r="D2472" s="1">
        <v>43224</v>
      </c>
    </row>
    <row r="2473" spans="1:4" x14ac:dyDescent="0.25">
      <c r="A2473" t="s">
        <v>817</v>
      </c>
      <c r="C2473" t="s">
        <v>16</v>
      </c>
      <c r="D2473" s="1">
        <v>43235</v>
      </c>
    </row>
    <row r="2474" spans="1:4" x14ac:dyDescent="0.25">
      <c r="A2474" t="s">
        <v>377</v>
      </c>
      <c r="C2474" t="s">
        <v>16</v>
      </c>
      <c r="D2474" s="1">
        <v>43231</v>
      </c>
    </row>
    <row r="2475" spans="1:4" x14ac:dyDescent="0.25">
      <c r="A2475" t="s">
        <v>212</v>
      </c>
      <c r="C2475" t="s">
        <v>16</v>
      </c>
      <c r="D2475" s="1">
        <v>43231</v>
      </c>
    </row>
    <row r="2476" spans="1:4" x14ac:dyDescent="0.25">
      <c r="A2476" t="s">
        <v>1195</v>
      </c>
      <c r="C2476" t="s">
        <v>16</v>
      </c>
      <c r="D2476" s="1">
        <v>43231</v>
      </c>
    </row>
    <row r="2477" spans="1:4" x14ac:dyDescent="0.25">
      <c r="A2477" t="s">
        <v>928</v>
      </c>
      <c r="C2477" t="s">
        <v>16</v>
      </c>
      <c r="D2477" s="1">
        <v>43245</v>
      </c>
    </row>
    <row r="2478" spans="1:4" x14ac:dyDescent="0.25">
      <c r="A2478" t="s">
        <v>394</v>
      </c>
      <c r="C2478" t="s">
        <v>16</v>
      </c>
      <c r="D2478" s="1">
        <v>43239</v>
      </c>
    </row>
    <row r="2479" spans="1:4" x14ac:dyDescent="0.25">
      <c r="A2479" t="s">
        <v>888</v>
      </c>
      <c r="C2479" t="s">
        <v>16</v>
      </c>
      <c r="D2479" s="1">
        <v>43231</v>
      </c>
    </row>
    <row r="2480" spans="1:4" x14ac:dyDescent="0.25">
      <c r="A2480" t="s">
        <v>937</v>
      </c>
      <c r="C2480" t="s">
        <v>16</v>
      </c>
      <c r="D2480" s="1">
        <v>43238</v>
      </c>
    </row>
    <row r="2481" spans="1:4" x14ac:dyDescent="0.25">
      <c r="A2481" t="s">
        <v>638</v>
      </c>
      <c r="C2481" t="s">
        <v>16</v>
      </c>
      <c r="D2481" s="1">
        <v>43245</v>
      </c>
    </row>
    <row r="2482" spans="1:4" x14ac:dyDescent="0.25">
      <c r="A2482" t="s">
        <v>584</v>
      </c>
      <c r="C2482" t="s">
        <v>16</v>
      </c>
      <c r="D2482" s="1">
        <v>43238</v>
      </c>
    </row>
    <row r="2483" spans="1:4" x14ac:dyDescent="0.25">
      <c r="A2483" t="s">
        <v>2420</v>
      </c>
      <c r="C2483" t="s">
        <v>16</v>
      </c>
      <c r="D2483" s="1">
        <v>43238</v>
      </c>
    </row>
    <row r="2484" spans="1:4" x14ac:dyDescent="0.25">
      <c r="A2484" t="s">
        <v>2421</v>
      </c>
      <c r="C2484" t="s">
        <v>16</v>
      </c>
      <c r="D2484" s="1">
        <v>43224</v>
      </c>
    </row>
    <row r="2485" spans="1:4" x14ac:dyDescent="0.25">
      <c r="A2485" t="s">
        <v>1501</v>
      </c>
      <c r="C2485" t="s">
        <v>16</v>
      </c>
      <c r="D2485" s="1">
        <v>43224</v>
      </c>
    </row>
    <row r="2486" spans="1:4" x14ac:dyDescent="0.25">
      <c r="A2486" t="s">
        <v>463</v>
      </c>
      <c r="C2486" t="s">
        <v>16</v>
      </c>
      <c r="D2486" s="1">
        <v>43239</v>
      </c>
    </row>
    <row r="2487" spans="1:4" x14ac:dyDescent="0.25">
      <c r="A2487" t="s">
        <v>2422</v>
      </c>
      <c r="C2487" t="s">
        <v>16</v>
      </c>
      <c r="D2487" s="1">
        <v>43224</v>
      </c>
    </row>
    <row r="2488" spans="1:4" x14ac:dyDescent="0.25">
      <c r="A2488" t="s">
        <v>776</v>
      </c>
      <c r="C2488" t="s">
        <v>16</v>
      </c>
      <c r="D2488" s="1">
        <v>43236</v>
      </c>
    </row>
    <row r="2489" spans="1:4" x14ac:dyDescent="0.25">
      <c r="A2489" t="s">
        <v>860</v>
      </c>
      <c r="C2489" t="s">
        <v>16</v>
      </c>
      <c r="D2489" s="1">
        <v>43245</v>
      </c>
    </row>
    <row r="2490" spans="1:4" x14ac:dyDescent="0.25">
      <c r="A2490" t="s">
        <v>137</v>
      </c>
      <c r="C2490" t="s">
        <v>16</v>
      </c>
      <c r="D2490" s="1">
        <v>43245</v>
      </c>
    </row>
    <row r="2491" spans="1:4" x14ac:dyDescent="0.25">
      <c r="A2491" t="s">
        <v>404</v>
      </c>
      <c r="C2491" t="s">
        <v>16</v>
      </c>
      <c r="D2491" s="1">
        <v>43238</v>
      </c>
    </row>
    <row r="2492" spans="1:4" x14ac:dyDescent="0.25">
      <c r="A2492" t="s">
        <v>440</v>
      </c>
      <c r="C2492" t="s">
        <v>16</v>
      </c>
      <c r="D2492" s="1">
        <v>43245</v>
      </c>
    </row>
    <row r="2493" spans="1:4" x14ac:dyDescent="0.25">
      <c r="A2493" t="s">
        <v>2423</v>
      </c>
      <c r="C2493" t="s">
        <v>16</v>
      </c>
      <c r="D2493" s="1">
        <v>43245</v>
      </c>
    </row>
    <row r="2494" spans="1:4" x14ac:dyDescent="0.25">
      <c r="A2494" t="s">
        <v>779</v>
      </c>
      <c r="C2494" t="s">
        <v>16</v>
      </c>
      <c r="D2494" s="1">
        <v>43224</v>
      </c>
    </row>
    <row r="2495" spans="1:4" x14ac:dyDescent="0.25">
      <c r="A2495" t="s">
        <v>1105</v>
      </c>
      <c r="C2495" t="s">
        <v>16</v>
      </c>
      <c r="D2495" s="1">
        <v>43224</v>
      </c>
    </row>
    <row r="2496" spans="1:4" x14ac:dyDescent="0.25">
      <c r="A2496" t="s">
        <v>2424</v>
      </c>
      <c r="C2496" t="s">
        <v>16</v>
      </c>
      <c r="D2496" s="1">
        <v>43245</v>
      </c>
    </row>
    <row r="2497" spans="1:4" x14ac:dyDescent="0.25">
      <c r="A2497" t="s">
        <v>1166</v>
      </c>
      <c r="C2497" t="s">
        <v>16</v>
      </c>
      <c r="D2497" s="1">
        <v>43224</v>
      </c>
    </row>
    <row r="2498" spans="1:4" x14ac:dyDescent="0.25">
      <c r="A2498" t="s">
        <v>213</v>
      </c>
      <c r="C2498" t="s">
        <v>16</v>
      </c>
      <c r="D2498" s="1">
        <v>43231</v>
      </c>
    </row>
    <row r="2499" spans="1:4" x14ac:dyDescent="0.25">
      <c r="A2499" t="s">
        <v>644</v>
      </c>
      <c r="C2499" t="s">
        <v>16</v>
      </c>
      <c r="D2499" s="1">
        <v>43245</v>
      </c>
    </row>
    <row r="2500" spans="1:4" x14ac:dyDescent="0.25">
      <c r="A2500" t="s">
        <v>727</v>
      </c>
      <c r="C2500" t="s">
        <v>16</v>
      </c>
      <c r="D2500" s="1">
        <v>43224</v>
      </c>
    </row>
    <row r="2501" spans="1:4" x14ac:dyDescent="0.25">
      <c r="A2501" t="s">
        <v>413</v>
      </c>
      <c r="C2501" t="s">
        <v>16</v>
      </c>
      <c r="D2501" s="1">
        <v>43245</v>
      </c>
    </row>
    <row r="2502" spans="1:4" x14ac:dyDescent="0.25">
      <c r="A2502" t="s">
        <v>865</v>
      </c>
      <c r="C2502" t="s">
        <v>16</v>
      </c>
      <c r="D2502" s="1">
        <v>43238</v>
      </c>
    </row>
    <row r="2503" spans="1:4" x14ac:dyDescent="0.25">
      <c r="A2503" t="s">
        <v>2425</v>
      </c>
      <c r="C2503" t="s">
        <v>16</v>
      </c>
      <c r="D2503" s="1">
        <v>43237</v>
      </c>
    </row>
    <row r="2504" spans="1:4" x14ac:dyDescent="0.25">
      <c r="A2504" t="s">
        <v>681</v>
      </c>
      <c r="C2504" t="s">
        <v>16</v>
      </c>
      <c r="D2504" s="1">
        <v>43238</v>
      </c>
    </row>
    <row r="2505" spans="1:4" x14ac:dyDescent="0.25">
      <c r="A2505" t="s">
        <v>816</v>
      </c>
      <c r="C2505" t="s">
        <v>16</v>
      </c>
      <c r="D2505" s="1">
        <v>43231</v>
      </c>
    </row>
    <row r="2506" spans="1:4" x14ac:dyDescent="0.25">
      <c r="A2506" t="s">
        <v>470</v>
      </c>
      <c r="C2506" t="s">
        <v>16</v>
      </c>
      <c r="D2506" s="1">
        <v>43245</v>
      </c>
    </row>
    <row r="2507" spans="1:4" x14ac:dyDescent="0.25">
      <c r="A2507" t="s">
        <v>300</v>
      </c>
      <c r="C2507" t="s">
        <v>16</v>
      </c>
      <c r="D2507" s="1">
        <v>43245</v>
      </c>
    </row>
    <row r="2508" spans="1:4" x14ac:dyDescent="0.25">
      <c r="A2508" t="s">
        <v>2426</v>
      </c>
      <c r="C2508" t="s">
        <v>16</v>
      </c>
      <c r="D2508" s="1">
        <v>43231</v>
      </c>
    </row>
    <row r="2509" spans="1:4" x14ac:dyDescent="0.25">
      <c r="A2509" t="s">
        <v>712</v>
      </c>
      <c r="C2509" t="s">
        <v>16</v>
      </c>
      <c r="D2509" s="1">
        <v>43236</v>
      </c>
    </row>
    <row r="2510" spans="1:4" x14ac:dyDescent="0.25">
      <c r="A2510" t="s">
        <v>2427</v>
      </c>
      <c r="C2510" t="s">
        <v>16</v>
      </c>
      <c r="D2510" s="1">
        <v>43224</v>
      </c>
    </row>
    <row r="2511" spans="1:4" x14ac:dyDescent="0.25">
      <c r="A2511" t="s">
        <v>2428</v>
      </c>
      <c r="C2511" t="s">
        <v>16</v>
      </c>
      <c r="D2511" s="1">
        <v>43224</v>
      </c>
    </row>
    <row r="2512" spans="1:4" x14ac:dyDescent="0.25">
      <c r="A2512" t="s">
        <v>680</v>
      </c>
      <c r="C2512" t="s">
        <v>16</v>
      </c>
      <c r="D2512" s="1">
        <v>43238</v>
      </c>
    </row>
    <row r="2513" spans="1:4" x14ac:dyDescent="0.25">
      <c r="A2513" t="s">
        <v>822</v>
      </c>
      <c r="C2513" t="s">
        <v>16</v>
      </c>
      <c r="D2513" s="1">
        <v>43235</v>
      </c>
    </row>
    <row r="2514" spans="1:4" x14ac:dyDescent="0.25">
      <c r="A2514" t="s">
        <v>647</v>
      </c>
      <c r="C2514" t="s">
        <v>16</v>
      </c>
      <c r="D2514" s="1">
        <v>43245</v>
      </c>
    </row>
    <row r="2515" spans="1:4" x14ac:dyDescent="0.25">
      <c r="A2515" t="s">
        <v>2429</v>
      </c>
      <c r="C2515" t="s">
        <v>16</v>
      </c>
      <c r="D2515" s="1">
        <v>43231</v>
      </c>
    </row>
    <row r="2516" spans="1:4" x14ac:dyDescent="0.25">
      <c r="A2516" t="s">
        <v>562</v>
      </c>
      <c r="C2516" t="s">
        <v>16</v>
      </c>
      <c r="D2516" s="1">
        <v>43224</v>
      </c>
    </row>
    <row r="2517" spans="1:4" x14ac:dyDescent="0.25">
      <c r="A2517" t="s">
        <v>1872</v>
      </c>
      <c r="C2517" t="s">
        <v>16</v>
      </c>
      <c r="D2517" s="1">
        <v>43224</v>
      </c>
    </row>
    <row r="2518" spans="1:4" x14ac:dyDescent="0.25">
      <c r="A2518" t="s">
        <v>2430</v>
      </c>
      <c r="C2518" t="s">
        <v>16</v>
      </c>
      <c r="D2518" s="1">
        <v>43238</v>
      </c>
    </row>
    <row r="2519" spans="1:4" x14ac:dyDescent="0.25">
      <c r="A2519" t="s">
        <v>1067</v>
      </c>
      <c r="C2519" t="s">
        <v>16</v>
      </c>
      <c r="D2519" s="1">
        <v>43224</v>
      </c>
    </row>
    <row r="2520" spans="1:4" x14ac:dyDescent="0.25">
      <c r="A2520" t="s">
        <v>814</v>
      </c>
      <c r="C2520" t="s">
        <v>16</v>
      </c>
      <c r="D2520" s="1">
        <v>43238</v>
      </c>
    </row>
    <row r="2521" spans="1:4" x14ac:dyDescent="0.25">
      <c r="A2521" t="s">
        <v>333</v>
      </c>
      <c r="C2521" t="s">
        <v>16</v>
      </c>
      <c r="D2521" s="1">
        <v>43238</v>
      </c>
    </row>
    <row r="2522" spans="1:4" x14ac:dyDescent="0.25">
      <c r="A2522" t="s">
        <v>951</v>
      </c>
      <c r="C2522" t="s">
        <v>16</v>
      </c>
      <c r="D2522" s="1">
        <v>43224</v>
      </c>
    </row>
    <row r="2523" spans="1:4" x14ac:dyDescent="0.25">
      <c r="A2523" t="s">
        <v>856</v>
      </c>
      <c r="C2523" t="s">
        <v>16</v>
      </c>
      <c r="D2523" s="1">
        <v>43245</v>
      </c>
    </row>
    <row r="2524" spans="1:4" x14ac:dyDescent="0.25">
      <c r="A2524" t="s">
        <v>322</v>
      </c>
      <c r="C2524" t="s">
        <v>16</v>
      </c>
      <c r="D2524" s="1">
        <v>43238</v>
      </c>
    </row>
    <row r="2525" spans="1:4" x14ac:dyDescent="0.25">
      <c r="A2525" t="s">
        <v>438</v>
      </c>
      <c r="C2525" t="s">
        <v>16</v>
      </c>
      <c r="D2525" s="1">
        <v>43224</v>
      </c>
    </row>
    <row r="2526" spans="1:4" x14ac:dyDescent="0.25">
      <c r="A2526" t="s">
        <v>1873</v>
      </c>
      <c r="C2526" t="s">
        <v>16</v>
      </c>
      <c r="D2526" s="1">
        <v>43224</v>
      </c>
    </row>
    <row r="2527" spans="1:4" x14ac:dyDescent="0.25">
      <c r="A2527" t="s">
        <v>805</v>
      </c>
      <c r="C2527" t="s">
        <v>16</v>
      </c>
      <c r="D2527" s="1">
        <v>43238</v>
      </c>
    </row>
    <row r="2528" spans="1:4" x14ac:dyDescent="0.25">
      <c r="A2528" t="s">
        <v>330</v>
      </c>
      <c r="C2528" t="s">
        <v>16</v>
      </c>
      <c r="D2528" s="1">
        <v>43238</v>
      </c>
    </row>
    <row r="2529" spans="1:4" x14ac:dyDescent="0.25">
      <c r="A2529" t="s">
        <v>1114</v>
      </c>
      <c r="C2529" t="s">
        <v>16</v>
      </c>
      <c r="D2529" s="1">
        <v>43224</v>
      </c>
    </row>
    <row r="2530" spans="1:4" x14ac:dyDescent="0.25">
      <c r="A2530" t="s">
        <v>374</v>
      </c>
      <c r="C2530" t="s">
        <v>16</v>
      </c>
      <c r="D2530" s="1">
        <v>43224</v>
      </c>
    </row>
    <row r="2531" spans="1:4" x14ac:dyDescent="0.25">
      <c r="A2531" t="s">
        <v>2431</v>
      </c>
      <c r="C2531" t="s">
        <v>16</v>
      </c>
      <c r="D2531" s="1">
        <v>43238</v>
      </c>
    </row>
    <row r="2532" spans="1:4" x14ac:dyDescent="0.25">
      <c r="A2532" t="s">
        <v>2432</v>
      </c>
      <c r="C2532" t="s">
        <v>16</v>
      </c>
      <c r="D2532" s="1">
        <v>43238</v>
      </c>
    </row>
    <row r="2533" spans="1:4" x14ac:dyDescent="0.25">
      <c r="A2533" t="s">
        <v>421</v>
      </c>
      <c r="C2533" t="s">
        <v>16</v>
      </c>
      <c r="D2533" s="1">
        <v>43224</v>
      </c>
    </row>
    <row r="2534" spans="1:4" x14ac:dyDescent="0.25">
      <c r="A2534" t="s">
        <v>492</v>
      </c>
      <c r="C2534" t="s">
        <v>16</v>
      </c>
      <c r="D2534" s="1">
        <v>43224</v>
      </c>
    </row>
    <row r="2535" spans="1:4" x14ac:dyDescent="0.25">
      <c r="A2535" t="s">
        <v>932</v>
      </c>
      <c r="C2535" t="s">
        <v>16</v>
      </c>
      <c r="D2535" s="1">
        <v>43245</v>
      </c>
    </row>
    <row r="2536" spans="1:4" x14ac:dyDescent="0.25">
      <c r="A2536" t="s">
        <v>167</v>
      </c>
      <c r="C2536" t="s">
        <v>16</v>
      </c>
      <c r="D2536" s="1">
        <v>43245</v>
      </c>
    </row>
    <row r="2537" spans="1:4" x14ac:dyDescent="0.25">
      <c r="A2537" t="s">
        <v>2433</v>
      </c>
      <c r="C2537" t="s">
        <v>16</v>
      </c>
      <c r="D2537" s="1">
        <v>43224</v>
      </c>
    </row>
    <row r="2538" spans="1:4" x14ac:dyDescent="0.25">
      <c r="A2538" t="s">
        <v>1877</v>
      </c>
      <c r="C2538" t="s">
        <v>16</v>
      </c>
      <c r="D2538" s="1">
        <v>43224</v>
      </c>
    </row>
    <row r="2539" spans="1:4" x14ac:dyDescent="0.25">
      <c r="A2539" t="s">
        <v>2434</v>
      </c>
      <c r="C2539" t="s">
        <v>16</v>
      </c>
      <c r="D2539" s="1">
        <v>43224</v>
      </c>
    </row>
    <row r="2540" spans="1:4" x14ac:dyDescent="0.25">
      <c r="A2540" t="s">
        <v>2435</v>
      </c>
      <c r="C2540" t="s">
        <v>16</v>
      </c>
      <c r="D2540" s="1">
        <v>43238</v>
      </c>
    </row>
    <row r="2541" spans="1:4" x14ac:dyDescent="0.25">
      <c r="A2541" t="s">
        <v>1001</v>
      </c>
      <c r="C2541" t="s">
        <v>16</v>
      </c>
      <c r="D2541" s="1">
        <v>43224</v>
      </c>
    </row>
    <row r="2542" spans="1:4" x14ac:dyDescent="0.25">
      <c r="A2542" t="s">
        <v>911</v>
      </c>
      <c r="C2542" t="s">
        <v>16</v>
      </c>
      <c r="D2542" s="1">
        <v>43238</v>
      </c>
    </row>
    <row r="2543" spans="1:4" x14ac:dyDescent="0.25">
      <c r="A2543" t="s">
        <v>1254</v>
      </c>
      <c r="C2543" t="s">
        <v>16</v>
      </c>
      <c r="D2543" s="1">
        <v>43239</v>
      </c>
    </row>
    <row r="2544" spans="1:4" x14ac:dyDescent="0.25">
      <c r="A2544" t="s">
        <v>861</v>
      </c>
      <c r="C2544" t="s">
        <v>16</v>
      </c>
      <c r="D2544" s="1">
        <v>43245</v>
      </c>
    </row>
    <row r="2545" spans="1:4" x14ac:dyDescent="0.25">
      <c r="A2545" t="s">
        <v>1144</v>
      </c>
      <c r="C2545" t="s">
        <v>16</v>
      </c>
      <c r="D2545" s="1">
        <v>43224</v>
      </c>
    </row>
    <row r="2546" spans="1:4" x14ac:dyDescent="0.25">
      <c r="A2546" t="s">
        <v>803</v>
      </c>
      <c r="C2546" t="s">
        <v>16</v>
      </c>
      <c r="D2546" s="1">
        <v>43236</v>
      </c>
    </row>
    <row r="2547" spans="1:4" x14ac:dyDescent="0.25">
      <c r="A2547" t="s">
        <v>840</v>
      </c>
      <c r="C2547" t="s">
        <v>16</v>
      </c>
      <c r="D2547" s="1">
        <v>43236</v>
      </c>
    </row>
    <row r="2548" spans="1:4" x14ac:dyDescent="0.25">
      <c r="A2548" t="s">
        <v>879</v>
      </c>
      <c r="C2548" t="s">
        <v>16</v>
      </c>
      <c r="D2548" s="1">
        <v>43236</v>
      </c>
    </row>
    <row r="2549" spans="1:4" x14ac:dyDescent="0.25">
      <c r="A2549" t="s">
        <v>924</v>
      </c>
      <c r="C2549" t="s">
        <v>16</v>
      </c>
      <c r="D2549" s="1">
        <v>43236</v>
      </c>
    </row>
    <row r="2550" spans="1:4" x14ac:dyDescent="0.25">
      <c r="A2550" t="s">
        <v>1906</v>
      </c>
      <c r="C2550" t="s">
        <v>16</v>
      </c>
      <c r="D2550" s="1">
        <v>43230</v>
      </c>
    </row>
    <row r="2551" spans="1:4" x14ac:dyDescent="0.25">
      <c r="A2551" t="s">
        <v>2214</v>
      </c>
      <c r="C2551" t="s">
        <v>16</v>
      </c>
      <c r="D2551" s="1">
        <v>43239</v>
      </c>
    </row>
    <row r="2552" spans="1:4" x14ac:dyDescent="0.25">
      <c r="A2552" t="s">
        <v>1907</v>
      </c>
      <c r="C2552" t="s">
        <v>16</v>
      </c>
      <c r="D2552" s="1">
        <v>43230</v>
      </c>
    </row>
    <row r="2553" spans="1:4" x14ac:dyDescent="0.25">
      <c r="A2553" t="s">
        <v>1908</v>
      </c>
      <c r="C2553" t="s">
        <v>16</v>
      </c>
      <c r="D2553" s="1">
        <v>43230</v>
      </c>
    </row>
    <row r="2554" spans="1:4" x14ac:dyDescent="0.25">
      <c r="A2554" t="s">
        <v>1909</v>
      </c>
      <c r="C2554" t="s">
        <v>16</v>
      </c>
      <c r="D2554" s="1">
        <v>43230</v>
      </c>
    </row>
    <row r="2555" spans="1:4" x14ac:dyDescent="0.25">
      <c r="A2555" t="s">
        <v>1910</v>
      </c>
      <c r="C2555" t="s">
        <v>16</v>
      </c>
      <c r="D2555" s="1">
        <v>43230</v>
      </c>
    </row>
    <row r="2556" spans="1:4" x14ac:dyDescent="0.25">
      <c r="A2556" t="s">
        <v>1911</v>
      </c>
      <c r="C2556" t="s">
        <v>16</v>
      </c>
      <c r="D2556" s="1">
        <v>43230</v>
      </c>
    </row>
    <row r="2557" spans="1:4" x14ac:dyDescent="0.25">
      <c r="A2557" t="s">
        <v>1912</v>
      </c>
      <c r="C2557" t="s">
        <v>16</v>
      </c>
      <c r="D2557" s="1">
        <v>43230</v>
      </c>
    </row>
    <row r="2558" spans="1:4" x14ac:dyDescent="0.25">
      <c r="A2558" t="s">
        <v>1913</v>
      </c>
      <c r="C2558" t="s">
        <v>16</v>
      </c>
      <c r="D2558" s="1">
        <v>43230</v>
      </c>
    </row>
    <row r="2559" spans="1:4" x14ac:dyDescent="0.25">
      <c r="A2559" t="s">
        <v>1914</v>
      </c>
      <c r="C2559" t="s">
        <v>16</v>
      </c>
      <c r="D2559" s="1">
        <v>43230</v>
      </c>
    </row>
    <row r="2560" spans="1:4" x14ac:dyDescent="0.25">
      <c r="A2560" t="s">
        <v>1915</v>
      </c>
      <c r="C2560" t="s">
        <v>16</v>
      </c>
      <c r="D2560" s="1">
        <v>43230</v>
      </c>
    </row>
    <row r="2561" spans="1:4" x14ac:dyDescent="0.25">
      <c r="A2561" t="s">
        <v>1916</v>
      </c>
      <c r="C2561" t="s">
        <v>16</v>
      </c>
      <c r="D2561" s="1">
        <v>43230</v>
      </c>
    </row>
    <row r="2562" spans="1:4" x14ac:dyDescent="0.25">
      <c r="A2562" t="s">
        <v>1917</v>
      </c>
      <c r="C2562" t="s">
        <v>16</v>
      </c>
      <c r="D2562" s="1">
        <v>43230</v>
      </c>
    </row>
    <row r="2563" spans="1:4" x14ac:dyDescent="0.25">
      <c r="A2563" t="s">
        <v>1918</v>
      </c>
      <c r="C2563" t="s">
        <v>16</v>
      </c>
      <c r="D2563" s="1">
        <v>43230</v>
      </c>
    </row>
    <row r="2564" spans="1:4" x14ac:dyDescent="0.25">
      <c r="A2564" t="s">
        <v>1919</v>
      </c>
      <c r="C2564" t="s">
        <v>16</v>
      </c>
      <c r="D2564" s="1">
        <v>43230</v>
      </c>
    </row>
    <row r="2565" spans="1:4" x14ac:dyDescent="0.25">
      <c r="A2565" t="s">
        <v>446</v>
      </c>
      <c r="C2565" t="s">
        <v>16</v>
      </c>
      <c r="D2565" s="1">
        <v>43245</v>
      </c>
    </row>
    <row r="2566" spans="1:4" x14ac:dyDescent="0.25">
      <c r="A2566" t="s">
        <v>2436</v>
      </c>
      <c r="C2566" t="s">
        <v>16</v>
      </c>
      <c r="D2566" s="1">
        <v>43245</v>
      </c>
    </row>
    <row r="2567" spans="1:4" x14ac:dyDescent="0.25">
      <c r="A2567" t="s">
        <v>2437</v>
      </c>
      <c r="C2567" t="s">
        <v>16</v>
      </c>
      <c r="D2567" s="1">
        <v>43236</v>
      </c>
    </row>
    <row r="2568" spans="1:4" x14ac:dyDescent="0.25">
      <c r="A2568" t="s">
        <v>783</v>
      </c>
      <c r="C2568" t="s">
        <v>16</v>
      </c>
      <c r="D2568" s="1">
        <v>43246</v>
      </c>
    </row>
    <row r="2569" spans="1:4" x14ac:dyDescent="0.25">
      <c r="A2569" t="s">
        <v>2438</v>
      </c>
      <c r="C2569" t="s">
        <v>16</v>
      </c>
      <c r="D2569" s="1">
        <v>43238</v>
      </c>
    </row>
    <row r="2570" spans="1:4" x14ac:dyDescent="0.25">
      <c r="A2570" t="s">
        <v>2439</v>
      </c>
      <c r="C2570" t="s">
        <v>16</v>
      </c>
      <c r="D2570" s="1">
        <v>43231</v>
      </c>
    </row>
    <row r="2571" spans="1:4" x14ac:dyDescent="0.25">
      <c r="A2571" t="s">
        <v>962</v>
      </c>
      <c r="C2571" t="s">
        <v>16</v>
      </c>
      <c r="D2571" s="1">
        <v>43224</v>
      </c>
    </row>
    <row r="2572" spans="1:4" x14ac:dyDescent="0.25">
      <c r="A2572" t="s">
        <v>1163</v>
      </c>
      <c r="C2572" t="s">
        <v>16</v>
      </c>
      <c r="D2572" s="1">
        <v>43224</v>
      </c>
    </row>
    <row r="2573" spans="1:4" x14ac:dyDescent="0.25">
      <c r="A2573" t="s">
        <v>1170</v>
      </c>
      <c r="C2573" t="s">
        <v>16</v>
      </c>
      <c r="D2573" s="1">
        <v>43224</v>
      </c>
    </row>
    <row r="2574" spans="1:4" x14ac:dyDescent="0.25">
      <c r="A2574" t="s">
        <v>2440</v>
      </c>
      <c r="C2574" t="s">
        <v>16</v>
      </c>
      <c r="D2574" s="1">
        <v>43224</v>
      </c>
    </row>
    <row r="2575" spans="1:4" x14ac:dyDescent="0.25">
      <c r="A2575" t="s">
        <v>2441</v>
      </c>
      <c r="C2575" t="s">
        <v>16</v>
      </c>
      <c r="D2575" s="1">
        <v>43224</v>
      </c>
    </row>
    <row r="2576" spans="1:4" x14ac:dyDescent="0.25">
      <c r="A2576" t="s">
        <v>2442</v>
      </c>
      <c r="C2576" t="s">
        <v>16</v>
      </c>
      <c r="D2576" s="1">
        <v>43241</v>
      </c>
    </row>
    <row r="2577" spans="1:4" x14ac:dyDescent="0.25">
      <c r="A2577" t="s">
        <v>2443</v>
      </c>
      <c r="C2577" t="s">
        <v>16</v>
      </c>
      <c r="D2577" s="1">
        <v>43245</v>
      </c>
    </row>
    <row r="2578" spans="1:4" x14ac:dyDescent="0.25">
      <c r="A2578" t="s">
        <v>2444</v>
      </c>
      <c r="C2578" t="s">
        <v>16</v>
      </c>
      <c r="D2578" s="1">
        <v>43241</v>
      </c>
    </row>
    <row r="2579" spans="1:4" x14ac:dyDescent="0.25">
      <c r="A2579" t="s">
        <v>2445</v>
      </c>
      <c r="C2579" t="s">
        <v>16</v>
      </c>
      <c r="D2579" s="1">
        <v>43241</v>
      </c>
    </row>
    <row r="2580" spans="1:4" x14ac:dyDescent="0.25">
      <c r="A2580" t="s">
        <v>1242</v>
      </c>
      <c r="C2580" t="s">
        <v>16</v>
      </c>
      <c r="D2580" s="1">
        <v>43224</v>
      </c>
    </row>
    <row r="2581" spans="1:4" x14ac:dyDescent="0.25">
      <c r="A2581" t="s">
        <v>118</v>
      </c>
      <c r="C2581" t="s">
        <v>16</v>
      </c>
      <c r="D2581" s="1">
        <v>43238</v>
      </c>
    </row>
    <row r="2582" spans="1:4" x14ac:dyDescent="0.25">
      <c r="A2582" t="s">
        <v>797</v>
      </c>
      <c r="C2582" t="s">
        <v>16</v>
      </c>
      <c r="D2582" s="1">
        <v>43237</v>
      </c>
    </row>
    <row r="2583" spans="1:4" x14ac:dyDescent="0.25">
      <c r="A2583" t="s">
        <v>2446</v>
      </c>
      <c r="C2583" t="s">
        <v>16</v>
      </c>
      <c r="D2583" s="1">
        <v>43237</v>
      </c>
    </row>
    <row r="2584" spans="1:4" x14ac:dyDescent="0.25">
      <c r="A2584" t="s">
        <v>473</v>
      </c>
      <c r="C2584" t="s">
        <v>16</v>
      </c>
      <c r="D2584" s="1">
        <v>43231</v>
      </c>
    </row>
    <row r="2585" spans="1:4" x14ac:dyDescent="0.25">
      <c r="A2585" t="s">
        <v>460</v>
      </c>
      <c r="C2585" t="s">
        <v>16</v>
      </c>
      <c r="D2585" s="1">
        <v>43238</v>
      </c>
    </row>
    <row r="2586" spans="1:4" x14ac:dyDescent="0.25">
      <c r="A2586" t="s">
        <v>342</v>
      </c>
      <c r="C2586" t="s">
        <v>16</v>
      </c>
      <c r="D2586" s="1">
        <v>43238</v>
      </c>
    </row>
    <row r="2587" spans="1:4" x14ac:dyDescent="0.25">
      <c r="A2587" t="s">
        <v>610</v>
      </c>
      <c r="C2587" t="s">
        <v>16</v>
      </c>
      <c r="D2587" s="1">
        <v>43245</v>
      </c>
    </row>
    <row r="2588" spans="1:4" x14ac:dyDescent="0.25">
      <c r="A2588" t="s">
        <v>2447</v>
      </c>
      <c r="C2588" t="s">
        <v>16</v>
      </c>
      <c r="D2588" s="1">
        <v>43245</v>
      </c>
    </row>
    <row r="2589" spans="1:4" x14ac:dyDescent="0.25">
      <c r="A2589" t="s">
        <v>2448</v>
      </c>
      <c r="C2589" t="s">
        <v>16</v>
      </c>
      <c r="D2589" s="1">
        <v>43244</v>
      </c>
    </row>
    <row r="2590" spans="1:4" x14ac:dyDescent="0.25">
      <c r="A2590" t="s">
        <v>471</v>
      </c>
      <c r="C2590" t="s">
        <v>16</v>
      </c>
      <c r="D2590" s="1">
        <v>43245</v>
      </c>
    </row>
    <row r="2591" spans="1:4" x14ac:dyDescent="0.25">
      <c r="A2591" t="s">
        <v>129</v>
      </c>
      <c r="C2591" t="s">
        <v>16</v>
      </c>
      <c r="D2591" s="1">
        <v>43231</v>
      </c>
    </row>
    <row r="2592" spans="1:4" x14ac:dyDescent="0.25">
      <c r="A2592" t="s">
        <v>420</v>
      </c>
      <c r="C2592" t="s">
        <v>16</v>
      </c>
      <c r="D2592" s="1">
        <v>43231</v>
      </c>
    </row>
    <row r="2593" spans="1:4" x14ac:dyDescent="0.25">
      <c r="A2593" t="s">
        <v>2449</v>
      </c>
      <c r="C2593" t="s">
        <v>16</v>
      </c>
      <c r="D2593" s="1">
        <v>43231</v>
      </c>
    </row>
    <row r="2594" spans="1:4" x14ac:dyDescent="0.25">
      <c r="A2594" t="s">
        <v>2450</v>
      </c>
      <c r="C2594" t="s">
        <v>16</v>
      </c>
      <c r="D2594" s="1">
        <v>43224</v>
      </c>
    </row>
    <row r="2595" spans="1:4" x14ac:dyDescent="0.25">
      <c r="A2595" t="s">
        <v>424</v>
      </c>
      <c r="C2595" t="s">
        <v>16</v>
      </c>
      <c r="D2595" s="1">
        <v>43231</v>
      </c>
    </row>
    <row r="2596" spans="1:4" x14ac:dyDescent="0.25">
      <c r="A2596" t="s">
        <v>188</v>
      </c>
      <c r="C2596" t="s">
        <v>16</v>
      </c>
      <c r="D2596" s="1">
        <v>43238</v>
      </c>
    </row>
    <row r="2597" spans="1:4" x14ac:dyDescent="0.25">
      <c r="A2597" t="s">
        <v>2451</v>
      </c>
      <c r="C2597" t="s">
        <v>16</v>
      </c>
      <c r="D2597" s="1">
        <v>43238</v>
      </c>
    </row>
    <row r="2598" spans="1:4" x14ac:dyDescent="0.25">
      <c r="A2598" t="s">
        <v>2452</v>
      </c>
      <c r="C2598" t="s">
        <v>16</v>
      </c>
      <c r="D2598" s="1">
        <v>43238</v>
      </c>
    </row>
    <row r="2599" spans="1:4" x14ac:dyDescent="0.25">
      <c r="A2599" t="s">
        <v>735</v>
      </c>
      <c r="C2599" t="s">
        <v>16</v>
      </c>
      <c r="D2599" s="1">
        <v>43238</v>
      </c>
    </row>
    <row r="2600" spans="1:4" x14ac:dyDescent="0.25">
      <c r="A2600" t="s">
        <v>890</v>
      </c>
      <c r="C2600" t="s">
        <v>16</v>
      </c>
      <c r="D2600" s="1">
        <v>43238</v>
      </c>
    </row>
    <row r="2601" spans="1:4" x14ac:dyDescent="0.25">
      <c r="A2601" t="s">
        <v>461</v>
      </c>
      <c r="C2601" t="s">
        <v>16</v>
      </c>
      <c r="D2601" s="1">
        <v>43224</v>
      </c>
    </row>
    <row r="2602" spans="1:4" x14ac:dyDescent="0.25">
      <c r="A2602" t="s">
        <v>880</v>
      </c>
      <c r="C2602" t="s">
        <v>16</v>
      </c>
      <c r="D2602" s="1">
        <v>43238</v>
      </c>
    </row>
    <row r="2603" spans="1:4" x14ac:dyDescent="0.25">
      <c r="A2603" t="s">
        <v>737</v>
      </c>
      <c r="C2603" t="s">
        <v>16</v>
      </c>
      <c r="D2603" s="1">
        <v>43245</v>
      </c>
    </row>
    <row r="2604" spans="1:4" x14ac:dyDescent="0.25">
      <c r="A2604" t="s">
        <v>1175</v>
      </c>
      <c r="C2604" t="s">
        <v>16</v>
      </c>
      <c r="D2604" s="1">
        <v>43236</v>
      </c>
    </row>
    <row r="2605" spans="1:4" x14ac:dyDescent="0.25">
      <c r="A2605" t="s">
        <v>2453</v>
      </c>
      <c r="C2605" t="s">
        <v>16</v>
      </c>
      <c r="D2605" s="1">
        <v>43224</v>
      </c>
    </row>
    <row r="2606" spans="1:4" x14ac:dyDescent="0.25">
      <c r="A2606" t="s">
        <v>2454</v>
      </c>
      <c r="C2606" t="s">
        <v>16</v>
      </c>
      <c r="D2606" s="1">
        <v>43224</v>
      </c>
    </row>
    <row r="2607" spans="1:4" x14ac:dyDescent="0.25">
      <c r="A2607" t="s">
        <v>1356</v>
      </c>
      <c r="C2607" t="s">
        <v>16</v>
      </c>
      <c r="D2607" s="1">
        <v>43224</v>
      </c>
    </row>
    <row r="2608" spans="1:4" x14ac:dyDescent="0.25">
      <c r="A2608" t="s">
        <v>1192</v>
      </c>
      <c r="C2608" t="s">
        <v>16</v>
      </c>
      <c r="D2608" s="1">
        <v>43238</v>
      </c>
    </row>
    <row r="2609" spans="1:4" x14ac:dyDescent="0.25">
      <c r="A2609" t="s">
        <v>661</v>
      </c>
      <c r="C2609" t="s">
        <v>16</v>
      </c>
      <c r="D2609" s="1">
        <v>43224</v>
      </c>
    </row>
    <row r="2610" spans="1:4" x14ac:dyDescent="0.25">
      <c r="A2610" t="s">
        <v>56</v>
      </c>
      <c r="C2610" t="s">
        <v>16</v>
      </c>
      <c r="D2610" s="1">
        <v>43238</v>
      </c>
    </row>
    <row r="2611" spans="1:4" x14ac:dyDescent="0.25">
      <c r="A2611" t="s">
        <v>2455</v>
      </c>
      <c r="C2611" t="s">
        <v>16</v>
      </c>
      <c r="D2611" s="1">
        <v>43238</v>
      </c>
    </row>
    <row r="2612" spans="1:4" x14ac:dyDescent="0.25">
      <c r="A2612" t="s">
        <v>2456</v>
      </c>
      <c r="C2612" t="s">
        <v>16</v>
      </c>
      <c r="D2612" s="1">
        <v>43238</v>
      </c>
    </row>
    <row r="2613" spans="1:4" x14ac:dyDescent="0.25">
      <c r="A2613" t="s">
        <v>917</v>
      </c>
      <c r="C2613" t="s">
        <v>16</v>
      </c>
      <c r="D2613" s="1">
        <v>43238</v>
      </c>
    </row>
    <row r="2614" spans="1:4" x14ac:dyDescent="0.25">
      <c r="A2614" t="s">
        <v>2457</v>
      </c>
      <c r="C2614" t="s">
        <v>16</v>
      </c>
      <c r="D2614" s="1">
        <v>43231</v>
      </c>
    </row>
    <row r="2615" spans="1:4" x14ac:dyDescent="0.25">
      <c r="A2615" t="s">
        <v>884</v>
      </c>
      <c r="C2615" t="s">
        <v>16</v>
      </c>
      <c r="D2615" s="1">
        <v>43238</v>
      </c>
    </row>
    <row r="2616" spans="1:4" x14ac:dyDescent="0.25">
      <c r="A2616" t="s">
        <v>916</v>
      </c>
      <c r="C2616" t="s">
        <v>16</v>
      </c>
      <c r="D2616" s="1">
        <v>43238</v>
      </c>
    </row>
    <row r="2617" spans="1:4" x14ac:dyDescent="0.25">
      <c r="A2617" t="s">
        <v>959</v>
      </c>
      <c r="C2617" t="s">
        <v>16</v>
      </c>
      <c r="D2617" s="1">
        <v>43245</v>
      </c>
    </row>
    <row r="2618" spans="1:4" x14ac:dyDescent="0.25">
      <c r="A2618" t="s">
        <v>2458</v>
      </c>
      <c r="C2618" t="s">
        <v>16</v>
      </c>
      <c r="D2618" s="1">
        <v>43240</v>
      </c>
    </row>
    <row r="2619" spans="1:4" x14ac:dyDescent="0.25">
      <c r="A2619" t="s">
        <v>936</v>
      </c>
      <c r="C2619" t="s">
        <v>16</v>
      </c>
      <c r="D2619" s="1">
        <v>43238</v>
      </c>
    </row>
    <row r="2620" spans="1:4" x14ac:dyDescent="0.25">
      <c r="A2620" t="s">
        <v>2459</v>
      </c>
      <c r="C2620" t="s">
        <v>16</v>
      </c>
      <c r="D2620" s="1">
        <v>43224</v>
      </c>
    </row>
    <row r="2621" spans="1:4" x14ac:dyDescent="0.25">
      <c r="A2621" t="s">
        <v>1135</v>
      </c>
      <c r="C2621" t="s">
        <v>16</v>
      </c>
      <c r="D2621" s="1">
        <v>43245</v>
      </c>
    </row>
    <row r="2622" spans="1:4" x14ac:dyDescent="0.25">
      <c r="A2622" t="s">
        <v>2460</v>
      </c>
      <c r="C2622" t="s">
        <v>16</v>
      </c>
      <c r="D2622" s="1">
        <v>43238</v>
      </c>
    </row>
    <row r="2623" spans="1:4" x14ac:dyDescent="0.25">
      <c r="A2623" t="s">
        <v>625</v>
      </c>
      <c r="C2623" t="s">
        <v>16</v>
      </c>
      <c r="D2623" s="1">
        <v>43242</v>
      </c>
    </row>
    <row r="2624" spans="1:4" x14ac:dyDescent="0.25">
      <c r="A2624" t="s">
        <v>605</v>
      </c>
      <c r="C2624" t="s">
        <v>16</v>
      </c>
      <c r="D2624" s="1">
        <v>43224</v>
      </c>
    </row>
    <row r="2625" spans="1:4" x14ac:dyDescent="0.25">
      <c r="A2625" t="s">
        <v>2461</v>
      </c>
      <c r="C2625" t="s">
        <v>16</v>
      </c>
      <c r="D2625" s="1">
        <v>43238</v>
      </c>
    </row>
    <row r="2626" spans="1:4" x14ac:dyDescent="0.25">
      <c r="A2626" t="s">
        <v>2462</v>
      </c>
      <c r="C2626" t="s">
        <v>16</v>
      </c>
      <c r="D2626" s="1">
        <v>43245</v>
      </c>
    </row>
    <row r="2627" spans="1:4" x14ac:dyDescent="0.25">
      <c r="A2627" t="s">
        <v>553</v>
      </c>
      <c r="C2627" t="s">
        <v>16</v>
      </c>
      <c r="D2627" s="1">
        <v>43224</v>
      </c>
    </row>
    <row r="2628" spans="1:4" x14ac:dyDescent="0.25">
      <c r="A2628" t="s">
        <v>679</v>
      </c>
      <c r="C2628" t="s">
        <v>16</v>
      </c>
      <c r="D2628" s="1">
        <v>43224</v>
      </c>
    </row>
    <row r="2629" spans="1:4" x14ac:dyDescent="0.25">
      <c r="A2629" t="s">
        <v>769</v>
      </c>
      <c r="C2629" t="s">
        <v>16</v>
      </c>
      <c r="D2629" s="1">
        <v>43236</v>
      </c>
    </row>
    <row r="2630" spans="1:4" x14ac:dyDescent="0.25">
      <c r="A2630" t="s">
        <v>665</v>
      </c>
      <c r="C2630" t="s">
        <v>16</v>
      </c>
      <c r="D2630" s="1">
        <v>43238</v>
      </c>
    </row>
    <row r="2631" spans="1:4" x14ac:dyDescent="0.25">
      <c r="A2631" t="s">
        <v>2463</v>
      </c>
      <c r="C2631" t="s">
        <v>16</v>
      </c>
      <c r="D2631" s="1">
        <v>43245</v>
      </c>
    </row>
    <row r="2632" spans="1:4" x14ac:dyDescent="0.25">
      <c r="A2632" t="s">
        <v>1081</v>
      </c>
      <c r="C2632" t="s">
        <v>16</v>
      </c>
      <c r="D2632" s="1">
        <v>43238</v>
      </c>
    </row>
    <row r="2633" spans="1:4" x14ac:dyDescent="0.25">
      <c r="A2633" t="s">
        <v>417</v>
      </c>
      <c r="C2633" t="s">
        <v>16</v>
      </c>
      <c r="D2633" s="1">
        <v>43245</v>
      </c>
    </row>
    <row r="2634" spans="1:4" x14ac:dyDescent="0.25">
      <c r="A2634" t="s">
        <v>491</v>
      </c>
      <c r="C2634" t="s">
        <v>16</v>
      </c>
      <c r="D2634" s="1">
        <v>43231</v>
      </c>
    </row>
    <row r="2635" spans="1:4" x14ac:dyDescent="0.25">
      <c r="A2635" t="s">
        <v>262</v>
      </c>
      <c r="C2635" t="s">
        <v>16</v>
      </c>
      <c r="D2635" s="1">
        <v>43238</v>
      </c>
    </row>
    <row r="2636" spans="1:4" x14ac:dyDescent="0.25">
      <c r="A2636" t="s">
        <v>494</v>
      </c>
      <c r="C2636" t="s">
        <v>16</v>
      </c>
      <c r="D2636" s="1">
        <v>43238</v>
      </c>
    </row>
    <row r="2637" spans="1:4" x14ac:dyDescent="0.25">
      <c r="A2637" t="s">
        <v>939</v>
      </c>
      <c r="C2637" t="s">
        <v>16</v>
      </c>
      <c r="D2637" s="1">
        <v>43245</v>
      </c>
    </row>
    <row r="2638" spans="1:4" x14ac:dyDescent="0.25">
      <c r="A2638" t="s">
        <v>443</v>
      </c>
      <c r="C2638" t="s">
        <v>16</v>
      </c>
      <c r="D2638" s="1">
        <v>43238</v>
      </c>
    </row>
    <row r="2639" spans="1:4" x14ac:dyDescent="0.25">
      <c r="A2639" t="s">
        <v>431</v>
      </c>
      <c r="C2639" t="s">
        <v>16</v>
      </c>
      <c r="D2639" s="1">
        <v>43238</v>
      </c>
    </row>
    <row r="2640" spans="1:4" x14ac:dyDescent="0.25">
      <c r="A2640" t="s">
        <v>88</v>
      </c>
      <c r="C2640" t="s">
        <v>16</v>
      </c>
      <c r="D2640" s="1">
        <v>43238</v>
      </c>
    </row>
    <row r="2641" spans="1:4" x14ac:dyDescent="0.25">
      <c r="A2641" t="s">
        <v>581</v>
      </c>
      <c r="C2641" t="s">
        <v>16</v>
      </c>
      <c r="D2641" s="1">
        <v>43238</v>
      </c>
    </row>
    <row r="2642" spans="1:4" x14ac:dyDescent="0.25">
      <c r="A2642" t="s">
        <v>1021</v>
      </c>
      <c r="C2642" t="s">
        <v>16</v>
      </c>
      <c r="D2642" s="1">
        <v>43224</v>
      </c>
    </row>
    <row r="2643" spans="1:4" x14ac:dyDescent="0.25">
      <c r="A2643" t="s">
        <v>730</v>
      </c>
      <c r="C2643" t="s">
        <v>16</v>
      </c>
      <c r="D2643" s="1">
        <v>43238</v>
      </c>
    </row>
    <row r="2644" spans="1:4" x14ac:dyDescent="0.25">
      <c r="A2644" t="s">
        <v>1097</v>
      </c>
      <c r="C2644" t="s">
        <v>16</v>
      </c>
      <c r="D2644" s="1">
        <v>43239</v>
      </c>
    </row>
    <row r="2645" spans="1:4" x14ac:dyDescent="0.25">
      <c r="A2645" t="s">
        <v>166</v>
      </c>
      <c r="C2645" t="s">
        <v>16</v>
      </c>
      <c r="D2645" s="1">
        <v>43245</v>
      </c>
    </row>
    <row r="2646" spans="1:4" x14ac:dyDescent="0.25">
      <c r="A2646" t="s">
        <v>480</v>
      </c>
      <c r="C2646" t="s">
        <v>16</v>
      </c>
      <c r="D2646" s="1">
        <v>43238</v>
      </c>
    </row>
    <row r="2647" spans="1:4" x14ac:dyDescent="0.25">
      <c r="A2647" t="s">
        <v>2464</v>
      </c>
      <c r="C2647" t="s">
        <v>16</v>
      </c>
      <c r="D2647" s="1">
        <v>43224</v>
      </c>
    </row>
    <row r="2648" spans="1:4" x14ac:dyDescent="0.25">
      <c r="A2648" t="s">
        <v>852</v>
      </c>
      <c r="C2648" t="s">
        <v>16</v>
      </c>
      <c r="D2648" s="1">
        <v>43238</v>
      </c>
    </row>
    <row r="2649" spans="1:4" x14ac:dyDescent="0.25">
      <c r="A2649" t="s">
        <v>2465</v>
      </c>
      <c r="C2649" t="s">
        <v>16</v>
      </c>
      <c r="D2649" s="1">
        <v>43225</v>
      </c>
    </row>
    <row r="2650" spans="1:4" x14ac:dyDescent="0.25">
      <c r="A2650" t="s">
        <v>459</v>
      </c>
      <c r="C2650" t="s">
        <v>16</v>
      </c>
      <c r="D2650" s="1">
        <v>43245</v>
      </c>
    </row>
    <row r="2651" spans="1:4" x14ac:dyDescent="0.25">
      <c r="A2651" t="s">
        <v>875</v>
      </c>
      <c r="C2651" t="s">
        <v>16</v>
      </c>
      <c r="D2651" s="1">
        <v>43238</v>
      </c>
    </row>
    <row r="2652" spans="1:4" x14ac:dyDescent="0.25">
      <c r="A2652" t="s">
        <v>2466</v>
      </c>
      <c r="C2652" t="s">
        <v>16</v>
      </c>
      <c r="D2652" s="1">
        <v>43245</v>
      </c>
    </row>
    <row r="2653" spans="1:4" x14ac:dyDescent="0.25">
      <c r="A2653" t="s">
        <v>2467</v>
      </c>
      <c r="C2653" t="s">
        <v>16</v>
      </c>
      <c r="D2653" s="1">
        <v>43224</v>
      </c>
    </row>
    <row r="2654" spans="1:4" x14ac:dyDescent="0.25">
      <c r="A2654" t="s">
        <v>1045</v>
      </c>
      <c r="C2654" t="s">
        <v>16</v>
      </c>
      <c r="D2654" s="1">
        <v>43238</v>
      </c>
    </row>
    <row r="2655" spans="1:4" x14ac:dyDescent="0.25">
      <c r="A2655" t="s">
        <v>526</v>
      </c>
      <c r="C2655" t="s">
        <v>16</v>
      </c>
      <c r="D2655" s="1">
        <v>43244</v>
      </c>
    </row>
    <row r="2656" spans="1:4" x14ac:dyDescent="0.25">
      <c r="A2656" t="s">
        <v>2468</v>
      </c>
      <c r="C2656" t="s">
        <v>16</v>
      </c>
      <c r="D2656" s="1">
        <v>43225</v>
      </c>
    </row>
    <row r="2657" spans="1:4" x14ac:dyDescent="0.25">
      <c r="A2657" t="s">
        <v>427</v>
      </c>
      <c r="C2657" t="s">
        <v>16</v>
      </c>
      <c r="D2657" s="1">
        <v>43224</v>
      </c>
    </row>
    <row r="2658" spans="1:4" x14ac:dyDescent="0.25">
      <c r="A2658" t="s">
        <v>450</v>
      </c>
      <c r="C2658" t="s">
        <v>16</v>
      </c>
      <c r="D2658" s="1">
        <v>43238</v>
      </c>
    </row>
    <row r="2659" spans="1:4" x14ac:dyDescent="0.25">
      <c r="A2659" t="s">
        <v>414</v>
      </c>
      <c r="C2659" t="s">
        <v>16</v>
      </c>
      <c r="D2659" s="1">
        <v>43245</v>
      </c>
    </row>
    <row r="2660" spans="1:4" x14ac:dyDescent="0.25">
      <c r="A2660" t="s">
        <v>507</v>
      </c>
      <c r="C2660" t="s">
        <v>16</v>
      </c>
      <c r="D2660" s="1">
        <v>43224</v>
      </c>
    </row>
    <row r="2661" spans="1:4" x14ac:dyDescent="0.25">
      <c r="A2661" t="s">
        <v>2469</v>
      </c>
      <c r="C2661" t="s">
        <v>16</v>
      </c>
      <c r="D2661" s="1">
        <v>43245</v>
      </c>
    </row>
    <row r="2662" spans="1:4" x14ac:dyDescent="0.25">
      <c r="A2662" t="s">
        <v>545</v>
      </c>
      <c r="C2662" t="s">
        <v>16</v>
      </c>
      <c r="D2662" s="1">
        <v>43238</v>
      </c>
    </row>
    <row r="2663" spans="1:4" x14ac:dyDescent="0.25">
      <c r="A2663" t="s">
        <v>411</v>
      </c>
      <c r="C2663" t="s">
        <v>16</v>
      </c>
      <c r="D2663" s="1">
        <v>43236</v>
      </c>
    </row>
    <row r="2664" spans="1:4" x14ac:dyDescent="0.25">
      <c r="A2664" t="s">
        <v>599</v>
      </c>
      <c r="C2664" t="s">
        <v>16</v>
      </c>
      <c r="D2664" s="1">
        <v>43231</v>
      </c>
    </row>
    <row r="2665" spans="1:4" x14ac:dyDescent="0.25">
      <c r="A2665" t="s">
        <v>668</v>
      </c>
      <c r="C2665" t="s">
        <v>16</v>
      </c>
      <c r="D2665" s="1">
        <v>43231</v>
      </c>
    </row>
    <row r="2666" spans="1:4" x14ac:dyDescent="0.25">
      <c r="A2666" t="s">
        <v>2470</v>
      </c>
      <c r="C2666" t="s">
        <v>16</v>
      </c>
      <c r="D2666" s="1">
        <v>43224</v>
      </c>
    </row>
    <row r="2667" spans="1:4" x14ac:dyDescent="0.25">
      <c r="A2667" t="s">
        <v>2471</v>
      </c>
      <c r="C2667" t="s">
        <v>16</v>
      </c>
      <c r="D2667" s="1">
        <v>43245</v>
      </c>
    </row>
    <row r="2668" spans="1:4" x14ac:dyDescent="0.25">
      <c r="A2668" t="s">
        <v>2472</v>
      </c>
      <c r="C2668" t="s">
        <v>16</v>
      </c>
      <c r="D2668" s="1">
        <v>43238</v>
      </c>
    </row>
    <row r="2669" spans="1:4" x14ac:dyDescent="0.25">
      <c r="A2669" t="s">
        <v>927</v>
      </c>
      <c r="C2669" t="s">
        <v>16</v>
      </c>
      <c r="D2669" s="1">
        <v>43235</v>
      </c>
    </row>
    <row r="2670" spans="1:4" x14ac:dyDescent="0.25">
      <c r="A2670" t="s">
        <v>925</v>
      </c>
      <c r="C2670" t="s">
        <v>16</v>
      </c>
      <c r="D2670" s="1">
        <v>43238</v>
      </c>
    </row>
    <row r="2671" spans="1:4" x14ac:dyDescent="0.25">
      <c r="A2671" t="s">
        <v>2473</v>
      </c>
      <c r="C2671" t="s">
        <v>16</v>
      </c>
      <c r="D2671" s="1">
        <v>43245</v>
      </c>
    </row>
    <row r="2672" spans="1:4" x14ac:dyDescent="0.25">
      <c r="A2672" t="s">
        <v>862</v>
      </c>
      <c r="C2672" t="s">
        <v>16</v>
      </c>
      <c r="D2672" s="1">
        <v>43235</v>
      </c>
    </row>
    <row r="2673" spans="1:4" x14ac:dyDescent="0.25">
      <c r="A2673" t="s">
        <v>913</v>
      </c>
      <c r="C2673" t="s">
        <v>16</v>
      </c>
      <c r="D2673" s="1">
        <v>43238</v>
      </c>
    </row>
    <row r="2674" spans="1:4" x14ac:dyDescent="0.25">
      <c r="A2674" t="s">
        <v>757</v>
      </c>
      <c r="C2674" t="s">
        <v>16</v>
      </c>
      <c r="D2674" s="1">
        <v>43238</v>
      </c>
    </row>
    <row r="2675" spans="1:4" x14ac:dyDescent="0.25">
      <c r="A2675" t="s">
        <v>445</v>
      </c>
      <c r="C2675" t="s">
        <v>16</v>
      </c>
      <c r="D2675" s="1">
        <v>43236</v>
      </c>
    </row>
    <row r="2676" spans="1:4" x14ac:dyDescent="0.25">
      <c r="A2676" t="s">
        <v>483</v>
      </c>
      <c r="C2676" t="s">
        <v>16</v>
      </c>
      <c r="D2676" s="1">
        <v>43231</v>
      </c>
    </row>
    <row r="2677" spans="1:4" x14ac:dyDescent="0.25">
      <c r="A2677" t="s">
        <v>2474</v>
      </c>
      <c r="C2677" t="s">
        <v>16</v>
      </c>
      <c r="D2677" s="1">
        <v>43224</v>
      </c>
    </row>
    <row r="2678" spans="1:4" x14ac:dyDescent="0.25">
      <c r="A2678" t="s">
        <v>922</v>
      </c>
      <c r="C2678" t="s">
        <v>16</v>
      </c>
      <c r="D2678" s="1">
        <v>43238</v>
      </c>
    </row>
    <row r="2679" spans="1:4" x14ac:dyDescent="0.25">
      <c r="A2679" t="s">
        <v>465</v>
      </c>
      <c r="C2679" t="s">
        <v>16</v>
      </c>
      <c r="D2679" s="1">
        <v>43224</v>
      </c>
    </row>
    <row r="2680" spans="1:4" x14ac:dyDescent="0.25">
      <c r="A2680" t="s">
        <v>564</v>
      </c>
      <c r="C2680" t="s">
        <v>16</v>
      </c>
      <c r="D2680" s="1">
        <v>43244</v>
      </c>
    </row>
    <row r="2681" spans="1:4" x14ac:dyDescent="0.25">
      <c r="A2681" t="s">
        <v>2475</v>
      </c>
      <c r="C2681" t="s">
        <v>16</v>
      </c>
      <c r="D2681" s="1">
        <v>43225</v>
      </c>
    </row>
    <row r="2682" spans="1:4" x14ac:dyDescent="0.25">
      <c r="A2682" t="s">
        <v>608</v>
      </c>
      <c r="C2682" t="s">
        <v>16</v>
      </c>
      <c r="D2682" s="1">
        <v>43231</v>
      </c>
    </row>
    <row r="2683" spans="1:4" x14ac:dyDescent="0.25">
      <c r="A2683" t="s">
        <v>1018</v>
      </c>
      <c r="C2683" t="s">
        <v>16</v>
      </c>
      <c r="D2683" s="1">
        <v>43238</v>
      </c>
    </row>
    <row r="2684" spans="1:4" x14ac:dyDescent="0.25">
      <c r="A2684" t="s">
        <v>1143</v>
      </c>
      <c r="C2684" t="s">
        <v>16</v>
      </c>
      <c r="D2684" s="1">
        <v>43238</v>
      </c>
    </row>
    <row r="2685" spans="1:4" x14ac:dyDescent="0.25">
      <c r="A2685" t="s">
        <v>826</v>
      </c>
      <c r="C2685" t="s">
        <v>16</v>
      </c>
      <c r="D2685" s="1">
        <v>43245</v>
      </c>
    </row>
    <row r="2686" spans="1:4" x14ac:dyDescent="0.25">
      <c r="A2686" t="s">
        <v>940</v>
      </c>
      <c r="C2686" t="s">
        <v>16</v>
      </c>
      <c r="D2686" s="1">
        <v>43235</v>
      </c>
    </row>
    <row r="2687" spans="1:4" x14ac:dyDescent="0.25">
      <c r="A2687" t="s">
        <v>2476</v>
      </c>
      <c r="C2687" t="s">
        <v>16</v>
      </c>
      <c r="D2687" s="1">
        <v>43245</v>
      </c>
    </row>
    <row r="2688" spans="1:4" x14ac:dyDescent="0.25">
      <c r="A2688" t="s">
        <v>2477</v>
      </c>
      <c r="C2688" t="s">
        <v>16</v>
      </c>
      <c r="D2688" s="1">
        <v>43224</v>
      </c>
    </row>
    <row r="2689" spans="1:4" x14ac:dyDescent="0.25">
      <c r="A2689" t="s">
        <v>395</v>
      </c>
      <c r="C2689" t="s">
        <v>16</v>
      </c>
      <c r="D2689" s="1">
        <v>43238</v>
      </c>
    </row>
    <row r="2690" spans="1:4" x14ac:dyDescent="0.25">
      <c r="A2690" t="s">
        <v>456</v>
      </c>
      <c r="C2690" t="s">
        <v>16</v>
      </c>
      <c r="D2690" s="1">
        <v>43245</v>
      </c>
    </row>
    <row r="2691" spans="1:4" x14ac:dyDescent="0.25">
      <c r="A2691" t="s">
        <v>452</v>
      </c>
      <c r="C2691" t="s">
        <v>16</v>
      </c>
      <c r="D2691" s="1">
        <v>43245</v>
      </c>
    </row>
    <row r="2692" spans="1:4" x14ac:dyDescent="0.25">
      <c r="A2692" t="s">
        <v>985</v>
      </c>
      <c r="C2692" t="s">
        <v>16</v>
      </c>
      <c r="D2692" s="1">
        <v>43238</v>
      </c>
    </row>
    <row r="2693" spans="1:4" x14ac:dyDescent="0.25">
      <c r="A2693" t="s">
        <v>380</v>
      </c>
      <c r="C2693" t="s">
        <v>16</v>
      </c>
      <c r="D2693" s="1">
        <v>43238</v>
      </c>
    </row>
    <row r="2694" spans="1:4" x14ac:dyDescent="0.25">
      <c r="A2694" t="s">
        <v>941</v>
      </c>
      <c r="C2694" t="s">
        <v>16</v>
      </c>
      <c r="D2694" s="1">
        <v>43225</v>
      </c>
    </row>
    <row r="2695" spans="1:4" x14ac:dyDescent="0.25">
      <c r="A2695" t="s">
        <v>2478</v>
      </c>
      <c r="C2695" t="s">
        <v>16</v>
      </c>
      <c r="D2695" s="1">
        <v>43231</v>
      </c>
    </row>
    <row r="2696" spans="1:4" x14ac:dyDescent="0.25">
      <c r="A2696" t="s">
        <v>889</v>
      </c>
      <c r="C2696" t="s">
        <v>16</v>
      </c>
      <c r="D2696" s="1">
        <v>43225</v>
      </c>
    </row>
    <row r="2697" spans="1:4" x14ac:dyDescent="0.25">
      <c r="A2697" t="s">
        <v>206</v>
      </c>
      <c r="C2697" t="s">
        <v>16</v>
      </c>
      <c r="D2697" s="1">
        <v>43245</v>
      </c>
    </row>
    <row r="2698" spans="1:4" x14ac:dyDescent="0.25">
      <c r="A2698" t="s">
        <v>2479</v>
      </c>
      <c r="C2698" t="s">
        <v>16</v>
      </c>
      <c r="D2698" s="1">
        <v>43231</v>
      </c>
    </row>
    <row r="2699" spans="1:4" x14ac:dyDescent="0.25">
      <c r="A2699" t="s">
        <v>2480</v>
      </c>
      <c r="C2699" t="s">
        <v>16</v>
      </c>
      <c r="D2699" s="1">
        <v>43231</v>
      </c>
    </row>
    <row r="2700" spans="1:4" x14ac:dyDescent="0.25">
      <c r="A2700" t="s">
        <v>800</v>
      </c>
      <c r="C2700" t="s">
        <v>16</v>
      </c>
      <c r="D2700" s="1">
        <v>43225</v>
      </c>
    </row>
    <row r="2701" spans="1:4" x14ac:dyDescent="0.25">
      <c r="A2701" t="s">
        <v>1165</v>
      </c>
      <c r="C2701" t="s">
        <v>16</v>
      </c>
      <c r="D2701" s="1">
        <v>43245</v>
      </c>
    </row>
    <row r="2702" spans="1:4" x14ac:dyDescent="0.25">
      <c r="A2702" t="s">
        <v>2481</v>
      </c>
      <c r="C2702" t="s">
        <v>16</v>
      </c>
      <c r="D2702" s="1">
        <v>43245</v>
      </c>
    </row>
    <row r="2703" spans="1:4" x14ac:dyDescent="0.25">
      <c r="A2703" t="s">
        <v>1104</v>
      </c>
      <c r="C2703" t="s">
        <v>16</v>
      </c>
      <c r="D2703" s="1">
        <v>43245</v>
      </c>
    </row>
    <row r="2704" spans="1:4" x14ac:dyDescent="0.25">
      <c r="A2704" t="s">
        <v>1044</v>
      </c>
      <c r="C2704" t="s">
        <v>16</v>
      </c>
      <c r="D2704" s="1">
        <v>43236</v>
      </c>
    </row>
    <row r="2705" spans="1:4" x14ac:dyDescent="0.25">
      <c r="A2705" t="s">
        <v>1469</v>
      </c>
      <c r="C2705" t="s">
        <v>16</v>
      </c>
      <c r="D2705" s="1">
        <v>43224</v>
      </c>
    </row>
    <row r="2706" spans="1:4" x14ac:dyDescent="0.25">
      <c r="A2706" t="s">
        <v>2482</v>
      </c>
      <c r="C2706" t="s">
        <v>16</v>
      </c>
      <c r="D2706" s="1">
        <v>43245</v>
      </c>
    </row>
    <row r="2707" spans="1:4" x14ac:dyDescent="0.25">
      <c r="A2707" t="s">
        <v>2483</v>
      </c>
      <c r="C2707" t="s">
        <v>16</v>
      </c>
      <c r="D2707" s="1">
        <v>43224</v>
      </c>
    </row>
    <row r="2708" spans="1:4" x14ac:dyDescent="0.25">
      <c r="A2708" t="s">
        <v>1164</v>
      </c>
      <c r="C2708" t="s">
        <v>16</v>
      </c>
      <c r="D2708" s="1">
        <v>43224</v>
      </c>
    </row>
    <row r="2709" spans="1:4" x14ac:dyDescent="0.25">
      <c r="A2709" t="s">
        <v>474</v>
      </c>
      <c r="C2709" t="s">
        <v>16</v>
      </c>
      <c r="D2709" s="1">
        <v>43225</v>
      </c>
    </row>
    <row r="2710" spans="1:4" x14ac:dyDescent="0.25">
      <c r="A2710" t="s">
        <v>2484</v>
      </c>
      <c r="C2710" t="s">
        <v>16</v>
      </c>
      <c r="D2710" s="1">
        <v>43230</v>
      </c>
    </row>
    <row r="2711" spans="1:4" x14ac:dyDescent="0.25">
      <c r="A2711" t="s">
        <v>2485</v>
      </c>
      <c r="C2711" t="s">
        <v>16</v>
      </c>
      <c r="D2711" s="1">
        <v>43230</v>
      </c>
    </row>
    <row r="2712" spans="1:4" x14ac:dyDescent="0.25">
      <c r="A2712" t="s">
        <v>2486</v>
      </c>
      <c r="C2712" t="s">
        <v>16</v>
      </c>
      <c r="D2712" s="1">
        <v>43231</v>
      </c>
    </row>
    <row r="2713" spans="1:4" x14ac:dyDescent="0.25">
      <c r="A2713" t="s">
        <v>2487</v>
      </c>
      <c r="C2713" t="s">
        <v>16</v>
      </c>
      <c r="D2713" s="1">
        <v>43236</v>
      </c>
    </row>
    <row r="2714" spans="1:4" x14ac:dyDescent="0.25">
      <c r="A2714" t="s">
        <v>360</v>
      </c>
      <c r="C2714" t="s">
        <v>16</v>
      </c>
      <c r="D2714" s="1">
        <v>43245</v>
      </c>
    </row>
    <row r="2715" spans="1:4" x14ac:dyDescent="0.25">
      <c r="A2715" t="s">
        <v>2488</v>
      </c>
      <c r="C2715" t="s">
        <v>16</v>
      </c>
      <c r="D2715" s="1">
        <v>43245</v>
      </c>
    </row>
    <row r="2716" spans="1:4" x14ac:dyDescent="0.25">
      <c r="A2716" t="s">
        <v>1106</v>
      </c>
      <c r="C2716" t="s">
        <v>16</v>
      </c>
      <c r="D2716" s="1">
        <v>43224</v>
      </c>
    </row>
    <row r="2717" spans="1:4" x14ac:dyDescent="0.25">
      <c r="A2717" t="s">
        <v>2489</v>
      </c>
      <c r="C2717" t="s">
        <v>16</v>
      </c>
      <c r="D2717" s="1">
        <v>43224</v>
      </c>
    </row>
    <row r="2718" spans="1:4" x14ac:dyDescent="0.25">
      <c r="A2718" t="s">
        <v>2490</v>
      </c>
      <c r="C2718" t="s">
        <v>16</v>
      </c>
      <c r="D2718" s="1">
        <v>43236</v>
      </c>
    </row>
    <row r="2719" spans="1:4" x14ac:dyDescent="0.25">
      <c r="A2719" t="s">
        <v>482</v>
      </c>
      <c r="C2719" t="s">
        <v>16</v>
      </c>
      <c r="D2719" s="1">
        <v>43245</v>
      </c>
    </row>
    <row r="2720" spans="1:4" x14ac:dyDescent="0.25">
      <c r="A2720" t="s">
        <v>1920</v>
      </c>
      <c r="C2720" t="s">
        <v>16</v>
      </c>
      <c r="D2720" s="1">
        <v>43230</v>
      </c>
    </row>
    <row r="2721" spans="1:4" x14ac:dyDescent="0.25">
      <c r="A2721" t="s">
        <v>2491</v>
      </c>
      <c r="C2721" t="s">
        <v>16</v>
      </c>
      <c r="D2721" s="1">
        <v>43230</v>
      </c>
    </row>
    <row r="2722" spans="1:4" x14ac:dyDescent="0.25">
      <c r="A2722" t="s">
        <v>1922</v>
      </c>
      <c r="C2722" t="s">
        <v>16</v>
      </c>
      <c r="D2722" s="1">
        <v>43230</v>
      </c>
    </row>
    <row r="2723" spans="1:4" x14ac:dyDescent="0.25">
      <c r="A2723" t="s">
        <v>1924</v>
      </c>
      <c r="C2723" t="s">
        <v>16</v>
      </c>
      <c r="D2723" s="1">
        <v>43230</v>
      </c>
    </row>
    <row r="2724" spans="1:4" x14ac:dyDescent="0.25">
      <c r="A2724" t="s">
        <v>2492</v>
      </c>
      <c r="C2724" t="s">
        <v>16</v>
      </c>
      <c r="D2724" s="1">
        <v>43230</v>
      </c>
    </row>
    <row r="2725" spans="1:4" x14ac:dyDescent="0.25">
      <c r="A2725" t="s">
        <v>2493</v>
      </c>
      <c r="C2725" t="s">
        <v>1679</v>
      </c>
      <c r="D2725" s="1">
        <v>43231</v>
      </c>
    </row>
    <row r="2726" spans="1:4" x14ac:dyDescent="0.25">
      <c r="A2726" t="s">
        <v>1681</v>
      </c>
      <c r="C2726" t="s">
        <v>1679</v>
      </c>
      <c r="D2726" s="1">
        <v>43231</v>
      </c>
    </row>
    <row r="2727" spans="1:4" x14ac:dyDescent="0.25">
      <c r="A2727" t="s">
        <v>1682</v>
      </c>
      <c r="C2727" t="s">
        <v>1679</v>
      </c>
      <c r="D2727" s="1">
        <v>43231</v>
      </c>
    </row>
    <row r="2728" spans="1:4" x14ac:dyDescent="0.25">
      <c r="A2728" t="s">
        <v>1689</v>
      </c>
      <c r="C2728" t="s">
        <v>1679</v>
      </c>
      <c r="D2728" s="1">
        <v>43231</v>
      </c>
    </row>
    <row r="2729" spans="1:4" x14ac:dyDescent="0.25">
      <c r="A2729" t="s">
        <v>1690</v>
      </c>
      <c r="C2729" t="s">
        <v>1679</v>
      </c>
      <c r="D2729" s="1">
        <v>43231</v>
      </c>
    </row>
    <row r="2730" spans="1:4" x14ac:dyDescent="0.25">
      <c r="A2730" t="s">
        <v>2494</v>
      </c>
      <c r="C2730" t="s">
        <v>1679</v>
      </c>
      <c r="D2730" s="1">
        <v>43231</v>
      </c>
    </row>
    <row r="2731" spans="1:4" x14ac:dyDescent="0.25">
      <c r="A2731" t="s">
        <v>2495</v>
      </c>
      <c r="C2731" t="s">
        <v>1699</v>
      </c>
      <c r="D2731" s="1">
        <v>43222</v>
      </c>
    </row>
    <row r="2732" spans="1:4" x14ac:dyDescent="0.25">
      <c r="A2732" t="s">
        <v>2496</v>
      </c>
      <c r="C2732" t="s">
        <v>1699</v>
      </c>
      <c r="D2732" s="1">
        <v>43222</v>
      </c>
    </row>
    <row r="2733" spans="1:4" x14ac:dyDescent="0.25">
      <c r="A2733" t="s">
        <v>2497</v>
      </c>
      <c r="C2733" t="s">
        <v>1699</v>
      </c>
      <c r="D2733" s="1">
        <v>43222</v>
      </c>
    </row>
    <row r="2734" spans="1:4" x14ac:dyDescent="0.25">
      <c r="A2734" t="s">
        <v>2498</v>
      </c>
      <c r="C2734" t="s">
        <v>1699</v>
      </c>
      <c r="D2734" s="1">
        <v>43222</v>
      </c>
    </row>
    <row r="2735" spans="1:4" x14ac:dyDescent="0.25">
      <c r="A2735" t="s">
        <v>907</v>
      </c>
      <c r="C2735" t="s">
        <v>11</v>
      </c>
      <c r="D2735" s="1">
        <v>43251</v>
      </c>
    </row>
    <row r="2736" spans="1:4" x14ac:dyDescent="0.25">
      <c r="A2736" t="s">
        <v>876</v>
      </c>
      <c r="C2736" t="s">
        <v>11</v>
      </c>
      <c r="D2736" s="1">
        <v>43251</v>
      </c>
    </row>
    <row r="2737" spans="1:4" x14ac:dyDescent="0.25">
      <c r="A2737" t="s">
        <v>2499</v>
      </c>
      <c r="C2737" t="s">
        <v>11</v>
      </c>
      <c r="D2737" s="1">
        <v>43229</v>
      </c>
    </row>
    <row r="2738" spans="1:4" x14ac:dyDescent="0.25">
      <c r="A2738" t="s">
        <v>2500</v>
      </c>
      <c r="C2738" t="s">
        <v>11</v>
      </c>
      <c r="D2738" s="1">
        <v>43229</v>
      </c>
    </row>
    <row r="2739" spans="1:4" x14ac:dyDescent="0.25">
      <c r="A2739" t="s">
        <v>2501</v>
      </c>
      <c r="C2739" t="s">
        <v>11</v>
      </c>
      <c r="D2739" s="1">
        <v>43244</v>
      </c>
    </row>
    <row r="2740" spans="1:4" x14ac:dyDescent="0.25">
      <c r="A2740" t="s">
        <v>2502</v>
      </c>
      <c r="C2740" t="s">
        <v>11</v>
      </c>
      <c r="D2740" s="1">
        <v>43251</v>
      </c>
    </row>
    <row r="2741" spans="1:4" x14ac:dyDescent="0.25">
      <c r="A2741" t="s">
        <v>2503</v>
      </c>
      <c r="C2741" t="s">
        <v>11</v>
      </c>
      <c r="D2741" s="1">
        <v>43237</v>
      </c>
    </row>
    <row r="2742" spans="1:4" x14ac:dyDescent="0.25">
      <c r="A2742" t="s">
        <v>2504</v>
      </c>
      <c r="C2742" t="s">
        <v>11</v>
      </c>
      <c r="D2742" s="1">
        <v>43251</v>
      </c>
    </row>
    <row r="2743" spans="1:4" x14ac:dyDescent="0.25">
      <c r="A2743" t="s">
        <v>2505</v>
      </c>
      <c r="C2743" t="s">
        <v>11</v>
      </c>
      <c r="D2743" s="1">
        <v>43237</v>
      </c>
    </row>
    <row r="2744" spans="1:4" x14ac:dyDescent="0.25">
      <c r="A2744" t="s">
        <v>2506</v>
      </c>
      <c r="C2744" t="s">
        <v>11</v>
      </c>
      <c r="D2744" s="1">
        <v>43251</v>
      </c>
    </row>
    <row r="2745" spans="1:4" x14ac:dyDescent="0.25">
      <c r="A2745" t="s">
        <v>2507</v>
      </c>
      <c r="C2745" t="s">
        <v>11</v>
      </c>
      <c r="D2745" s="1">
        <v>43251</v>
      </c>
    </row>
    <row r="2746" spans="1:4" x14ac:dyDescent="0.25">
      <c r="A2746" t="s">
        <v>2508</v>
      </c>
      <c r="C2746" t="s">
        <v>11</v>
      </c>
      <c r="D2746" s="1">
        <v>43244</v>
      </c>
    </row>
    <row r="2747" spans="1:4" x14ac:dyDescent="0.25">
      <c r="A2747" t="s">
        <v>2509</v>
      </c>
      <c r="C2747" t="s">
        <v>11</v>
      </c>
      <c r="D2747" s="1">
        <v>43237</v>
      </c>
    </row>
    <row r="2748" spans="1:4" x14ac:dyDescent="0.25">
      <c r="A2748" t="s">
        <v>2510</v>
      </c>
      <c r="C2748" t="s">
        <v>11</v>
      </c>
      <c r="D2748" s="1">
        <v>43244</v>
      </c>
    </row>
    <row r="2749" spans="1:4" x14ac:dyDescent="0.25">
      <c r="A2749" t="s">
        <v>2511</v>
      </c>
      <c r="C2749" t="s">
        <v>11</v>
      </c>
      <c r="D2749" s="1">
        <v>43237</v>
      </c>
    </row>
    <row r="2750" spans="1:4" x14ac:dyDescent="0.25">
      <c r="A2750" t="s">
        <v>1509</v>
      </c>
      <c r="C2750" t="s">
        <v>11</v>
      </c>
      <c r="D2750" s="1">
        <v>43251</v>
      </c>
    </row>
    <row r="2751" spans="1:4" x14ac:dyDescent="0.25">
      <c r="A2751" t="s">
        <v>2512</v>
      </c>
      <c r="C2751" t="s">
        <v>11</v>
      </c>
      <c r="D2751" s="1">
        <v>43237</v>
      </c>
    </row>
    <row r="2752" spans="1:4" x14ac:dyDescent="0.25">
      <c r="A2752" t="s">
        <v>1423</v>
      </c>
      <c r="C2752" t="s">
        <v>11</v>
      </c>
      <c r="D2752" s="1">
        <v>43237</v>
      </c>
    </row>
    <row r="2753" spans="1:4" x14ac:dyDescent="0.25">
      <c r="A2753" t="s">
        <v>868</v>
      </c>
      <c r="C2753" t="s">
        <v>11</v>
      </c>
      <c r="D2753" s="1">
        <v>43251</v>
      </c>
    </row>
    <row r="2754" spans="1:4" x14ac:dyDescent="0.25">
      <c r="A2754" t="s">
        <v>1585</v>
      </c>
      <c r="C2754" t="s">
        <v>11</v>
      </c>
      <c r="D2754" s="1">
        <v>43237</v>
      </c>
    </row>
    <row r="2755" spans="1:4" x14ac:dyDescent="0.25">
      <c r="A2755" t="s">
        <v>204</v>
      </c>
      <c r="C2755" t="s">
        <v>11</v>
      </c>
      <c r="D2755" s="1">
        <v>43244</v>
      </c>
    </row>
    <row r="2756" spans="1:4" x14ac:dyDescent="0.25">
      <c r="A2756" t="s">
        <v>2513</v>
      </c>
      <c r="C2756" t="s">
        <v>11</v>
      </c>
      <c r="D2756" s="1">
        <v>43251</v>
      </c>
    </row>
    <row r="2757" spans="1:4" x14ac:dyDescent="0.25">
      <c r="A2757" t="s">
        <v>2514</v>
      </c>
      <c r="C2757" t="s">
        <v>11</v>
      </c>
      <c r="D2757" s="1">
        <v>43244</v>
      </c>
    </row>
    <row r="2758" spans="1:4" x14ac:dyDescent="0.25">
      <c r="A2758" t="s">
        <v>2515</v>
      </c>
      <c r="C2758" t="s">
        <v>11</v>
      </c>
      <c r="D2758" s="1">
        <v>43251</v>
      </c>
    </row>
    <row r="2759" spans="1:4" x14ac:dyDescent="0.25">
      <c r="A2759" t="s">
        <v>2516</v>
      </c>
      <c r="C2759" t="s">
        <v>11</v>
      </c>
      <c r="D2759" s="1">
        <v>43251</v>
      </c>
    </row>
    <row r="2760" spans="1:4" x14ac:dyDescent="0.25">
      <c r="A2760" t="s">
        <v>211</v>
      </c>
      <c r="C2760" t="s">
        <v>11</v>
      </c>
      <c r="D2760" s="1">
        <v>43244</v>
      </c>
    </row>
    <row r="2761" spans="1:4" x14ac:dyDescent="0.25">
      <c r="A2761" t="s">
        <v>2517</v>
      </c>
      <c r="C2761" t="s">
        <v>11</v>
      </c>
      <c r="D2761" s="1">
        <v>43231</v>
      </c>
    </row>
    <row r="2762" spans="1:4" x14ac:dyDescent="0.25">
      <c r="A2762" t="s">
        <v>2518</v>
      </c>
      <c r="C2762" t="s">
        <v>11</v>
      </c>
      <c r="D2762" s="1">
        <v>43244</v>
      </c>
    </row>
    <row r="2763" spans="1:4" x14ac:dyDescent="0.25">
      <c r="A2763" t="s">
        <v>302</v>
      </c>
      <c r="C2763" t="s">
        <v>11</v>
      </c>
      <c r="D2763" s="1">
        <v>43244</v>
      </c>
    </row>
    <row r="2764" spans="1:4" x14ac:dyDescent="0.25">
      <c r="A2764" t="s">
        <v>1280</v>
      </c>
      <c r="C2764" t="s">
        <v>11</v>
      </c>
      <c r="D2764" s="1">
        <v>43235</v>
      </c>
    </row>
    <row r="2765" spans="1:4" x14ac:dyDescent="0.25">
      <c r="A2765" t="s">
        <v>257</v>
      </c>
      <c r="C2765" t="s">
        <v>11</v>
      </c>
      <c r="D2765" s="1">
        <v>43251</v>
      </c>
    </row>
    <row r="2766" spans="1:4" x14ac:dyDescent="0.25">
      <c r="A2766" t="s">
        <v>2519</v>
      </c>
      <c r="C2766" t="s">
        <v>11</v>
      </c>
      <c r="D2766" s="1">
        <v>43237</v>
      </c>
    </row>
    <row r="2767" spans="1:4" x14ac:dyDescent="0.25">
      <c r="A2767" t="s">
        <v>2520</v>
      </c>
      <c r="C2767" t="s">
        <v>11</v>
      </c>
      <c r="D2767" s="1">
        <v>43244</v>
      </c>
    </row>
    <row r="2768" spans="1:4" x14ac:dyDescent="0.25">
      <c r="A2768" t="s">
        <v>2521</v>
      </c>
      <c r="C2768" t="s">
        <v>11</v>
      </c>
      <c r="D2768" s="1">
        <v>43244</v>
      </c>
    </row>
    <row r="2769" spans="1:4" x14ac:dyDescent="0.25">
      <c r="A2769" t="s">
        <v>2522</v>
      </c>
      <c r="C2769" t="s">
        <v>11</v>
      </c>
      <c r="D2769" s="1">
        <v>43251</v>
      </c>
    </row>
    <row r="2770" spans="1:4" x14ac:dyDescent="0.25">
      <c r="A2770" t="s">
        <v>2523</v>
      </c>
      <c r="C2770" t="s">
        <v>11</v>
      </c>
      <c r="D2770" s="1">
        <v>43251</v>
      </c>
    </row>
    <row r="2771" spans="1:4" x14ac:dyDescent="0.25">
      <c r="A2771" t="s">
        <v>2524</v>
      </c>
      <c r="C2771" t="s">
        <v>11</v>
      </c>
      <c r="D2771" s="1">
        <v>43244</v>
      </c>
    </row>
    <row r="2772" spans="1:4" x14ac:dyDescent="0.25">
      <c r="A2772" t="s">
        <v>2525</v>
      </c>
      <c r="C2772" t="s">
        <v>11</v>
      </c>
      <c r="D2772" s="1">
        <v>43244</v>
      </c>
    </row>
    <row r="2773" spans="1:4" x14ac:dyDescent="0.25">
      <c r="A2773" t="s">
        <v>2526</v>
      </c>
      <c r="C2773" t="s">
        <v>11</v>
      </c>
      <c r="D2773" s="1">
        <v>43244</v>
      </c>
    </row>
    <row r="2774" spans="1:4" x14ac:dyDescent="0.25">
      <c r="A2774" t="s">
        <v>2527</v>
      </c>
      <c r="C2774" t="s">
        <v>11</v>
      </c>
      <c r="D2774" s="1">
        <v>43230</v>
      </c>
    </row>
    <row r="2775" spans="1:4" x14ac:dyDescent="0.25">
      <c r="A2775" t="s">
        <v>2528</v>
      </c>
      <c r="C2775" t="s">
        <v>11</v>
      </c>
      <c r="D2775" s="1">
        <v>43250</v>
      </c>
    </row>
    <row r="2776" spans="1:4" x14ac:dyDescent="0.25">
      <c r="A2776" t="s">
        <v>2529</v>
      </c>
      <c r="C2776" t="s">
        <v>11</v>
      </c>
      <c r="D2776" s="1">
        <v>43224</v>
      </c>
    </row>
    <row r="2777" spans="1:4" x14ac:dyDescent="0.25">
      <c r="A2777" t="s">
        <v>2530</v>
      </c>
      <c r="C2777" t="s">
        <v>11</v>
      </c>
      <c r="D2777" s="1">
        <v>43221</v>
      </c>
    </row>
    <row r="2778" spans="1:4" x14ac:dyDescent="0.25">
      <c r="A2778" t="s">
        <v>2531</v>
      </c>
      <c r="C2778" t="s">
        <v>11</v>
      </c>
      <c r="D2778" s="1">
        <v>43221</v>
      </c>
    </row>
    <row r="2779" spans="1:4" x14ac:dyDescent="0.25">
      <c r="A2779" t="s">
        <v>2532</v>
      </c>
      <c r="C2779" t="s">
        <v>11</v>
      </c>
      <c r="D2779" s="1">
        <v>43225</v>
      </c>
    </row>
    <row r="2780" spans="1:4" x14ac:dyDescent="0.25">
      <c r="A2780" t="s">
        <v>2533</v>
      </c>
      <c r="C2780" t="s">
        <v>11</v>
      </c>
      <c r="D2780" s="1">
        <v>43236</v>
      </c>
    </row>
    <row r="2781" spans="1:4" x14ac:dyDescent="0.25">
      <c r="A2781" t="s">
        <v>2534</v>
      </c>
      <c r="C2781" t="s">
        <v>11</v>
      </c>
      <c r="D2781" s="1">
        <v>43235</v>
      </c>
    </row>
    <row r="2782" spans="1:4" x14ac:dyDescent="0.25">
      <c r="A2782" t="s">
        <v>2535</v>
      </c>
      <c r="C2782" t="s">
        <v>11</v>
      </c>
      <c r="D2782" s="1">
        <v>43235</v>
      </c>
    </row>
    <row r="2783" spans="1:4" x14ac:dyDescent="0.25">
      <c r="A2783" t="s">
        <v>1642</v>
      </c>
      <c r="C2783" t="s">
        <v>11</v>
      </c>
      <c r="D2783" s="1">
        <v>43237</v>
      </c>
    </row>
    <row r="2784" spans="1:4" x14ac:dyDescent="0.25">
      <c r="A2784" t="s">
        <v>1451</v>
      </c>
      <c r="C2784" t="s">
        <v>11</v>
      </c>
      <c r="D2784" s="1">
        <v>43243</v>
      </c>
    </row>
    <row r="2785" spans="1:4" x14ac:dyDescent="0.25">
      <c r="A2785" t="s">
        <v>1308</v>
      </c>
      <c r="C2785" t="s">
        <v>11</v>
      </c>
      <c r="D2785" s="1">
        <v>43224</v>
      </c>
    </row>
    <row r="2786" spans="1:4" x14ac:dyDescent="0.25">
      <c r="A2786" t="s">
        <v>1473</v>
      </c>
      <c r="C2786" t="s">
        <v>11</v>
      </c>
      <c r="D2786" s="1">
        <v>43235</v>
      </c>
    </row>
    <row r="2787" spans="1:4" x14ac:dyDescent="0.25">
      <c r="A2787" t="s">
        <v>1359</v>
      </c>
      <c r="C2787" t="s">
        <v>11</v>
      </c>
      <c r="D2787" s="1">
        <v>43224</v>
      </c>
    </row>
    <row r="2788" spans="1:4" x14ac:dyDescent="0.25">
      <c r="A2788" t="s">
        <v>2536</v>
      </c>
      <c r="C2788" t="s">
        <v>11</v>
      </c>
      <c r="D2788" s="1">
        <v>43235</v>
      </c>
    </row>
    <row r="2789" spans="1:4" x14ac:dyDescent="0.25">
      <c r="A2789" t="s">
        <v>2537</v>
      </c>
      <c r="C2789" t="s">
        <v>11</v>
      </c>
      <c r="D2789" s="1">
        <v>43230</v>
      </c>
    </row>
    <row r="2790" spans="1:4" x14ac:dyDescent="0.25">
      <c r="A2790" t="s">
        <v>2538</v>
      </c>
      <c r="C2790" t="s">
        <v>11</v>
      </c>
      <c r="D2790" s="1">
        <v>43251</v>
      </c>
    </row>
    <row r="2791" spans="1:4" x14ac:dyDescent="0.25">
      <c r="A2791" t="s">
        <v>897</v>
      </c>
      <c r="C2791" t="s">
        <v>11</v>
      </c>
      <c r="D2791" s="1">
        <v>43237</v>
      </c>
    </row>
    <row r="2792" spans="1:4" x14ac:dyDescent="0.25">
      <c r="A2792" t="s">
        <v>722</v>
      </c>
      <c r="C2792" t="s">
        <v>11</v>
      </c>
      <c r="D2792" s="1">
        <v>43235</v>
      </c>
    </row>
    <row r="2793" spans="1:4" x14ac:dyDescent="0.25">
      <c r="A2793" t="s">
        <v>2539</v>
      </c>
      <c r="C2793" t="s">
        <v>11</v>
      </c>
      <c r="D2793" s="1">
        <v>43237</v>
      </c>
    </row>
    <row r="2794" spans="1:4" x14ac:dyDescent="0.25">
      <c r="A2794" t="s">
        <v>2540</v>
      </c>
      <c r="C2794" t="s">
        <v>11</v>
      </c>
      <c r="D2794" s="1">
        <v>43230</v>
      </c>
    </row>
    <row r="2795" spans="1:4" x14ac:dyDescent="0.25">
      <c r="A2795" t="s">
        <v>2541</v>
      </c>
      <c r="C2795" t="s">
        <v>11</v>
      </c>
      <c r="D2795" s="1">
        <v>43230</v>
      </c>
    </row>
    <row r="2796" spans="1:4" x14ac:dyDescent="0.25">
      <c r="A2796" t="s">
        <v>1282</v>
      </c>
      <c r="C2796" t="s">
        <v>11</v>
      </c>
      <c r="D2796" s="1">
        <v>43251</v>
      </c>
    </row>
    <row r="2797" spans="1:4" x14ac:dyDescent="0.25">
      <c r="A2797" t="s">
        <v>980</v>
      </c>
      <c r="C2797" t="s">
        <v>11</v>
      </c>
      <c r="D2797" s="1">
        <v>43235</v>
      </c>
    </row>
    <row r="2798" spans="1:4" x14ac:dyDescent="0.25">
      <c r="A2798" t="s">
        <v>2542</v>
      </c>
      <c r="C2798" t="s">
        <v>11</v>
      </c>
      <c r="D2798" s="1">
        <v>43244</v>
      </c>
    </row>
    <row r="2799" spans="1:4" x14ac:dyDescent="0.25">
      <c r="A2799" t="s">
        <v>2543</v>
      </c>
      <c r="C2799" t="s">
        <v>11</v>
      </c>
      <c r="D2799" s="1">
        <v>43224</v>
      </c>
    </row>
    <row r="2800" spans="1:4" x14ac:dyDescent="0.25">
      <c r="A2800" t="s">
        <v>1130</v>
      </c>
      <c r="C2800" t="s">
        <v>11</v>
      </c>
      <c r="D2800" s="1">
        <v>43244</v>
      </c>
    </row>
    <row r="2801" spans="1:4" x14ac:dyDescent="0.25">
      <c r="A2801" t="s">
        <v>2544</v>
      </c>
      <c r="C2801" t="s">
        <v>11</v>
      </c>
      <c r="D2801" s="1">
        <v>43230</v>
      </c>
    </row>
    <row r="2802" spans="1:4" x14ac:dyDescent="0.25">
      <c r="A2802" t="s">
        <v>2545</v>
      </c>
      <c r="C2802" t="s">
        <v>11</v>
      </c>
      <c r="D2802" s="1">
        <v>43231</v>
      </c>
    </row>
    <row r="2803" spans="1:4" x14ac:dyDescent="0.25">
      <c r="A2803" t="s">
        <v>1600</v>
      </c>
      <c r="C2803" t="s">
        <v>11</v>
      </c>
      <c r="D2803" s="1">
        <v>43231</v>
      </c>
    </row>
    <row r="2804" spans="1:4" x14ac:dyDescent="0.25">
      <c r="A2804" t="s">
        <v>2546</v>
      </c>
      <c r="C2804" t="s">
        <v>11</v>
      </c>
      <c r="D2804" s="1">
        <v>43237</v>
      </c>
    </row>
    <row r="2805" spans="1:4" x14ac:dyDescent="0.25">
      <c r="A2805" t="s">
        <v>1607</v>
      </c>
      <c r="C2805" t="s">
        <v>11</v>
      </c>
      <c r="D2805" s="1">
        <v>43237</v>
      </c>
    </row>
    <row r="2806" spans="1:4" x14ac:dyDescent="0.25">
      <c r="A2806" t="s">
        <v>1400</v>
      </c>
      <c r="C2806" t="s">
        <v>11</v>
      </c>
      <c r="D2806" s="1">
        <v>43237</v>
      </c>
    </row>
    <row r="2807" spans="1:4" x14ac:dyDescent="0.25">
      <c r="A2807" t="s">
        <v>2547</v>
      </c>
      <c r="C2807" t="s">
        <v>11</v>
      </c>
      <c r="D2807" s="1">
        <v>43224</v>
      </c>
    </row>
    <row r="2808" spans="1:4" x14ac:dyDescent="0.25">
      <c r="A2808" t="s">
        <v>2548</v>
      </c>
      <c r="C2808" t="s">
        <v>11</v>
      </c>
      <c r="D2808" s="1">
        <v>43235</v>
      </c>
    </row>
    <row r="2809" spans="1:4" x14ac:dyDescent="0.25">
      <c r="A2809" t="s">
        <v>2549</v>
      </c>
      <c r="C2809" t="s">
        <v>11</v>
      </c>
      <c r="D2809" s="1">
        <v>43224</v>
      </c>
    </row>
    <row r="2810" spans="1:4" x14ac:dyDescent="0.25">
      <c r="A2810" t="s">
        <v>2550</v>
      </c>
      <c r="C2810" t="s">
        <v>11</v>
      </c>
      <c r="D2810" s="1">
        <v>43223</v>
      </c>
    </row>
    <row r="2811" spans="1:4" x14ac:dyDescent="0.25">
      <c r="A2811" t="s">
        <v>2551</v>
      </c>
      <c r="C2811" t="s">
        <v>11</v>
      </c>
      <c r="D2811" s="1">
        <v>43250</v>
      </c>
    </row>
    <row r="2812" spans="1:4" x14ac:dyDescent="0.25">
      <c r="A2812" t="s">
        <v>2552</v>
      </c>
      <c r="C2812" t="s">
        <v>11</v>
      </c>
      <c r="D2812" s="1">
        <v>43250</v>
      </c>
    </row>
    <row r="2813" spans="1:4" x14ac:dyDescent="0.25">
      <c r="A2813" t="s">
        <v>870</v>
      </c>
      <c r="C2813" t="s">
        <v>11</v>
      </c>
      <c r="D2813" s="1">
        <v>43231</v>
      </c>
    </row>
    <row r="2814" spans="1:4" x14ac:dyDescent="0.25">
      <c r="A2814" t="s">
        <v>180</v>
      </c>
      <c r="C2814" t="s">
        <v>11</v>
      </c>
      <c r="D2814" s="1">
        <v>43244</v>
      </c>
    </row>
    <row r="2815" spans="1:4" x14ac:dyDescent="0.25">
      <c r="A2815" t="s">
        <v>120</v>
      </c>
      <c r="C2815" t="s">
        <v>11</v>
      </c>
      <c r="D2815" s="1">
        <v>43244</v>
      </c>
    </row>
    <row r="2816" spans="1:4" x14ac:dyDescent="0.25">
      <c r="A2816" t="s">
        <v>2553</v>
      </c>
      <c r="C2816" t="s">
        <v>11</v>
      </c>
      <c r="D2816" s="1">
        <v>43224</v>
      </c>
    </row>
    <row r="2817" spans="1:4" x14ac:dyDescent="0.25">
      <c r="A2817" t="s">
        <v>2554</v>
      </c>
      <c r="C2817" t="s">
        <v>11</v>
      </c>
      <c r="D2817" s="1">
        <v>43241</v>
      </c>
    </row>
    <row r="2818" spans="1:4" x14ac:dyDescent="0.25">
      <c r="A2818" t="s">
        <v>1668</v>
      </c>
      <c r="C2818" t="s">
        <v>11</v>
      </c>
      <c r="D2818" s="1">
        <v>43231</v>
      </c>
    </row>
    <row r="2819" spans="1:4" x14ac:dyDescent="0.25">
      <c r="A2819" t="s">
        <v>1635</v>
      </c>
      <c r="C2819" t="s">
        <v>11</v>
      </c>
      <c r="D2819" s="1">
        <v>43231</v>
      </c>
    </row>
    <row r="2820" spans="1:4" x14ac:dyDescent="0.25">
      <c r="A2820" t="s">
        <v>1099</v>
      </c>
      <c r="C2820" t="s">
        <v>11</v>
      </c>
      <c r="D2820" s="1">
        <v>43244</v>
      </c>
    </row>
    <row r="2821" spans="1:4" x14ac:dyDescent="0.25">
      <c r="A2821" t="s">
        <v>815</v>
      </c>
      <c r="C2821" t="s">
        <v>11</v>
      </c>
      <c r="D2821" s="1">
        <v>43231</v>
      </c>
    </row>
    <row r="2822" spans="1:4" x14ac:dyDescent="0.25">
      <c r="A2822" t="s">
        <v>841</v>
      </c>
      <c r="C2822" t="s">
        <v>11</v>
      </c>
      <c r="D2822" s="1">
        <v>43231</v>
      </c>
    </row>
    <row r="2823" spans="1:4" x14ac:dyDescent="0.25">
      <c r="A2823" t="s">
        <v>2555</v>
      </c>
      <c r="C2823" t="s">
        <v>11</v>
      </c>
      <c r="D2823" s="1">
        <v>43238</v>
      </c>
    </row>
    <row r="2824" spans="1:4" x14ac:dyDescent="0.25">
      <c r="A2824" t="s">
        <v>2556</v>
      </c>
      <c r="C2824" t="s">
        <v>11</v>
      </c>
      <c r="D2824" s="1">
        <v>43238</v>
      </c>
    </row>
    <row r="2825" spans="1:4" x14ac:dyDescent="0.25">
      <c r="A2825" t="s">
        <v>2557</v>
      </c>
      <c r="C2825" t="s">
        <v>11</v>
      </c>
      <c r="D2825" s="1">
        <v>43231</v>
      </c>
    </row>
    <row r="2826" spans="1:4" x14ac:dyDescent="0.25">
      <c r="A2826" t="s">
        <v>1252</v>
      </c>
      <c r="C2826" t="s">
        <v>11</v>
      </c>
      <c r="D2826" s="1">
        <v>43235</v>
      </c>
    </row>
    <row r="2827" spans="1:4" x14ac:dyDescent="0.25">
      <c r="A2827" t="s">
        <v>1391</v>
      </c>
      <c r="C2827" t="s">
        <v>11</v>
      </c>
      <c r="D2827" s="1">
        <v>43245</v>
      </c>
    </row>
    <row r="2828" spans="1:4" x14ac:dyDescent="0.25">
      <c r="A2828" t="s">
        <v>975</v>
      </c>
      <c r="C2828" t="s">
        <v>11</v>
      </c>
      <c r="D2828" s="1">
        <v>43235</v>
      </c>
    </row>
    <row r="2829" spans="1:4" x14ac:dyDescent="0.25">
      <c r="A2829" t="s">
        <v>1563</v>
      </c>
      <c r="C2829" t="s">
        <v>11</v>
      </c>
      <c r="D2829" s="1">
        <v>43235</v>
      </c>
    </row>
    <row r="2830" spans="1:4" x14ac:dyDescent="0.25">
      <c r="A2830" t="s">
        <v>741</v>
      </c>
      <c r="C2830" t="s">
        <v>11</v>
      </c>
      <c r="D2830" s="1">
        <v>43232</v>
      </c>
    </row>
    <row r="2831" spans="1:4" x14ac:dyDescent="0.25">
      <c r="A2831" t="s">
        <v>2558</v>
      </c>
      <c r="C2831" t="s">
        <v>11</v>
      </c>
      <c r="D2831" s="1">
        <v>43238</v>
      </c>
    </row>
    <row r="2832" spans="1:4" x14ac:dyDescent="0.25">
      <c r="A2832" t="s">
        <v>1456</v>
      </c>
      <c r="C2832" t="s">
        <v>11</v>
      </c>
      <c r="D2832" s="1">
        <v>43235</v>
      </c>
    </row>
    <row r="2833" spans="1:4" x14ac:dyDescent="0.25">
      <c r="A2833" t="s">
        <v>1284</v>
      </c>
      <c r="C2833" t="s">
        <v>11</v>
      </c>
      <c r="D2833" s="1">
        <v>43235</v>
      </c>
    </row>
    <row r="2834" spans="1:4" x14ac:dyDescent="0.25">
      <c r="A2834" t="s">
        <v>666</v>
      </c>
      <c r="C2834" t="s">
        <v>11</v>
      </c>
      <c r="D2834" s="1">
        <v>43232</v>
      </c>
    </row>
    <row r="2835" spans="1:4" x14ac:dyDescent="0.25">
      <c r="A2835" t="s">
        <v>2559</v>
      </c>
      <c r="C2835" t="s">
        <v>11</v>
      </c>
      <c r="D2835" s="1">
        <v>43235</v>
      </c>
    </row>
    <row r="2836" spans="1:4" x14ac:dyDescent="0.25">
      <c r="A2836" t="s">
        <v>1306</v>
      </c>
      <c r="C2836" t="s">
        <v>11</v>
      </c>
      <c r="D2836" s="1">
        <v>43251</v>
      </c>
    </row>
    <row r="2837" spans="1:4" x14ac:dyDescent="0.25">
      <c r="A2837" t="s">
        <v>2560</v>
      </c>
      <c r="C2837" t="s">
        <v>11</v>
      </c>
      <c r="D2837" s="1">
        <v>43235</v>
      </c>
    </row>
    <row r="2838" spans="1:4" x14ac:dyDescent="0.25">
      <c r="A2838" t="s">
        <v>2561</v>
      </c>
      <c r="C2838" t="s">
        <v>11</v>
      </c>
      <c r="D2838" s="1">
        <v>43227</v>
      </c>
    </row>
    <row r="2839" spans="1:4" x14ac:dyDescent="0.25">
      <c r="A2839" t="s">
        <v>2562</v>
      </c>
      <c r="C2839" t="s">
        <v>11</v>
      </c>
      <c r="D2839" s="1">
        <v>43227</v>
      </c>
    </row>
    <row r="2840" spans="1:4" x14ac:dyDescent="0.25">
      <c r="A2840" t="s">
        <v>2563</v>
      </c>
      <c r="C2840" t="s">
        <v>11</v>
      </c>
      <c r="D2840" s="1">
        <v>43222</v>
      </c>
    </row>
    <row r="2841" spans="1:4" x14ac:dyDescent="0.25">
      <c r="A2841" t="s">
        <v>1424</v>
      </c>
      <c r="C2841" t="s">
        <v>11</v>
      </c>
      <c r="D2841" s="1">
        <v>43231</v>
      </c>
    </row>
    <row r="2842" spans="1:4" x14ac:dyDescent="0.25">
      <c r="A2842" t="s">
        <v>1432</v>
      </c>
      <c r="C2842" t="s">
        <v>11</v>
      </c>
      <c r="D2842" s="1">
        <v>43237</v>
      </c>
    </row>
    <row r="2843" spans="1:4" x14ac:dyDescent="0.25">
      <c r="A2843" t="s">
        <v>904</v>
      </c>
      <c r="C2843" t="s">
        <v>11</v>
      </c>
      <c r="D2843" s="1">
        <v>43245</v>
      </c>
    </row>
    <row r="2844" spans="1:4" x14ac:dyDescent="0.25">
      <c r="A2844" t="s">
        <v>2564</v>
      </c>
      <c r="C2844" t="s">
        <v>11</v>
      </c>
      <c r="D2844" s="1">
        <v>43225</v>
      </c>
    </row>
    <row r="2845" spans="1:4" x14ac:dyDescent="0.25">
      <c r="A2845" t="s">
        <v>1468</v>
      </c>
      <c r="C2845" t="s">
        <v>11</v>
      </c>
      <c r="D2845" s="1">
        <v>43245</v>
      </c>
    </row>
    <row r="2846" spans="1:4" x14ac:dyDescent="0.25">
      <c r="A2846" t="s">
        <v>2565</v>
      </c>
      <c r="C2846" t="s">
        <v>11</v>
      </c>
      <c r="D2846" s="1">
        <v>43238</v>
      </c>
    </row>
    <row r="2847" spans="1:4" x14ac:dyDescent="0.25">
      <c r="A2847" t="s">
        <v>2566</v>
      </c>
      <c r="C2847" t="s">
        <v>11</v>
      </c>
      <c r="D2847" s="1">
        <v>43225</v>
      </c>
    </row>
    <row r="2848" spans="1:4" x14ac:dyDescent="0.25">
      <c r="A2848" t="s">
        <v>2567</v>
      </c>
      <c r="C2848" t="s">
        <v>11</v>
      </c>
      <c r="D2848" s="1">
        <v>43225</v>
      </c>
    </row>
    <row r="2849" spans="1:4" x14ac:dyDescent="0.25">
      <c r="A2849" t="s">
        <v>2568</v>
      </c>
      <c r="C2849" t="s">
        <v>11</v>
      </c>
      <c r="D2849" s="1">
        <v>43235</v>
      </c>
    </row>
    <row r="2850" spans="1:4" x14ac:dyDescent="0.25">
      <c r="A2850" t="s">
        <v>1425</v>
      </c>
      <c r="C2850" t="s">
        <v>11</v>
      </c>
      <c r="D2850" s="1">
        <v>43231</v>
      </c>
    </row>
    <row r="2851" spans="1:4" x14ac:dyDescent="0.25">
      <c r="A2851" t="s">
        <v>1465</v>
      </c>
      <c r="C2851" t="s">
        <v>11</v>
      </c>
      <c r="D2851" s="1">
        <v>43235</v>
      </c>
    </row>
    <row r="2852" spans="1:4" x14ac:dyDescent="0.25">
      <c r="A2852" t="s">
        <v>1664</v>
      </c>
      <c r="C2852" t="s">
        <v>11</v>
      </c>
      <c r="D2852" s="1">
        <v>43235</v>
      </c>
    </row>
    <row r="2853" spans="1:4" x14ac:dyDescent="0.25">
      <c r="A2853" t="s">
        <v>2569</v>
      </c>
      <c r="C2853" t="s">
        <v>11</v>
      </c>
      <c r="D2853" s="1">
        <v>43227</v>
      </c>
    </row>
    <row r="2854" spans="1:4" x14ac:dyDescent="0.25">
      <c r="A2854" t="s">
        <v>2570</v>
      </c>
      <c r="C2854" t="s">
        <v>11</v>
      </c>
      <c r="D2854" s="1">
        <v>43225</v>
      </c>
    </row>
    <row r="2855" spans="1:4" x14ac:dyDescent="0.25">
      <c r="A2855" t="s">
        <v>2571</v>
      </c>
      <c r="C2855" t="s">
        <v>11</v>
      </c>
      <c r="D2855" s="1">
        <v>43235</v>
      </c>
    </row>
    <row r="2856" spans="1:4" x14ac:dyDescent="0.25">
      <c r="A2856" t="s">
        <v>2572</v>
      </c>
      <c r="C2856" t="s">
        <v>11</v>
      </c>
      <c r="D2856" s="1">
        <v>43235</v>
      </c>
    </row>
    <row r="2857" spans="1:4" x14ac:dyDescent="0.25">
      <c r="A2857" t="s">
        <v>1632</v>
      </c>
      <c r="C2857" t="s">
        <v>11</v>
      </c>
      <c r="D2857" s="1">
        <v>43235</v>
      </c>
    </row>
    <row r="2858" spans="1:4" x14ac:dyDescent="0.25">
      <c r="A2858" t="s">
        <v>871</v>
      </c>
      <c r="C2858" t="s">
        <v>11</v>
      </c>
      <c r="D2858" s="1">
        <v>43245</v>
      </c>
    </row>
    <row r="2859" spans="1:4" x14ac:dyDescent="0.25">
      <c r="A2859" t="s">
        <v>2573</v>
      </c>
      <c r="C2859" t="s">
        <v>11</v>
      </c>
      <c r="D2859" s="1">
        <v>43225</v>
      </c>
    </row>
    <row r="2860" spans="1:4" x14ac:dyDescent="0.25">
      <c r="A2860" t="s">
        <v>1453</v>
      </c>
      <c r="C2860" t="s">
        <v>11</v>
      </c>
      <c r="D2860" s="1">
        <v>43235</v>
      </c>
    </row>
    <row r="2861" spans="1:4" x14ac:dyDescent="0.25">
      <c r="A2861" t="s">
        <v>1292</v>
      </c>
      <c r="C2861" t="s">
        <v>11</v>
      </c>
      <c r="D2861" s="1">
        <v>43235</v>
      </c>
    </row>
    <row r="2862" spans="1:4" x14ac:dyDescent="0.25">
      <c r="A2862" t="s">
        <v>1377</v>
      </c>
      <c r="C2862" t="s">
        <v>11</v>
      </c>
      <c r="D2862" s="1">
        <v>43235</v>
      </c>
    </row>
    <row r="2863" spans="1:4" x14ac:dyDescent="0.25">
      <c r="A2863" t="s">
        <v>2574</v>
      </c>
      <c r="C2863" t="s">
        <v>11</v>
      </c>
      <c r="D2863" s="1">
        <v>43237</v>
      </c>
    </row>
    <row r="2864" spans="1:4" x14ac:dyDescent="0.25">
      <c r="A2864" t="s">
        <v>2575</v>
      </c>
      <c r="C2864" t="s">
        <v>11</v>
      </c>
      <c r="D2864" s="1">
        <v>43227</v>
      </c>
    </row>
    <row r="2865" spans="1:4" x14ac:dyDescent="0.25">
      <c r="A2865" t="s">
        <v>2576</v>
      </c>
      <c r="C2865" t="s">
        <v>11</v>
      </c>
      <c r="D2865" s="1">
        <v>43235</v>
      </c>
    </row>
    <row r="2866" spans="1:4" x14ac:dyDescent="0.25">
      <c r="A2866" t="s">
        <v>2577</v>
      </c>
      <c r="C2866" t="s">
        <v>11</v>
      </c>
      <c r="D2866" s="1">
        <v>43244</v>
      </c>
    </row>
    <row r="2867" spans="1:4" x14ac:dyDescent="0.25">
      <c r="A2867" t="s">
        <v>1485</v>
      </c>
      <c r="C2867" t="s">
        <v>11</v>
      </c>
      <c r="D2867" s="1">
        <v>43235</v>
      </c>
    </row>
    <row r="2868" spans="1:4" x14ac:dyDescent="0.25">
      <c r="A2868" t="s">
        <v>2578</v>
      </c>
      <c r="C2868" t="s">
        <v>11</v>
      </c>
      <c r="D2868" s="1">
        <v>43235</v>
      </c>
    </row>
    <row r="2869" spans="1:4" x14ac:dyDescent="0.25">
      <c r="A2869" t="s">
        <v>617</v>
      </c>
      <c r="C2869" t="s">
        <v>11</v>
      </c>
      <c r="D2869" s="1">
        <v>43244</v>
      </c>
    </row>
    <row r="2870" spans="1:4" x14ac:dyDescent="0.25">
      <c r="A2870" t="s">
        <v>1445</v>
      </c>
      <c r="C2870" t="s">
        <v>11</v>
      </c>
      <c r="D2870" s="1">
        <v>43231</v>
      </c>
    </row>
    <row r="2871" spans="1:4" x14ac:dyDescent="0.25">
      <c r="A2871" t="s">
        <v>620</v>
      </c>
      <c r="C2871" t="s">
        <v>11</v>
      </c>
      <c r="D2871" s="1">
        <v>43232</v>
      </c>
    </row>
    <row r="2872" spans="1:4" x14ac:dyDescent="0.25">
      <c r="A2872" t="s">
        <v>2579</v>
      </c>
      <c r="C2872" t="s">
        <v>11</v>
      </c>
      <c r="D2872" s="1">
        <v>43225</v>
      </c>
    </row>
    <row r="2873" spans="1:4" x14ac:dyDescent="0.25">
      <c r="A2873" t="s">
        <v>1384</v>
      </c>
      <c r="C2873" t="s">
        <v>11</v>
      </c>
      <c r="D2873" s="1">
        <v>43235</v>
      </c>
    </row>
    <row r="2874" spans="1:4" x14ac:dyDescent="0.25">
      <c r="A2874" t="s">
        <v>2580</v>
      </c>
      <c r="C2874" t="s">
        <v>11</v>
      </c>
      <c r="D2874" s="1">
        <v>43235</v>
      </c>
    </row>
    <row r="2875" spans="1:4" x14ac:dyDescent="0.25">
      <c r="A2875" t="s">
        <v>2581</v>
      </c>
      <c r="C2875" t="s">
        <v>11</v>
      </c>
      <c r="D2875" s="1">
        <v>43235</v>
      </c>
    </row>
    <row r="2876" spans="1:4" x14ac:dyDescent="0.25">
      <c r="A2876" t="s">
        <v>1624</v>
      </c>
      <c r="C2876" t="s">
        <v>11</v>
      </c>
      <c r="D2876" s="1">
        <v>43235</v>
      </c>
    </row>
    <row r="2877" spans="1:4" x14ac:dyDescent="0.25">
      <c r="A2877" t="s">
        <v>2582</v>
      </c>
      <c r="C2877" t="s">
        <v>11</v>
      </c>
      <c r="D2877" s="1">
        <v>43222</v>
      </c>
    </row>
    <row r="2878" spans="1:4" x14ac:dyDescent="0.25">
      <c r="A2878" t="s">
        <v>2583</v>
      </c>
      <c r="C2878" t="s">
        <v>11</v>
      </c>
      <c r="D2878" s="1">
        <v>43224</v>
      </c>
    </row>
    <row r="2879" spans="1:4" x14ac:dyDescent="0.25">
      <c r="A2879" t="s">
        <v>1544</v>
      </c>
      <c r="C2879" t="s">
        <v>11</v>
      </c>
      <c r="D2879" s="1">
        <v>43231</v>
      </c>
    </row>
    <row r="2880" spans="1:4" x14ac:dyDescent="0.25">
      <c r="A2880" t="s">
        <v>2584</v>
      </c>
      <c r="C2880" t="s">
        <v>11</v>
      </c>
      <c r="D2880" s="1">
        <v>43236</v>
      </c>
    </row>
    <row r="2881" spans="1:4" x14ac:dyDescent="0.25">
      <c r="A2881" t="s">
        <v>1136</v>
      </c>
      <c r="C2881" t="s">
        <v>11</v>
      </c>
      <c r="D2881" s="1">
        <v>43235</v>
      </c>
    </row>
    <row r="2882" spans="1:4" x14ac:dyDescent="0.25">
      <c r="A2882" t="s">
        <v>1408</v>
      </c>
      <c r="C2882" t="s">
        <v>11</v>
      </c>
      <c r="D2882" s="1">
        <v>43235</v>
      </c>
    </row>
    <row r="2883" spans="1:4" x14ac:dyDescent="0.25">
      <c r="A2883" t="s">
        <v>1667</v>
      </c>
      <c r="C2883" t="s">
        <v>11</v>
      </c>
      <c r="D2883" s="1">
        <v>43235</v>
      </c>
    </row>
    <row r="2884" spans="1:4" x14ac:dyDescent="0.25">
      <c r="A2884" t="s">
        <v>2585</v>
      </c>
      <c r="C2884" t="s">
        <v>11</v>
      </c>
      <c r="D2884" s="1">
        <v>43243</v>
      </c>
    </row>
    <row r="2885" spans="1:4" x14ac:dyDescent="0.25">
      <c r="A2885" t="s">
        <v>2586</v>
      </c>
      <c r="C2885" t="s">
        <v>11</v>
      </c>
      <c r="D2885" s="1">
        <v>43225</v>
      </c>
    </row>
    <row r="2886" spans="1:4" x14ac:dyDescent="0.25">
      <c r="A2886" t="s">
        <v>1373</v>
      </c>
      <c r="C2886" t="s">
        <v>11</v>
      </c>
      <c r="D2886" s="1">
        <v>43235</v>
      </c>
    </row>
    <row r="2887" spans="1:4" x14ac:dyDescent="0.25">
      <c r="A2887" t="s">
        <v>2587</v>
      </c>
      <c r="C2887" t="s">
        <v>11</v>
      </c>
      <c r="D2887" s="1">
        <v>43221</v>
      </c>
    </row>
    <row r="2888" spans="1:4" x14ac:dyDescent="0.25">
      <c r="A2888" t="s">
        <v>743</v>
      </c>
      <c r="C2888" t="s">
        <v>11</v>
      </c>
      <c r="D2888" s="1">
        <v>43232</v>
      </c>
    </row>
    <row r="2889" spans="1:4" x14ac:dyDescent="0.25">
      <c r="A2889" t="s">
        <v>2588</v>
      </c>
      <c r="C2889" t="s">
        <v>11</v>
      </c>
      <c r="D2889" s="1">
        <v>43245</v>
      </c>
    </row>
    <row r="2890" spans="1:4" x14ac:dyDescent="0.25">
      <c r="A2890" t="s">
        <v>2589</v>
      </c>
      <c r="C2890" t="s">
        <v>11</v>
      </c>
      <c r="D2890" s="1">
        <v>43235</v>
      </c>
    </row>
    <row r="2891" spans="1:4" x14ac:dyDescent="0.25">
      <c r="A2891" t="s">
        <v>2590</v>
      </c>
      <c r="C2891" t="s">
        <v>11</v>
      </c>
      <c r="D2891" s="1">
        <v>43225</v>
      </c>
    </row>
    <row r="2892" spans="1:4" x14ac:dyDescent="0.25">
      <c r="A2892" t="s">
        <v>777</v>
      </c>
      <c r="C2892" t="s">
        <v>11</v>
      </c>
      <c r="D2892" s="1">
        <v>43245</v>
      </c>
    </row>
    <row r="2893" spans="1:4" x14ac:dyDescent="0.25">
      <c r="A2893" t="s">
        <v>2591</v>
      </c>
      <c r="C2893" t="s">
        <v>11</v>
      </c>
      <c r="D2893" s="1">
        <v>43236</v>
      </c>
    </row>
    <row r="2894" spans="1:4" x14ac:dyDescent="0.25">
      <c r="A2894" t="s">
        <v>2592</v>
      </c>
      <c r="C2894" t="s">
        <v>11</v>
      </c>
      <c r="D2894" s="1">
        <v>43225</v>
      </c>
    </row>
    <row r="2895" spans="1:4" x14ac:dyDescent="0.25">
      <c r="A2895" t="s">
        <v>1074</v>
      </c>
      <c r="C2895" t="s">
        <v>11</v>
      </c>
      <c r="D2895" s="1">
        <v>43235</v>
      </c>
    </row>
    <row r="2896" spans="1:4" x14ac:dyDescent="0.25">
      <c r="A2896" t="s">
        <v>1352</v>
      </c>
      <c r="C2896" t="s">
        <v>11</v>
      </c>
      <c r="D2896" s="1">
        <v>43235</v>
      </c>
    </row>
    <row r="2897" spans="1:4" x14ac:dyDescent="0.25">
      <c r="A2897" t="s">
        <v>2593</v>
      </c>
      <c r="C2897" t="s">
        <v>11</v>
      </c>
      <c r="D2897" s="1">
        <v>43235</v>
      </c>
    </row>
    <row r="2898" spans="1:4" x14ac:dyDescent="0.25">
      <c r="A2898" t="s">
        <v>2594</v>
      </c>
      <c r="C2898" t="s">
        <v>11</v>
      </c>
      <c r="D2898" s="1">
        <v>43225</v>
      </c>
    </row>
    <row r="2899" spans="1:4" x14ac:dyDescent="0.25">
      <c r="A2899" t="s">
        <v>1616</v>
      </c>
      <c r="C2899" t="s">
        <v>11</v>
      </c>
      <c r="D2899" s="1">
        <v>43235</v>
      </c>
    </row>
    <row r="2900" spans="1:4" x14ac:dyDescent="0.25">
      <c r="A2900" t="s">
        <v>1548</v>
      </c>
      <c r="C2900" t="s">
        <v>11</v>
      </c>
      <c r="D2900" s="1">
        <v>43235</v>
      </c>
    </row>
    <row r="2901" spans="1:4" x14ac:dyDescent="0.25">
      <c r="A2901" t="s">
        <v>1390</v>
      </c>
      <c r="C2901" t="s">
        <v>11</v>
      </c>
      <c r="D2901" s="1">
        <v>43245</v>
      </c>
    </row>
    <row r="2902" spans="1:4" x14ac:dyDescent="0.25">
      <c r="A2902" t="s">
        <v>1326</v>
      </c>
      <c r="C2902" t="s">
        <v>11</v>
      </c>
      <c r="D2902" s="1">
        <v>43235</v>
      </c>
    </row>
    <row r="2903" spans="1:4" x14ac:dyDescent="0.25">
      <c r="A2903" t="s">
        <v>2595</v>
      </c>
      <c r="C2903" t="s">
        <v>11</v>
      </c>
      <c r="D2903" s="1">
        <v>43236</v>
      </c>
    </row>
    <row r="2904" spans="1:4" x14ac:dyDescent="0.25">
      <c r="A2904" t="s">
        <v>2596</v>
      </c>
      <c r="C2904" t="s">
        <v>11</v>
      </c>
      <c r="D2904" s="1">
        <v>43225</v>
      </c>
    </row>
    <row r="2905" spans="1:4" x14ac:dyDescent="0.25">
      <c r="A2905" t="s">
        <v>1226</v>
      </c>
      <c r="C2905" t="s">
        <v>11</v>
      </c>
      <c r="D2905" s="1">
        <v>43235</v>
      </c>
    </row>
    <row r="2906" spans="1:4" x14ac:dyDescent="0.25">
      <c r="A2906" t="s">
        <v>1507</v>
      </c>
      <c r="C2906" t="s">
        <v>11</v>
      </c>
      <c r="D2906" s="1">
        <v>43235</v>
      </c>
    </row>
    <row r="2907" spans="1:4" x14ac:dyDescent="0.25">
      <c r="A2907" t="s">
        <v>519</v>
      </c>
      <c r="C2907" t="s">
        <v>11</v>
      </c>
      <c r="D2907" s="1">
        <v>43245</v>
      </c>
    </row>
    <row r="2908" spans="1:4" x14ac:dyDescent="0.25">
      <c r="A2908" t="s">
        <v>2597</v>
      </c>
      <c r="C2908" t="s">
        <v>11</v>
      </c>
      <c r="D2908" s="1">
        <v>43238</v>
      </c>
    </row>
    <row r="2909" spans="1:4" x14ac:dyDescent="0.25">
      <c r="A2909" t="s">
        <v>1255</v>
      </c>
      <c r="C2909" t="s">
        <v>11</v>
      </c>
      <c r="D2909" s="1">
        <v>43221</v>
      </c>
    </row>
    <row r="2910" spans="1:4" x14ac:dyDescent="0.25">
      <c r="A2910" t="s">
        <v>2598</v>
      </c>
      <c r="C2910" t="s">
        <v>11</v>
      </c>
      <c r="D2910" s="1">
        <v>43225</v>
      </c>
    </row>
    <row r="2911" spans="1:4" x14ac:dyDescent="0.25">
      <c r="A2911" t="s">
        <v>1285</v>
      </c>
      <c r="C2911" t="s">
        <v>11</v>
      </c>
      <c r="D2911" s="1">
        <v>43235</v>
      </c>
    </row>
    <row r="2912" spans="1:4" x14ac:dyDescent="0.25">
      <c r="A2912" t="s">
        <v>2599</v>
      </c>
      <c r="C2912" t="s">
        <v>11</v>
      </c>
      <c r="D2912" s="1">
        <v>43235</v>
      </c>
    </row>
    <row r="2913" spans="1:4" x14ac:dyDescent="0.25">
      <c r="A2913" t="s">
        <v>2600</v>
      </c>
      <c r="C2913" t="s">
        <v>11</v>
      </c>
      <c r="D2913" s="1">
        <v>43227</v>
      </c>
    </row>
    <row r="2914" spans="1:4" x14ac:dyDescent="0.25">
      <c r="A2914" t="s">
        <v>2601</v>
      </c>
      <c r="C2914" t="s">
        <v>11</v>
      </c>
      <c r="D2914" s="1">
        <v>43226</v>
      </c>
    </row>
    <row r="2915" spans="1:4" x14ac:dyDescent="0.25">
      <c r="A2915" t="s">
        <v>2602</v>
      </c>
      <c r="C2915" t="s">
        <v>11</v>
      </c>
      <c r="D2915" s="1">
        <v>43235</v>
      </c>
    </row>
    <row r="2916" spans="1:4" x14ac:dyDescent="0.25">
      <c r="A2916" t="s">
        <v>2603</v>
      </c>
      <c r="C2916" t="s">
        <v>11</v>
      </c>
      <c r="D2916" s="1">
        <v>43245</v>
      </c>
    </row>
    <row r="2917" spans="1:4" x14ac:dyDescent="0.25">
      <c r="A2917" t="s">
        <v>1385</v>
      </c>
      <c r="C2917" t="s">
        <v>11</v>
      </c>
      <c r="D2917" s="1">
        <v>43244</v>
      </c>
    </row>
    <row r="2918" spans="1:4" x14ac:dyDescent="0.25">
      <c r="A2918" t="s">
        <v>2604</v>
      </c>
      <c r="C2918" t="s">
        <v>11</v>
      </c>
      <c r="D2918" s="1">
        <v>43227</v>
      </c>
    </row>
    <row r="2919" spans="1:4" x14ac:dyDescent="0.25">
      <c r="A2919" t="s">
        <v>2605</v>
      </c>
      <c r="C2919" t="s">
        <v>11</v>
      </c>
      <c r="D2919" s="1">
        <v>43225</v>
      </c>
    </row>
    <row r="2920" spans="1:4" x14ac:dyDescent="0.25">
      <c r="A2920" t="s">
        <v>2606</v>
      </c>
      <c r="C2920" t="s">
        <v>11</v>
      </c>
      <c r="D2920" s="1">
        <v>43236</v>
      </c>
    </row>
    <row r="2921" spans="1:4" x14ac:dyDescent="0.25">
      <c r="A2921" t="s">
        <v>1339</v>
      </c>
      <c r="C2921" t="s">
        <v>11</v>
      </c>
      <c r="D2921" s="1">
        <v>43221</v>
      </c>
    </row>
    <row r="2922" spans="1:4" x14ac:dyDescent="0.25">
      <c r="A2922" t="s">
        <v>867</v>
      </c>
      <c r="C2922" t="s">
        <v>11</v>
      </c>
      <c r="D2922" s="1">
        <v>43223</v>
      </c>
    </row>
    <row r="2923" spans="1:4" x14ac:dyDescent="0.25">
      <c r="A2923" t="s">
        <v>586</v>
      </c>
      <c r="C2923" t="s">
        <v>11</v>
      </c>
      <c r="D2923" s="1">
        <v>43225</v>
      </c>
    </row>
    <row r="2924" spans="1:4" x14ac:dyDescent="0.25">
      <c r="A2924" t="s">
        <v>958</v>
      </c>
      <c r="C2924" t="s">
        <v>11</v>
      </c>
      <c r="D2924" s="1">
        <v>43235</v>
      </c>
    </row>
    <row r="2925" spans="1:4" x14ac:dyDescent="0.25">
      <c r="A2925" t="s">
        <v>1291</v>
      </c>
      <c r="C2925" t="s">
        <v>11</v>
      </c>
      <c r="D2925" s="1">
        <v>43235</v>
      </c>
    </row>
    <row r="2926" spans="1:4" x14ac:dyDescent="0.25">
      <c r="A2926" t="s">
        <v>2607</v>
      </c>
      <c r="C2926" t="s">
        <v>11</v>
      </c>
      <c r="D2926" s="1">
        <v>43225</v>
      </c>
    </row>
    <row r="2927" spans="1:4" x14ac:dyDescent="0.25">
      <c r="A2927" t="s">
        <v>2608</v>
      </c>
      <c r="C2927" t="s">
        <v>11</v>
      </c>
      <c r="D2927" s="1">
        <v>43226</v>
      </c>
    </row>
    <row r="2928" spans="1:4" x14ac:dyDescent="0.25">
      <c r="A2928" t="s">
        <v>1241</v>
      </c>
      <c r="C2928" t="s">
        <v>11</v>
      </c>
      <c r="D2928" s="1">
        <v>43235</v>
      </c>
    </row>
    <row r="2929" spans="1:4" x14ac:dyDescent="0.25">
      <c r="A2929" t="s">
        <v>1613</v>
      </c>
      <c r="C2929" t="s">
        <v>11</v>
      </c>
      <c r="D2929" s="1">
        <v>43223</v>
      </c>
    </row>
    <row r="2930" spans="1:4" x14ac:dyDescent="0.25">
      <c r="A2930" t="s">
        <v>2609</v>
      </c>
      <c r="C2930" t="s">
        <v>11</v>
      </c>
      <c r="D2930" s="1">
        <v>43227</v>
      </c>
    </row>
    <row r="2931" spans="1:4" x14ac:dyDescent="0.25">
      <c r="A2931" t="s">
        <v>2610</v>
      </c>
      <c r="C2931" t="s">
        <v>11</v>
      </c>
      <c r="D2931" s="1">
        <v>43238</v>
      </c>
    </row>
    <row r="2932" spans="1:4" x14ac:dyDescent="0.25">
      <c r="A2932" t="s">
        <v>1452</v>
      </c>
      <c r="C2932" t="s">
        <v>11</v>
      </c>
      <c r="D2932" s="1">
        <v>43235</v>
      </c>
    </row>
    <row r="2933" spans="1:4" x14ac:dyDescent="0.25">
      <c r="A2933" t="s">
        <v>724</v>
      </c>
      <c r="C2933" t="s">
        <v>11</v>
      </c>
      <c r="D2933" s="1">
        <v>43244</v>
      </c>
    </row>
    <row r="2934" spans="1:4" x14ac:dyDescent="0.25">
      <c r="A2934" t="s">
        <v>1511</v>
      </c>
      <c r="C2934" t="s">
        <v>11</v>
      </c>
      <c r="D2934" s="1">
        <v>43235</v>
      </c>
    </row>
    <row r="2935" spans="1:4" x14ac:dyDescent="0.25">
      <c r="A2935" t="s">
        <v>1531</v>
      </c>
      <c r="C2935" t="s">
        <v>11</v>
      </c>
      <c r="D2935" s="1">
        <v>43235</v>
      </c>
    </row>
    <row r="2936" spans="1:4" x14ac:dyDescent="0.25">
      <c r="A2936" t="s">
        <v>2611</v>
      </c>
      <c r="C2936" t="s">
        <v>11</v>
      </c>
      <c r="D2936" s="1">
        <v>43222</v>
      </c>
    </row>
    <row r="2937" spans="1:4" x14ac:dyDescent="0.25">
      <c r="A2937" t="s">
        <v>950</v>
      </c>
      <c r="C2937" t="s">
        <v>11</v>
      </c>
      <c r="D2937" s="1">
        <v>43235</v>
      </c>
    </row>
    <row r="2938" spans="1:4" x14ac:dyDescent="0.25">
      <c r="A2938" t="s">
        <v>1537</v>
      </c>
      <c r="C2938" t="s">
        <v>11</v>
      </c>
      <c r="D2938" s="1">
        <v>43235</v>
      </c>
    </row>
    <row r="2939" spans="1:4" x14ac:dyDescent="0.25">
      <c r="A2939" t="s">
        <v>2612</v>
      </c>
      <c r="C2939" t="s">
        <v>11</v>
      </c>
      <c r="D2939" s="1">
        <v>43225</v>
      </c>
    </row>
    <row r="2940" spans="1:4" x14ac:dyDescent="0.25">
      <c r="A2940" t="s">
        <v>2613</v>
      </c>
      <c r="C2940" t="s">
        <v>11</v>
      </c>
      <c r="D2940" s="1">
        <v>43235</v>
      </c>
    </row>
    <row r="2941" spans="1:4" x14ac:dyDescent="0.25">
      <c r="A2941" t="s">
        <v>2614</v>
      </c>
      <c r="C2941" t="s">
        <v>11</v>
      </c>
      <c r="D2941" s="1">
        <v>43235</v>
      </c>
    </row>
    <row r="2942" spans="1:4" x14ac:dyDescent="0.25">
      <c r="A2942" t="s">
        <v>2615</v>
      </c>
      <c r="C2942" t="s">
        <v>11</v>
      </c>
      <c r="D2942" s="1">
        <v>43245</v>
      </c>
    </row>
    <row r="2943" spans="1:4" x14ac:dyDescent="0.25">
      <c r="A2943" t="s">
        <v>2616</v>
      </c>
      <c r="C2943" t="s">
        <v>11</v>
      </c>
      <c r="D2943" s="1">
        <v>43235</v>
      </c>
    </row>
    <row r="2944" spans="1:4" x14ac:dyDescent="0.25">
      <c r="A2944" t="s">
        <v>510</v>
      </c>
      <c r="C2944" t="s">
        <v>11</v>
      </c>
      <c r="D2944" s="1">
        <v>43244</v>
      </c>
    </row>
    <row r="2945" spans="1:4" x14ac:dyDescent="0.25">
      <c r="A2945" t="s">
        <v>2617</v>
      </c>
      <c r="C2945" t="s">
        <v>11</v>
      </c>
      <c r="D2945" s="1">
        <v>43225</v>
      </c>
    </row>
    <row r="2946" spans="1:4" x14ac:dyDescent="0.25">
      <c r="A2946" t="s">
        <v>1426</v>
      </c>
      <c r="C2946" t="s">
        <v>11</v>
      </c>
      <c r="D2946" s="1">
        <v>43237</v>
      </c>
    </row>
    <row r="2947" spans="1:4" x14ac:dyDescent="0.25">
      <c r="A2947" t="s">
        <v>2618</v>
      </c>
      <c r="C2947" t="s">
        <v>11</v>
      </c>
      <c r="D2947" s="1">
        <v>43225</v>
      </c>
    </row>
    <row r="2948" spans="1:4" x14ac:dyDescent="0.25">
      <c r="A2948" t="s">
        <v>2619</v>
      </c>
      <c r="C2948" t="s">
        <v>11</v>
      </c>
      <c r="D2948" s="1">
        <v>43227</v>
      </c>
    </row>
    <row r="2949" spans="1:4" x14ac:dyDescent="0.25">
      <c r="A2949" t="s">
        <v>1633</v>
      </c>
      <c r="C2949" t="s">
        <v>11</v>
      </c>
      <c r="D2949" s="1">
        <v>43235</v>
      </c>
    </row>
    <row r="2950" spans="1:4" x14ac:dyDescent="0.25">
      <c r="A2950" t="s">
        <v>1583</v>
      </c>
      <c r="C2950" t="s">
        <v>11</v>
      </c>
      <c r="D2950" s="1">
        <v>43223</v>
      </c>
    </row>
    <row r="2951" spans="1:4" x14ac:dyDescent="0.25">
      <c r="A2951" t="s">
        <v>1471</v>
      </c>
      <c r="C2951" t="s">
        <v>11</v>
      </c>
      <c r="D2951" s="1">
        <v>43244</v>
      </c>
    </row>
    <row r="2952" spans="1:4" x14ac:dyDescent="0.25">
      <c r="A2952" t="s">
        <v>2620</v>
      </c>
      <c r="C2952" t="s">
        <v>11</v>
      </c>
      <c r="D2952" s="1">
        <v>43222</v>
      </c>
    </row>
    <row r="2953" spans="1:4" x14ac:dyDescent="0.25">
      <c r="A2953" t="s">
        <v>1534</v>
      </c>
      <c r="C2953" t="s">
        <v>11</v>
      </c>
      <c r="D2953" s="1">
        <v>43235</v>
      </c>
    </row>
    <row r="2954" spans="1:4" x14ac:dyDescent="0.25">
      <c r="A2954" t="s">
        <v>1458</v>
      </c>
      <c r="C2954" t="s">
        <v>11</v>
      </c>
      <c r="D2954" s="1">
        <v>43235</v>
      </c>
    </row>
    <row r="2955" spans="1:4" x14ac:dyDescent="0.25">
      <c r="A2955" t="s">
        <v>1394</v>
      </c>
      <c r="C2955" t="s">
        <v>11</v>
      </c>
      <c r="D2955" s="1">
        <v>43235</v>
      </c>
    </row>
    <row r="2956" spans="1:4" x14ac:dyDescent="0.25">
      <c r="A2956" t="s">
        <v>2621</v>
      </c>
      <c r="C2956" t="s">
        <v>11</v>
      </c>
      <c r="D2956" s="1">
        <v>43245</v>
      </c>
    </row>
    <row r="2957" spans="1:4" x14ac:dyDescent="0.25">
      <c r="A2957" t="s">
        <v>1479</v>
      </c>
      <c r="C2957" t="s">
        <v>11</v>
      </c>
      <c r="D2957" s="1">
        <v>43235</v>
      </c>
    </row>
    <row r="2958" spans="1:4" x14ac:dyDescent="0.25">
      <c r="A2958" t="s">
        <v>1617</v>
      </c>
      <c r="C2958" t="s">
        <v>11</v>
      </c>
      <c r="D2958" s="1">
        <v>43235</v>
      </c>
    </row>
    <row r="2959" spans="1:4" x14ac:dyDescent="0.25">
      <c r="A2959" t="s">
        <v>1231</v>
      </c>
      <c r="C2959" t="s">
        <v>11</v>
      </c>
      <c r="D2959" s="1">
        <v>43235</v>
      </c>
    </row>
    <row r="2960" spans="1:4" x14ac:dyDescent="0.25">
      <c r="A2960" t="s">
        <v>2622</v>
      </c>
      <c r="C2960" t="s">
        <v>11</v>
      </c>
      <c r="D2960" s="1">
        <v>43222</v>
      </c>
    </row>
    <row r="2961" spans="1:4" x14ac:dyDescent="0.25">
      <c r="A2961" t="s">
        <v>744</v>
      </c>
      <c r="C2961" t="s">
        <v>11</v>
      </c>
      <c r="D2961" s="1">
        <v>43225</v>
      </c>
    </row>
    <row r="2962" spans="1:4" x14ac:dyDescent="0.25">
      <c r="A2962" t="s">
        <v>2623</v>
      </c>
      <c r="C2962" t="s">
        <v>11</v>
      </c>
      <c r="D2962" s="1">
        <v>43235</v>
      </c>
    </row>
    <row r="2963" spans="1:4" x14ac:dyDescent="0.25">
      <c r="A2963" t="s">
        <v>2624</v>
      </c>
      <c r="C2963" t="s">
        <v>11</v>
      </c>
      <c r="D2963" s="1">
        <v>43230</v>
      </c>
    </row>
    <row r="2964" spans="1:4" x14ac:dyDescent="0.25">
      <c r="A2964" t="s">
        <v>742</v>
      </c>
      <c r="C2964" t="s">
        <v>11</v>
      </c>
      <c r="D2964" s="1">
        <v>43225</v>
      </c>
    </row>
    <row r="2965" spans="1:4" x14ac:dyDescent="0.25">
      <c r="A2965" t="s">
        <v>1592</v>
      </c>
      <c r="C2965" t="s">
        <v>11</v>
      </c>
      <c r="D2965" s="1">
        <v>43235</v>
      </c>
    </row>
    <row r="2966" spans="1:4" x14ac:dyDescent="0.25">
      <c r="A2966" t="s">
        <v>2625</v>
      </c>
      <c r="C2966" t="s">
        <v>11</v>
      </c>
      <c r="D2966" s="1">
        <v>43235</v>
      </c>
    </row>
    <row r="2967" spans="1:4" x14ac:dyDescent="0.25">
      <c r="A2967" t="s">
        <v>2626</v>
      </c>
      <c r="C2967" t="s">
        <v>11</v>
      </c>
      <c r="D2967" s="1">
        <v>43225</v>
      </c>
    </row>
    <row r="2968" spans="1:4" x14ac:dyDescent="0.25">
      <c r="A2968" t="s">
        <v>1410</v>
      </c>
      <c r="C2968" t="s">
        <v>11</v>
      </c>
      <c r="D2968" s="1">
        <v>43235</v>
      </c>
    </row>
    <row r="2969" spans="1:4" x14ac:dyDescent="0.25">
      <c r="A2969" t="s">
        <v>1393</v>
      </c>
      <c r="C2969" t="s">
        <v>11</v>
      </c>
      <c r="D2969" s="1">
        <v>43235</v>
      </c>
    </row>
    <row r="2970" spans="1:4" x14ac:dyDescent="0.25">
      <c r="A2970" t="s">
        <v>2627</v>
      </c>
      <c r="C2970" t="s">
        <v>11</v>
      </c>
      <c r="D2970" s="1">
        <v>43227</v>
      </c>
    </row>
    <row r="2971" spans="1:4" x14ac:dyDescent="0.25">
      <c r="A2971" t="s">
        <v>2628</v>
      </c>
      <c r="C2971" t="s">
        <v>11</v>
      </c>
      <c r="D2971" s="1">
        <v>43222</v>
      </c>
    </row>
    <row r="2972" spans="1:4" x14ac:dyDescent="0.25">
      <c r="A2972" t="s">
        <v>2629</v>
      </c>
      <c r="C2972" t="s">
        <v>11</v>
      </c>
      <c r="D2972" s="1">
        <v>43221</v>
      </c>
    </row>
    <row r="2973" spans="1:4" x14ac:dyDescent="0.25">
      <c r="A2973" t="s">
        <v>2630</v>
      </c>
      <c r="C2973" t="s">
        <v>11</v>
      </c>
      <c r="D2973" s="1">
        <v>43244</v>
      </c>
    </row>
    <row r="2974" spans="1:4" x14ac:dyDescent="0.25">
      <c r="A2974" t="s">
        <v>2631</v>
      </c>
      <c r="C2974" t="s">
        <v>11</v>
      </c>
      <c r="D2974" s="1">
        <v>43225</v>
      </c>
    </row>
    <row r="2975" spans="1:4" x14ac:dyDescent="0.25">
      <c r="A2975" t="s">
        <v>1409</v>
      </c>
      <c r="C2975" t="s">
        <v>11</v>
      </c>
      <c r="D2975" s="1">
        <v>43235</v>
      </c>
    </row>
    <row r="2976" spans="1:4" x14ac:dyDescent="0.25">
      <c r="A2976" t="s">
        <v>2632</v>
      </c>
      <c r="C2976" t="s">
        <v>11</v>
      </c>
      <c r="D2976" s="1">
        <v>43225</v>
      </c>
    </row>
    <row r="2977" spans="1:4" x14ac:dyDescent="0.25">
      <c r="A2977" t="s">
        <v>2633</v>
      </c>
      <c r="C2977" t="s">
        <v>11</v>
      </c>
      <c r="D2977" s="1">
        <v>43235</v>
      </c>
    </row>
    <row r="2978" spans="1:4" x14ac:dyDescent="0.25">
      <c r="A2978" t="s">
        <v>1598</v>
      </c>
      <c r="C2978" t="s">
        <v>11</v>
      </c>
      <c r="D2978" s="1">
        <v>43223</v>
      </c>
    </row>
    <row r="2979" spans="1:4" x14ac:dyDescent="0.25">
      <c r="A2979" t="s">
        <v>1372</v>
      </c>
      <c r="C2979" t="s">
        <v>11</v>
      </c>
      <c r="D2979" s="1">
        <v>43235</v>
      </c>
    </row>
    <row r="2980" spans="1:4" x14ac:dyDescent="0.25">
      <c r="A2980" t="s">
        <v>2634</v>
      </c>
      <c r="C2980" t="s">
        <v>11</v>
      </c>
      <c r="D2980" s="1">
        <v>43221</v>
      </c>
    </row>
    <row r="2981" spans="1:4" x14ac:dyDescent="0.25">
      <c r="A2981" t="s">
        <v>1538</v>
      </c>
      <c r="C2981" t="s">
        <v>11</v>
      </c>
      <c r="D2981" s="1">
        <v>43237</v>
      </c>
    </row>
    <row r="2982" spans="1:4" x14ac:dyDescent="0.25">
      <c r="A2982" t="s">
        <v>906</v>
      </c>
      <c r="C2982" t="s">
        <v>11</v>
      </c>
      <c r="D2982" s="1">
        <v>43245</v>
      </c>
    </row>
    <row r="2983" spans="1:4" x14ac:dyDescent="0.25">
      <c r="A2983" t="s">
        <v>2635</v>
      </c>
      <c r="C2983" t="s">
        <v>11</v>
      </c>
      <c r="D2983" s="1">
        <v>43235</v>
      </c>
    </row>
    <row r="2984" spans="1:4" x14ac:dyDescent="0.25">
      <c r="A2984" t="s">
        <v>2636</v>
      </c>
      <c r="C2984" t="s">
        <v>11</v>
      </c>
      <c r="D2984" s="1">
        <v>43235</v>
      </c>
    </row>
    <row r="2985" spans="1:4" x14ac:dyDescent="0.25">
      <c r="A2985" t="s">
        <v>2637</v>
      </c>
      <c r="C2985" t="s">
        <v>11</v>
      </c>
      <c r="D2985" s="1">
        <v>43237</v>
      </c>
    </row>
    <row r="2986" spans="1:4" x14ac:dyDescent="0.25">
      <c r="A2986" t="s">
        <v>2638</v>
      </c>
      <c r="C2986" t="s">
        <v>11</v>
      </c>
      <c r="D2986" s="1">
        <v>43235</v>
      </c>
    </row>
    <row r="2987" spans="1:4" x14ac:dyDescent="0.25">
      <c r="A2987" t="s">
        <v>1273</v>
      </c>
      <c r="C2987" t="s">
        <v>11</v>
      </c>
      <c r="D2987" s="1">
        <v>43235</v>
      </c>
    </row>
    <row r="2988" spans="1:4" x14ac:dyDescent="0.25">
      <c r="A2988" t="s">
        <v>1520</v>
      </c>
      <c r="C2988" t="s">
        <v>11</v>
      </c>
      <c r="D2988" s="1">
        <v>43235</v>
      </c>
    </row>
    <row r="2989" spans="1:4" x14ac:dyDescent="0.25">
      <c r="A2989" t="s">
        <v>1420</v>
      </c>
      <c r="C2989" t="s">
        <v>11</v>
      </c>
      <c r="D2989" s="1">
        <v>43235</v>
      </c>
    </row>
    <row r="2990" spans="1:4" x14ac:dyDescent="0.25">
      <c r="A2990" t="s">
        <v>1216</v>
      </c>
      <c r="C2990" t="s">
        <v>11</v>
      </c>
      <c r="D2990" s="1">
        <v>43221</v>
      </c>
    </row>
    <row r="2991" spans="1:4" x14ac:dyDescent="0.25">
      <c r="A2991" t="s">
        <v>1072</v>
      </c>
      <c r="C2991" t="s">
        <v>11</v>
      </c>
      <c r="D2991" s="1">
        <v>43235</v>
      </c>
    </row>
    <row r="2992" spans="1:4" x14ac:dyDescent="0.25">
      <c r="A2992" t="s">
        <v>1662</v>
      </c>
      <c r="C2992" t="s">
        <v>11</v>
      </c>
      <c r="D2992" s="1">
        <v>43235</v>
      </c>
    </row>
    <row r="2993" spans="1:4" x14ac:dyDescent="0.25">
      <c r="A2993" t="s">
        <v>2639</v>
      </c>
      <c r="C2993" t="s">
        <v>11</v>
      </c>
      <c r="D2993" s="1">
        <v>43226</v>
      </c>
    </row>
    <row r="2994" spans="1:4" x14ac:dyDescent="0.25">
      <c r="A2994" t="s">
        <v>1546</v>
      </c>
      <c r="C2994" t="s">
        <v>11</v>
      </c>
      <c r="D2994" s="1">
        <v>43235</v>
      </c>
    </row>
    <row r="2995" spans="1:4" x14ac:dyDescent="0.25">
      <c r="A2995" t="s">
        <v>1618</v>
      </c>
      <c r="C2995" t="s">
        <v>11</v>
      </c>
      <c r="D2995" s="1">
        <v>43235</v>
      </c>
    </row>
    <row r="2996" spans="1:4" x14ac:dyDescent="0.25">
      <c r="A2996" t="s">
        <v>2640</v>
      </c>
      <c r="C2996" t="s">
        <v>11</v>
      </c>
      <c r="D2996" s="1">
        <v>43227</v>
      </c>
    </row>
    <row r="2997" spans="1:4" x14ac:dyDescent="0.25">
      <c r="A2997" t="s">
        <v>1115</v>
      </c>
      <c r="C2997" t="s">
        <v>11</v>
      </c>
      <c r="D2997" s="1">
        <v>43225</v>
      </c>
    </row>
    <row r="2998" spans="1:4" x14ac:dyDescent="0.25">
      <c r="A2998" t="s">
        <v>2641</v>
      </c>
      <c r="C2998" t="s">
        <v>11</v>
      </c>
      <c r="D2998" s="1">
        <v>43244</v>
      </c>
    </row>
    <row r="2999" spans="1:4" x14ac:dyDescent="0.25">
      <c r="A2999" t="s">
        <v>2642</v>
      </c>
      <c r="C2999" t="s">
        <v>11</v>
      </c>
      <c r="D2999" s="1">
        <v>43237</v>
      </c>
    </row>
    <row r="3000" spans="1:4" x14ac:dyDescent="0.25">
      <c r="A3000" t="s">
        <v>1660</v>
      </c>
      <c r="C3000" t="s">
        <v>11</v>
      </c>
      <c r="D3000" s="1">
        <v>43235</v>
      </c>
    </row>
    <row r="3001" spans="1:4" x14ac:dyDescent="0.25">
      <c r="A3001" t="s">
        <v>1587</v>
      </c>
      <c r="C3001" t="s">
        <v>11</v>
      </c>
      <c r="D3001" s="1">
        <v>43223</v>
      </c>
    </row>
    <row r="3002" spans="1:4" x14ac:dyDescent="0.25">
      <c r="A3002" t="s">
        <v>2643</v>
      </c>
      <c r="C3002" t="s">
        <v>11</v>
      </c>
      <c r="D3002" s="1">
        <v>43243</v>
      </c>
    </row>
    <row r="3003" spans="1:4" x14ac:dyDescent="0.25">
      <c r="A3003" t="s">
        <v>2644</v>
      </c>
      <c r="C3003" t="s">
        <v>11</v>
      </c>
      <c r="D3003" s="1">
        <v>43244</v>
      </c>
    </row>
    <row r="3004" spans="1:4" x14ac:dyDescent="0.25">
      <c r="A3004" t="s">
        <v>1261</v>
      </c>
      <c r="C3004" t="s">
        <v>11</v>
      </c>
      <c r="D3004" s="1">
        <v>43224</v>
      </c>
    </row>
    <row r="3005" spans="1:4" x14ac:dyDescent="0.25">
      <c r="A3005" t="s">
        <v>831</v>
      </c>
      <c r="C3005" t="s">
        <v>11</v>
      </c>
      <c r="D3005" s="1">
        <v>43223</v>
      </c>
    </row>
    <row r="3006" spans="1:4" x14ac:dyDescent="0.25">
      <c r="A3006" t="s">
        <v>2645</v>
      </c>
      <c r="C3006" t="s">
        <v>11</v>
      </c>
      <c r="D3006" s="1">
        <v>43225</v>
      </c>
    </row>
    <row r="3007" spans="1:4" x14ac:dyDescent="0.25">
      <c r="A3007" t="s">
        <v>2646</v>
      </c>
      <c r="C3007" t="s">
        <v>11</v>
      </c>
      <c r="D3007" s="1">
        <v>43225</v>
      </c>
    </row>
    <row r="3008" spans="1:4" x14ac:dyDescent="0.25">
      <c r="A3008" t="s">
        <v>2647</v>
      </c>
      <c r="C3008" t="s">
        <v>11</v>
      </c>
      <c r="D3008" s="1">
        <v>43235</v>
      </c>
    </row>
    <row r="3009" spans="1:4" x14ac:dyDescent="0.25">
      <c r="A3009" t="s">
        <v>2648</v>
      </c>
      <c r="C3009" t="s">
        <v>11</v>
      </c>
      <c r="D3009" s="1">
        <v>43235</v>
      </c>
    </row>
    <row r="3010" spans="1:4" x14ac:dyDescent="0.25">
      <c r="A3010" t="s">
        <v>1020</v>
      </c>
      <c r="C3010" t="s">
        <v>11</v>
      </c>
      <c r="D3010" s="1">
        <v>43235</v>
      </c>
    </row>
    <row r="3011" spans="1:4" x14ac:dyDescent="0.25">
      <c r="A3011" t="s">
        <v>2649</v>
      </c>
      <c r="C3011" t="s">
        <v>11</v>
      </c>
      <c r="D3011" s="1">
        <v>43244</v>
      </c>
    </row>
    <row r="3012" spans="1:4" x14ac:dyDescent="0.25">
      <c r="A3012" t="s">
        <v>1475</v>
      </c>
      <c r="C3012" t="s">
        <v>11</v>
      </c>
      <c r="D3012" s="1">
        <v>43235</v>
      </c>
    </row>
    <row r="3013" spans="1:4" x14ac:dyDescent="0.25">
      <c r="A3013" t="s">
        <v>2650</v>
      </c>
      <c r="C3013" t="s">
        <v>11</v>
      </c>
      <c r="D3013" s="1">
        <v>43225</v>
      </c>
    </row>
    <row r="3014" spans="1:4" x14ac:dyDescent="0.25">
      <c r="A3014" t="s">
        <v>2651</v>
      </c>
      <c r="C3014" t="s">
        <v>11</v>
      </c>
      <c r="D3014" s="1">
        <v>43225</v>
      </c>
    </row>
    <row r="3015" spans="1:4" x14ac:dyDescent="0.25">
      <c r="A3015" t="s">
        <v>2652</v>
      </c>
      <c r="C3015" t="s">
        <v>11</v>
      </c>
      <c r="D3015" s="1">
        <v>43225</v>
      </c>
    </row>
    <row r="3016" spans="1:4" x14ac:dyDescent="0.25">
      <c r="A3016" t="s">
        <v>2653</v>
      </c>
      <c r="C3016" t="s">
        <v>11</v>
      </c>
      <c r="D3016" s="1">
        <v>43225</v>
      </c>
    </row>
    <row r="3017" spans="1:4" x14ac:dyDescent="0.25">
      <c r="A3017" t="s">
        <v>2654</v>
      </c>
      <c r="C3017" t="s">
        <v>11</v>
      </c>
      <c r="D3017" s="1">
        <v>43235</v>
      </c>
    </row>
    <row r="3018" spans="1:4" x14ac:dyDescent="0.25">
      <c r="A3018" t="s">
        <v>2655</v>
      </c>
      <c r="C3018" t="s">
        <v>11</v>
      </c>
      <c r="D3018" s="1">
        <v>43244</v>
      </c>
    </row>
    <row r="3019" spans="1:4" x14ac:dyDescent="0.25">
      <c r="A3019" t="s">
        <v>2656</v>
      </c>
      <c r="C3019" t="s">
        <v>11</v>
      </c>
      <c r="D3019" s="1">
        <v>43235</v>
      </c>
    </row>
    <row r="3020" spans="1:4" x14ac:dyDescent="0.25">
      <c r="A3020" t="s">
        <v>2657</v>
      </c>
      <c r="C3020" t="s">
        <v>11</v>
      </c>
      <c r="D3020" s="1">
        <v>43224</v>
      </c>
    </row>
    <row r="3021" spans="1:4" x14ac:dyDescent="0.25">
      <c r="A3021" t="s">
        <v>2658</v>
      </c>
      <c r="C3021" t="s">
        <v>11</v>
      </c>
      <c r="D3021" s="1">
        <v>43231</v>
      </c>
    </row>
    <row r="3022" spans="1:4" x14ac:dyDescent="0.25">
      <c r="A3022" t="s">
        <v>2659</v>
      </c>
      <c r="C3022" t="s">
        <v>11</v>
      </c>
      <c r="D3022" s="1">
        <v>43224</v>
      </c>
    </row>
    <row r="3023" spans="1:4" x14ac:dyDescent="0.25">
      <c r="A3023" t="s">
        <v>2660</v>
      </c>
      <c r="C3023" t="s">
        <v>11</v>
      </c>
      <c r="D3023" s="1">
        <v>43235</v>
      </c>
    </row>
    <row r="3024" spans="1:4" x14ac:dyDescent="0.25">
      <c r="A3024" t="s">
        <v>2661</v>
      </c>
      <c r="C3024" t="s">
        <v>11</v>
      </c>
      <c r="D3024" s="1">
        <v>43223</v>
      </c>
    </row>
    <row r="3025" spans="1:4" x14ac:dyDescent="0.25">
      <c r="A3025" t="s">
        <v>2662</v>
      </c>
      <c r="C3025" t="s">
        <v>11</v>
      </c>
      <c r="D3025" s="1">
        <v>43224</v>
      </c>
    </row>
    <row r="3026" spans="1:4" x14ac:dyDescent="0.25">
      <c r="A3026" t="s">
        <v>2663</v>
      </c>
      <c r="C3026" t="s">
        <v>11</v>
      </c>
      <c r="D3026" s="1">
        <v>43223</v>
      </c>
    </row>
    <row r="3027" spans="1:4" x14ac:dyDescent="0.25">
      <c r="A3027" t="s">
        <v>2664</v>
      </c>
      <c r="C3027" t="s">
        <v>11</v>
      </c>
      <c r="D3027" s="1">
        <v>43251</v>
      </c>
    </row>
    <row r="3028" spans="1:4" x14ac:dyDescent="0.25">
      <c r="A3028" t="s">
        <v>2665</v>
      </c>
      <c r="C3028" t="s">
        <v>11</v>
      </c>
      <c r="D3028" s="1">
        <v>43231</v>
      </c>
    </row>
    <row r="3029" spans="1:4" x14ac:dyDescent="0.25">
      <c r="A3029" t="s">
        <v>2666</v>
      </c>
      <c r="C3029" t="s">
        <v>11</v>
      </c>
      <c r="D3029" s="1">
        <v>43224</v>
      </c>
    </row>
    <row r="3030" spans="1:4" x14ac:dyDescent="0.25">
      <c r="A3030" t="s">
        <v>2667</v>
      </c>
      <c r="C3030" t="s">
        <v>11</v>
      </c>
      <c r="D3030" s="1">
        <v>43224</v>
      </c>
    </row>
    <row r="3031" spans="1:4" x14ac:dyDescent="0.25">
      <c r="A3031" t="s">
        <v>266</v>
      </c>
      <c r="C3031" t="s">
        <v>11</v>
      </c>
      <c r="D3031" s="1">
        <v>43251</v>
      </c>
    </row>
    <row r="3032" spans="1:4" x14ac:dyDescent="0.25">
      <c r="A3032" t="s">
        <v>348</v>
      </c>
      <c r="C3032" t="s">
        <v>11</v>
      </c>
      <c r="D3032" s="1">
        <v>43251</v>
      </c>
    </row>
    <row r="3033" spans="1:4" x14ac:dyDescent="0.25">
      <c r="A3033" t="s">
        <v>2668</v>
      </c>
      <c r="C3033" t="s">
        <v>11</v>
      </c>
      <c r="D3033" s="1">
        <v>43238</v>
      </c>
    </row>
    <row r="3034" spans="1:4" x14ac:dyDescent="0.25">
      <c r="A3034" t="s">
        <v>2669</v>
      </c>
      <c r="C3034" t="s">
        <v>11</v>
      </c>
      <c r="D3034" s="1">
        <v>43251</v>
      </c>
    </row>
    <row r="3035" spans="1:4" x14ac:dyDescent="0.25">
      <c r="A3035" t="s">
        <v>2670</v>
      </c>
      <c r="C3035" t="s">
        <v>11</v>
      </c>
      <c r="D3035" s="1">
        <v>43235</v>
      </c>
    </row>
    <row r="3036" spans="1:4" x14ac:dyDescent="0.25">
      <c r="A3036" t="s">
        <v>2671</v>
      </c>
      <c r="C3036" t="s">
        <v>11</v>
      </c>
      <c r="D3036" s="1">
        <v>43231</v>
      </c>
    </row>
    <row r="3037" spans="1:4" x14ac:dyDescent="0.25">
      <c r="A3037" t="s">
        <v>2672</v>
      </c>
      <c r="C3037" t="s">
        <v>11</v>
      </c>
      <c r="D3037" s="1">
        <v>43231</v>
      </c>
    </row>
    <row r="3038" spans="1:4" x14ac:dyDescent="0.25">
      <c r="A3038" t="s">
        <v>1263</v>
      </c>
      <c r="C3038" t="s">
        <v>11</v>
      </c>
      <c r="D3038" s="1">
        <v>43244</v>
      </c>
    </row>
    <row r="3039" spans="1:4" x14ac:dyDescent="0.25">
      <c r="A3039" t="s">
        <v>1652</v>
      </c>
      <c r="C3039" t="s">
        <v>11</v>
      </c>
      <c r="D3039" s="1">
        <v>43227</v>
      </c>
    </row>
    <row r="3040" spans="1:4" x14ac:dyDescent="0.25">
      <c r="A3040" t="s">
        <v>2673</v>
      </c>
      <c r="C3040" t="s">
        <v>11</v>
      </c>
      <c r="D3040" s="1">
        <v>43224</v>
      </c>
    </row>
    <row r="3041" spans="1:4" x14ac:dyDescent="0.25">
      <c r="A3041" t="s">
        <v>2674</v>
      </c>
      <c r="C3041" t="s">
        <v>11</v>
      </c>
      <c r="D3041" s="1">
        <v>43235</v>
      </c>
    </row>
    <row r="3042" spans="1:4" x14ac:dyDescent="0.25">
      <c r="A3042" t="s">
        <v>2675</v>
      </c>
      <c r="C3042" t="s">
        <v>11</v>
      </c>
      <c r="D3042" s="1">
        <v>43235</v>
      </c>
    </row>
    <row r="3043" spans="1:4" x14ac:dyDescent="0.25">
      <c r="A3043" t="s">
        <v>1586</v>
      </c>
      <c r="C3043" t="s">
        <v>11</v>
      </c>
      <c r="D3043" s="1">
        <v>43227</v>
      </c>
    </row>
    <row r="3044" spans="1:4" x14ac:dyDescent="0.25">
      <c r="A3044" t="s">
        <v>1407</v>
      </c>
      <c r="C3044" t="s">
        <v>11</v>
      </c>
      <c r="D3044" s="1">
        <v>43231</v>
      </c>
    </row>
    <row r="3045" spans="1:4" x14ac:dyDescent="0.25">
      <c r="A3045" t="s">
        <v>2676</v>
      </c>
      <c r="C3045" t="s">
        <v>11</v>
      </c>
      <c r="D3045" s="1">
        <v>43238</v>
      </c>
    </row>
    <row r="3046" spans="1:4" x14ac:dyDescent="0.25">
      <c r="A3046" t="s">
        <v>2677</v>
      </c>
      <c r="C3046" t="s">
        <v>11</v>
      </c>
      <c r="D3046" s="1">
        <v>43251</v>
      </c>
    </row>
    <row r="3047" spans="1:4" x14ac:dyDescent="0.25">
      <c r="A3047" t="s">
        <v>86</v>
      </c>
      <c r="C3047" t="s">
        <v>11</v>
      </c>
      <c r="D3047" s="1">
        <v>43251</v>
      </c>
    </row>
    <row r="3048" spans="1:4" x14ac:dyDescent="0.25">
      <c r="A3048" t="s">
        <v>1648</v>
      </c>
      <c r="C3048" t="s">
        <v>11</v>
      </c>
      <c r="D3048" s="1">
        <v>43237</v>
      </c>
    </row>
    <row r="3049" spans="1:4" x14ac:dyDescent="0.25">
      <c r="A3049" t="s">
        <v>2678</v>
      </c>
      <c r="C3049" t="s">
        <v>11</v>
      </c>
      <c r="D3049" s="1">
        <v>43230</v>
      </c>
    </row>
    <row r="3050" spans="1:4" x14ac:dyDescent="0.25">
      <c r="A3050" t="s">
        <v>1414</v>
      </c>
      <c r="C3050" t="s">
        <v>11</v>
      </c>
      <c r="D3050" s="1">
        <v>43235</v>
      </c>
    </row>
    <row r="3051" spans="1:4" x14ac:dyDescent="0.25">
      <c r="A3051" t="s">
        <v>1276</v>
      </c>
      <c r="C3051" t="s">
        <v>11</v>
      </c>
      <c r="D3051" s="1">
        <v>43238</v>
      </c>
    </row>
    <row r="3052" spans="1:4" x14ac:dyDescent="0.25">
      <c r="A3052" t="s">
        <v>2679</v>
      </c>
      <c r="C3052" t="s">
        <v>11</v>
      </c>
      <c r="D3052" s="1">
        <v>43238</v>
      </c>
    </row>
    <row r="3053" spans="1:4" x14ac:dyDescent="0.25">
      <c r="A3053" t="s">
        <v>2680</v>
      </c>
      <c r="C3053" t="s">
        <v>11</v>
      </c>
      <c r="D3053" s="1">
        <v>43238</v>
      </c>
    </row>
    <row r="3054" spans="1:4" x14ac:dyDescent="0.25">
      <c r="A3054" t="s">
        <v>1237</v>
      </c>
      <c r="C3054" t="s">
        <v>11</v>
      </c>
      <c r="D3054" s="1">
        <v>43238</v>
      </c>
    </row>
    <row r="3055" spans="1:4" x14ac:dyDescent="0.25">
      <c r="A3055" t="s">
        <v>1214</v>
      </c>
      <c r="C3055" t="s">
        <v>11</v>
      </c>
      <c r="D3055" s="1">
        <v>43238</v>
      </c>
    </row>
    <row r="3056" spans="1:4" x14ac:dyDescent="0.25">
      <c r="A3056" t="s">
        <v>2681</v>
      </c>
      <c r="C3056" t="s">
        <v>11</v>
      </c>
      <c r="D3056" s="1">
        <v>43230</v>
      </c>
    </row>
    <row r="3057" spans="1:4" x14ac:dyDescent="0.25">
      <c r="A3057" t="s">
        <v>2682</v>
      </c>
      <c r="C3057" t="s">
        <v>11</v>
      </c>
      <c r="D3057" s="1">
        <v>43235</v>
      </c>
    </row>
    <row r="3058" spans="1:4" x14ac:dyDescent="0.25">
      <c r="A3058" t="s">
        <v>1581</v>
      </c>
      <c r="C3058" t="s">
        <v>11</v>
      </c>
      <c r="D3058" s="1">
        <v>43227</v>
      </c>
    </row>
    <row r="3059" spans="1:4" x14ac:dyDescent="0.25">
      <c r="A3059" t="s">
        <v>705</v>
      </c>
      <c r="C3059" t="s">
        <v>11</v>
      </c>
      <c r="D3059" s="1">
        <v>43229</v>
      </c>
    </row>
    <row r="3060" spans="1:4" x14ac:dyDescent="0.25">
      <c r="A3060" t="s">
        <v>2683</v>
      </c>
      <c r="C3060" t="s">
        <v>11</v>
      </c>
      <c r="D3060" s="1">
        <v>43231</v>
      </c>
    </row>
    <row r="3061" spans="1:4" x14ac:dyDescent="0.25">
      <c r="A3061" t="s">
        <v>1318</v>
      </c>
      <c r="C3061" t="s">
        <v>11</v>
      </c>
      <c r="D3061" s="1">
        <v>43251</v>
      </c>
    </row>
    <row r="3062" spans="1:4" x14ac:dyDescent="0.25">
      <c r="A3062" t="s">
        <v>2684</v>
      </c>
      <c r="C3062" t="s">
        <v>11</v>
      </c>
      <c r="D3062" s="1">
        <v>43251</v>
      </c>
    </row>
    <row r="3063" spans="1:4" x14ac:dyDescent="0.25">
      <c r="A3063" t="s">
        <v>1492</v>
      </c>
      <c r="C3063" t="s">
        <v>11</v>
      </c>
      <c r="D3063" s="1">
        <v>43231</v>
      </c>
    </row>
    <row r="3064" spans="1:4" x14ac:dyDescent="0.25">
      <c r="A3064" t="s">
        <v>1480</v>
      </c>
      <c r="C3064" t="s">
        <v>11</v>
      </c>
      <c r="D3064" s="1">
        <v>43231</v>
      </c>
    </row>
    <row r="3065" spans="1:4" x14ac:dyDescent="0.25">
      <c r="A3065" t="s">
        <v>2685</v>
      </c>
      <c r="C3065" t="s">
        <v>11</v>
      </c>
      <c r="D3065" s="1">
        <v>43251</v>
      </c>
    </row>
    <row r="3066" spans="1:4" x14ac:dyDescent="0.25">
      <c r="A3066" t="s">
        <v>2686</v>
      </c>
      <c r="C3066" t="s">
        <v>11</v>
      </c>
      <c r="D3066" s="1">
        <v>43230</v>
      </c>
    </row>
    <row r="3067" spans="1:4" x14ac:dyDescent="0.25">
      <c r="A3067" t="s">
        <v>2687</v>
      </c>
      <c r="C3067" t="s">
        <v>11</v>
      </c>
      <c r="D3067" s="1">
        <v>43237</v>
      </c>
    </row>
    <row r="3068" spans="1:4" x14ac:dyDescent="0.25">
      <c r="A3068" t="s">
        <v>2688</v>
      </c>
      <c r="C3068" t="s">
        <v>11</v>
      </c>
      <c r="D3068" s="1">
        <v>43238</v>
      </c>
    </row>
    <row r="3069" spans="1:4" x14ac:dyDescent="0.25">
      <c r="A3069" t="s">
        <v>2689</v>
      </c>
      <c r="C3069" t="s">
        <v>11</v>
      </c>
      <c r="D3069" s="1">
        <v>43224</v>
      </c>
    </row>
    <row r="3070" spans="1:4" x14ac:dyDescent="0.25">
      <c r="A3070" t="s">
        <v>866</v>
      </c>
      <c r="C3070" t="s">
        <v>11</v>
      </c>
      <c r="D3070" s="1">
        <v>43237</v>
      </c>
    </row>
    <row r="3071" spans="1:4" x14ac:dyDescent="0.25">
      <c r="A3071" t="s">
        <v>637</v>
      </c>
      <c r="C3071" t="s">
        <v>11</v>
      </c>
      <c r="D3071" s="1">
        <v>43245</v>
      </c>
    </row>
    <row r="3072" spans="1:4" x14ac:dyDescent="0.25">
      <c r="A3072" t="s">
        <v>2690</v>
      </c>
      <c r="C3072" t="s">
        <v>11</v>
      </c>
      <c r="D3072" s="1">
        <v>43238</v>
      </c>
    </row>
    <row r="3073" spans="1:4" x14ac:dyDescent="0.25">
      <c r="A3073" t="s">
        <v>2691</v>
      </c>
      <c r="C3073" t="s">
        <v>11</v>
      </c>
      <c r="D3073" s="1">
        <v>43224</v>
      </c>
    </row>
    <row r="3074" spans="1:4" x14ac:dyDescent="0.25">
      <c r="A3074" t="s">
        <v>2692</v>
      </c>
      <c r="C3074" t="s">
        <v>11</v>
      </c>
      <c r="D3074" s="1">
        <v>43224</v>
      </c>
    </row>
    <row r="3075" spans="1:4" x14ac:dyDescent="0.25">
      <c r="A3075" t="s">
        <v>1497</v>
      </c>
      <c r="C3075" t="s">
        <v>11</v>
      </c>
      <c r="D3075" s="1">
        <v>43231</v>
      </c>
    </row>
    <row r="3076" spans="1:4" x14ac:dyDescent="0.25">
      <c r="A3076" t="s">
        <v>2693</v>
      </c>
      <c r="C3076" t="s">
        <v>11</v>
      </c>
      <c r="D3076" s="1">
        <v>43238</v>
      </c>
    </row>
    <row r="3077" spans="1:4" x14ac:dyDescent="0.25">
      <c r="A3077" t="s">
        <v>2694</v>
      </c>
      <c r="C3077" t="s">
        <v>11</v>
      </c>
      <c r="D3077" s="1">
        <v>43244</v>
      </c>
    </row>
    <row r="3078" spans="1:4" x14ac:dyDescent="0.25">
      <c r="A3078" t="s">
        <v>2695</v>
      </c>
      <c r="C3078" t="s">
        <v>11</v>
      </c>
      <c r="D3078" s="1">
        <v>43251</v>
      </c>
    </row>
    <row r="3079" spans="1:4" x14ac:dyDescent="0.25">
      <c r="A3079" t="s">
        <v>2696</v>
      </c>
      <c r="C3079" t="s">
        <v>11</v>
      </c>
      <c r="D3079" s="1">
        <v>43238</v>
      </c>
    </row>
    <row r="3080" spans="1:4" x14ac:dyDescent="0.25">
      <c r="A3080" t="s">
        <v>2697</v>
      </c>
      <c r="C3080" t="s">
        <v>11</v>
      </c>
      <c r="D3080" s="1">
        <v>43238</v>
      </c>
    </row>
    <row r="3081" spans="1:4" x14ac:dyDescent="0.25">
      <c r="A3081" t="s">
        <v>2698</v>
      </c>
      <c r="C3081" t="s">
        <v>11</v>
      </c>
      <c r="D3081" s="1">
        <v>43224</v>
      </c>
    </row>
    <row r="3082" spans="1:4" x14ac:dyDescent="0.25">
      <c r="A3082" t="s">
        <v>2699</v>
      </c>
      <c r="C3082" t="s">
        <v>11</v>
      </c>
      <c r="D3082" s="1">
        <v>43251</v>
      </c>
    </row>
    <row r="3083" spans="1:4" x14ac:dyDescent="0.25">
      <c r="A3083" t="s">
        <v>1283</v>
      </c>
      <c r="C3083" t="s">
        <v>11</v>
      </c>
      <c r="D3083" s="1">
        <v>43224</v>
      </c>
    </row>
    <row r="3084" spans="1:4" x14ac:dyDescent="0.25">
      <c r="A3084" t="s">
        <v>2700</v>
      </c>
      <c r="C3084" t="s">
        <v>11</v>
      </c>
      <c r="D3084" s="1">
        <v>43251</v>
      </c>
    </row>
    <row r="3085" spans="1:4" x14ac:dyDescent="0.25">
      <c r="A3085" t="s">
        <v>1333</v>
      </c>
      <c r="C3085" t="s">
        <v>11</v>
      </c>
      <c r="D3085" s="1">
        <v>43235</v>
      </c>
    </row>
    <row r="3086" spans="1:4" x14ac:dyDescent="0.25">
      <c r="A3086" t="s">
        <v>2701</v>
      </c>
      <c r="C3086" t="s">
        <v>11</v>
      </c>
      <c r="D3086" s="1">
        <v>43224</v>
      </c>
    </row>
    <row r="3087" spans="1:4" x14ac:dyDescent="0.25">
      <c r="A3087" t="s">
        <v>1207</v>
      </c>
      <c r="C3087" t="s">
        <v>11</v>
      </c>
      <c r="D3087" s="1">
        <v>43244</v>
      </c>
    </row>
    <row r="3088" spans="1:4" x14ac:dyDescent="0.25">
      <c r="A3088" t="s">
        <v>2702</v>
      </c>
      <c r="C3088" t="s">
        <v>11</v>
      </c>
      <c r="D3088" s="1">
        <v>43231</v>
      </c>
    </row>
    <row r="3089" spans="1:4" x14ac:dyDescent="0.25">
      <c r="A3089" t="s">
        <v>2703</v>
      </c>
      <c r="C3089" t="s">
        <v>11</v>
      </c>
      <c r="D3089" s="1">
        <v>43238</v>
      </c>
    </row>
    <row r="3090" spans="1:4" x14ac:dyDescent="0.25">
      <c r="A3090" t="s">
        <v>2704</v>
      </c>
      <c r="C3090" t="s">
        <v>11</v>
      </c>
      <c r="D3090" s="1">
        <v>43244</v>
      </c>
    </row>
    <row r="3091" spans="1:4" x14ac:dyDescent="0.25">
      <c r="A3091" t="s">
        <v>2705</v>
      </c>
      <c r="C3091" t="s">
        <v>11</v>
      </c>
      <c r="D3091" s="1">
        <v>43251</v>
      </c>
    </row>
    <row r="3092" spans="1:4" x14ac:dyDescent="0.25">
      <c r="A3092" t="s">
        <v>2706</v>
      </c>
      <c r="C3092" t="s">
        <v>11</v>
      </c>
      <c r="D3092" s="1">
        <v>43251</v>
      </c>
    </row>
    <row r="3093" spans="1:4" x14ac:dyDescent="0.25">
      <c r="A3093" t="s">
        <v>2707</v>
      </c>
      <c r="C3093" t="s">
        <v>11</v>
      </c>
      <c r="D3093" s="1">
        <v>43224</v>
      </c>
    </row>
    <row r="3094" spans="1:4" x14ac:dyDescent="0.25">
      <c r="A3094" t="s">
        <v>2708</v>
      </c>
      <c r="C3094" t="s">
        <v>11</v>
      </c>
      <c r="D3094" s="1">
        <v>43231</v>
      </c>
    </row>
    <row r="3095" spans="1:4" x14ac:dyDescent="0.25">
      <c r="A3095" t="s">
        <v>1638</v>
      </c>
      <c r="C3095" t="s">
        <v>11</v>
      </c>
      <c r="D3095" s="1">
        <v>43231</v>
      </c>
    </row>
    <row r="3096" spans="1:4" x14ac:dyDescent="0.25">
      <c r="A3096" t="s">
        <v>2709</v>
      </c>
      <c r="C3096" t="s">
        <v>11</v>
      </c>
      <c r="D3096" s="1">
        <v>43238</v>
      </c>
    </row>
    <row r="3097" spans="1:4" x14ac:dyDescent="0.25">
      <c r="A3097" t="s">
        <v>528</v>
      </c>
      <c r="C3097" t="s">
        <v>11</v>
      </c>
      <c r="D3097" s="1">
        <v>43229</v>
      </c>
    </row>
    <row r="3098" spans="1:4" x14ac:dyDescent="0.25">
      <c r="A3098" t="s">
        <v>2710</v>
      </c>
      <c r="C3098" t="s">
        <v>11</v>
      </c>
      <c r="D3098" s="1">
        <v>43251</v>
      </c>
    </row>
    <row r="3099" spans="1:4" x14ac:dyDescent="0.25">
      <c r="A3099" t="s">
        <v>2711</v>
      </c>
      <c r="C3099" t="s">
        <v>11</v>
      </c>
      <c r="D3099" s="1">
        <v>43231</v>
      </c>
    </row>
    <row r="3100" spans="1:4" x14ac:dyDescent="0.25">
      <c r="A3100" t="s">
        <v>2712</v>
      </c>
      <c r="C3100" t="s">
        <v>11</v>
      </c>
      <c r="D3100" s="1">
        <v>43223</v>
      </c>
    </row>
    <row r="3101" spans="1:4" x14ac:dyDescent="0.25">
      <c r="A3101" t="s">
        <v>2713</v>
      </c>
      <c r="C3101" t="s">
        <v>11</v>
      </c>
      <c r="D3101" s="1">
        <v>43230</v>
      </c>
    </row>
    <row r="3102" spans="1:4" x14ac:dyDescent="0.25">
      <c r="A3102" t="s">
        <v>1301</v>
      </c>
      <c r="C3102" t="s">
        <v>11</v>
      </c>
      <c r="D3102" s="1">
        <v>43229</v>
      </c>
    </row>
    <row r="3103" spans="1:4" x14ac:dyDescent="0.25">
      <c r="A3103" t="s">
        <v>775</v>
      </c>
      <c r="C3103" t="s">
        <v>11</v>
      </c>
      <c r="D3103" s="1">
        <v>43251</v>
      </c>
    </row>
    <row r="3104" spans="1:4" x14ac:dyDescent="0.25">
      <c r="A3104" t="s">
        <v>1041</v>
      </c>
      <c r="C3104" t="s">
        <v>11</v>
      </c>
      <c r="D3104" s="1">
        <v>43235</v>
      </c>
    </row>
    <row r="3105" spans="1:4" x14ac:dyDescent="0.25">
      <c r="A3105" t="s">
        <v>2714</v>
      </c>
      <c r="C3105" t="s">
        <v>11</v>
      </c>
      <c r="D3105" s="1">
        <v>43251</v>
      </c>
    </row>
    <row r="3106" spans="1:4" x14ac:dyDescent="0.25">
      <c r="A3106" t="s">
        <v>1442</v>
      </c>
      <c r="C3106" t="s">
        <v>11</v>
      </c>
      <c r="D3106" s="1">
        <v>43238</v>
      </c>
    </row>
    <row r="3107" spans="1:4" x14ac:dyDescent="0.25">
      <c r="A3107" t="s">
        <v>1443</v>
      </c>
      <c r="C3107" t="s">
        <v>11</v>
      </c>
      <c r="D3107" s="1">
        <v>43235</v>
      </c>
    </row>
    <row r="3108" spans="1:4" x14ac:dyDescent="0.25">
      <c r="A3108" t="s">
        <v>1345</v>
      </c>
      <c r="C3108" t="s">
        <v>11</v>
      </c>
      <c r="D3108" s="1">
        <v>43229</v>
      </c>
    </row>
    <row r="3109" spans="1:4" x14ac:dyDescent="0.25">
      <c r="A3109" t="s">
        <v>2715</v>
      </c>
      <c r="C3109" t="s">
        <v>11</v>
      </c>
      <c r="D3109" s="1">
        <v>43251</v>
      </c>
    </row>
    <row r="3110" spans="1:4" x14ac:dyDescent="0.25">
      <c r="A3110" t="s">
        <v>882</v>
      </c>
      <c r="C3110" t="s">
        <v>11</v>
      </c>
      <c r="D3110" s="1">
        <v>43244</v>
      </c>
    </row>
    <row r="3111" spans="1:4" x14ac:dyDescent="0.25">
      <c r="A3111" t="s">
        <v>2716</v>
      </c>
      <c r="C3111" t="s">
        <v>11</v>
      </c>
      <c r="D3111" s="1">
        <v>43251</v>
      </c>
    </row>
    <row r="3112" spans="1:4" x14ac:dyDescent="0.25">
      <c r="A3112" t="s">
        <v>2717</v>
      </c>
      <c r="C3112" t="s">
        <v>11</v>
      </c>
      <c r="D3112" s="1">
        <v>43251</v>
      </c>
    </row>
    <row r="3113" spans="1:4" x14ac:dyDescent="0.25">
      <c r="A3113" t="s">
        <v>2718</v>
      </c>
      <c r="C3113" t="s">
        <v>11</v>
      </c>
      <c r="D3113" s="1">
        <v>43251</v>
      </c>
    </row>
    <row r="3114" spans="1:4" x14ac:dyDescent="0.25">
      <c r="A3114" t="s">
        <v>615</v>
      </c>
      <c r="C3114" t="s">
        <v>11</v>
      </c>
      <c r="D3114" s="1">
        <v>43235</v>
      </c>
    </row>
    <row r="3115" spans="1:4" x14ac:dyDescent="0.25">
      <c r="A3115" t="s">
        <v>2719</v>
      </c>
      <c r="C3115" t="s">
        <v>11</v>
      </c>
      <c r="D3115" s="1">
        <v>43230</v>
      </c>
    </row>
    <row r="3116" spans="1:4" x14ac:dyDescent="0.25">
      <c r="A3116" t="s">
        <v>2720</v>
      </c>
      <c r="C3116" t="s">
        <v>11</v>
      </c>
      <c r="D3116" s="1">
        <v>43241</v>
      </c>
    </row>
    <row r="3117" spans="1:4" x14ac:dyDescent="0.25">
      <c r="A3117" t="s">
        <v>269</v>
      </c>
      <c r="C3117" t="s">
        <v>11</v>
      </c>
      <c r="D3117" s="1">
        <v>43244</v>
      </c>
    </row>
    <row r="3118" spans="1:4" x14ac:dyDescent="0.25">
      <c r="A3118" t="s">
        <v>2721</v>
      </c>
      <c r="C3118" t="s">
        <v>11</v>
      </c>
      <c r="D3118" s="1">
        <v>43238</v>
      </c>
    </row>
    <row r="3119" spans="1:4" x14ac:dyDescent="0.25">
      <c r="A3119" t="s">
        <v>1286</v>
      </c>
      <c r="C3119" t="s">
        <v>11</v>
      </c>
      <c r="D3119" s="1">
        <v>43251</v>
      </c>
    </row>
    <row r="3120" spans="1:4" x14ac:dyDescent="0.25">
      <c r="A3120" t="s">
        <v>2722</v>
      </c>
      <c r="C3120" t="s">
        <v>11</v>
      </c>
      <c r="D3120" s="1">
        <v>43223</v>
      </c>
    </row>
    <row r="3121" spans="1:4" x14ac:dyDescent="0.25">
      <c r="A3121" t="s">
        <v>1438</v>
      </c>
      <c r="C3121" t="s">
        <v>11</v>
      </c>
      <c r="D3121" s="1">
        <v>43238</v>
      </c>
    </row>
    <row r="3122" spans="1:4" x14ac:dyDescent="0.25">
      <c r="A3122" t="s">
        <v>2723</v>
      </c>
      <c r="C3122" t="s">
        <v>11</v>
      </c>
      <c r="D3122" s="1">
        <v>43251</v>
      </c>
    </row>
    <row r="3123" spans="1:4" x14ac:dyDescent="0.25">
      <c r="A3123" t="s">
        <v>535</v>
      </c>
      <c r="C3123" t="s">
        <v>11</v>
      </c>
      <c r="D3123" s="1">
        <v>43251</v>
      </c>
    </row>
    <row r="3124" spans="1:4" x14ac:dyDescent="0.25">
      <c r="A3124" t="s">
        <v>902</v>
      </c>
      <c r="C3124" t="s">
        <v>11</v>
      </c>
      <c r="D3124" s="1">
        <v>43231</v>
      </c>
    </row>
    <row r="3125" spans="1:4" x14ac:dyDescent="0.25">
      <c r="A3125" t="s">
        <v>1362</v>
      </c>
      <c r="C3125" t="s">
        <v>11</v>
      </c>
      <c r="D3125" s="1">
        <v>43238</v>
      </c>
    </row>
    <row r="3126" spans="1:4" x14ac:dyDescent="0.25">
      <c r="A3126" t="s">
        <v>1325</v>
      </c>
      <c r="C3126" t="s">
        <v>11</v>
      </c>
      <c r="D3126" s="1">
        <v>43231</v>
      </c>
    </row>
    <row r="3127" spans="1:4" x14ac:dyDescent="0.25">
      <c r="A3127" t="s">
        <v>1059</v>
      </c>
      <c r="C3127" t="s">
        <v>11</v>
      </c>
      <c r="D3127" s="1">
        <v>43244</v>
      </c>
    </row>
    <row r="3128" spans="1:4" x14ac:dyDescent="0.25">
      <c r="A3128" t="s">
        <v>1259</v>
      </c>
      <c r="C3128" t="s">
        <v>11</v>
      </c>
      <c r="D3128" s="1">
        <v>43235</v>
      </c>
    </row>
    <row r="3129" spans="1:4" x14ac:dyDescent="0.25">
      <c r="A3129" t="s">
        <v>2724</v>
      </c>
      <c r="C3129" t="s">
        <v>11</v>
      </c>
      <c r="D3129" s="1">
        <v>43231</v>
      </c>
    </row>
    <row r="3130" spans="1:4" x14ac:dyDescent="0.25">
      <c r="A3130" t="s">
        <v>1246</v>
      </c>
      <c r="C3130" t="s">
        <v>11</v>
      </c>
      <c r="D3130" s="1">
        <v>43229</v>
      </c>
    </row>
    <row r="3131" spans="1:4" x14ac:dyDescent="0.25">
      <c r="A3131" t="s">
        <v>2725</v>
      </c>
      <c r="C3131" t="s">
        <v>11</v>
      </c>
      <c r="D3131" s="1">
        <v>43251</v>
      </c>
    </row>
    <row r="3132" spans="1:4" x14ac:dyDescent="0.25">
      <c r="A3132" t="s">
        <v>1221</v>
      </c>
      <c r="C3132" t="s">
        <v>11</v>
      </c>
      <c r="D3132" s="1">
        <v>43231</v>
      </c>
    </row>
    <row r="3133" spans="1:4" x14ac:dyDescent="0.25">
      <c r="A3133" t="s">
        <v>1217</v>
      </c>
      <c r="C3133" t="s">
        <v>11</v>
      </c>
      <c r="D3133" s="1">
        <v>43229</v>
      </c>
    </row>
    <row r="3134" spans="1:4" x14ac:dyDescent="0.25">
      <c r="A3134" t="s">
        <v>1222</v>
      </c>
      <c r="C3134" t="s">
        <v>11</v>
      </c>
      <c r="D3134" s="1">
        <v>43235</v>
      </c>
    </row>
    <row r="3135" spans="1:4" x14ac:dyDescent="0.25">
      <c r="A3135" t="s">
        <v>2726</v>
      </c>
      <c r="C3135" t="s">
        <v>11</v>
      </c>
      <c r="D3135" s="1">
        <v>43237</v>
      </c>
    </row>
    <row r="3136" spans="1:4" x14ac:dyDescent="0.25">
      <c r="A3136" t="s">
        <v>1499</v>
      </c>
      <c r="C3136" t="s">
        <v>11</v>
      </c>
      <c r="D3136" s="1">
        <v>43238</v>
      </c>
    </row>
    <row r="3137" spans="1:4" x14ac:dyDescent="0.25">
      <c r="A3137" t="s">
        <v>2727</v>
      </c>
      <c r="C3137" t="s">
        <v>11</v>
      </c>
      <c r="D3137" s="1">
        <v>43251</v>
      </c>
    </row>
    <row r="3138" spans="1:4" x14ac:dyDescent="0.25">
      <c r="A3138" t="s">
        <v>2728</v>
      </c>
      <c r="C3138" t="s">
        <v>11</v>
      </c>
      <c r="D3138" s="1">
        <v>43226</v>
      </c>
    </row>
    <row r="3139" spans="1:4" x14ac:dyDescent="0.25">
      <c r="A3139" t="s">
        <v>2729</v>
      </c>
      <c r="C3139" t="s">
        <v>11</v>
      </c>
      <c r="D3139" s="1">
        <v>43237</v>
      </c>
    </row>
    <row r="3140" spans="1:4" x14ac:dyDescent="0.25">
      <c r="A3140" t="s">
        <v>2730</v>
      </c>
      <c r="C3140" t="s">
        <v>11</v>
      </c>
      <c r="D3140" s="1">
        <v>43251</v>
      </c>
    </row>
    <row r="3141" spans="1:4" x14ac:dyDescent="0.25">
      <c r="A3141" t="s">
        <v>2731</v>
      </c>
      <c r="C3141" t="s">
        <v>11</v>
      </c>
      <c r="D3141" s="1">
        <v>43237</v>
      </c>
    </row>
    <row r="3142" spans="1:4" x14ac:dyDescent="0.25">
      <c r="A3142" t="s">
        <v>1205</v>
      </c>
      <c r="C3142" t="s">
        <v>11</v>
      </c>
      <c r="D3142" s="1">
        <v>43251</v>
      </c>
    </row>
    <row r="3143" spans="1:4" x14ac:dyDescent="0.25">
      <c r="A3143" t="s">
        <v>2732</v>
      </c>
      <c r="C3143" t="s">
        <v>11</v>
      </c>
      <c r="D3143" s="1">
        <v>43231</v>
      </c>
    </row>
    <row r="3144" spans="1:4" x14ac:dyDescent="0.25">
      <c r="A3144" t="s">
        <v>2733</v>
      </c>
      <c r="C3144" t="s">
        <v>11</v>
      </c>
      <c r="D3144" s="1">
        <v>43224</v>
      </c>
    </row>
    <row r="3145" spans="1:4" x14ac:dyDescent="0.25">
      <c r="A3145" t="s">
        <v>2734</v>
      </c>
      <c r="C3145" t="s">
        <v>11</v>
      </c>
      <c r="D3145" s="1">
        <v>43251</v>
      </c>
    </row>
    <row r="3146" spans="1:4" x14ac:dyDescent="0.25">
      <c r="A3146" t="s">
        <v>2735</v>
      </c>
      <c r="C3146" t="s">
        <v>11</v>
      </c>
      <c r="D3146" s="1">
        <v>43223</v>
      </c>
    </row>
    <row r="3147" spans="1:4" x14ac:dyDescent="0.25">
      <c r="A3147" t="s">
        <v>2736</v>
      </c>
      <c r="C3147" t="s">
        <v>11</v>
      </c>
      <c r="D3147" s="1">
        <v>43224</v>
      </c>
    </row>
    <row r="3148" spans="1:4" x14ac:dyDescent="0.25">
      <c r="A3148" t="s">
        <v>2737</v>
      </c>
      <c r="C3148" t="s">
        <v>11</v>
      </c>
      <c r="D3148" s="1">
        <v>43231</v>
      </c>
    </row>
    <row r="3149" spans="1:4" x14ac:dyDescent="0.25">
      <c r="A3149" t="s">
        <v>2738</v>
      </c>
      <c r="C3149" t="s">
        <v>11</v>
      </c>
      <c r="D3149" s="1">
        <v>43251</v>
      </c>
    </row>
    <row r="3150" spans="1:4" x14ac:dyDescent="0.25">
      <c r="A3150" t="s">
        <v>2739</v>
      </c>
      <c r="C3150" t="s">
        <v>11</v>
      </c>
      <c r="D3150" s="1">
        <v>43251</v>
      </c>
    </row>
    <row r="3151" spans="1:4" x14ac:dyDescent="0.25">
      <c r="A3151" t="s">
        <v>2740</v>
      </c>
      <c r="C3151" t="s">
        <v>11</v>
      </c>
      <c r="D3151" s="1">
        <v>43251</v>
      </c>
    </row>
    <row r="3152" spans="1:4" x14ac:dyDescent="0.25">
      <c r="A3152" t="s">
        <v>2741</v>
      </c>
      <c r="C3152" t="s">
        <v>11</v>
      </c>
      <c r="D3152" s="1">
        <v>43251</v>
      </c>
    </row>
    <row r="3153" spans="1:4" x14ac:dyDescent="0.25">
      <c r="A3153" t="s">
        <v>2742</v>
      </c>
      <c r="C3153" t="s">
        <v>11</v>
      </c>
      <c r="D3153" s="1">
        <v>43224</v>
      </c>
    </row>
    <row r="3154" spans="1:4" x14ac:dyDescent="0.25">
      <c r="A3154" t="s">
        <v>2743</v>
      </c>
      <c r="C3154" t="s">
        <v>11</v>
      </c>
      <c r="D3154" s="1">
        <v>43224</v>
      </c>
    </row>
    <row r="3155" spans="1:4" x14ac:dyDescent="0.25">
      <c r="A3155" t="s">
        <v>1270</v>
      </c>
      <c r="C3155" t="s">
        <v>11</v>
      </c>
      <c r="D3155" s="1">
        <v>43251</v>
      </c>
    </row>
    <row r="3156" spans="1:4" x14ac:dyDescent="0.25">
      <c r="A3156" t="s">
        <v>2744</v>
      </c>
      <c r="C3156" t="s">
        <v>11</v>
      </c>
      <c r="D3156" s="1">
        <v>43224</v>
      </c>
    </row>
    <row r="3157" spans="1:4" x14ac:dyDescent="0.25">
      <c r="A3157" t="s">
        <v>842</v>
      </c>
      <c r="C3157" t="s">
        <v>11</v>
      </c>
      <c r="D3157" s="1">
        <v>43246</v>
      </c>
    </row>
    <row r="3158" spans="1:4" x14ac:dyDescent="0.25">
      <c r="A3158" t="s">
        <v>2745</v>
      </c>
      <c r="C3158" t="s">
        <v>11</v>
      </c>
      <c r="D3158" s="1">
        <v>43235</v>
      </c>
    </row>
    <row r="3159" spans="1:4" x14ac:dyDescent="0.25">
      <c r="A3159" t="s">
        <v>2746</v>
      </c>
      <c r="C3159" t="s">
        <v>11</v>
      </c>
      <c r="D3159" s="1">
        <v>43235</v>
      </c>
    </row>
    <row r="3160" spans="1:4" x14ac:dyDescent="0.25">
      <c r="A3160" t="s">
        <v>196</v>
      </c>
      <c r="C3160" t="s">
        <v>11</v>
      </c>
      <c r="D3160" s="1">
        <v>43251</v>
      </c>
    </row>
    <row r="3161" spans="1:4" x14ac:dyDescent="0.25">
      <c r="A3161" t="s">
        <v>2747</v>
      </c>
      <c r="C3161" t="s">
        <v>11</v>
      </c>
      <c r="D3161" s="1">
        <v>43224</v>
      </c>
    </row>
    <row r="3162" spans="1:4" x14ac:dyDescent="0.25">
      <c r="A3162" t="s">
        <v>2748</v>
      </c>
      <c r="C3162" t="s">
        <v>11</v>
      </c>
      <c r="D3162" s="1">
        <v>43235</v>
      </c>
    </row>
    <row r="3163" spans="1:4" x14ac:dyDescent="0.25">
      <c r="A3163" t="s">
        <v>32</v>
      </c>
      <c r="C3163" t="s">
        <v>11</v>
      </c>
      <c r="D3163" s="1">
        <v>43251</v>
      </c>
    </row>
    <row r="3164" spans="1:4" x14ac:dyDescent="0.25">
      <c r="A3164" t="s">
        <v>2749</v>
      </c>
      <c r="C3164" t="s">
        <v>11</v>
      </c>
      <c r="D3164" s="1">
        <v>43235</v>
      </c>
    </row>
    <row r="3165" spans="1:4" x14ac:dyDescent="0.25">
      <c r="A3165" t="s">
        <v>2750</v>
      </c>
      <c r="C3165" t="s">
        <v>11</v>
      </c>
      <c r="D3165" s="1">
        <v>43224</v>
      </c>
    </row>
    <row r="3166" spans="1:4" x14ac:dyDescent="0.25">
      <c r="A3166" t="s">
        <v>46</v>
      </c>
      <c r="C3166" t="s">
        <v>11</v>
      </c>
      <c r="D3166" s="1">
        <v>43244</v>
      </c>
    </row>
    <row r="3167" spans="1:4" x14ac:dyDescent="0.25">
      <c r="A3167" t="s">
        <v>2751</v>
      </c>
      <c r="C3167" t="s">
        <v>18</v>
      </c>
      <c r="D3167" s="1">
        <v>43251</v>
      </c>
    </row>
    <row r="3168" spans="1:4" x14ac:dyDescent="0.25">
      <c r="A3168" t="s">
        <v>2752</v>
      </c>
      <c r="C3168" t="s">
        <v>18</v>
      </c>
      <c r="D3168" s="1">
        <v>43251</v>
      </c>
    </row>
    <row r="3169" spans="1:4" x14ac:dyDescent="0.25">
      <c r="A3169" t="s">
        <v>2753</v>
      </c>
      <c r="C3169" t="s">
        <v>18</v>
      </c>
      <c r="D3169" s="1">
        <v>43251</v>
      </c>
    </row>
    <row r="3170" spans="1:4" x14ac:dyDescent="0.25">
      <c r="A3170" t="s">
        <v>2754</v>
      </c>
      <c r="C3170" t="s">
        <v>18</v>
      </c>
      <c r="D3170" s="1">
        <v>43251</v>
      </c>
    </row>
    <row r="3171" spans="1:4" x14ac:dyDescent="0.25">
      <c r="A3171" t="s">
        <v>2755</v>
      </c>
      <c r="C3171" t="s">
        <v>18</v>
      </c>
      <c r="D3171" s="1">
        <v>43251</v>
      </c>
    </row>
    <row r="3172" spans="1:4" x14ac:dyDescent="0.25">
      <c r="A3172" t="s">
        <v>2756</v>
      </c>
      <c r="C3172" t="s">
        <v>18</v>
      </c>
      <c r="D3172" s="1">
        <v>43251</v>
      </c>
    </row>
    <row r="3173" spans="1:4" x14ac:dyDescent="0.25">
      <c r="A3173" t="s">
        <v>2757</v>
      </c>
      <c r="C3173" t="s">
        <v>18</v>
      </c>
      <c r="D3173" s="1">
        <v>43251</v>
      </c>
    </row>
    <row r="3174" spans="1:4" x14ac:dyDescent="0.25">
      <c r="A3174" t="s">
        <v>2502</v>
      </c>
      <c r="C3174" t="s">
        <v>18</v>
      </c>
      <c r="D3174" s="1">
        <v>43251</v>
      </c>
    </row>
    <row r="3175" spans="1:4" x14ac:dyDescent="0.25">
      <c r="A3175" t="s">
        <v>2503</v>
      </c>
      <c r="C3175" t="s">
        <v>18</v>
      </c>
      <c r="D3175" s="1">
        <v>43251</v>
      </c>
    </row>
    <row r="3176" spans="1:4" x14ac:dyDescent="0.25">
      <c r="A3176" t="s">
        <v>2758</v>
      </c>
      <c r="C3176" t="s">
        <v>18</v>
      </c>
      <c r="D3176" s="1">
        <v>43251</v>
      </c>
    </row>
    <row r="3177" spans="1:4" x14ac:dyDescent="0.25">
      <c r="A3177" t="s">
        <v>2509</v>
      </c>
      <c r="C3177" t="s">
        <v>18</v>
      </c>
      <c r="D3177" s="1">
        <v>43251</v>
      </c>
    </row>
    <row r="3178" spans="1:4" x14ac:dyDescent="0.25">
      <c r="A3178" t="s">
        <v>2511</v>
      </c>
      <c r="C3178" t="s">
        <v>18</v>
      </c>
      <c r="D3178" s="1">
        <v>43251</v>
      </c>
    </row>
    <row r="3179" spans="1:4" x14ac:dyDescent="0.25">
      <c r="A3179" t="s">
        <v>1509</v>
      </c>
      <c r="C3179" t="s">
        <v>18</v>
      </c>
      <c r="D3179" s="1">
        <v>43251</v>
      </c>
    </row>
    <row r="3180" spans="1:4" x14ac:dyDescent="0.25">
      <c r="A3180" t="s">
        <v>2512</v>
      </c>
      <c r="C3180" t="s">
        <v>18</v>
      </c>
      <c r="D3180" s="1">
        <v>43251</v>
      </c>
    </row>
    <row r="3181" spans="1:4" x14ac:dyDescent="0.25">
      <c r="A3181" t="s">
        <v>1585</v>
      </c>
      <c r="C3181" t="s">
        <v>18</v>
      </c>
      <c r="D3181" s="1">
        <v>43251</v>
      </c>
    </row>
    <row r="3182" spans="1:4" x14ac:dyDescent="0.25">
      <c r="A3182" t="s">
        <v>1277</v>
      </c>
      <c r="C3182" t="s">
        <v>18</v>
      </c>
      <c r="D3182" s="1">
        <v>43251</v>
      </c>
    </row>
    <row r="3183" spans="1:4" x14ac:dyDescent="0.25">
      <c r="A3183" t="s">
        <v>2517</v>
      </c>
      <c r="C3183" t="s">
        <v>18</v>
      </c>
      <c r="D3183" s="1">
        <v>43251</v>
      </c>
    </row>
    <row r="3184" spans="1:4" x14ac:dyDescent="0.25">
      <c r="A3184" t="s">
        <v>1280</v>
      </c>
      <c r="C3184" t="s">
        <v>18</v>
      </c>
      <c r="D3184" s="1">
        <v>43251</v>
      </c>
    </row>
    <row r="3185" spans="1:4" x14ac:dyDescent="0.25">
      <c r="A3185" t="s">
        <v>2527</v>
      </c>
      <c r="C3185" t="s">
        <v>18</v>
      </c>
      <c r="D3185" s="1">
        <v>43251</v>
      </c>
    </row>
    <row r="3186" spans="1:4" x14ac:dyDescent="0.25">
      <c r="A3186" t="s">
        <v>1240</v>
      </c>
      <c r="C3186" t="s">
        <v>18</v>
      </c>
      <c r="D3186" s="1">
        <v>43251</v>
      </c>
    </row>
    <row r="3187" spans="1:4" x14ac:dyDescent="0.25">
      <c r="A3187" t="s">
        <v>1316</v>
      </c>
      <c r="C3187" t="s">
        <v>18</v>
      </c>
      <c r="D3187" s="1">
        <v>43251</v>
      </c>
    </row>
    <row r="3188" spans="1:4" x14ac:dyDescent="0.25">
      <c r="A3188" t="s">
        <v>2759</v>
      </c>
      <c r="C3188" t="s">
        <v>18</v>
      </c>
      <c r="D3188" s="1">
        <v>43251</v>
      </c>
    </row>
    <row r="3189" spans="1:4" x14ac:dyDescent="0.25">
      <c r="A3189" t="s">
        <v>2530</v>
      </c>
      <c r="C3189" t="s">
        <v>18</v>
      </c>
      <c r="D3189" s="1">
        <v>43251</v>
      </c>
    </row>
    <row r="3190" spans="1:4" x14ac:dyDescent="0.25">
      <c r="A3190" t="s">
        <v>2760</v>
      </c>
      <c r="C3190" t="s">
        <v>18</v>
      </c>
      <c r="D3190" s="1">
        <v>43251</v>
      </c>
    </row>
    <row r="3191" spans="1:4" x14ac:dyDescent="0.25">
      <c r="A3191" t="s">
        <v>2761</v>
      </c>
      <c r="C3191" t="s">
        <v>18</v>
      </c>
      <c r="D3191" s="1">
        <v>43251</v>
      </c>
    </row>
    <row r="3192" spans="1:4" x14ac:dyDescent="0.25">
      <c r="A3192" t="s">
        <v>2532</v>
      </c>
      <c r="C3192" t="s">
        <v>18</v>
      </c>
      <c r="D3192" s="1">
        <v>43251</v>
      </c>
    </row>
    <row r="3193" spans="1:4" x14ac:dyDescent="0.25">
      <c r="A3193" t="s">
        <v>2762</v>
      </c>
      <c r="C3193" t="s">
        <v>18</v>
      </c>
      <c r="D3193" s="1">
        <v>43251</v>
      </c>
    </row>
    <row r="3194" spans="1:4" x14ac:dyDescent="0.25">
      <c r="A3194" t="s">
        <v>2763</v>
      </c>
      <c r="C3194" t="s">
        <v>18</v>
      </c>
      <c r="D3194" s="1">
        <v>43251</v>
      </c>
    </row>
    <row r="3195" spans="1:4" x14ac:dyDescent="0.25">
      <c r="A3195" t="s">
        <v>2764</v>
      </c>
      <c r="C3195" t="s">
        <v>18</v>
      </c>
      <c r="D3195" s="1">
        <v>43251</v>
      </c>
    </row>
    <row r="3196" spans="1:4" x14ac:dyDescent="0.25">
      <c r="A3196" t="s">
        <v>2765</v>
      </c>
      <c r="C3196" t="s">
        <v>18</v>
      </c>
      <c r="D3196" s="1">
        <v>43250</v>
      </c>
    </row>
    <row r="3197" spans="1:4" x14ac:dyDescent="0.25">
      <c r="A3197" t="s">
        <v>2766</v>
      </c>
      <c r="C3197" t="s">
        <v>18</v>
      </c>
      <c r="D3197" s="1">
        <v>43250</v>
      </c>
    </row>
    <row r="3198" spans="1:4" x14ac:dyDescent="0.25">
      <c r="A3198" t="s">
        <v>2767</v>
      </c>
      <c r="C3198" t="s">
        <v>18</v>
      </c>
      <c r="D3198" s="1">
        <v>43250</v>
      </c>
    </row>
    <row r="3199" spans="1:4" x14ac:dyDescent="0.25">
      <c r="A3199" t="s">
        <v>2768</v>
      </c>
      <c r="C3199" t="s">
        <v>18</v>
      </c>
      <c r="D3199" s="1">
        <v>43250</v>
      </c>
    </row>
    <row r="3200" spans="1:4" x14ac:dyDescent="0.25">
      <c r="A3200" t="s">
        <v>2769</v>
      </c>
      <c r="C3200" t="s">
        <v>18</v>
      </c>
      <c r="D3200" s="1">
        <v>43250</v>
      </c>
    </row>
    <row r="3201" spans="1:4" x14ac:dyDescent="0.25">
      <c r="A3201" t="s">
        <v>2770</v>
      </c>
      <c r="C3201" t="s">
        <v>18</v>
      </c>
      <c r="D3201" s="1">
        <v>43251</v>
      </c>
    </row>
    <row r="3202" spans="1:4" x14ac:dyDescent="0.25">
      <c r="A3202" t="s">
        <v>2771</v>
      </c>
      <c r="C3202" t="s">
        <v>18</v>
      </c>
      <c r="D3202" s="1">
        <v>43251</v>
      </c>
    </row>
    <row r="3203" spans="1:4" x14ac:dyDescent="0.25">
      <c r="A3203" t="s">
        <v>2772</v>
      </c>
      <c r="C3203" t="s">
        <v>18</v>
      </c>
      <c r="D3203" s="1">
        <v>43251</v>
      </c>
    </row>
    <row r="3204" spans="1:4" x14ac:dyDescent="0.25">
      <c r="A3204" t="s">
        <v>2773</v>
      </c>
      <c r="C3204" t="s">
        <v>18</v>
      </c>
      <c r="D3204" s="1">
        <v>43251</v>
      </c>
    </row>
    <row r="3205" spans="1:4" x14ac:dyDescent="0.25">
      <c r="A3205" t="s">
        <v>2774</v>
      </c>
      <c r="C3205" t="s">
        <v>18</v>
      </c>
      <c r="D3205" s="1">
        <v>43251</v>
      </c>
    </row>
    <row r="3206" spans="1:4" x14ac:dyDescent="0.25">
      <c r="A3206" t="s">
        <v>2775</v>
      </c>
      <c r="C3206" t="s">
        <v>18</v>
      </c>
      <c r="D3206" s="1">
        <v>43251</v>
      </c>
    </row>
    <row r="3207" spans="1:4" x14ac:dyDescent="0.25">
      <c r="A3207" t="s">
        <v>2776</v>
      </c>
      <c r="C3207" t="s">
        <v>18</v>
      </c>
      <c r="D3207" s="1">
        <v>43251</v>
      </c>
    </row>
    <row r="3208" spans="1:4" x14ac:dyDescent="0.25">
      <c r="A3208" t="s">
        <v>2777</v>
      </c>
      <c r="C3208" t="s">
        <v>18</v>
      </c>
      <c r="D3208" s="1">
        <v>43251</v>
      </c>
    </row>
    <row r="3209" spans="1:4" x14ac:dyDescent="0.25">
      <c r="A3209" t="s">
        <v>2778</v>
      </c>
      <c r="C3209" t="s">
        <v>18</v>
      </c>
      <c r="D3209" s="1">
        <v>43250</v>
      </c>
    </row>
    <row r="3210" spans="1:4" x14ac:dyDescent="0.25">
      <c r="A3210" t="s">
        <v>2779</v>
      </c>
      <c r="C3210" t="s">
        <v>18</v>
      </c>
      <c r="D3210" s="1">
        <v>43250</v>
      </c>
    </row>
    <row r="3211" spans="1:4" x14ac:dyDescent="0.25">
      <c r="A3211" t="s">
        <v>2780</v>
      </c>
      <c r="C3211" t="s">
        <v>18</v>
      </c>
      <c r="D3211" s="1">
        <v>43251</v>
      </c>
    </row>
    <row r="3212" spans="1:4" x14ac:dyDescent="0.25">
      <c r="A3212" t="s">
        <v>2781</v>
      </c>
      <c r="C3212" t="s">
        <v>18</v>
      </c>
      <c r="D3212" s="1">
        <v>43251</v>
      </c>
    </row>
    <row r="3213" spans="1:4" x14ac:dyDescent="0.25">
      <c r="A3213" t="s">
        <v>2782</v>
      </c>
      <c r="C3213" t="s">
        <v>18</v>
      </c>
      <c r="D3213" s="1">
        <v>43251</v>
      </c>
    </row>
    <row r="3214" spans="1:4" x14ac:dyDescent="0.25">
      <c r="A3214" t="s">
        <v>2783</v>
      </c>
      <c r="C3214" t="s">
        <v>18</v>
      </c>
      <c r="D3214" s="1">
        <v>43250</v>
      </c>
    </row>
    <row r="3215" spans="1:4" x14ac:dyDescent="0.25">
      <c r="A3215" t="s">
        <v>2784</v>
      </c>
      <c r="C3215" t="s">
        <v>18</v>
      </c>
      <c r="D3215" s="1">
        <v>43251</v>
      </c>
    </row>
    <row r="3216" spans="1:4" x14ac:dyDescent="0.25">
      <c r="A3216" t="s">
        <v>2534</v>
      </c>
      <c r="C3216" t="s">
        <v>18</v>
      </c>
      <c r="D3216" s="1">
        <v>43251</v>
      </c>
    </row>
    <row r="3217" spans="1:4" x14ac:dyDescent="0.25">
      <c r="A3217" t="s">
        <v>2535</v>
      </c>
      <c r="C3217" t="s">
        <v>18</v>
      </c>
      <c r="D3217" s="1">
        <v>43251</v>
      </c>
    </row>
    <row r="3218" spans="1:4" x14ac:dyDescent="0.25">
      <c r="A3218" t="s">
        <v>1642</v>
      </c>
      <c r="C3218" t="s">
        <v>18</v>
      </c>
      <c r="D3218" s="1">
        <v>43251</v>
      </c>
    </row>
    <row r="3219" spans="1:4" x14ac:dyDescent="0.25">
      <c r="A3219" t="s">
        <v>1473</v>
      </c>
      <c r="C3219" t="s">
        <v>18</v>
      </c>
      <c r="D3219" s="1">
        <v>43251</v>
      </c>
    </row>
    <row r="3220" spans="1:4" x14ac:dyDescent="0.25">
      <c r="A3220" t="s">
        <v>2785</v>
      </c>
      <c r="C3220" t="s">
        <v>18</v>
      </c>
      <c r="D3220" s="1">
        <v>43251</v>
      </c>
    </row>
    <row r="3221" spans="1:4" x14ac:dyDescent="0.25">
      <c r="A3221" t="s">
        <v>2536</v>
      </c>
      <c r="C3221" t="s">
        <v>18</v>
      </c>
      <c r="D3221" s="1">
        <v>43251</v>
      </c>
    </row>
    <row r="3222" spans="1:4" x14ac:dyDescent="0.25">
      <c r="A3222" t="s">
        <v>2537</v>
      </c>
      <c r="C3222" t="s">
        <v>18</v>
      </c>
      <c r="D3222" s="1">
        <v>43251</v>
      </c>
    </row>
    <row r="3223" spans="1:4" x14ac:dyDescent="0.25">
      <c r="A3223" t="s">
        <v>722</v>
      </c>
      <c r="C3223" t="s">
        <v>18</v>
      </c>
      <c r="D3223" s="1">
        <v>43251</v>
      </c>
    </row>
    <row r="3224" spans="1:4" x14ac:dyDescent="0.25">
      <c r="A3224" t="s">
        <v>2539</v>
      </c>
      <c r="C3224" t="s">
        <v>18</v>
      </c>
      <c r="D3224" s="1">
        <v>43251</v>
      </c>
    </row>
    <row r="3225" spans="1:4" x14ac:dyDescent="0.25">
      <c r="A3225" t="s">
        <v>2541</v>
      </c>
      <c r="C3225" t="s">
        <v>18</v>
      </c>
      <c r="D3225" s="1">
        <v>43251</v>
      </c>
    </row>
    <row r="3226" spans="1:4" x14ac:dyDescent="0.25">
      <c r="A3226" t="s">
        <v>980</v>
      </c>
      <c r="C3226" t="s">
        <v>18</v>
      </c>
      <c r="D3226" s="1">
        <v>43251</v>
      </c>
    </row>
    <row r="3227" spans="1:4" x14ac:dyDescent="0.25">
      <c r="A3227" t="s">
        <v>2543</v>
      </c>
      <c r="C3227" t="s">
        <v>18</v>
      </c>
      <c r="D3227" s="1">
        <v>43251</v>
      </c>
    </row>
    <row r="3228" spans="1:4" x14ac:dyDescent="0.25">
      <c r="A3228" t="s">
        <v>2544</v>
      </c>
      <c r="C3228" t="s">
        <v>18</v>
      </c>
      <c r="D3228" s="1">
        <v>43251</v>
      </c>
    </row>
    <row r="3229" spans="1:4" x14ac:dyDescent="0.25">
      <c r="A3229" t="s">
        <v>2546</v>
      </c>
      <c r="C3229" t="s">
        <v>18</v>
      </c>
      <c r="D3229" s="1">
        <v>43251</v>
      </c>
    </row>
    <row r="3230" spans="1:4" x14ac:dyDescent="0.25">
      <c r="A3230" t="s">
        <v>1607</v>
      </c>
      <c r="C3230" t="s">
        <v>18</v>
      </c>
      <c r="D3230" s="1">
        <v>43251</v>
      </c>
    </row>
    <row r="3231" spans="1:4" x14ac:dyDescent="0.25">
      <c r="A3231" t="s">
        <v>1293</v>
      </c>
      <c r="C3231" t="s">
        <v>18</v>
      </c>
      <c r="D3231" s="1">
        <v>43251</v>
      </c>
    </row>
    <row r="3232" spans="1:4" x14ac:dyDescent="0.25">
      <c r="A3232" t="s">
        <v>2786</v>
      </c>
      <c r="C3232" t="s">
        <v>18</v>
      </c>
      <c r="D3232" s="1">
        <v>43251</v>
      </c>
    </row>
    <row r="3233" spans="1:4" x14ac:dyDescent="0.25">
      <c r="A3233" t="s">
        <v>2548</v>
      </c>
      <c r="C3233" t="s">
        <v>18</v>
      </c>
      <c r="D3233" s="1">
        <v>43251</v>
      </c>
    </row>
    <row r="3234" spans="1:4" x14ac:dyDescent="0.25">
      <c r="A3234" t="s">
        <v>2549</v>
      </c>
      <c r="C3234" t="s">
        <v>18</v>
      </c>
      <c r="D3234" s="1">
        <v>43251</v>
      </c>
    </row>
    <row r="3235" spans="1:4" x14ac:dyDescent="0.25">
      <c r="A3235" t="s">
        <v>2550</v>
      </c>
      <c r="C3235" t="s">
        <v>18</v>
      </c>
      <c r="D3235" s="1">
        <v>43251</v>
      </c>
    </row>
    <row r="3236" spans="1:4" x14ac:dyDescent="0.25">
      <c r="A3236" t="s">
        <v>2787</v>
      </c>
      <c r="C3236" t="s">
        <v>18</v>
      </c>
      <c r="D3236" s="1">
        <v>43251</v>
      </c>
    </row>
    <row r="3237" spans="1:4" x14ac:dyDescent="0.25">
      <c r="A3237" t="s">
        <v>1623</v>
      </c>
      <c r="C3237" t="s">
        <v>18</v>
      </c>
      <c r="D3237" s="1">
        <v>43251</v>
      </c>
    </row>
    <row r="3238" spans="1:4" x14ac:dyDescent="0.25">
      <c r="A3238" t="s">
        <v>2553</v>
      </c>
      <c r="C3238" t="s">
        <v>18</v>
      </c>
      <c r="D3238" s="1">
        <v>43251</v>
      </c>
    </row>
    <row r="3239" spans="1:4" x14ac:dyDescent="0.25">
      <c r="A3239" t="s">
        <v>2788</v>
      </c>
      <c r="C3239" t="s">
        <v>18</v>
      </c>
      <c r="D3239" s="1">
        <v>43251</v>
      </c>
    </row>
    <row r="3240" spans="1:4" x14ac:dyDescent="0.25">
      <c r="A3240" t="s">
        <v>1668</v>
      </c>
      <c r="C3240" t="s">
        <v>18</v>
      </c>
      <c r="D3240" s="1">
        <v>43251</v>
      </c>
    </row>
    <row r="3241" spans="1:4" x14ac:dyDescent="0.25">
      <c r="A3241" t="s">
        <v>1635</v>
      </c>
      <c r="C3241" t="s">
        <v>18</v>
      </c>
      <c r="D3241" s="1">
        <v>43251</v>
      </c>
    </row>
    <row r="3242" spans="1:4" x14ac:dyDescent="0.25">
      <c r="A3242" t="s">
        <v>2789</v>
      </c>
      <c r="C3242" t="s">
        <v>18</v>
      </c>
      <c r="D3242" s="1">
        <v>43250</v>
      </c>
    </row>
    <row r="3243" spans="1:4" x14ac:dyDescent="0.25">
      <c r="A3243" t="s">
        <v>1252</v>
      </c>
      <c r="C3243" t="s">
        <v>18</v>
      </c>
      <c r="D3243" s="1">
        <v>43251</v>
      </c>
    </row>
    <row r="3244" spans="1:4" x14ac:dyDescent="0.25">
      <c r="A3244" t="s">
        <v>1563</v>
      </c>
      <c r="C3244" t="s">
        <v>18</v>
      </c>
      <c r="D3244" s="1">
        <v>43251</v>
      </c>
    </row>
    <row r="3245" spans="1:4" x14ac:dyDescent="0.25">
      <c r="A3245" t="s">
        <v>2790</v>
      </c>
      <c r="C3245" t="s">
        <v>18</v>
      </c>
      <c r="D3245" s="1">
        <v>43251</v>
      </c>
    </row>
    <row r="3246" spans="1:4" x14ac:dyDescent="0.25">
      <c r="A3246" t="s">
        <v>1456</v>
      </c>
      <c r="C3246" t="s">
        <v>18</v>
      </c>
      <c r="D3246" s="1">
        <v>43251</v>
      </c>
    </row>
    <row r="3247" spans="1:4" x14ac:dyDescent="0.25">
      <c r="A3247" t="s">
        <v>1284</v>
      </c>
      <c r="C3247" t="s">
        <v>18</v>
      </c>
      <c r="D3247" s="1">
        <v>43251</v>
      </c>
    </row>
    <row r="3248" spans="1:4" x14ac:dyDescent="0.25">
      <c r="A3248" t="s">
        <v>2559</v>
      </c>
      <c r="C3248" t="s">
        <v>18</v>
      </c>
      <c r="D3248" s="1">
        <v>43251</v>
      </c>
    </row>
    <row r="3249" spans="1:4" x14ac:dyDescent="0.25">
      <c r="A3249" t="s">
        <v>2560</v>
      </c>
      <c r="C3249" t="s">
        <v>18</v>
      </c>
      <c r="D3249" s="1">
        <v>43251</v>
      </c>
    </row>
    <row r="3250" spans="1:4" x14ac:dyDescent="0.25">
      <c r="A3250" t="s">
        <v>2563</v>
      </c>
      <c r="C3250" t="s">
        <v>18</v>
      </c>
      <c r="D3250" s="1">
        <v>43251</v>
      </c>
    </row>
    <row r="3251" spans="1:4" x14ac:dyDescent="0.25">
      <c r="A3251" t="s">
        <v>2791</v>
      </c>
      <c r="C3251" t="s">
        <v>18</v>
      </c>
      <c r="D3251" s="1">
        <v>43251</v>
      </c>
    </row>
    <row r="3252" spans="1:4" x14ac:dyDescent="0.25">
      <c r="A3252" t="s">
        <v>1432</v>
      </c>
      <c r="C3252" t="s">
        <v>18</v>
      </c>
      <c r="D3252" s="1">
        <v>43251</v>
      </c>
    </row>
    <row r="3253" spans="1:4" x14ac:dyDescent="0.25">
      <c r="A3253" t="s">
        <v>2792</v>
      </c>
      <c r="C3253" t="s">
        <v>18</v>
      </c>
      <c r="D3253" s="1">
        <v>43251</v>
      </c>
    </row>
    <row r="3254" spans="1:4" x14ac:dyDescent="0.25">
      <c r="A3254" t="s">
        <v>2568</v>
      </c>
      <c r="C3254" t="s">
        <v>18</v>
      </c>
      <c r="D3254" s="1">
        <v>43251</v>
      </c>
    </row>
    <row r="3255" spans="1:4" x14ac:dyDescent="0.25">
      <c r="A3255" t="s">
        <v>1465</v>
      </c>
      <c r="C3255" t="s">
        <v>18</v>
      </c>
      <c r="D3255" s="1">
        <v>43251</v>
      </c>
    </row>
    <row r="3256" spans="1:4" x14ac:dyDescent="0.25">
      <c r="A3256" t="s">
        <v>1664</v>
      </c>
      <c r="C3256" t="s">
        <v>18</v>
      </c>
      <c r="D3256" s="1">
        <v>43251</v>
      </c>
    </row>
    <row r="3257" spans="1:4" x14ac:dyDescent="0.25">
      <c r="A3257" t="s">
        <v>2571</v>
      </c>
      <c r="C3257" t="s">
        <v>18</v>
      </c>
      <c r="D3257" s="1">
        <v>43251</v>
      </c>
    </row>
    <row r="3258" spans="1:4" x14ac:dyDescent="0.25">
      <c r="A3258" t="s">
        <v>2572</v>
      </c>
      <c r="C3258" t="s">
        <v>18</v>
      </c>
      <c r="D3258" s="1">
        <v>43251</v>
      </c>
    </row>
    <row r="3259" spans="1:4" x14ac:dyDescent="0.25">
      <c r="A3259" t="s">
        <v>1314</v>
      </c>
      <c r="C3259" t="s">
        <v>18</v>
      </c>
      <c r="D3259" s="1">
        <v>43251</v>
      </c>
    </row>
    <row r="3260" spans="1:4" x14ac:dyDescent="0.25">
      <c r="A3260" t="s">
        <v>1632</v>
      </c>
      <c r="C3260" t="s">
        <v>18</v>
      </c>
      <c r="D3260" s="1">
        <v>43251</v>
      </c>
    </row>
    <row r="3261" spans="1:4" x14ac:dyDescent="0.25">
      <c r="A3261" t="s">
        <v>1453</v>
      </c>
      <c r="C3261" t="s">
        <v>18</v>
      </c>
      <c r="D3261" s="1">
        <v>43251</v>
      </c>
    </row>
    <row r="3262" spans="1:4" x14ac:dyDescent="0.25">
      <c r="A3262" t="s">
        <v>1292</v>
      </c>
      <c r="C3262" t="s">
        <v>18</v>
      </c>
      <c r="D3262" s="1">
        <v>43251</v>
      </c>
    </row>
    <row r="3263" spans="1:4" x14ac:dyDescent="0.25">
      <c r="A3263" t="s">
        <v>1570</v>
      </c>
      <c r="C3263" t="s">
        <v>18</v>
      </c>
      <c r="D3263" s="1">
        <v>43251</v>
      </c>
    </row>
    <row r="3264" spans="1:4" x14ac:dyDescent="0.25">
      <c r="A3264" t="s">
        <v>1377</v>
      </c>
      <c r="C3264" t="s">
        <v>18</v>
      </c>
      <c r="D3264" s="1">
        <v>43251</v>
      </c>
    </row>
    <row r="3265" spans="1:4" x14ac:dyDescent="0.25">
      <c r="A3265" t="s">
        <v>2574</v>
      </c>
      <c r="C3265" t="s">
        <v>18</v>
      </c>
      <c r="D3265" s="1">
        <v>43251</v>
      </c>
    </row>
    <row r="3266" spans="1:4" x14ac:dyDescent="0.25">
      <c r="A3266" t="s">
        <v>2576</v>
      </c>
      <c r="C3266" t="s">
        <v>18</v>
      </c>
      <c r="D3266" s="1">
        <v>43251</v>
      </c>
    </row>
    <row r="3267" spans="1:4" x14ac:dyDescent="0.25">
      <c r="A3267" t="s">
        <v>2577</v>
      </c>
      <c r="C3267" t="s">
        <v>18</v>
      </c>
      <c r="D3267" s="1">
        <v>43251</v>
      </c>
    </row>
    <row r="3268" spans="1:4" x14ac:dyDescent="0.25">
      <c r="A3268" t="s">
        <v>1485</v>
      </c>
      <c r="C3268" t="s">
        <v>18</v>
      </c>
      <c r="D3268" s="1">
        <v>43251</v>
      </c>
    </row>
    <row r="3269" spans="1:4" x14ac:dyDescent="0.25">
      <c r="A3269" t="s">
        <v>2793</v>
      </c>
      <c r="C3269" t="s">
        <v>18</v>
      </c>
      <c r="D3269" s="1">
        <v>43251</v>
      </c>
    </row>
    <row r="3270" spans="1:4" x14ac:dyDescent="0.25">
      <c r="A3270" t="s">
        <v>2578</v>
      </c>
      <c r="C3270" t="s">
        <v>18</v>
      </c>
      <c r="D3270" s="1">
        <v>43251</v>
      </c>
    </row>
    <row r="3271" spans="1:4" x14ac:dyDescent="0.25">
      <c r="A3271" t="s">
        <v>2794</v>
      </c>
      <c r="C3271" t="s">
        <v>18</v>
      </c>
      <c r="D3271" s="1">
        <v>43251</v>
      </c>
    </row>
    <row r="3272" spans="1:4" x14ac:dyDescent="0.25">
      <c r="A3272" t="s">
        <v>2795</v>
      </c>
      <c r="C3272" t="s">
        <v>18</v>
      </c>
      <c r="D3272" s="1">
        <v>43222</v>
      </c>
    </row>
    <row r="3273" spans="1:4" x14ac:dyDescent="0.25">
      <c r="A3273" t="s">
        <v>1384</v>
      </c>
      <c r="C3273" t="s">
        <v>18</v>
      </c>
      <c r="D3273" s="1">
        <v>43251</v>
      </c>
    </row>
    <row r="3274" spans="1:4" x14ac:dyDescent="0.25">
      <c r="A3274" t="s">
        <v>2580</v>
      </c>
      <c r="C3274" t="s">
        <v>18</v>
      </c>
      <c r="D3274" s="1">
        <v>43251</v>
      </c>
    </row>
    <row r="3275" spans="1:4" x14ac:dyDescent="0.25">
      <c r="A3275" t="s">
        <v>2796</v>
      </c>
      <c r="C3275" t="s">
        <v>18</v>
      </c>
      <c r="D3275" s="1">
        <v>43251</v>
      </c>
    </row>
    <row r="3276" spans="1:4" x14ac:dyDescent="0.25">
      <c r="A3276" t="s">
        <v>2581</v>
      </c>
      <c r="C3276" t="s">
        <v>18</v>
      </c>
      <c r="D3276" s="1">
        <v>43251</v>
      </c>
    </row>
    <row r="3277" spans="1:4" x14ac:dyDescent="0.25">
      <c r="A3277" t="s">
        <v>2582</v>
      </c>
      <c r="C3277" t="s">
        <v>18</v>
      </c>
      <c r="D3277" s="1">
        <v>43251</v>
      </c>
    </row>
    <row r="3278" spans="1:4" x14ac:dyDescent="0.25">
      <c r="A3278" t="s">
        <v>2583</v>
      </c>
      <c r="C3278" t="s">
        <v>18</v>
      </c>
      <c r="D3278" s="1">
        <v>43251</v>
      </c>
    </row>
    <row r="3279" spans="1:4" x14ac:dyDescent="0.25">
      <c r="A3279" t="s">
        <v>1136</v>
      </c>
      <c r="C3279" t="s">
        <v>18</v>
      </c>
      <c r="D3279" s="1">
        <v>43251</v>
      </c>
    </row>
    <row r="3280" spans="1:4" x14ac:dyDescent="0.25">
      <c r="A3280" t="s">
        <v>1408</v>
      </c>
      <c r="C3280" t="s">
        <v>18</v>
      </c>
      <c r="D3280" s="1">
        <v>43251</v>
      </c>
    </row>
    <row r="3281" spans="1:4" x14ac:dyDescent="0.25">
      <c r="A3281" t="s">
        <v>1667</v>
      </c>
      <c r="C3281" t="s">
        <v>18</v>
      </c>
      <c r="D3281" s="1">
        <v>43251</v>
      </c>
    </row>
    <row r="3282" spans="1:4" x14ac:dyDescent="0.25">
      <c r="A3282" t="s">
        <v>2585</v>
      </c>
      <c r="C3282" t="s">
        <v>18</v>
      </c>
      <c r="D3282" s="1">
        <v>43251</v>
      </c>
    </row>
    <row r="3283" spans="1:4" x14ac:dyDescent="0.25">
      <c r="A3283" t="s">
        <v>2797</v>
      </c>
      <c r="C3283" t="s">
        <v>18</v>
      </c>
      <c r="D3283" s="1">
        <v>43251</v>
      </c>
    </row>
    <row r="3284" spans="1:4" x14ac:dyDescent="0.25">
      <c r="A3284" t="s">
        <v>1373</v>
      </c>
      <c r="C3284" t="s">
        <v>18</v>
      </c>
      <c r="D3284" s="1">
        <v>43251</v>
      </c>
    </row>
    <row r="3285" spans="1:4" x14ac:dyDescent="0.25">
      <c r="A3285" t="s">
        <v>2587</v>
      </c>
      <c r="C3285" t="s">
        <v>18</v>
      </c>
      <c r="D3285" s="1">
        <v>43251</v>
      </c>
    </row>
    <row r="3286" spans="1:4" x14ac:dyDescent="0.25">
      <c r="A3286" t="s">
        <v>2589</v>
      </c>
      <c r="C3286" t="s">
        <v>18</v>
      </c>
      <c r="D3286" s="1">
        <v>43251</v>
      </c>
    </row>
    <row r="3287" spans="1:4" x14ac:dyDescent="0.25">
      <c r="A3287" t="s">
        <v>2798</v>
      </c>
      <c r="C3287" t="s">
        <v>18</v>
      </c>
      <c r="D3287" s="1">
        <v>43222</v>
      </c>
    </row>
    <row r="3288" spans="1:4" x14ac:dyDescent="0.25">
      <c r="A3288" t="s">
        <v>2799</v>
      </c>
      <c r="C3288" t="s">
        <v>18</v>
      </c>
      <c r="D3288" s="1">
        <v>43251</v>
      </c>
    </row>
    <row r="3289" spans="1:4" x14ac:dyDescent="0.25">
      <c r="A3289" t="s">
        <v>1074</v>
      </c>
      <c r="C3289" t="s">
        <v>18</v>
      </c>
      <c r="D3289" s="1">
        <v>43251</v>
      </c>
    </row>
    <row r="3290" spans="1:4" x14ac:dyDescent="0.25">
      <c r="A3290" t="s">
        <v>1352</v>
      </c>
      <c r="C3290" t="s">
        <v>18</v>
      </c>
      <c r="D3290" s="1">
        <v>43251</v>
      </c>
    </row>
    <row r="3291" spans="1:4" x14ac:dyDescent="0.25">
      <c r="A3291" t="s">
        <v>2593</v>
      </c>
      <c r="C3291" t="s">
        <v>18</v>
      </c>
      <c r="D3291" s="1">
        <v>43251</v>
      </c>
    </row>
    <row r="3292" spans="1:4" x14ac:dyDescent="0.25">
      <c r="A3292" t="s">
        <v>1548</v>
      </c>
      <c r="C3292" t="s">
        <v>18</v>
      </c>
      <c r="D3292" s="1">
        <v>43251</v>
      </c>
    </row>
    <row r="3293" spans="1:4" x14ac:dyDescent="0.25">
      <c r="A3293" t="s">
        <v>1326</v>
      </c>
      <c r="C3293" t="s">
        <v>18</v>
      </c>
      <c r="D3293" s="1">
        <v>43251</v>
      </c>
    </row>
    <row r="3294" spans="1:4" x14ac:dyDescent="0.25">
      <c r="A3294" t="s">
        <v>2800</v>
      </c>
      <c r="C3294" t="s">
        <v>18</v>
      </c>
      <c r="D3294" s="1">
        <v>43251</v>
      </c>
    </row>
    <row r="3295" spans="1:4" x14ac:dyDescent="0.25">
      <c r="A3295" t="s">
        <v>2801</v>
      </c>
      <c r="C3295" t="s">
        <v>18</v>
      </c>
      <c r="D3295" s="1">
        <v>43223</v>
      </c>
    </row>
    <row r="3296" spans="1:4" x14ac:dyDescent="0.25">
      <c r="A3296" t="s">
        <v>1226</v>
      </c>
      <c r="C3296" t="s">
        <v>18</v>
      </c>
      <c r="D3296" s="1">
        <v>43251</v>
      </c>
    </row>
    <row r="3297" spans="1:4" x14ac:dyDescent="0.25">
      <c r="A3297" t="s">
        <v>1507</v>
      </c>
      <c r="C3297" t="s">
        <v>18</v>
      </c>
      <c r="D3297" s="1">
        <v>43251</v>
      </c>
    </row>
    <row r="3298" spans="1:4" x14ac:dyDescent="0.25">
      <c r="A3298" t="s">
        <v>1285</v>
      </c>
      <c r="C3298" t="s">
        <v>18</v>
      </c>
      <c r="D3298" s="1">
        <v>43251</v>
      </c>
    </row>
    <row r="3299" spans="1:4" x14ac:dyDescent="0.25">
      <c r="A3299" t="s">
        <v>2599</v>
      </c>
      <c r="C3299" t="s">
        <v>18</v>
      </c>
      <c r="D3299" s="1">
        <v>43251</v>
      </c>
    </row>
    <row r="3300" spans="1:4" x14ac:dyDescent="0.25">
      <c r="A3300" t="s">
        <v>2802</v>
      </c>
      <c r="C3300" t="s">
        <v>18</v>
      </c>
      <c r="D3300" s="1">
        <v>43251</v>
      </c>
    </row>
    <row r="3301" spans="1:4" x14ac:dyDescent="0.25">
      <c r="A3301" t="s">
        <v>2602</v>
      </c>
      <c r="C3301" t="s">
        <v>18</v>
      </c>
      <c r="D3301" s="1">
        <v>43251</v>
      </c>
    </row>
    <row r="3302" spans="1:4" x14ac:dyDescent="0.25">
      <c r="A3302" t="s">
        <v>1385</v>
      </c>
      <c r="C3302" t="s">
        <v>18</v>
      </c>
      <c r="D3302" s="1">
        <v>43251</v>
      </c>
    </row>
    <row r="3303" spans="1:4" x14ac:dyDescent="0.25">
      <c r="A3303" t="s">
        <v>2803</v>
      </c>
      <c r="C3303" t="s">
        <v>18</v>
      </c>
      <c r="D3303" s="1">
        <v>43223</v>
      </c>
    </row>
    <row r="3304" spans="1:4" x14ac:dyDescent="0.25">
      <c r="A3304" t="s">
        <v>1595</v>
      </c>
      <c r="C3304" t="s">
        <v>18</v>
      </c>
      <c r="D3304" s="1">
        <v>43251</v>
      </c>
    </row>
    <row r="3305" spans="1:4" x14ac:dyDescent="0.25">
      <c r="A3305" t="s">
        <v>958</v>
      </c>
      <c r="C3305" t="s">
        <v>18</v>
      </c>
      <c r="D3305" s="1">
        <v>43251</v>
      </c>
    </row>
    <row r="3306" spans="1:4" x14ac:dyDescent="0.25">
      <c r="A3306" t="s">
        <v>1291</v>
      </c>
      <c r="C3306" t="s">
        <v>18</v>
      </c>
      <c r="D3306" s="1">
        <v>43251</v>
      </c>
    </row>
    <row r="3307" spans="1:4" x14ac:dyDescent="0.25">
      <c r="A3307" t="s">
        <v>1644</v>
      </c>
      <c r="C3307" t="s">
        <v>18</v>
      </c>
      <c r="D3307" s="1">
        <v>43251</v>
      </c>
    </row>
    <row r="3308" spans="1:4" x14ac:dyDescent="0.25">
      <c r="A3308" t="s">
        <v>1241</v>
      </c>
      <c r="C3308" t="s">
        <v>18</v>
      </c>
      <c r="D3308" s="1">
        <v>43251</v>
      </c>
    </row>
    <row r="3309" spans="1:4" x14ac:dyDescent="0.25">
      <c r="A3309" t="s">
        <v>1613</v>
      </c>
      <c r="C3309" t="s">
        <v>18</v>
      </c>
      <c r="D3309" s="1">
        <v>43251</v>
      </c>
    </row>
    <row r="3310" spans="1:4" x14ac:dyDescent="0.25">
      <c r="A3310" t="s">
        <v>1452</v>
      </c>
      <c r="C3310" t="s">
        <v>18</v>
      </c>
      <c r="D3310" s="1">
        <v>43251</v>
      </c>
    </row>
    <row r="3311" spans="1:4" x14ac:dyDescent="0.25">
      <c r="A3311" t="s">
        <v>1439</v>
      </c>
      <c r="C3311" t="s">
        <v>18</v>
      </c>
      <c r="D3311" s="1">
        <v>43251</v>
      </c>
    </row>
    <row r="3312" spans="1:4" x14ac:dyDescent="0.25">
      <c r="A3312" t="s">
        <v>1511</v>
      </c>
      <c r="C3312" t="s">
        <v>18</v>
      </c>
      <c r="D3312" s="1">
        <v>43251</v>
      </c>
    </row>
    <row r="3313" spans="1:4" x14ac:dyDescent="0.25">
      <c r="A3313" t="s">
        <v>1531</v>
      </c>
      <c r="C3313" t="s">
        <v>18</v>
      </c>
      <c r="D3313" s="1">
        <v>43251</v>
      </c>
    </row>
    <row r="3314" spans="1:4" x14ac:dyDescent="0.25">
      <c r="A3314" t="s">
        <v>2611</v>
      </c>
      <c r="C3314" t="s">
        <v>18</v>
      </c>
      <c r="D3314" s="1">
        <v>43251</v>
      </c>
    </row>
    <row r="3315" spans="1:4" x14ac:dyDescent="0.25">
      <c r="A3315" t="s">
        <v>2804</v>
      </c>
      <c r="C3315" t="s">
        <v>18</v>
      </c>
      <c r="D3315" s="1">
        <v>43251</v>
      </c>
    </row>
    <row r="3316" spans="1:4" x14ac:dyDescent="0.25">
      <c r="A3316" t="s">
        <v>1537</v>
      </c>
      <c r="C3316" t="s">
        <v>18</v>
      </c>
      <c r="D3316" s="1">
        <v>43251</v>
      </c>
    </row>
    <row r="3317" spans="1:4" x14ac:dyDescent="0.25">
      <c r="A3317" t="s">
        <v>2613</v>
      </c>
      <c r="C3317" t="s">
        <v>18</v>
      </c>
      <c r="D3317" s="1">
        <v>43251</v>
      </c>
    </row>
    <row r="3318" spans="1:4" x14ac:dyDescent="0.25">
      <c r="A3318" t="s">
        <v>2614</v>
      </c>
      <c r="C3318" t="s">
        <v>18</v>
      </c>
      <c r="D3318" s="1">
        <v>43251</v>
      </c>
    </row>
    <row r="3319" spans="1:4" x14ac:dyDescent="0.25">
      <c r="A3319" t="s">
        <v>1636</v>
      </c>
      <c r="C3319" t="s">
        <v>18</v>
      </c>
      <c r="D3319" s="1">
        <v>43251</v>
      </c>
    </row>
    <row r="3320" spans="1:4" x14ac:dyDescent="0.25">
      <c r="A3320" t="s">
        <v>1320</v>
      </c>
      <c r="C3320" t="s">
        <v>18</v>
      </c>
      <c r="D3320" s="1">
        <v>43251</v>
      </c>
    </row>
    <row r="3321" spans="1:4" x14ac:dyDescent="0.25">
      <c r="A3321" t="s">
        <v>2616</v>
      </c>
      <c r="C3321" t="s">
        <v>18</v>
      </c>
      <c r="D3321" s="1">
        <v>43251</v>
      </c>
    </row>
    <row r="3322" spans="1:4" x14ac:dyDescent="0.25">
      <c r="A3322" t="s">
        <v>2805</v>
      </c>
      <c r="C3322" t="s">
        <v>18</v>
      </c>
      <c r="D3322" s="1">
        <v>43222</v>
      </c>
    </row>
    <row r="3323" spans="1:4" x14ac:dyDescent="0.25">
      <c r="A3323" t="s">
        <v>2806</v>
      </c>
      <c r="C3323" t="s">
        <v>18</v>
      </c>
      <c r="D3323" s="1">
        <v>43251</v>
      </c>
    </row>
    <row r="3324" spans="1:4" x14ac:dyDescent="0.25">
      <c r="A3324" t="s">
        <v>2807</v>
      </c>
      <c r="C3324" t="s">
        <v>18</v>
      </c>
      <c r="D3324" s="1">
        <v>43251</v>
      </c>
    </row>
    <row r="3325" spans="1:4" x14ac:dyDescent="0.25">
      <c r="A3325" t="s">
        <v>1426</v>
      </c>
      <c r="C3325" t="s">
        <v>18</v>
      </c>
      <c r="D3325" s="1">
        <v>43251</v>
      </c>
    </row>
    <row r="3326" spans="1:4" x14ac:dyDescent="0.25">
      <c r="A3326" t="s">
        <v>1633</v>
      </c>
      <c r="C3326" t="s">
        <v>18</v>
      </c>
      <c r="D3326" s="1">
        <v>43251</v>
      </c>
    </row>
    <row r="3327" spans="1:4" x14ac:dyDescent="0.25">
      <c r="A3327" t="s">
        <v>1583</v>
      </c>
      <c r="C3327" t="s">
        <v>18</v>
      </c>
      <c r="D3327" s="1">
        <v>43251</v>
      </c>
    </row>
    <row r="3328" spans="1:4" x14ac:dyDescent="0.25">
      <c r="A3328" t="s">
        <v>2808</v>
      </c>
      <c r="C3328" t="s">
        <v>18</v>
      </c>
      <c r="D3328" s="1">
        <v>43251</v>
      </c>
    </row>
    <row r="3329" spans="1:4" x14ac:dyDescent="0.25">
      <c r="A3329" t="s">
        <v>2809</v>
      </c>
      <c r="C3329" t="s">
        <v>18</v>
      </c>
      <c r="D3329" s="1">
        <v>43251</v>
      </c>
    </row>
    <row r="3330" spans="1:4" x14ac:dyDescent="0.25">
      <c r="A3330" t="s">
        <v>1634</v>
      </c>
      <c r="C3330" t="s">
        <v>18</v>
      </c>
      <c r="D3330" s="1">
        <v>43251</v>
      </c>
    </row>
    <row r="3331" spans="1:4" x14ac:dyDescent="0.25">
      <c r="A3331" t="s">
        <v>2810</v>
      </c>
      <c r="C3331" t="s">
        <v>18</v>
      </c>
      <c r="D3331" s="1">
        <v>43223</v>
      </c>
    </row>
    <row r="3332" spans="1:4" x14ac:dyDescent="0.25">
      <c r="A3332" t="s">
        <v>1471</v>
      </c>
      <c r="C3332" t="s">
        <v>18</v>
      </c>
      <c r="D3332" s="1">
        <v>43251</v>
      </c>
    </row>
    <row r="3333" spans="1:4" x14ac:dyDescent="0.25">
      <c r="A3333" t="s">
        <v>2620</v>
      </c>
      <c r="C3333" t="s">
        <v>18</v>
      </c>
      <c r="D3333" s="1">
        <v>43251</v>
      </c>
    </row>
    <row r="3334" spans="1:4" x14ac:dyDescent="0.25">
      <c r="A3334" t="s">
        <v>1534</v>
      </c>
      <c r="C3334" t="s">
        <v>18</v>
      </c>
      <c r="D3334" s="1">
        <v>43251</v>
      </c>
    </row>
    <row r="3335" spans="1:4" x14ac:dyDescent="0.25">
      <c r="A3335" t="s">
        <v>2811</v>
      </c>
      <c r="C3335" t="s">
        <v>18</v>
      </c>
      <c r="D3335" s="1">
        <v>43251</v>
      </c>
    </row>
    <row r="3336" spans="1:4" x14ac:dyDescent="0.25">
      <c r="A3336" t="s">
        <v>1458</v>
      </c>
      <c r="C3336" t="s">
        <v>18</v>
      </c>
      <c r="D3336" s="1">
        <v>43251</v>
      </c>
    </row>
    <row r="3337" spans="1:4" x14ac:dyDescent="0.25">
      <c r="A3337" t="s">
        <v>2812</v>
      </c>
      <c r="C3337" t="s">
        <v>18</v>
      </c>
      <c r="D3337" s="1">
        <v>43223</v>
      </c>
    </row>
    <row r="3338" spans="1:4" x14ac:dyDescent="0.25">
      <c r="A3338" t="s">
        <v>1394</v>
      </c>
      <c r="C3338" t="s">
        <v>18</v>
      </c>
      <c r="D3338" s="1">
        <v>43251</v>
      </c>
    </row>
    <row r="3339" spans="1:4" x14ac:dyDescent="0.25">
      <c r="A3339" t="s">
        <v>1479</v>
      </c>
      <c r="C3339" t="s">
        <v>18</v>
      </c>
      <c r="D3339" s="1">
        <v>43251</v>
      </c>
    </row>
    <row r="3340" spans="1:4" x14ac:dyDescent="0.25">
      <c r="A3340" t="s">
        <v>1231</v>
      </c>
      <c r="C3340" t="s">
        <v>18</v>
      </c>
      <c r="D3340" s="1">
        <v>43251</v>
      </c>
    </row>
    <row r="3341" spans="1:4" x14ac:dyDescent="0.25">
      <c r="A3341" t="s">
        <v>2622</v>
      </c>
      <c r="C3341" t="s">
        <v>18</v>
      </c>
      <c r="D3341" s="1">
        <v>43251</v>
      </c>
    </row>
    <row r="3342" spans="1:4" x14ac:dyDescent="0.25">
      <c r="A3342" t="s">
        <v>2813</v>
      </c>
      <c r="C3342" t="s">
        <v>18</v>
      </c>
      <c r="D3342" s="1">
        <v>43251</v>
      </c>
    </row>
    <row r="3343" spans="1:4" x14ac:dyDescent="0.25">
      <c r="A3343" t="s">
        <v>2623</v>
      </c>
      <c r="C3343" t="s">
        <v>18</v>
      </c>
      <c r="D3343" s="1">
        <v>43251</v>
      </c>
    </row>
    <row r="3344" spans="1:4" x14ac:dyDescent="0.25">
      <c r="A3344" t="s">
        <v>2624</v>
      </c>
      <c r="C3344" t="s">
        <v>18</v>
      </c>
      <c r="D3344" s="1">
        <v>43251</v>
      </c>
    </row>
    <row r="3345" spans="1:4" x14ac:dyDescent="0.25">
      <c r="A3345" t="s">
        <v>1230</v>
      </c>
      <c r="C3345" t="s">
        <v>18</v>
      </c>
      <c r="D3345" s="1">
        <v>43251</v>
      </c>
    </row>
    <row r="3346" spans="1:4" x14ac:dyDescent="0.25">
      <c r="A3346" t="s">
        <v>1592</v>
      </c>
      <c r="C3346" t="s">
        <v>18</v>
      </c>
      <c r="D3346" s="1">
        <v>43251</v>
      </c>
    </row>
    <row r="3347" spans="1:4" x14ac:dyDescent="0.25">
      <c r="A3347" t="s">
        <v>2814</v>
      </c>
      <c r="C3347" t="s">
        <v>18</v>
      </c>
      <c r="D3347" s="1">
        <v>43251</v>
      </c>
    </row>
    <row r="3348" spans="1:4" x14ac:dyDescent="0.25">
      <c r="A3348" t="s">
        <v>2625</v>
      </c>
      <c r="C3348" t="s">
        <v>18</v>
      </c>
      <c r="D3348" s="1">
        <v>43251</v>
      </c>
    </row>
    <row r="3349" spans="1:4" x14ac:dyDescent="0.25">
      <c r="A3349" t="s">
        <v>1666</v>
      </c>
      <c r="C3349" t="s">
        <v>18</v>
      </c>
      <c r="D3349" s="1">
        <v>43251</v>
      </c>
    </row>
    <row r="3350" spans="1:4" x14ac:dyDescent="0.25">
      <c r="A3350" t="s">
        <v>1410</v>
      </c>
      <c r="C3350" t="s">
        <v>18</v>
      </c>
      <c r="D3350" s="1">
        <v>43251</v>
      </c>
    </row>
    <row r="3351" spans="1:4" x14ac:dyDescent="0.25">
      <c r="A3351" t="s">
        <v>1393</v>
      </c>
      <c r="C3351" t="s">
        <v>18</v>
      </c>
      <c r="D3351" s="1">
        <v>43251</v>
      </c>
    </row>
    <row r="3352" spans="1:4" x14ac:dyDescent="0.25">
      <c r="A3352" t="s">
        <v>2628</v>
      </c>
      <c r="C3352" t="s">
        <v>18</v>
      </c>
      <c r="D3352" s="1">
        <v>43251</v>
      </c>
    </row>
    <row r="3353" spans="1:4" x14ac:dyDescent="0.25">
      <c r="A3353" t="s">
        <v>2629</v>
      </c>
      <c r="C3353" t="s">
        <v>18</v>
      </c>
      <c r="D3353" s="1">
        <v>43251</v>
      </c>
    </row>
    <row r="3354" spans="1:4" x14ac:dyDescent="0.25">
      <c r="A3354" t="s">
        <v>2815</v>
      </c>
      <c r="C3354" t="s">
        <v>18</v>
      </c>
      <c r="D3354" s="1">
        <v>43251</v>
      </c>
    </row>
    <row r="3355" spans="1:4" x14ac:dyDescent="0.25">
      <c r="A3355" t="s">
        <v>1409</v>
      </c>
      <c r="C3355" t="s">
        <v>18</v>
      </c>
      <c r="D3355" s="1">
        <v>43251</v>
      </c>
    </row>
    <row r="3356" spans="1:4" x14ac:dyDescent="0.25">
      <c r="A3356" t="s">
        <v>2633</v>
      </c>
      <c r="C3356" t="s">
        <v>18</v>
      </c>
      <c r="D3356" s="1">
        <v>43251</v>
      </c>
    </row>
    <row r="3357" spans="1:4" x14ac:dyDescent="0.25">
      <c r="A3357" t="s">
        <v>1598</v>
      </c>
      <c r="C3357" t="s">
        <v>18</v>
      </c>
      <c r="D3357" s="1">
        <v>43251</v>
      </c>
    </row>
    <row r="3358" spans="1:4" x14ac:dyDescent="0.25">
      <c r="A3358" t="s">
        <v>1372</v>
      </c>
      <c r="C3358" t="s">
        <v>18</v>
      </c>
      <c r="D3358" s="1">
        <v>43251</v>
      </c>
    </row>
    <row r="3359" spans="1:4" x14ac:dyDescent="0.25">
      <c r="A3359" t="s">
        <v>2634</v>
      </c>
      <c r="C3359" t="s">
        <v>18</v>
      </c>
      <c r="D3359" s="1">
        <v>43251</v>
      </c>
    </row>
    <row r="3360" spans="1:4" x14ac:dyDescent="0.25">
      <c r="A3360" t="s">
        <v>2816</v>
      </c>
      <c r="C3360" t="s">
        <v>18</v>
      </c>
      <c r="D3360" s="1">
        <v>43251</v>
      </c>
    </row>
    <row r="3361" spans="1:4" x14ac:dyDescent="0.25">
      <c r="A3361" t="s">
        <v>1494</v>
      </c>
      <c r="C3361" t="s">
        <v>18</v>
      </c>
      <c r="D3361" s="1">
        <v>43251</v>
      </c>
    </row>
    <row r="3362" spans="1:4" x14ac:dyDescent="0.25">
      <c r="A3362" t="s">
        <v>2817</v>
      </c>
      <c r="C3362" t="s">
        <v>18</v>
      </c>
      <c r="D3362" s="1">
        <v>43251</v>
      </c>
    </row>
    <row r="3363" spans="1:4" x14ac:dyDescent="0.25">
      <c r="A3363" t="s">
        <v>2818</v>
      </c>
      <c r="C3363" t="s">
        <v>18</v>
      </c>
      <c r="D3363" s="1">
        <v>43251</v>
      </c>
    </row>
    <row r="3364" spans="1:4" x14ac:dyDescent="0.25">
      <c r="A3364" t="s">
        <v>1538</v>
      </c>
      <c r="C3364" t="s">
        <v>18</v>
      </c>
      <c r="D3364" s="1">
        <v>43251</v>
      </c>
    </row>
    <row r="3365" spans="1:4" x14ac:dyDescent="0.25">
      <c r="A3365" t="s">
        <v>2819</v>
      </c>
      <c r="C3365" t="s">
        <v>18</v>
      </c>
      <c r="D3365" s="1">
        <v>43251</v>
      </c>
    </row>
    <row r="3366" spans="1:4" x14ac:dyDescent="0.25">
      <c r="A3366" t="s">
        <v>2635</v>
      </c>
      <c r="C3366" t="s">
        <v>18</v>
      </c>
      <c r="D3366" s="1">
        <v>43251</v>
      </c>
    </row>
    <row r="3367" spans="1:4" x14ac:dyDescent="0.25">
      <c r="A3367" t="s">
        <v>2636</v>
      </c>
      <c r="C3367" t="s">
        <v>18</v>
      </c>
      <c r="D3367" s="1">
        <v>43251</v>
      </c>
    </row>
    <row r="3368" spans="1:4" x14ac:dyDescent="0.25">
      <c r="A3368" t="s">
        <v>2637</v>
      </c>
      <c r="C3368" t="s">
        <v>18</v>
      </c>
      <c r="D3368" s="1">
        <v>43251</v>
      </c>
    </row>
    <row r="3369" spans="1:4" x14ac:dyDescent="0.25">
      <c r="A3369" t="s">
        <v>2638</v>
      </c>
      <c r="C3369" t="s">
        <v>18</v>
      </c>
      <c r="D3369" s="1">
        <v>43251</v>
      </c>
    </row>
    <row r="3370" spans="1:4" x14ac:dyDescent="0.25">
      <c r="A3370" t="s">
        <v>1273</v>
      </c>
      <c r="C3370" t="s">
        <v>18</v>
      </c>
      <c r="D3370" s="1">
        <v>43251</v>
      </c>
    </row>
    <row r="3371" spans="1:4" x14ac:dyDescent="0.25">
      <c r="A3371" t="s">
        <v>1520</v>
      </c>
      <c r="C3371" t="s">
        <v>18</v>
      </c>
      <c r="D3371" s="1">
        <v>43251</v>
      </c>
    </row>
    <row r="3372" spans="1:4" x14ac:dyDescent="0.25">
      <c r="A3372" t="s">
        <v>1420</v>
      </c>
      <c r="C3372" t="s">
        <v>18</v>
      </c>
      <c r="D3372" s="1">
        <v>43251</v>
      </c>
    </row>
    <row r="3373" spans="1:4" x14ac:dyDescent="0.25">
      <c r="A3373" t="s">
        <v>2820</v>
      </c>
      <c r="C3373" t="s">
        <v>18</v>
      </c>
      <c r="D3373" s="1">
        <v>43251</v>
      </c>
    </row>
    <row r="3374" spans="1:4" x14ac:dyDescent="0.25">
      <c r="A3374" t="s">
        <v>1072</v>
      </c>
      <c r="C3374" t="s">
        <v>18</v>
      </c>
      <c r="D3374" s="1">
        <v>43251</v>
      </c>
    </row>
    <row r="3375" spans="1:4" x14ac:dyDescent="0.25">
      <c r="A3375" t="s">
        <v>1662</v>
      </c>
      <c r="C3375" t="s">
        <v>18</v>
      </c>
      <c r="D3375" s="1">
        <v>43251</v>
      </c>
    </row>
    <row r="3376" spans="1:4" x14ac:dyDescent="0.25">
      <c r="A3376" t="s">
        <v>1546</v>
      </c>
      <c r="C3376" t="s">
        <v>18</v>
      </c>
      <c r="D3376" s="1">
        <v>43251</v>
      </c>
    </row>
    <row r="3377" spans="1:4" x14ac:dyDescent="0.25">
      <c r="A3377" t="s">
        <v>2642</v>
      </c>
      <c r="C3377" t="s">
        <v>18</v>
      </c>
      <c r="D3377" s="1">
        <v>43251</v>
      </c>
    </row>
    <row r="3378" spans="1:4" x14ac:dyDescent="0.25">
      <c r="A3378" t="s">
        <v>1660</v>
      </c>
      <c r="C3378" t="s">
        <v>18</v>
      </c>
      <c r="D3378" s="1">
        <v>43251</v>
      </c>
    </row>
    <row r="3379" spans="1:4" x14ac:dyDescent="0.25">
      <c r="A3379" t="s">
        <v>1587</v>
      </c>
      <c r="C3379" t="s">
        <v>18</v>
      </c>
      <c r="D3379" s="1">
        <v>43251</v>
      </c>
    </row>
    <row r="3380" spans="1:4" x14ac:dyDescent="0.25">
      <c r="A3380" t="s">
        <v>2643</v>
      </c>
      <c r="C3380" t="s">
        <v>18</v>
      </c>
      <c r="D3380" s="1">
        <v>43251</v>
      </c>
    </row>
    <row r="3381" spans="1:4" x14ac:dyDescent="0.25">
      <c r="A3381" t="s">
        <v>2821</v>
      </c>
      <c r="C3381" t="s">
        <v>18</v>
      </c>
      <c r="D3381" s="1">
        <v>43251</v>
      </c>
    </row>
    <row r="3382" spans="1:4" x14ac:dyDescent="0.25">
      <c r="A3382" t="s">
        <v>1602</v>
      </c>
      <c r="C3382" t="s">
        <v>18</v>
      </c>
      <c r="D3382" s="1">
        <v>43251</v>
      </c>
    </row>
    <row r="3383" spans="1:4" x14ac:dyDescent="0.25">
      <c r="A3383" t="s">
        <v>2647</v>
      </c>
      <c r="C3383" t="s">
        <v>18</v>
      </c>
      <c r="D3383" s="1">
        <v>43251</v>
      </c>
    </row>
    <row r="3384" spans="1:4" x14ac:dyDescent="0.25">
      <c r="A3384" t="s">
        <v>2648</v>
      </c>
      <c r="C3384" t="s">
        <v>18</v>
      </c>
      <c r="D3384" s="1">
        <v>43251</v>
      </c>
    </row>
    <row r="3385" spans="1:4" x14ac:dyDescent="0.25">
      <c r="A3385" t="s">
        <v>1475</v>
      </c>
      <c r="C3385" t="s">
        <v>18</v>
      </c>
      <c r="D3385" s="1">
        <v>43251</v>
      </c>
    </row>
    <row r="3386" spans="1:4" x14ac:dyDescent="0.25">
      <c r="A3386" t="s">
        <v>2654</v>
      </c>
      <c r="C3386" t="s">
        <v>18</v>
      </c>
      <c r="D3386" s="1">
        <v>43251</v>
      </c>
    </row>
    <row r="3387" spans="1:4" x14ac:dyDescent="0.25">
      <c r="A3387" t="s">
        <v>2822</v>
      </c>
      <c r="C3387" t="s">
        <v>18</v>
      </c>
      <c r="D3387" s="1">
        <v>43251</v>
      </c>
    </row>
    <row r="3388" spans="1:4" x14ac:dyDescent="0.25">
      <c r="A3388" t="s">
        <v>2823</v>
      </c>
      <c r="C3388" t="s">
        <v>18</v>
      </c>
      <c r="D3388" s="1">
        <v>43224</v>
      </c>
    </row>
    <row r="3389" spans="1:4" x14ac:dyDescent="0.25">
      <c r="A3389" t="s">
        <v>2824</v>
      </c>
      <c r="C3389" t="s">
        <v>18</v>
      </c>
      <c r="D3389" s="1">
        <v>43251</v>
      </c>
    </row>
    <row r="3390" spans="1:4" x14ac:dyDescent="0.25">
      <c r="A3390" t="s">
        <v>2825</v>
      </c>
      <c r="C3390" t="s">
        <v>18</v>
      </c>
      <c r="D3390" s="1">
        <v>43251</v>
      </c>
    </row>
    <row r="3391" spans="1:4" x14ac:dyDescent="0.25">
      <c r="A3391" t="s">
        <v>2655</v>
      </c>
      <c r="C3391" t="s">
        <v>18</v>
      </c>
      <c r="D3391" s="1">
        <v>43251</v>
      </c>
    </row>
    <row r="3392" spans="1:4" x14ac:dyDescent="0.25">
      <c r="A3392" t="s">
        <v>2826</v>
      </c>
      <c r="C3392" t="s">
        <v>18</v>
      </c>
      <c r="D3392" s="1">
        <v>43221</v>
      </c>
    </row>
    <row r="3393" spans="1:4" x14ac:dyDescent="0.25">
      <c r="A3393" t="s">
        <v>2827</v>
      </c>
      <c r="C3393" t="s">
        <v>18</v>
      </c>
      <c r="D3393" s="1">
        <v>43251</v>
      </c>
    </row>
    <row r="3394" spans="1:4" x14ac:dyDescent="0.25">
      <c r="A3394" t="s">
        <v>2828</v>
      </c>
      <c r="C3394" t="s">
        <v>18</v>
      </c>
      <c r="D3394" s="1">
        <v>43251</v>
      </c>
    </row>
    <row r="3395" spans="1:4" x14ac:dyDescent="0.25">
      <c r="A3395" t="s">
        <v>2656</v>
      </c>
      <c r="C3395" t="s">
        <v>18</v>
      </c>
      <c r="D3395" s="1">
        <v>43251</v>
      </c>
    </row>
    <row r="3396" spans="1:4" x14ac:dyDescent="0.25">
      <c r="A3396" t="s">
        <v>2829</v>
      </c>
      <c r="C3396" t="s">
        <v>18</v>
      </c>
      <c r="D3396" s="1">
        <v>43251</v>
      </c>
    </row>
    <row r="3397" spans="1:4" x14ac:dyDescent="0.25">
      <c r="A3397" t="s">
        <v>2830</v>
      </c>
      <c r="C3397" t="s">
        <v>18</v>
      </c>
      <c r="D3397" s="1">
        <v>43251</v>
      </c>
    </row>
    <row r="3398" spans="1:4" x14ac:dyDescent="0.25">
      <c r="A3398" t="s">
        <v>2831</v>
      </c>
      <c r="C3398" t="s">
        <v>18</v>
      </c>
      <c r="D3398" s="1">
        <v>43224</v>
      </c>
    </row>
    <row r="3399" spans="1:4" x14ac:dyDescent="0.25">
      <c r="A3399" t="s">
        <v>2832</v>
      </c>
      <c r="C3399" t="s">
        <v>18</v>
      </c>
      <c r="D3399" s="1">
        <v>43251</v>
      </c>
    </row>
    <row r="3400" spans="1:4" x14ac:dyDescent="0.25">
      <c r="A3400" t="s">
        <v>2833</v>
      </c>
      <c r="C3400" t="s">
        <v>18</v>
      </c>
      <c r="D3400" s="1">
        <v>43221</v>
      </c>
    </row>
    <row r="3401" spans="1:4" x14ac:dyDescent="0.25">
      <c r="A3401" t="s">
        <v>2834</v>
      </c>
      <c r="C3401" t="s">
        <v>18</v>
      </c>
      <c r="D3401" s="1">
        <v>43251</v>
      </c>
    </row>
    <row r="3402" spans="1:4" x14ac:dyDescent="0.25">
      <c r="A3402" t="s">
        <v>2835</v>
      </c>
      <c r="C3402" t="s">
        <v>18</v>
      </c>
      <c r="D3402" s="1">
        <v>43251</v>
      </c>
    </row>
    <row r="3403" spans="1:4" x14ac:dyDescent="0.25">
      <c r="A3403" t="s">
        <v>2659</v>
      </c>
      <c r="C3403" t="s">
        <v>18</v>
      </c>
      <c r="D3403" s="1">
        <v>43251</v>
      </c>
    </row>
    <row r="3404" spans="1:4" x14ac:dyDescent="0.25">
      <c r="A3404" t="s">
        <v>2836</v>
      </c>
      <c r="C3404" t="s">
        <v>18</v>
      </c>
      <c r="D3404" s="1">
        <v>43221</v>
      </c>
    </row>
    <row r="3405" spans="1:4" x14ac:dyDescent="0.25">
      <c r="A3405" t="s">
        <v>2661</v>
      </c>
      <c r="C3405" t="s">
        <v>18</v>
      </c>
      <c r="D3405" s="1">
        <v>43251</v>
      </c>
    </row>
    <row r="3406" spans="1:4" x14ac:dyDescent="0.25">
      <c r="A3406" t="s">
        <v>2662</v>
      </c>
      <c r="C3406" t="s">
        <v>18</v>
      </c>
      <c r="D3406" s="1">
        <v>43251</v>
      </c>
    </row>
    <row r="3407" spans="1:4" x14ac:dyDescent="0.25">
      <c r="A3407" t="s">
        <v>2663</v>
      </c>
      <c r="C3407" t="s">
        <v>18</v>
      </c>
      <c r="D3407" s="1">
        <v>43251</v>
      </c>
    </row>
    <row r="3408" spans="1:4" x14ac:dyDescent="0.25">
      <c r="A3408" t="s">
        <v>2837</v>
      </c>
      <c r="C3408" t="s">
        <v>18</v>
      </c>
      <c r="D3408" s="1">
        <v>43251</v>
      </c>
    </row>
    <row r="3409" spans="1:4" x14ac:dyDescent="0.25">
      <c r="A3409" t="s">
        <v>2666</v>
      </c>
      <c r="C3409" t="s">
        <v>18</v>
      </c>
      <c r="D3409" s="1">
        <v>43251</v>
      </c>
    </row>
    <row r="3410" spans="1:4" x14ac:dyDescent="0.25">
      <c r="A3410" t="s">
        <v>2667</v>
      </c>
      <c r="C3410" t="s">
        <v>18</v>
      </c>
      <c r="D3410" s="1">
        <v>43251</v>
      </c>
    </row>
    <row r="3411" spans="1:4" x14ac:dyDescent="0.25">
      <c r="A3411" t="s">
        <v>2838</v>
      </c>
      <c r="C3411" t="s">
        <v>18</v>
      </c>
      <c r="D3411" s="1">
        <v>43251</v>
      </c>
    </row>
    <row r="3412" spans="1:4" x14ac:dyDescent="0.25">
      <c r="A3412" t="s">
        <v>2670</v>
      </c>
      <c r="C3412" t="s">
        <v>18</v>
      </c>
      <c r="D3412" s="1">
        <v>43251</v>
      </c>
    </row>
    <row r="3413" spans="1:4" x14ac:dyDescent="0.25">
      <c r="A3413" t="s">
        <v>1652</v>
      </c>
      <c r="C3413" t="s">
        <v>18</v>
      </c>
      <c r="D3413" s="1">
        <v>43251</v>
      </c>
    </row>
    <row r="3414" spans="1:4" x14ac:dyDescent="0.25">
      <c r="A3414" t="s">
        <v>2673</v>
      </c>
      <c r="C3414" t="s">
        <v>18</v>
      </c>
      <c r="D3414" s="1">
        <v>43251</v>
      </c>
    </row>
    <row r="3415" spans="1:4" x14ac:dyDescent="0.25">
      <c r="A3415" t="s">
        <v>2674</v>
      </c>
      <c r="C3415" t="s">
        <v>18</v>
      </c>
      <c r="D3415" s="1">
        <v>43251</v>
      </c>
    </row>
    <row r="3416" spans="1:4" x14ac:dyDescent="0.25">
      <c r="A3416" t="s">
        <v>2675</v>
      </c>
      <c r="C3416" t="s">
        <v>18</v>
      </c>
      <c r="D3416" s="1">
        <v>43251</v>
      </c>
    </row>
    <row r="3417" spans="1:4" x14ac:dyDescent="0.25">
      <c r="A3417" t="s">
        <v>1586</v>
      </c>
      <c r="C3417" t="s">
        <v>18</v>
      </c>
      <c r="D3417" s="1">
        <v>43251</v>
      </c>
    </row>
    <row r="3418" spans="1:4" x14ac:dyDescent="0.25">
      <c r="A3418" t="s">
        <v>2676</v>
      </c>
      <c r="C3418" t="s">
        <v>18</v>
      </c>
      <c r="D3418" s="1">
        <v>43251</v>
      </c>
    </row>
    <row r="3419" spans="1:4" x14ac:dyDescent="0.25">
      <c r="A3419" t="s">
        <v>1648</v>
      </c>
      <c r="C3419" t="s">
        <v>18</v>
      </c>
      <c r="D3419" s="1">
        <v>43251</v>
      </c>
    </row>
    <row r="3420" spans="1:4" x14ac:dyDescent="0.25">
      <c r="A3420" t="s">
        <v>2678</v>
      </c>
      <c r="C3420" t="s">
        <v>18</v>
      </c>
      <c r="D3420" s="1">
        <v>43251</v>
      </c>
    </row>
    <row r="3421" spans="1:4" x14ac:dyDescent="0.25">
      <c r="A3421" t="s">
        <v>1620</v>
      </c>
      <c r="C3421" t="s">
        <v>18</v>
      </c>
      <c r="D3421" s="1">
        <v>43251</v>
      </c>
    </row>
    <row r="3422" spans="1:4" x14ac:dyDescent="0.25">
      <c r="A3422" t="s">
        <v>1414</v>
      </c>
      <c r="C3422" t="s">
        <v>18</v>
      </c>
      <c r="D3422" s="1">
        <v>43251</v>
      </c>
    </row>
    <row r="3423" spans="1:4" x14ac:dyDescent="0.25">
      <c r="A3423" t="s">
        <v>2679</v>
      </c>
      <c r="C3423" t="s">
        <v>18</v>
      </c>
      <c r="D3423" s="1">
        <v>43251</v>
      </c>
    </row>
    <row r="3424" spans="1:4" x14ac:dyDescent="0.25">
      <c r="A3424" t="s">
        <v>2680</v>
      </c>
      <c r="C3424" t="s">
        <v>18</v>
      </c>
      <c r="D3424" s="1">
        <v>43251</v>
      </c>
    </row>
    <row r="3425" spans="1:4" x14ac:dyDescent="0.25">
      <c r="A3425" t="s">
        <v>2681</v>
      </c>
      <c r="C3425" t="s">
        <v>18</v>
      </c>
      <c r="D3425" s="1">
        <v>43251</v>
      </c>
    </row>
    <row r="3426" spans="1:4" x14ac:dyDescent="0.25">
      <c r="A3426" t="s">
        <v>2682</v>
      </c>
      <c r="C3426" t="s">
        <v>18</v>
      </c>
      <c r="D3426" s="1">
        <v>43251</v>
      </c>
    </row>
    <row r="3427" spans="1:4" x14ac:dyDescent="0.25">
      <c r="A3427" t="s">
        <v>1581</v>
      </c>
      <c r="C3427" t="s">
        <v>18</v>
      </c>
      <c r="D3427" s="1">
        <v>43251</v>
      </c>
    </row>
    <row r="3428" spans="1:4" x14ac:dyDescent="0.25">
      <c r="A3428" t="s">
        <v>1677</v>
      </c>
      <c r="C3428" t="s">
        <v>18</v>
      </c>
      <c r="D3428" s="1">
        <v>43251</v>
      </c>
    </row>
    <row r="3429" spans="1:4" x14ac:dyDescent="0.25">
      <c r="A3429" t="s">
        <v>2683</v>
      </c>
      <c r="C3429" t="s">
        <v>18</v>
      </c>
      <c r="D3429" s="1">
        <v>43251</v>
      </c>
    </row>
    <row r="3430" spans="1:4" x14ac:dyDescent="0.25">
      <c r="A3430" t="s">
        <v>2686</v>
      </c>
      <c r="C3430" t="s">
        <v>18</v>
      </c>
      <c r="D3430" s="1">
        <v>43251</v>
      </c>
    </row>
    <row r="3431" spans="1:4" x14ac:dyDescent="0.25">
      <c r="A3431" t="s">
        <v>2687</v>
      </c>
      <c r="C3431" t="s">
        <v>18</v>
      </c>
      <c r="D3431" s="1">
        <v>43251</v>
      </c>
    </row>
    <row r="3432" spans="1:4" x14ac:dyDescent="0.25">
      <c r="A3432" t="s">
        <v>2688</v>
      </c>
      <c r="C3432" t="s">
        <v>18</v>
      </c>
      <c r="D3432" s="1">
        <v>43251</v>
      </c>
    </row>
    <row r="3433" spans="1:4" x14ac:dyDescent="0.25">
      <c r="A3433" t="s">
        <v>2689</v>
      </c>
      <c r="C3433" t="s">
        <v>18</v>
      </c>
      <c r="D3433" s="1">
        <v>43251</v>
      </c>
    </row>
    <row r="3434" spans="1:4" x14ac:dyDescent="0.25">
      <c r="A3434" t="s">
        <v>2691</v>
      </c>
      <c r="C3434" t="s">
        <v>18</v>
      </c>
      <c r="D3434" s="1">
        <v>43251</v>
      </c>
    </row>
    <row r="3435" spans="1:4" x14ac:dyDescent="0.25">
      <c r="A3435" t="s">
        <v>2692</v>
      </c>
      <c r="C3435" t="s">
        <v>18</v>
      </c>
      <c r="D3435" s="1">
        <v>43251</v>
      </c>
    </row>
    <row r="3436" spans="1:4" x14ac:dyDescent="0.25">
      <c r="A3436" t="s">
        <v>2839</v>
      </c>
      <c r="C3436" t="s">
        <v>18</v>
      </c>
      <c r="D3436" s="1">
        <v>43251</v>
      </c>
    </row>
    <row r="3437" spans="1:4" x14ac:dyDescent="0.25">
      <c r="A3437" t="s">
        <v>2696</v>
      </c>
      <c r="C3437" t="s">
        <v>18</v>
      </c>
      <c r="D3437" s="1">
        <v>43251</v>
      </c>
    </row>
    <row r="3438" spans="1:4" x14ac:dyDescent="0.25">
      <c r="A3438" t="s">
        <v>2697</v>
      </c>
      <c r="C3438" t="s">
        <v>18</v>
      </c>
      <c r="D3438" s="1">
        <v>43251</v>
      </c>
    </row>
    <row r="3439" spans="1:4" x14ac:dyDescent="0.25">
      <c r="A3439" t="s">
        <v>2698</v>
      </c>
      <c r="C3439" t="s">
        <v>18</v>
      </c>
      <c r="D3439" s="1">
        <v>43251</v>
      </c>
    </row>
    <row r="3440" spans="1:4" x14ac:dyDescent="0.25">
      <c r="A3440" t="s">
        <v>1333</v>
      </c>
      <c r="C3440" t="s">
        <v>18</v>
      </c>
      <c r="D3440" s="1">
        <v>43251</v>
      </c>
    </row>
    <row r="3441" spans="1:4" x14ac:dyDescent="0.25">
      <c r="A3441" t="s">
        <v>2701</v>
      </c>
      <c r="C3441" t="s">
        <v>18</v>
      </c>
      <c r="D3441" s="1">
        <v>43251</v>
      </c>
    </row>
    <row r="3442" spans="1:4" x14ac:dyDescent="0.25">
      <c r="A3442" t="s">
        <v>2702</v>
      </c>
      <c r="C3442" t="s">
        <v>18</v>
      </c>
      <c r="D3442" s="1">
        <v>43251</v>
      </c>
    </row>
    <row r="3443" spans="1:4" x14ac:dyDescent="0.25">
      <c r="A3443" t="s">
        <v>2707</v>
      </c>
      <c r="C3443" t="s">
        <v>18</v>
      </c>
      <c r="D3443" s="1">
        <v>43251</v>
      </c>
    </row>
    <row r="3444" spans="1:4" x14ac:dyDescent="0.25">
      <c r="A3444" t="s">
        <v>1638</v>
      </c>
      <c r="C3444" t="s">
        <v>18</v>
      </c>
      <c r="D3444" s="1">
        <v>43251</v>
      </c>
    </row>
    <row r="3445" spans="1:4" x14ac:dyDescent="0.25">
      <c r="A3445" t="s">
        <v>2709</v>
      </c>
      <c r="C3445" t="s">
        <v>18</v>
      </c>
      <c r="D3445" s="1">
        <v>43251</v>
      </c>
    </row>
    <row r="3446" spans="1:4" x14ac:dyDescent="0.25">
      <c r="A3446" t="s">
        <v>2840</v>
      </c>
      <c r="C3446" t="s">
        <v>18</v>
      </c>
      <c r="D3446" s="1">
        <v>43251</v>
      </c>
    </row>
    <row r="3447" spans="1:4" x14ac:dyDescent="0.25">
      <c r="A3447" t="s">
        <v>2711</v>
      </c>
      <c r="C3447" t="s">
        <v>18</v>
      </c>
      <c r="D3447" s="1">
        <v>43251</v>
      </c>
    </row>
    <row r="3448" spans="1:4" x14ac:dyDescent="0.25">
      <c r="A3448" t="s">
        <v>2712</v>
      </c>
      <c r="C3448" t="s">
        <v>18</v>
      </c>
      <c r="D3448" s="1">
        <v>43251</v>
      </c>
    </row>
    <row r="3449" spans="1:4" x14ac:dyDescent="0.25">
      <c r="A3449" t="s">
        <v>2713</v>
      </c>
      <c r="C3449" t="s">
        <v>18</v>
      </c>
      <c r="D3449" s="1">
        <v>43251</v>
      </c>
    </row>
    <row r="3450" spans="1:4" x14ac:dyDescent="0.25">
      <c r="A3450" t="s">
        <v>1041</v>
      </c>
      <c r="C3450" t="s">
        <v>18</v>
      </c>
      <c r="D3450" s="1">
        <v>43251</v>
      </c>
    </row>
    <row r="3451" spans="1:4" x14ac:dyDescent="0.25">
      <c r="A3451" t="s">
        <v>1443</v>
      </c>
      <c r="C3451" t="s">
        <v>18</v>
      </c>
      <c r="D3451" s="1">
        <v>43251</v>
      </c>
    </row>
    <row r="3452" spans="1:4" x14ac:dyDescent="0.25">
      <c r="A3452" t="s">
        <v>615</v>
      </c>
      <c r="C3452" t="s">
        <v>18</v>
      </c>
      <c r="D3452" s="1">
        <v>43251</v>
      </c>
    </row>
    <row r="3453" spans="1:4" x14ac:dyDescent="0.25">
      <c r="A3453" t="s">
        <v>2719</v>
      </c>
      <c r="C3453" t="s">
        <v>18</v>
      </c>
      <c r="D3453" s="1">
        <v>43251</v>
      </c>
    </row>
    <row r="3454" spans="1:4" x14ac:dyDescent="0.25">
      <c r="A3454" t="s">
        <v>2721</v>
      </c>
      <c r="C3454" t="s">
        <v>18</v>
      </c>
      <c r="D3454" s="1">
        <v>43251</v>
      </c>
    </row>
    <row r="3455" spans="1:4" x14ac:dyDescent="0.25">
      <c r="A3455" t="s">
        <v>2722</v>
      </c>
      <c r="C3455" t="s">
        <v>18</v>
      </c>
      <c r="D3455" s="1">
        <v>43251</v>
      </c>
    </row>
    <row r="3456" spans="1:4" x14ac:dyDescent="0.25">
      <c r="A3456" t="s">
        <v>1259</v>
      </c>
      <c r="C3456" t="s">
        <v>18</v>
      </c>
      <c r="D3456" s="1">
        <v>43251</v>
      </c>
    </row>
    <row r="3457" spans="1:4" x14ac:dyDescent="0.25">
      <c r="A3457" t="s">
        <v>2841</v>
      </c>
      <c r="C3457" t="s">
        <v>18</v>
      </c>
      <c r="D3457" s="1">
        <v>43251</v>
      </c>
    </row>
    <row r="3458" spans="1:4" x14ac:dyDescent="0.25">
      <c r="A3458" t="s">
        <v>2724</v>
      </c>
      <c r="C3458" t="s">
        <v>18</v>
      </c>
      <c r="D3458" s="1">
        <v>43251</v>
      </c>
    </row>
    <row r="3459" spans="1:4" x14ac:dyDescent="0.25">
      <c r="A3459" t="s">
        <v>2842</v>
      </c>
      <c r="C3459" t="s">
        <v>18</v>
      </c>
      <c r="D3459" s="1">
        <v>43251</v>
      </c>
    </row>
    <row r="3460" spans="1:4" x14ac:dyDescent="0.25">
      <c r="A3460" t="s">
        <v>1222</v>
      </c>
      <c r="C3460" t="s">
        <v>18</v>
      </c>
      <c r="D3460" s="1">
        <v>43251</v>
      </c>
    </row>
    <row r="3461" spans="1:4" x14ac:dyDescent="0.25">
      <c r="A3461" t="s">
        <v>1656</v>
      </c>
      <c r="C3461" t="s">
        <v>18</v>
      </c>
      <c r="D3461" s="1">
        <v>43251</v>
      </c>
    </row>
    <row r="3462" spans="1:4" x14ac:dyDescent="0.25">
      <c r="A3462" t="s">
        <v>2843</v>
      </c>
      <c r="C3462" t="s">
        <v>18</v>
      </c>
      <c r="D3462" s="1">
        <v>43251</v>
      </c>
    </row>
    <row r="3463" spans="1:4" x14ac:dyDescent="0.25">
      <c r="A3463" t="s">
        <v>2733</v>
      </c>
      <c r="C3463" t="s">
        <v>18</v>
      </c>
      <c r="D3463" s="1">
        <v>43251</v>
      </c>
    </row>
    <row r="3464" spans="1:4" x14ac:dyDescent="0.25">
      <c r="A3464" t="s">
        <v>2735</v>
      </c>
      <c r="C3464" t="s">
        <v>18</v>
      </c>
      <c r="D3464" s="1">
        <v>43251</v>
      </c>
    </row>
    <row r="3465" spans="1:4" x14ac:dyDescent="0.25">
      <c r="A3465" t="s">
        <v>2844</v>
      </c>
      <c r="C3465" t="s">
        <v>18</v>
      </c>
      <c r="D3465" s="1">
        <v>43251</v>
      </c>
    </row>
    <row r="3466" spans="1:4" x14ac:dyDescent="0.25">
      <c r="A3466" t="s">
        <v>2736</v>
      </c>
      <c r="C3466" t="s">
        <v>18</v>
      </c>
      <c r="D3466" s="1">
        <v>43251</v>
      </c>
    </row>
    <row r="3467" spans="1:4" x14ac:dyDescent="0.25">
      <c r="A3467" t="s">
        <v>2845</v>
      </c>
      <c r="C3467" t="s">
        <v>18</v>
      </c>
      <c r="D3467" s="1">
        <v>43251</v>
      </c>
    </row>
    <row r="3468" spans="1:4" x14ac:dyDescent="0.25">
      <c r="A3468" t="s">
        <v>2846</v>
      </c>
      <c r="C3468" t="s">
        <v>13</v>
      </c>
      <c r="D3468" s="1">
        <v>43240</v>
      </c>
    </row>
    <row r="3469" spans="1:4" x14ac:dyDescent="0.25">
      <c r="A3469" t="s">
        <v>2847</v>
      </c>
      <c r="C3469" t="s">
        <v>13</v>
      </c>
      <c r="D3469" s="1">
        <v>43240</v>
      </c>
    </row>
    <row r="3470" spans="1:4" x14ac:dyDescent="0.25">
      <c r="A3470" t="s">
        <v>2848</v>
      </c>
      <c r="C3470" t="s">
        <v>13</v>
      </c>
      <c r="D3470" s="1">
        <v>43232</v>
      </c>
    </row>
    <row r="3471" spans="1:4" x14ac:dyDescent="0.25">
      <c r="A3471" t="s">
        <v>2752</v>
      </c>
      <c r="C3471" t="s">
        <v>13</v>
      </c>
      <c r="D3471" s="1">
        <v>43240</v>
      </c>
    </row>
    <row r="3472" spans="1:4" x14ac:dyDescent="0.25">
      <c r="A3472" t="s">
        <v>2849</v>
      </c>
      <c r="C3472" t="s">
        <v>13</v>
      </c>
      <c r="D3472" s="1">
        <v>43240</v>
      </c>
    </row>
    <row r="3473" spans="1:4" x14ac:dyDescent="0.25">
      <c r="A3473" t="s">
        <v>2850</v>
      </c>
      <c r="C3473" t="s">
        <v>13</v>
      </c>
      <c r="D3473" s="1">
        <v>43240</v>
      </c>
    </row>
    <row r="3474" spans="1:4" x14ac:dyDescent="0.25">
      <c r="A3474" t="s">
        <v>2753</v>
      </c>
      <c r="C3474" t="s">
        <v>13</v>
      </c>
      <c r="D3474" s="1">
        <v>43240</v>
      </c>
    </row>
    <row r="3475" spans="1:4" x14ac:dyDescent="0.25">
      <c r="A3475" t="s">
        <v>2851</v>
      </c>
      <c r="C3475" t="s">
        <v>13</v>
      </c>
      <c r="D3475" s="1">
        <v>43240</v>
      </c>
    </row>
    <row r="3476" spans="1:4" x14ac:dyDescent="0.25">
      <c r="A3476" t="s">
        <v>2754</v>
      </c>
      <c r="C3476" t="s">
        <v>13</v>
      </c>
      <c r="D3476" s="1">
        <v>43240</v>
      </c>
    </row>
    <row r="3477" spans="1:4" x14ac:dyDescent="0.25">
      <c r="A3477" t="s">
        <v>2755</v>
      </c>
      <c r="C3477" t="s">
        <v>13</v>
      </c>
      <c r="D3477" s="1">
        <v>43240</v>
      </c>
    </row>
    <row r="3478" spans="1:4" x14ac:dyDescent="0.25">
      <c r="A3478" t="s">
        <v>2756</v>
      </c>
      <c r="C3478" t="s">
        <v>13</v>
      </c>
      <c r="D3478" s="1">
        <v>43240</v>
      </c>
    </row>
    <row r="3479" spans="1:4" x14ac:dyDescent="0.25">
      <c r="A3479" t="s">
        <v>2757</v>
      </c>
      <c r="C3479" t="s">
        <v>13</v>
      </c>
      <c r="D3479" s="1">
        <v>43240</v>
      </c>
    </row>
    <row r="3480" spans="1:4" x14ac:dyDescent="0.25">
      <c r="A3480" t="s">
        <v>2852</v>
      </c>
      <c r="C3480" t="s">
        <v>13</v>
      </c>
      <c r="D3480" s="1">
        <v>43240</v>
      </c>
    </row>
    <row r="3481" spans="1:4" x14ac:dyDescent="0.25">
      <c r="A3481" t="s">
        <v>2853</v>
      </c>
      <c r="C3481" t="s">
        <v>13</v>
      </c>
      <c r="D3481" s="1">
        <v>43240</v>
      </c>
    </row>
    <row r="3482" spans="1:4" x14ac:dyDescent="0.25">
      <c r="A3482" t="s">
        <v>2854</v>
      </c>
      <c r="C3482" t="s">
        <v>13</v>
      </c>
      <c r="D3482" s="1">
        <v>43240</v>
      </c>
    </row>
    <row r="3483" spans="1:4" x14ac:dyDescent="0.25">
      <c r="A3483" t="s">
        <v>2855</v>
      </c>
      <c r="C3483" t="s">
        <v>13</v>
      </c>
      <c r="D3483" s="1">
        <v>43235</v>
      </c>
    </row>
    <row r="3484" spans="1:4" x14ac:dyDescent="0.25">
      <c r="A3484" t="s">
        <v>2856</v>
      </c>
      <c r="C3484" t="s">
        <v>13</v>
      </c>
      <c r="D3484" s="1">
        <v>43245</v>
      </c>
    </row>
    <row r="3485" spans="1:4" x14ac:dyDescent="0.25">
      <c r="A3485" t="s">
        <v>2857</v>
      </c>
      <c r="C3485" t="s">
        <v>13</v>
      </c>
      <c r="D3485" s="1">
        <v>43245</v>
      </c>
    </row>
    <row r="3486" spans="1:4" x14ac:dyDescent="0.25">
      <c r="A3486" t="s">
        <v>2858</v>
      </c>
      <c r="C3486" t="s">
        <v>13</v>
      </c>
      <c r="D3486" s="1">
        <v>43233</v>
      </c>
    </row>
    <row r="3487" spans="1:4" x14ac:dyDescent="0.25">
      <c r="A3487" t="s">
        <v>2759</v>
      </c>
      <c r="C3487" t="s">
        <v>13</v>
      </c>
      <c r="D3487" s="1">
        <v>43222</v>
      </c>
    </row>
    <row r="3488" spans="1:4" x14ac:dyDescent="0.25">
      <c r="A3488" t="s">
        <v>2532</v>
      </c>
      <c r="C3488" t="s">
        <v>13</v>
      </c>
      <c r="D3488" s="1">
        <v>43231</v>
      </c>
    </row>
    <row r="3489" spans="1:4" x14ac:dyDescent="0.25">
      <c r="A3489" t="s">
        <v>2859</v>
      </c>
      <c r="C3489" t="s">
        <v>13</v>
      </c>
      <c r="D3489" s="1">
        <v>43222</v>
      </c>
    </row>
    <row r="3490" spans="1:4" x14ac:dyDescent="0.25">
      <c r="A3490" t="s">
        <v>2860</v>
      </c>
      <c r="C3490" t="s">
        <v>13</v>
      </c>
      <c r="D3490" s="1">
        <v>43222</v>
      </c>
    </row>
    <row r="3491" spans="1:4" x14ac:dyDescent="0.25">
      <c r="A3491" t="s">
        <v>2762</v>
      </c>
      <c r="C3491" t="s">
        <v>13</v>
      </c>
      <c r="D3491" s="1">
        <v>43240</v>
      </c>
    </row>
    <row r="3492" spans="1:4" x14ac:dyDescent="0.25">
      <c r="A3492" t="s">
        <v>2763</v>
      </c>
      <c r="C3492" t="s">
        <v>13</v>
      </c>
      <c r="D3492" s="1">
        <v>43241</v>
      </c>
    </row>
    <row r="3493" spans="1:4" x14ac:dyDescent="0.25">
      <c r="A3493" t="s">
        <v>2861</v>
      </c>
      <c r="C3493" t="s">
        <v>13</v>
      </c>
      <c r="D3493" s="1">
        <v>43240</v>
      </c>
    </row>
    <row r="3494" spans="1:4" x14ac:dyDescent="0.25">
      <c r="A3494" t="s">
        <v>2764</v>
      </c>
      <c r="C3494" t="s">
        <v>13</v>
      </c>
      <c r="D3494" s="1">
        <v>43240</v>
      </c>
    </row>
    <row r="3495" spans="1:4" x14ac:dyDescent="0.25">
      <c r="A3495" t="s">
        <v>2862</v>
      </c>
      <c r="C3495" t="s">
        <v>13</v>
      </c>
      <c r="D3495" s="1">
        <v>43240</v>
      </c>
    </row>
    <row r="3496" spans="1:4" x14ac:dyDescent="0.25">
      <c r="A3496" t="s">
        <v>2863</v>
      </c>
      <c r="C3496" t="s">
        <v>13</v>
      </c>
      <c r="D3496" s="1">
        <v>43240</v>
      </c>
    </row>
    <row r="3497" spans="1:4" x14ac:dyDescent="0.25">
      <c r="A3497" t="s">
        <v>2771</v>
      </c>
      <c r="C3497" t="s">
        <v>13</v>
      </c>
      <c r="D3497" s="1">
        <v>43240</v>
      </c>
    </row>
    <row r="3498" spans="1:4" x14ac:dyDescent="0.25">
      <c r="A3498" t="s">
        <v>2864</v>
      </c>
      <c r="C3498" t="s">
        <v>13</v>
      </c>
      <c r="D3498" s="1">
        <v>43240</v>
      </c>
    </row>
    <row r="3499" spans="1:4" x14ac:dyDescent="0.25">
      <c r="A3499" t="s">
        <v>2865</v>
      </c>
      <c r="C3499" t="s">
        <v>13</v>
      </c>
      <c r="D3499" s="1">
        <v>43240</v>
      </c>
    </row>
    <row r="3500" spans="1:4" x14ac:dyDescent="0.25">
      <c r="A3500" t="s">
        <v>2772</v>
      </c>
      <c r="C3500" t="s">
        <v>13</v>
      </c>
      <c r="D3500" s="1">
        <v>43240</v>
      </c>
    </row>
    <row r="3501" spans="1:4" x14ac:dyDescent="0.25">
      <c r="A3501" t="s">
        <v>2866</v>
      </c>
      <c r="C3501" t="s">
        <v>13</v>
      </c>
      <c r="D3501" s="1">
        <v>43228</v>
      </c>
    </row>
    <row r="3502" spans="1:4" x14ac:dyDescent="0.25">
      <c r="A3502" t="s">
        <v>2867</v>
      </c>
      <c r="C3502" t="s">
        <v>13</v>
      </c>
      <c r="D3502" s="1">
        <v>43240</v>
      </c>
    </row>
    <row r="3503" spans="1:4" x14ac:dyDescent="0.25">
      <c r="A3503" t="s">
        <v>2868</v>
      </c>
      <c r="C3503" t="s">
        <v>13</v>
      </c>
      <c r="D3503" s="1">
        <v>43222</v>
      </c>
    </row>
    <row r="3504" spans="1:4" x14ac:dyDescent="0.25">
      <c r="A3504" t="s">
        <v>2869</v>
      </c>
      <c r="C3504" t="s">
        <v>13</v>
      </c>
      <c r="D3504" s="1">
        <v>43240</v>
      </c>
    </row>
    <row r="3505" spans="1:4" x14ac:dyDescent="0.25">
      <c r="A3505" t="s">
        <v>2774</v>
      </c>
      <c r="C3505" t="s">
        <v>13</v>
      </c>
      <c r="D3505" s="1">
        <v>43240</v>
      </c>
    </row>
    <row r="3506" spans="1:4" x14ac:dyDescent="0.25">
      <c r="A3506" t="s">
        <v>2776</v>
      </c>
      <c r="C3506" t="s">
        <v>13</v>
      </c>
      <c r="D3506" s="1">
        <v>43247</v>
      </c>
    </row>
    <row r="3507" spans="1:4" x14ac:dyDescent="0.25">
      <c r="A3507" t="s">
        <v>2870</v>
      </c>
      <c r="C3507" t="s">
        <v>13</v>
      </c>
      <c r="D3507" s="1">
        <v>43240</v>
      </c>
    </row>
    <row r="3508" spans="1:4" x14ac:dyDescent="0.25">
      <c r="A3508" t="s">
        <v>2871</v>
      </c>
      <c r="C3508" t="s">
        <v>13</v>
      </c>
      <c r="D3508" s="1">
        <v>43240</v>
      </c>
    </row>
    <row r="3509" spans="1:4" x14ac:dyDescent="0.25">
      <c r="A3509" t="s">
        <v>2872</v>
      </c>
      <c r="C3509" t="s">
        <v>13</v>
      </c>
      <c r="D3509" s="1">
        <v>43247</v>
      </c>
    </row>
    <row r="3510" spans="1:4" x14ac:dyDescent="0.25">
      <c r="A3510" t="s">
        <v>2873</v>
      </c>
      <c r="C3510" t="s">
        <v>13</v>
      </c>
      <c r="D3510" s="1">
        <v>43247</v>
      </c>
    </row>
    <row r="3511" spans="1:4" x14ac:dyDescent="0.25">
      <c r="A3511" t="s">
        <v>2780</v>
      </c>
      <c r="C3511" t="s">
        <v>13</v>
      </c>
      <c r="D3511" s="1">
        <v>43240</v>
      </c>
    </row>
    <row r="3512" spans="1:4" x14ac:dyDescent="0.25">
      <c r="A3512" t="s">
        <v>2781</v>
      </c>
      <c r="C3512" t="s">
        <v>13</v>
      </c>
      <c r="D3512" s="1">
        <v>43247</v>
      </c>
    </row>
    <row r="3513" spans="1:4" x14ac:dyDescent="0.25">
      <c r="A3513" t="s">
        <v>2784</v>
      </c>
      <c r="C3513" t="s">
        <v>13</v>
      </c>
      <c r="D3513" s="1">
        <v>43240</v>
      </c>
    </row>
    <row r="3514" spans="1:4" x14ac:dyDescent="0.25">
      <c r="A3514" t="s">
        <v>2874</v>
      </c>
      <c r="C3514" t="s">
        <v>13</v>
      </c>
      <c r="D3514" s="1">
        <v>43245</v>
      </c>
    </row>
    <row r="3515" spans="1:4" x14ac:dyDescent="0.25">
      <c r="A3515" t="s">
        <v>2875</v>
      </c>
      <c r="C3515" t="s">
        <v>13</v>
      </c>
      <c r="D3515" s="1">
        <v>43245</v>
      </c>
    </row>
    <row r="3516" spans="1:4" x14ac:dyDescent="0.25">
      <c r="A3516" t="s">
        <v>2876</v>
      </c>
      <c r="C3516" t="s">
        <v>13</v>
      </c>
      <c r="D3516" s="1">
        <v>43245</v>
      </c>
    </row>
    <row r="3517" spans="1:4" x14ac:dyDescent="0.25">
      <c r="A3517" t="s">
        <v>2877</v>
      </c>
      <c r="C3517" t="s">
        <v>13</v>
      </c>
      <c r="D3517" s="1">
        <v>43227</v>
      </c>
    </row>
    <row r="3518" spans="1:4" x14ac:dyDescent="0.25">
      <c r="A3518" t="s">
        <v>2878</v>
      </c>
      <c r="C3518" t="s">
        <v>13</v>
      </c>
      <c r="D3518" s="1">
        <v>43225</v>
      </c>
    </row>
    <row r="3519" spans="1:4" x14ac:dyDescent="0.25">
      <c r="A3519" t="s">
        <v>2879</v>
      </c>
      <c r="C3519" t="s">
        <v>13</v>
      </c>
      <c r="D3519" s="1">
        <v>43243</v>
      </c>
    </row>
    <row r="3520" spans="1:4" x14ac:dyDescent="0.25">
      <c r="A3520" t="s">
        <v>2880</v>
      </c>
      <c r="C3520" t="s">
        <v>13</v>
      </c>
      <c r="D3520" s="1">
        <v>43223</v>
      </c>
    </row>
    <row r="3521" spans="1:4" x14ac:dyDescent="0.25">
      <c r="A3521" t="s">
        <v>2786</v>
      </c>
      <c r="C3521" t="s">
        <v>13</v>
      </c>
      <c r="D3521" s="1">
        <v>43239</v>
      </c>
    </row>
    <row r="3522" spans="1:4" x14ac:dyDescent="0.25">
      <c r="A3522" t="s">
        <v>2881</v>
      </c>
      <c r="C3522" t="s">
        <v>13</v>
      </c>
      <c r="D3522" s="1">
        <v>43245</v>
      </c>
    </row>
    <row r="3523" spans="1:4" x14ac:dyDescent="0.25">
      <c r="A3523" t="s">
        <v>2549</v>
      </c>
      <c r="C3523" t="s">
        <v>13</v>
      </c>
      <c r="D3523" s="1">
        <v>43247</v>
      </c>
    </row>
    <row r="3524" spans="1:4" x14ac:dyDescent="0.25">
      <c r="A3524" t="s">
        <v>2550</v>
      </c>
      <c r="C3524" t="s">
        <v>13</v>
      </c>
      <c r="D3524" s="1">
        <v>43239</v>
      </c>
    </row>
    <row r="3525" spans="1:4" x14ac:dyDescent="0.25">
      <c r="A3525" t="s">
        <v>2787</v>
      </c>
      <c r="C3525" t="s">
        <v>13</v>
      </c>
      <c r="D3525" s="1">
        <v>43244</v>
      </c>
    </row>
    <row r="3526" spans="1:4" x14ac:dyDescent="0.25">
      <c r="A3526" t="s">
        <v>1623</v>
      </c>
      <c r="C3526" t="s">
        <v>13</v>
      </c>
      <c r="D3526" s="1">
        <v>43239</v>
      </c>
    </row>
    <row r="3527" spans="1:4" x14ac:dyDescent="0.25">
      <c r="A3527" t="s">
        <v>2553</v>
      </c>
      <c r="C3527" t="s">
        <v>13</v>
      </c>
      <c r="D3527" s="1">
        <v>43250</v>
      </c>
    </row>
    <row r="3528" spans="1:4" x14ac:dyDescent="0.25">
      <c r="A3528" t="s">
        <v>2788</v>
      </c>
      <c r="C3528" t="s">
        <v>13</v>
      </c>
      <c r="D3528" s="1">
        <v>43250</v>
      </c>
    </row>
    <row r="3529" spans="1:4" x14ac:dyDescent="0.25">
      <c r="A3529" t="s">
        <v>1391</v>
      </c>
      <c r="C3529" t="s">
        <v>13</v>
      </c>
      <c r="D3529" s="1">
        <v>43250</v>
      </c>
    </row>
    <row r="3530" spans="1:4" x14ac:dyDescent="0.25">
      <c r="A3530" t="s">
        <v>2882</v>
      </c>
      <c r="C3530" t="s">
        <v>13</v>
      </c>
      <c r="D3530" s="1">
        <v>43223</v>
      </c>
    </row>
    <row r="3531" spans="1:4" x14ac:dyDescent="0.25">
      <c r="A3531" t="s">
        <v>2790</v>
      </c>
      <c r="C3531" t="s">
        <v>13</v>
      </c>
      <c r="D3531" s="1">
        <v>43234</v>
      </c>
    </row>
    <row r="3532" spans="1:4" x14ac:dyDescent="0.25">
      <c r="A3532" t="s">
        <v>2883</v>
      </c>
      <c r="C3532" t="s">
        <v>13</v>
      </c>
      <c r="D3532" s="1">
        <v>43235</v>
      </c>
    </row>
    <row r="3533" spans="1:4" x14ac:dyDescent="0.25">
      <c r="A3533" t="s">
        <v>2563</v>
      </c>
      <c r="C3533" t="s">
        <v>13</v>
      </c>
      <c r="D3533" s="1">
        <v>43250</v>
      </c>
    </row>
    <row r="3534" spans="1:4" x14ac:dyDescent="0.25">
      <c r="A3534" t="s">
        <v>2791</v>
      </c>
      <c r="C3534" t="s">
        <v>13</v>
      </c>
      <c r="D3534" s="1">
        <v>43222</v>
      </c>
    </row>
    <row r="3535" spans="1:4" x14ac:dyDescent="0.25">
      <c r="A3535" t="s">
        <v>904</v>
      </c>
      <c r="C3535" t="s">
        <v>13</v>
      </c>
      <c r="D3535" s="1">
        <v>43250</v>
      </c>
    </row>
    <row r="3536" spans="1:4" x14ac:dyDescent="0.25">
      <c r="A3536" t="s">
        <v>1468</v>
      </c>
      <c r="C3536" t="s">
        <v>13</v>
      </c>
      <c r="D3536" s="1">
        <v>43250</v>
      </c>
    </row>
    <row r="3537" spans="1:4" x14ac:dyDescent="0.25">
      <c r="A3537" t="s">
        <v>2792</v>
      </c>
      <c r="C3537" t="s">
        <v>13</v>
      </c>
      <c r="D3537" s="1">
        <v>43247</v>
      </c>
    </row>
    <row r="3538" spans="1:4" x14ac:dyDescent="0.25">
      <c r="A3538" t="s">
        <v>2884</v>
      </c>
      <c r="C3538" t="s">
        <v>13</v>
      </c>
      <c r="D3538" s="1">
        <v>43223</v>
      </c>
    </row>
    <row r="3539" spans="1:4" x14ac:dyDescent="0.25">
      <c r="A3539" t="s">
        <v>2885</v>
      </c>
      <c r="C3539" t="s">
        <v>13</v>
      </c>
      <c r="D3539" s="1">
        <v>43222</v>
      </c>
    </row>
    <row r="3540" spans="1:4" x14ac:dyDescent="0.25">
      <c r="A3540" t="s">
        <v>2886</v>
      </c>
      <c r="C3540" t="s">
        <v>13</v>
      </c>
      <c r="D3540" s="1">
        <v>43222</v>
      </c>
    </row>
    <row r="3541" spans="1:4" x14ac:dyDescent="0.25">
      <c r="A3541" t="s">
        <v>1314</v>
      </c>
      <c r="C3541" t="s">
        <v>13</v>
      </c>
      <c r="D3541" s="1">
        <v>43247</v>
      </c>
    </row>
    <row r="3542" spans="1:4" x14ac:dyDescent="0.25">
      <c r="A3542" t="s">
        <v>871</v>
      </c>
      <c r="C3542" t="s">
        <v>13</v>
      </c>
      <c r="D3542" s="1">
        <v>43250</v>
      </c>
    </row>
    <row r="3543" spans="1:4" x14ac:dyDescent="0.25">
      <c r="A3543" t="s">
        <v>2887</v>
      </c>
      <c r="C3543" t="s">
        <v>13</v>
      </c>
      <c r="D3543" s="1">
        <v>43221</v>
      </c>
    </row>
    <row r="3544" spans="1:4" x14ac:dyDescent="0.25">
      <c r="A3544" t="s">
        <v>2888</v>
      </c>
      <c r="C3544" t="s">
        <v>13</v>
      </c>
      <c r="D3544" s="1">
        <v>43222</v>
      </c>
    </row>
    <row r="3545" spans="1:4" x14ac:dyDescent="0.25">
      <c r="A3545" t="s">
        <v>2889</v>
      </c>
      <c r="C3545" t="s">
        <v>13</v>
      </c>
      <c r="D3545" s="1">
        <v>43222</v>
      </c>
    </row>
    <row r="3546" spans="1:4" x14ac:dyDescent="0.25">
      <c r="A3546" t="s">
        <v>2890</v>
      </c>
      <c r="C3546" t="s">
        <v>13</v>
      </c>
      <c r="D3546" s="1">
        <v>43222</v>
      </c>
    </row>
    <row r="3547" spans="1:4" x14ac:dyDescent="0.25">
      <c r="A3547" t="s">
        <v>2793</v>
      </c>
      <c r="C3547" t="s">
        <v>13</v>
      </c>
      <c r="D3547" s="1">
        <v>43247</v>
      </c>
    </row>
    <row r="3548" spans="1:4" x14ac:dyDescent="0.25">
      <c r="A3548" t="s">
        <v>2794</v>
      </c>
      <c r="C3548" t="s">
        <v>13</v>
      </c>
      <c r="D3548" s="1">
        <v>43222</v>
      </c>
    </row>
    <row r="3549" spans="1:4" x14ac:dyDescent="0.25">
      <c r="A3549" t="s">
        <v>2795</v>
      </c>
      <c r="C3549" t="s">
        <v>13</v>
      </c>
      <c r="D3549" s="1">
        <v>43237</v>
      </c>
    </row>
    <row r="3550" spans="1:4" x14ac:dyDescent="0.25">
      <c r="A3550" t="s">
        <v>2891</v>
      </c>
      <c r="C3550" t="s">
        <v>13</v>
      </c>
      <c r="D3550" s="1">
        <v>43238</v>
      </c>
    </row>
    <row r="3551" spans="1:4" x14ac:dyDescent="0.25">
      <c r="A3551" t="s">
        <v>2892</v>
      </c>
      <c r="C3551" t="s">
        <v>13</v>
      </c>
      <c r="D3551" s="1">
        <v>43222</v>
      </c>
    </row>
    <row r="3552" spans="1:4" x14ac:dyDescent="0.25">
      <c r="A3552" t="s">
        <v>2796</v>
      </c>
      <c r="C3552" t="s">
        <v>13</v>
      </c>
      <c r="D3552" s="1">
        <v>43234</v>
      </c>
    </row>
    <row r="3553" spans="1:4" x14ac:dyDescent="0.25">
      <c r="A3553" t="s">
        <v>2582</v>
      </c>
      <c r="C3553" t="s">
        <v>13</v>
      </c>
      <c r="D3553" s="1">
        <v>43247</v>
      </c>
    </row>
    <row r="3554" spans="1:4" x14ac:dyDescent="0.25">
      <c r="A3554" t="s">
        <v>2583</v>
      </c>
      <c r="C3554" t="s">
        <v>13</v>
      </c>
      <c r="D3554" s="1">
        <v>43250</v>
      </c>
    </row>
    <row r="3555" spans="1:4" x14ac:dyDescent="0.25">
      <c r="A3555" t="s">
        <v>2893</v>
      </c>
      <c r="C3555" t="s">
        <v>13</v>
      </c>
      <c r="D3555" s="1">
        <v>43221</v>
      </c>
    </row>
    <row r="3556" spans="1:4" x14ac:dyDescent="0.25">
      <c r="A3556" t="s">
        <v>2894</v>
      </c>
      <c r="C3556" t="s">
        <v>13</v>
      </c>
      <c r="D3556" s="1">
        <v>43221</v>
      </c>
    </row>
    <row r="3557" spans="1:4" x14ac:dyDescent="0.25">
      <c r="A3557" t="s">
        <v>2895</v>
      </c>
      <c r="C3557" t="s">
        <v>13</v>
      </c>
      <c r="D3557" s="1">
        <v>43223</v>
      </c>
    </row>
    <row r="3558" spans="1:4" x14ac:dyDescent="0.25">
      <c r="A3558" t="s">
        <v>2896</v>
      </c>
      <c r="C3558" t="s">
        <v>13</v>
      </c>
      <c r="D3558" s="1">
        <v>43222</v>
      </c>
    </row>
    <row r="3559" spans="1:4" x14ac:dyDescent="0.25">
      <c r="A3559" t="s">
        <v>2897</v>
      </c>
      <c r="C3559" t="s">
        <v>13</v>
      </c>
      <c r="D3559" s="1">
        <v>43243</v>
      </c>
    </row>
    <row r="3560" spans="1:4" x14ac:dyDescent="0.25">
      <c r="A3560" t="s">
        <v>2797</v>
      </c>
      <c r="C3560" t="s">
        <v>13</v>
      </c>
      <c r="D3560" s="1">
        <v>43248</v>
      </c>
    </row>
    <row r="3561" spans="1:4" x14ac:dyDescent="0.25">
      <c r="A3561" t="s">
        <v>2898</v>
      </c>
      <c r="C3561" t="s">
        <v>13</v>
      </c>
      <c r="D3561" s="1">
        <v>43222</v>
      </c>
    </row>
    <row r="3562" spans="1:4" x14ac:dyDescent="0.25">
      <c r="A3562" t="s">
        <v>2899</v>
      </c>
      <c r="C3562" t="s">
        <v>13</v>
      </c>
      <c r="D3562" s="1">
        <v>43239</v>
      </c>
    </row>
    <row r="3563" spans="1:4" x14ac:dyDescent="0.25">
      <c r="A3563" t="s">
        <v>2587</v>
      </c>
      <c r="C3563" t="s">
        <v>13</v>
      </c>
      <c r="D3563" s="1">
        <v>43247</v>
      </c>
    </row>
    <row r="3564" spans="1:4" x14ac:dyDescent="0.25">
      <c r="A3564" t="s">
        <v>2798</v>
      </c>
      <c r="C3564" t="s">
        <v>13</v>
      </c>
      <c r="D3564" s="1">
        <v>43235</v>
      </c>
    </row>
    <row r="3565" spans="1:4" x14ac:dyDescent="0.25">
      <c r="A3565" t="s">
        <v>2900</v>
      </c>
      <c r="C3565" t="s">
        <v>13</v>
      </c>
      <c r="D3565" s="1">
        <v>43222</v>
      </c>
    </row>
    <row r="3566" spans="1:4" x14ac:dyDescent="0.25">
      <c r="A3566" t="s">
        <v>2799</v>
      </c>
      <c r="C3566" t="s">
        <v>13</v>
      </c>
      <c r="D3566" s="1">
        <v>43222</v>
      </c>
    </row>
    <row r="3567" spans="1:4" x14ac:dyDescent="0.25">
      <c r="A3567" t="s">
        <v>1390</v>
      </c>
      <c r="C3567" t="s">
        <v>13</v>
      </c>
      <c r="D3567" s="1">
        <v>43250</v>
      </c>
    </row>
    <row r="3568" spans="1:4" x14ac:dyDescent="0.25">
      <c r="A3568" t="s">
        <v>2901</v>
      </c>
      <c r="C3568" t="s">
        <v>13</v>
      </c>
      <c r="D3568" s="1">
        <v>43222</v>
      </c>
    </row>
    <row r="3569" spans="1:4" x14ac:dyDescent="0.25">
      <c r="A3569" t="s">
        <v>2800</v>
      </c>
      <c r="C3569" t="s">
        <v>13</v>
      </c>
      <c r="D3569" s="1">
        <v>43237</v>
      </c>
    </row>
    <row r="3570" spans="1:4" x14ac:dyDescent="0.25">
      <c r="A3570" t="s">
        <v>2801</v>
      </c>
      <c r="C3570" t="s">
        <v>13</v>
      </c>
      <c r="D3570" s="1">
        <v>43222</v>
      </c>
    </row>
    <row r="3571" spans="1:4" x14ac:dyDescent="0.25">
      <c r="A3571" t="s">
        <v>2902</v>
      </c>
      <c r="C3571" t="s">
        <v>13</v>
      </c>
      <c r="D3571" s="1">
        <v>43221</v>
      </c>
    </row>
    <row r="3572" spans="1:4" x14ac:dyDescent="0.25">
      <c r="A3572" t="s">
        <v>2903</v>
      </c>
      <c r="C3572" t="s">
        <v>13</v>
      </c>
      <c r="D3572" s="1">
        <v>43238</v>
      </c>
    </row>
    <row r="3573" spans="1:4" x14ac:dyDescent="0.25">
      <c r="A3573" t="s">
        <v>1255</v>
      </c>
      <c r="C3573" t="s">
        <v>13</v>
      </c>
      <c r="D3573" s="1">
        <v>43251</v>
      </c>
    </row>
    <row r="3574" spans="1:4" x14ac:dyDescent="0.25">
      <c r="A3574" t="s">
        <v>2802</v>
      </c>
      <c r="C3574" t="s">
        <v>13</v>
      </c>
      <c r="D3574" s="1">
        <v>43246</v>
      </c>
    </row>
    <row r="3575" spans="1:4" x14ac:dyDescent="0.25">
      <c r="A3575" t="s">
        <v>2904</v>
      </c>
      <c r="C3575" t="s">
        <v>13</v>
      </c>
      <c r="D3575" s="1">
        <v>43243</v>
      </c>
    </row>
    <row r="3576" spans="1:4" x14ac:dyDescent="0.25">
      <c r="A3576" t="s">
        <v>1595</v>
      </c>
      <c r="C3576" t="s">
        <v>13</v>
      </c>
      <c r="D3576" s="1">
        <v>43248</v>
      </c>
    </row>
    <row r="3577" spans="1:4" x14ac:dyDescent="0.25">
      <c r="A3577" t="s">
        <v>1339</v>
      </c>
      <c r="C3577" t="s">
        <v>13</v>
      </c>
      <c r="D3577" s="1">
        <v>43251</v>
      </c>
    </row>
    <row r="3578" spans="1:4" x14ac:dyDescent="0.25">
      <c r="A3578" t="s">
        <v>1644</v>
      </c>
      <c r="C3578" t="s">
        <v>13</v>
      </c>
      <c r="D3578" s="1">
        <v>43250</v>
      </c>
    </row>
    <row r="3579" spans="1:4" x14ac:dyDescent="0.25">
      <c r="A3579" t="s">
        <v>1613</v>
      </c>
      <c r="C3579" t="s">
        <v>13</v>
      </c>
      <c r="D3579" s="1">
        <v>43247</v>
      </c>
    </row>
    <row r="3580" spans="1:4" x14ac:dyDescent="0.25">
      <c r="A3580" t="s">
        <v>2905</v>
      </c>
      <c r="C3580" t="s">
        <v>13</v>
      </c>
      <c r="D3580" s="1">
        <v>43239</v>
      </c>
    </row>
    <row r="3581" spans="1:4" x14ac:dyDescent="0.25">
      <c r="A3581" t="s">
        <v>2906</v>
      </c>
      <c r="C3581" t="s">
        <v>13</v>
      </c>
      <c r="D3581" s="1">
        <v>43223</v>
      </c>
    </row>
    <row r="3582" spans="1:4" x14ac:dyDescent="0.25">
      <c r="A3582" t="s">
        <v>2907</v>
      </c>
      <c r="C3582" t="s">
        <v>13</v>
      </c>
      <c r="D3582" s="1">
        <v>43221</v>
      </c>
    </row>
    <row r="3583" spans="1:4" x14ac:dyDescent="0.25">
      <c r="A3583" t="s">
        <v>1439</v>
      </c>
      <c r="C3583" t="s">
        <v>13</v>
      </c>
      <c r="D3583" s="1">
        <v>43248</v>
      </c>
    </row>
    <row r="3584" spans="1:4" x14ac:dyDescent="0.25">
      <c r="A3584" t="s">
        <v>2908</v>
      </c>
      <c r="C3584" t="s">
        <v>13</v>
      </c>
      <c r="D3584" s="1">
        <v>43222</v>
      </c>
    </row>
    <row r="3585" spans="1:4" x14ac:dyDescent="0.25">
      <c r="A3585" t="s">
        <v>2909</v>
      </c>
      <c r="C3585" t="s">
        <v>13</v>
      </c>
      <c r="D3585" s="1">
        <v>43248</v>
      </c>
    </row>
    <row r="3586" spans="1:4" x14ac:dyDescent="0.25">
      <c r="A3586" t="s">
        <v>2611</v>
      </c>
      <c r="C3586" t="s">
        <v>13</v>
      </c>
      <c r="D3586" s="1">
        <v>43250</v>
      </c>
    </row>
    <row r="3587" spans="1:4" x14ac:dyDescent="0.25">
      <c r="A3587" t="s">
        <v>2910</v>
      </c>
      <c r="C3587" t="s">
        <v>13</v>
      </c>
      <c r="D3587" s="1">
        <v>43222</v>
      </c>
    </row>
    <row r="3588" spans="1:4" x14ac:dyDescent="0.25">
      <c r="A3588" t="s">
        <v>2804</v>
      </c>
      <c r="C3588" t="s">
        <v>13</v>
      </c>
      <c r="D3588" s="1">
        <v>43222</v>
      </c>
    </row>
    <row r="3589" spans="1:4" x14ac:dyDescent="0.25">
      <c r="A3589" t="s">
        <v>1636</v>
      </c>
      <c r="C3589" t="s">
        <v>13</v>
      </c>
      <c r="D3589" s="1">
        <v>43248</v>
      </c>
    </row>
    <row r="3590" spans="1:4" x14ac:dyDescent="0.25">
      <c r="A3590" t="s">
        <v>1320</v>
      </c>
      <c r="C3590" t="s">
        <v>13</v>
      </c>
      <c r="D3590" s="1">
        <v>43247</v>
      </c>
    </row>
    <row r="3591" spans="1:4" x14ac:dyDescent="0.25">
      <c r="A3591" t="s">
        <v>2911</v>
      </c>
      <c r="C3591" t="s">
        <v>13</v>
      </c>
      <c r="D3591" s="1">
        <v>43222</v>
      </c>
    </row>
    <row r="3592" spans="1:4" x14ac:dyDescent="0.25">
      <c r="A3592" t="s">
        <v>2805</v>
      </c>
      <c r="C3592" t="s">
        <v>13</v>
      </c>
      <c r="D3592" s="1">
        <v>43222</v>
      </c>
    </row>
    <row r="3593" spans="1:4" x14ac:dyDescent="0.25">
      <c r="A3593" t="s">
        <v>2807</v>
      </c>
      <c r="C3593" t="s">
        <v>13</v>
      </c>
      <c r="D3593" s="1">
        <v>43237</v>
      </c>
    </row>
    <row r="3594" spans="1:4" x14ac:dyDescent="0.25">
      <c r="A3594" t="s">
        <v>2912</v>
      </c>
      <c r="C3594" t="s">
        <v>13</v>
      </c>
      <c r="D3594" s="1">
        <v>43223</v>
      </c>
    </row>
    <row r="3595" spans="1:4" x14ac:dyDescent="0.25">
      <c r="A3595" t="s">
        <v>1583</v>
      </c>
      <c r="C3595" t="s">
        <v>13</v>
      </c>
      <c r="D3595" s="1">
        <v>43247</v>
      </c>
    </row>
    <row r="3596" spans="1:4" x14ac:dyDescent="0.25">
      <c r="A3596" t="s">
        <v>2808</v>
      </c>
      <c r="C3596" t="s">
        <v>13</v>
      </c>
      <c r="D3596" s="1">
        <v>43248</v>
      </c>
    </row>
    <row r="3597" spans="1:4" x14ac:dyDescent="0.25">
      <c r="A3597" t="s">
        <v>2809</v>
      </c>
      <c r="C3597" t="s">
        <v>13</v>
      </c>
      <c r="D3597" s="1">
        <v>43246</v>
      </c>
    </row>
    <row r="3598" spans="1:4" x14ac:dyDescent="0.25">
      <c r="A3598" t="s">
        <v>1634</v>
      </c>
      <c r="C3598" t="s">
        <v>13</v>
      </c>
      <c r="D3598" s="1">
        <v>43248</v>
      </c>
    </row>
    <row r="3599" spans="1:4" x14ac:dyDescent="0.25">
      <c r="A3599" t="s">
        <v>2620</v>
      </c>
      <c r="C3599" t="s">
        <v>13</v>
      </c>
      <c r="D3599" s="1">
        <v>43247</v>
      </c>
    </row>
    <row r="3600" spans="1:4" x14ac:dyDescent="0.25">
      <c r="A3600" t="s">
        <v>2811</v>
      </c>
      <c r="C3600" t="s">
        <v>13</v>
      </c>
      <c r="D3600" s="1">
        <v>43247</v>
      </c>
    </row>
    <row r="3601" spans="1:4" x14ac:dyDescent="0.25">
      <c r="A3601" t="s">
        <v>2812</v>
      </c>
      <c r="C3601" t="s">
        <v>13</v>
      </c>
      <c r="D3601" s="1">
        <v>43237</v>
      </c>
    </row>
    <row r="3602" spans="1:4" x14ac:dyDescent="0.25">
      <c r="A3602" t="s">
        <v>2913</v>
      </c>
      <c r="C3602" t="s">
        <v>13</v>
      </c>
      <c r="D3602" s="1">
        <v>43221</v>
      </c>
    </row>
    <row r="3603" spans="1:4" x14ac:dyDescent="0.25">
      <c r="A3603" t="s">
        <v>2914</v>
      </c>
      <c r="C3603" t="s">
        <v>13</v>
      </c>
      <c r="D3603" s="1">
        <v>43222</v>
      </c>
    </row>
    <row r="3604" spans="1:4" x14ac:dyDescent="0.25">
      <c r="A3604" t="s">
        <v>2915</v>
      </c>
      <c r="C3604" t="s">
        <v>13</v>
      </c>
      <c r="D3604" s="1">
        <v>43239</v>
      </c>
    </row>
    <row r="3605" spans="1:4" x14ac:dyDescent="0.25">
      <c r="A3605" t="s">
        <v>2622</v>
      </c>
      <c r="C3605" t="s">
        <v>13</v>
      </c>
      <c r="D3605" s="1">
        <v>43250</v>
      </c>
    </row>
    <row r="3606" spans="1:4" x14ac:dyDescent="0.25">
      <c r="A3606" t="s">
        <v>2813</v>
      </c>
      <c r="C3606" t="s">
        <v>13</v>
      </c>
      <c r="D3606" s="1">
        <v>43248</v>
      </c>
    </row>
    <row r="3607" spans="1:4" x14ac:dyDescent="0.25">
      <c r="A3607" t="s">
        <v>2916</v>
      </c>
      <c r="C3607" t="s">
        <v>13</v>
      </c>
      <c r="D3607" s="1">
        <v>43222</v>
      </c>
    </row>
    <row r="3608" spans="1:4" x14ac:dyDescent="0.25">
      <c r="A3608" t="s">
        <v>1230</v>
      </c>
      <c r="C3608" t="s">
        <v>13</v>
      </c>
      <c r="D3608" s="1">
        <v>43247</v>
      </c>
    </row>
    <row r="3609" spans="1:4" x14ac:dyDescent="0.25">
      <c r="A3609" t="s">
        <v>2917</v>
      </c>
      <c r="C3609" t="s">
        <v>13</v>
      </c>
      <c r="D3609" s="1">
        <v>43222</v>
      </c>
    </row>
    <row r="3610" spans="1:4" x14ac:dyDescent="0.25">
      <c r="A3610" t="s">
        <v>2814</v>
      </c>
      <c r="C3610" t="s">
        <v>13</v>
      </c>
      <c r="D3610" s="1">
        <v>43222</v>
      </c>
    </row>
    <row r="3611" spans="1:4" x14ac:dyDescent="0.25">
      <c r="A3611" t="s">
        <v>1666</v>
      </c>
      <c r="C3611" t="s">
        <v>13</v>
      </c>
      <c r="D3611" s="1">
        <v>43248</v>
      </c>
    </row>
    <row r="3612" spans="1:4" x14ac:dyDescent="0.25">
      <c r="A3612" t="s">
        <v>2628</v>
      </c>
      <c r="C3612" t="s">
        <v>13</v>
      </c>
      <c r="D3612" s="1">
        <v>43247</v>
      </c>
    </row>
    <row r="3613" spans="1:4" x14ac:dyDescent="0.25">
      <c r="A3613" t="s">
        <v>2629</v>
      </c>
      <c r="C3613" t="s">
        <v>13</v>
      </c>
      <c r="D3613" s="1">
        <v>43247</v>
      </c>
    </row>
    <row r="3614" spans="1:4" x14ac:dyDescent="0.25">
      <c r="A3614" t="s">
        <v>2815</v>
      </c>
      <c r="C3614" t="s">
        <v>13</v>
      </c>
      <c r="D3614" s="1">
        <v>43221</v>
      </c>
    </row>
    <row r="3615" spans="1:4" x14ac:dyDescent="0.25">
      <c r="A3615" t="s">
        <v>1598</v>
      </c>
      <c r="C3615" t="s">
        <v>13</v>
      </c>
      <c r="D3615" s="1">
        <v>43247</v>
      </c>
    </row>
    <row r="3616" spans="1:4" x14ac:dyDescent="0.25">
      <c r="A3616" t="s">
        <v>2634</v>
      </c>
      <c r="C3616" t="s">
        <v>13</v>
      </c>
      <c r="D3616" s="1">
        <v>43247</v>
      </c>
    </row>
    <row r="3617" spans="1:4" x14ac:dyDescent="0.25">
      <c r="A3617" t="s">
        <v>2816</v>
      </c>
      <c r="C3617" t="s">
        <v>13</v>
      </c>
      <c r="D3617" s="1">
        <v>43234</v>
      </c>
    </row>
    <row r="3618" spans="1:4" x14ac:dyDescent="0.25">
      <c r="A3618" t="s">
        <v>1494</v>
      </c>
      <c r="C3618" t="s">
        <v>13</v>
      </c>
      <c r="D3618" s="1">
        <v>43248</v>
      </c>
    </row>
    <row r="3619" spans="1:4" x14ac:dyDescent="0.25">
      <c r="A3619" t="s">
        <v>2918</v>
      </c>
      <c r="C3619" t="s">
        <v>13</v>
      </c>
      <c r="D3619" s="1">
        <v>43222</v>
      </c>
    </row>
    <row r="3620" spans="1:4" x14ac:dyDescent="0.25">
      <c r="A3620" t="s">
        <v>2818</v>
      </c>
      <c r="C3620" t="s">
        <v>13</v>
      </c>
      <c r="D3620" s="1">
        <v>43246</v>
      </c>
    </row>
    <row r="3621" spans="1:4" x14ac:dyDescent="0.25">
      <c r="A3621" t="s">
        <v>906</v>
      </c>
      <c r="C3621" t="s">
        <v>13</v>
      </c>
      <c r="D3621" s="1">
        <v>43250</v>
      </c>
    </row>
    <row r="3622" spans="1:4" x14ac:dyDescent="0.25">
      <c r="A3622" t="s">
        <v>2919</v>
      </c>
      <c r="C3622" t="s">
        <v>13</v>
      </c>
      <c r="D3622" s="1">
        <v>43222</v>
      </c>
    </row>
    <row r="3623" spans="1:4" x14ac:dyDescent="0.25">
      <c r="A3623" t="s">
        <v>2820</v>
      </c>
      <c r="C3623" t="s">
        <v>13</v>
      </c>
      <c r="D3623" s="1">
        <v>43237</v>
      </c>
    </row>
    <row r="3624" spans="1:4" x14ac:dyDescent="0.25">
      <c r="A3624" t="s">
        <v>1216</v>
      </c>
      <c r="C3624" t="s">
        <v>13</v>
      </c>
      <c r="D3624" s="1">
        <v>43251</v>
      </c>
    </row>
    <row r="3625" spans="1:4" x14ac:dyDescent="0.25">
      <c r="A3625" t="s">
        <v>2920</v>
      </c>
      <c r="C3625" t="s">
        <v>13</v>
      </c>
      <c r="D3625" s="1">
        <v>43239</v>
      </c>
    </row>
    <row r="3626" spans="1:4" x14ac:dyDescent="0.25">
      <c r="A3626" t="s">
        <v>2921</v>
      </c>
      <c r="C3626" t="s">
        <v>13</v>
      </c>
      <c r="D3626" s="1">
        <v>43223</v>
      </c>
    </row>
    <row r="3627" spans="1:4" x14ac:dyDescent="0.25">
      <c r="A3627" t="s">
        <v>1587</v>
      </c>
      <c r="C3627" t="s">
        <v>13</v>
      </c>
      <c r="D3627" s="1">
        <v>43247</v>
      </c>
    </row>
    <row r="3628" spans="1:4" x14ac:dyDescent="0.25">
      <c r="A3628" t="s">
        <v>2922</v>
      </c>
      <c r="C3628" t="s">
        <v>13</v>
      </c>
      <c r="D3628" s="1">
        <v>43243</v>
      </c>
    </row>
    <row r="3629" spans="1:4" x14ac:dyDescent="0.25">
      <c r="A3629" t="s">
        <v>1602</v>
      </c>
      <c r="C3629" t="s">
        <v>13</v>
      </c>
      <c r="D3629" s="1">
        <v>43248</v>
      </c>
    </row>
    <row r="3630" spans="1:4" x14ac:dyDescent="0.25">
      <c r="A3630" t="s">
        <v>2923</v>
      </c>
      <c r="C3630" t="s">
        <v>13</v>
      </c>
      <c r="D3630" s="1">
        <v>43243</v>
      </c>
    </row>
    <row r="3631" spans="1:4" x14ac:dyDescent="0.25">
      <c r="A3631" t="s">
        <v>2924</v>
      </c>
      <c r="C3631" t="s">
        <v>13</v>
      </c>
      <c r="D3631" s="1">
        <v>43243</v>
      </c>
    </row>
    <row r="3632" spans="1:4" x14ac:dyDescent="0.25">
      <c r="A3632" t="s">
        <v>2822</v>
      </c>
      <c r="C3632" t="s">
        <v>13</v>
      </c>
      <c r="D3632" s="1">
        <v>43240</v>
      </c>
    </row>
    <row r="3633" spans="1:4" x14ac:dyDescent="0.25">
      <c r="A3633" t="s">
        <v>2823</v>
      </c>
      <c r="C3633" t="s">
        <v>13</v>
      </c>
      <c r="D3633" s="1">
        <v>43228</v>
      </c>
    </row>
    <row r="3634" spans="1:4" x14ac:dyDescent="0.25">
      <c r="A3634" t="s">
        <v>2824</v>
      </c>
      <c r="C3634" t="s">
        <v>13</v>
      </c>
      <c r="D3634" s="1">
        <v>43247</v>
      </c>
    </row>
    <row r="3635" spans="1:4" x14ac:dyDescent="0.25">
      <c r="A3635" t="s">
        <v>2825</v>
      </c>
      <c r="C3635" t="s">
        <v>13</v>
      </c>
      <c r="D3635" s="1">
        <v>43247</v>
      </c>
    </row>
    <row r="3636" spans="1:4" x14ac:dyDescent="0.25">
      <c r="A3636" t="s">
        <v>2826</v>
      </c>
      <c r="C3636" t="s">
        <v>13</v>
      </c>
      <c r="D3636" s="1">
        <v>43247</v>
      </c>
    </row>
    <row r="3637" spans="1:4" x14ac:dyDescent="0.25">
      <c r="A3637" t="s">
        <v>2827</v>
      </c>
      <c r="C3637" t="s">
        <v>13</v>
      </c>
      <c r="D3637" s="1">
        <v>43222</v>
      </c>
    </row>
    <row r="3638" spans="1:4" x14ac:dyDescent="0.25">
      <c r="A3638" t="s">
        <v>2925</v>
      </c>
      <c r="C3638" t="s">
        <v>13</v>
      </c>
      <c r="D3638" s="1">
        <v>43240</v>
      </c>
    </row>
    <row r="3639" spans="1:4" x14ac:dyDescent="0.25">
      <c r="A3639" t="s">
        <v>2830</v>
      </c>
      <c r="C3639" t="s">
        <v>13</v>
      </c>
      <c r="D3639" s="1">
        <v>43241</v>
      </c>
    </row>
    <row r="3640" spans="1:4" x14ac:dyDescent="0.25">
      <c r="A3640" t="s">
        <v>2832</v>
      </c>
      <c r="C3640" t="s">
        <v>13</v>
      </c>
      <c r="D3640" s="1">
        <v>43240</v>
      </c>
    </row>
    <row r="3641" spans="1:4" x14ac:dyDescent="0.25">
      <c r="A3641" t="s">
        <v>2833</v>
      </c>
      <c r="C3641" t="s">
        <v>13</v>
      </c>
      <c r="D3641" s="1">
        <v>43247</v>
      </c>
    </row>
    <row r="3642" spans="1:4" x14ac:dyDescent="0.25">
      <c r="A3642" t="s">
        <v>2657</v>
      </c>
      <c r="C3642" t="s">
        <v>13</v>
      </c>
      <c r="D3642" s="1">
        <v>43239</v>
      </c>
    </row>
    <row r="3643" spans="1:4" x14ac:dyDescent="0.25">
      <c r="A3643" t="s">
        <v>2658</v>
      </c>
      <c r="C3643" t="s">
        <v>13</v>
      </c>
      <c r="D3643" s="1">
        <v>43239</v>
      </c>
    </row>
    <row r="3644" spans="1:4" x14ac:dyDescent="0.25">
      <c r="A3644" t="s">
        <v>2835</v>
      </c>
      <c r="C3644" t="s">
        <v>13</v>
      </c>
      <c r="D3644" s="1">
        <v>43236</v>
      </c>
    </row>
    <row r="3645" spans="1:4" x14ac:dyDescent="0.25">
      <c r="A3645" t="s">
        <v>2926</v>
      </c>
      <c r="C3645" t="s">
        <v>13</v>
      </c>
      <c r="D3645" s="1">
        <v>43239</v>
      </c>
    </row>
    <row r="3646" spans="1:4" x14ac:dyDescent="0.25">
      <c r="A3646" t="s">
        <v>2659</v>
      </c>
      <c r="C3646" t="s">
        <v>13</v>
      </c>
      <c r="D3646" s="1">
        <v>43239</v>
      </c>
    </row>
    <row r="3647" spans="1:4" x14ac:dyDescent="0.25">
      <c r="A3647" t="s">
        <v>2660</v>
      </c>
      <c r="C3647" t="s">
        <v>13</v>
      </c>
      <c r="D3647" s="1">
        <v>43239</v>
      </c>
    </row>
    <row r="3648" spans="1:4" x14ac:dyDescent="0.25">
      <c r="A3648" t="s">
        <v>2670</v>
      </c>
      <c r="C3648" t="s">
        <v>13</v>
      </c>
      <c r="D3648" s="1">
        <v>43240</v>
      </c>
    </row>
    <row r="3649" spans="1:4" x14ac:dyDescent="0.25">
      <c r="A3649" t="s">
        <v>2673</v>
      </c>
      <c r="C3649" t="s">
        <v>13</v>
      </c>
      <c r="D3649" s="1">
        <v>43247</v>
      </c>
    </row>
    <row r="3650" spans="1:4" x14ac:dyDescent="0.25">
      <c r="A3650" t="s">
        <v>2674</v>
      </c>
      <c r="C3650" t="s">
        <v>13</v>
      </c>
      <c r="D3650" s="1">
        <v>43240</v>
      </c>
    </row>
    <row r="3651" spans="1:4" x14ac:dyDescent="0.25">
      <c r="A3651" t="s">
        <v>2675</v>
      </c>
      <c r="C3651" t="s">
        <v>13</v>
      </c>
      <c r="D3651" s="1">
        <v>43240</v>
      </c>
    </row>
    <row r="3652" spans="1:4" x14ac:dyDescent="0.25">
      <c r="A3652" t="s">
        <v>2678</v>
      </c>
      <c r="C3652" t="s">
        <v>13</v>
      </c>
      <c r="D3652" s="1">
        <v>43250</v>
      </c>
    </row>
    <row r="3653" spans="1:4" x14ac:dyDescent="0.25">
      <c r="A3653" t="s">
        <v>2681</v>
      </c>
      <c r="C3653" t="s">
        <v>13</v>
      </c>
      <c r="D3653" s="1">
        <v>43250</v>
      </c>
    </row>
    <row r="3654" spans="1:4" x14ac:dyDescent="0.25">
      <c r="A3654" t="s">
        <v>1677</v>
      </c>
      <c r="C3654" t="s">
        <v>13</v>
      </c>
      <c r="D3654" s="1">
        <v>43239</v>
      </c>
    </row>
    <row r="3655" spans="1:4" x14ac:dyDescent="0.25">
      <c r="A3655" t="s">
        <v>2683</v>
      </c>
      <c r="C3655" t="s">
        <v>13</v>
      </c>
      <c r="D3655" s="1">
        <v>43250</v>
      </c>
    </row>
    <row r="3656" spans="1:4" x14ac:dyDescent="0.25">
      <c r="A3656" t="s">
        <v>2686</v>
      </c>
      <c r="C3656" t="s">
        <v>13</v>
      </c>
      <c r="D3656" s="1">
        <v>43250</v>
      </c>
    </row>
    <row r="3657" spans="1:4" x14ac:dyDescent="0.25">
      <c r="A3657" t="s">
        <v>2927</v>
      </c>
      <c r="C3657" t="s">
        <v>13</v>
      </c>
      <c r="D3657" s="1">
        <v>43225</v>
      </c>
    </row>
    <row r="3658" spans="1:4" x14ac:dyDescent="0.25">
      <c r="A3658" t="s">
        <v>2689</v>
      </c>
      <c r="C3658" t="s">
        <v>13</v>
      </c>
      <c r="D3658" s="1">
        <v>43250</v>
      </c>
    </row>
    <row r="3659" spans="1:4" x14ac:dyDescent="0.25">
      <c r="A3659" t="s">
        <v>2691</v>
      </c>
      <c r="C3659" t="s">
        <v>13</v>
      </c>
      <c r="D3659" s="1">
        <v>43247</v>
      </c>
    </row>
    <row r="3660" spans="1:4" x14ac:dyDescent="0.25">
      <c r="A3660" t="s">
        <v>2692</v>
      </c>
      <c r="C3660" t="s">
        <v>13</v>
      </c>
      <c r="D3660" s="1">
        <v>43250</v>
      </c>
    </row>
    <row r="3661" spans="1:4" x14ac:dyDescent="0.25">
      <c r="A3661" t="s">
        <v>2701</v>
      </c>
      <c r="C3661" t="s">
        <v>13</v>
      </c>
      <c r="D3661" s="1">
        <v>43247</v>
      </c>
    </row>
    <row r="3662" spans="1:4" x14ac:dyDescent="0.25">
      <c r="A3662" t="s">
        <v>2702</v>
      </c>
      <c r="C3662" t="s">
        <v>13</v>
      </c>
      <c r="D3662" s="1">
        <v>43250</v>
      </c>
    </row>
    <row r="3663" spans="1:4" x14ac:dyDescent="0.25">
      <c r="A3663" t="s">
        <v>2707</v>
      </c>
      <c r="C3663" t="s">
        <v>13</v>
      </c>
      <c r="D3663" s="1">
        <v>43247</v>
      </c>
    </row>
    <row r="3664" spans="1:4" x14ac:dyDescent="0.25">
      <c r="A3664" t="s">
        <v>2928</v>
      </c>
      <c r="C3664" t="s">
        <v>13</v>
      </c>
      <c r="D3664" s="1">
        <v>43243</v>
      </c>
    </row>
    <row r="3665" spans="1:4" x14ac:dyDescent="0.25">
      <c r="A3665" t="s">
        <v>2840</v>
      </c>
      <c r="C3665" t="s">
        <v>13</v>
      </c>
      <c r="D3665" s="1">
        <v>43244</v>
      </c>
    </row>
    <row r="3666" spans="1:4" x14ac:dyDescent="0.25">
      <c r="A3666" t="s">
        <v>2711</v>
      </c>
      <c r="C3666" t="s">
        <v>13</v>
      </c>
      <c r="D3666" s="1">
        <v>43250</v>
      </c>
    </row>
    <row r="3667" spans="1:4" x14ac:dyDescent="0.25">
      <c r="A3667" t="s">
        <v>2713</v>
      </c>
      <c r="C3667" t="s">
        <v>13</v>
      </c>
      <c r="D3667" s="1">
        <v>43250</v>
      </c>
    </row>
    <row r="3668" spans="1:4" x14ac:dyDescent="0.25">
      <c r="A3668" t="s">
        <v>2724</v>
      </c>
      <c r="C3668" t="s">
        <v>13</v>
      </c>
      <c r="D3668" s="1">
        <v>43250</v>
      </c>
    </row>
    <row r="3669" spans="1:4" x14ac:dyDescent="0.25">
      <c r="A3669" t="s">
        <v>2842</v>
      </c>
      <c r="C3669" t="s">
        <v>13</v>
      </c>
      <c r="D3669" s="1">
        <v>43250</v>
      </c>
    </row>
    <row r="3670" spans="1:4" x14ac:dyDescent="0.25">
      <c r="A3670" t="s">
        <v>1656</v>
      </c>
      <c r="C3670" t="s">
        <v>13</v>
      </c>
      <c r="D3670" s="1">
        <v>43250</v>
      </c>
    </row>
    <row r="3671" spans="1:4" x14ac:dyDescent="0.25">
      <c r="A3671" t="s">
        <v>2844</v>
      </c>
      <c r="C3671" t="s">
        <v>13</v>
      </c>
      <c r="D3671" s="1">
        <v>43222</v>
      </c>
    </row>
    <row r="3672" spans="1:4" x14ac:dyDescent="0.25">
      <c r="A3672" t="s">
        <v>2845</v>
      </c>
      <c r="C3672" t="s">
        <v>13</v>
      </c>
      <c r="D3672" s="1">
        <v>43248</v>
      </c>
    </row>
    <row r="3673" spans="1:4" x14ac:dyDescent="0.25">
      <c r="A3673" t="s">
        <v>2929</v>
      </c>
      <c r="C3673" t="s">
        <v>13</v>
      </c>
      <c r="D3673" s="1">
        <v>43238</v>
      </c>
    </row>
    <row r="3674" spans="1:4" x14ac:dyDescent="0.25">
      <c r="A3674" t="s">
        <v>907</v>
      </c>
      <c r="C3674" t="s">
        <v>14</v>
      </c>
      <c r="D3674" s="1">
        <v>43241</v>
      </c>
    </row>
    <row r="3675" spans="1:4" x14ac:dyDescent="0.25">
      <c r="A3675" t="s">
        <v>876</v>
      </c>
      <c r="C3675" t="s">
        <v>14</v>
      </c>
      <c r="D3675" s="1">
        <v>43241</v>
      </c>
    </row>
    <row r="3676" spans="1:4" x14ac:dyDescent="0.25">
      <c r="A3676" t="s">
        <v>2499</v>
      </c>
      <c r="C3676" t="s">
        <v>14</v>
      </c>
      <c r="D3676" s="1">
        <v>43225</v>
      </c>
    </row>
    <row r="3677" spans="1:4" x14ac:dyDescent="0.25">
      <c r="A3677" t="s">
        <v>2500</v>
      </c>
      <c r="C3677" t="s">
        <v>14</v>
      </c>
      <c r="D3677" s="1">
        <v>43225</v>
      </c>
    </row>
    <row r="3678" spans="1:4" x14ac:dyDescent="0.25">
      <c r="A3678" t="s">
        <v>2501</v>
      </c>
      <c r="C3678" t="s">
        <v>14</v>
      </c>
      <c r="D3678" s="1">
        <v>43235</v>
      </c>
    </row>
    <row r="3679" spans="1:4" x14ac:dyDescent="0.25">
      <c r="A3679" t="s">
        <v>2502</v>
      </c>
      <c r="C3679" t="s">
        <v>14</v>
      </c>
      <c r="D3679" s="1">
        <v>43241</v>
      </c>
    </row>
    <row r="3680" spans="1:4" x14ac:dyDescent="0.25">
      <c r="A3680" t="s">
        <v>2930</v>
      </c>
      <c r="C3680" t="s">
        <v>14</v>
      </c>
      <c r="D3680" s="1">
        <v>43250</v>
      </c>
    </row>
    <row r="3681" spans="1:4" x14ac:dyDescent="0.25">
      <c r="A3681" t="s">
        <v>2503</v>
      </c>
      <c r="C3681" t="s">
        <v>14</v>
      </c>
      <c r="D3681" s="1">
        <v>43227</v>
      </c>
    </row>
    <row r="3682" spans="1:4" x14ac:dyDescent="0.25">
      <c r="A3682" t="s">
        <v>2504</v>
      </c>
      <c r="C3682" t="s">
        <v>14</v>
      </c>
      <c r="D3682" s="1">
        <v>43241</v>
      </c>
    </row>
    <row r="3683" spans="1:4" x14ac:dyDescent="0.25">
      <c r="A3683" t="s">
        <v>2505</v>
      </c>
      <c r="C3683" t="s">
        <v>14</v>
      </c>
      <c r="D3683" s="1">
        <v>43227</v>
      </c>
    </row>
    <row r="3684" spans="1:4" x14ac:dyDescent="0.25">
      <c r="A3684" t="s">
        <v>2506</v>
      </c>
      <c r="C3684" t="s">
        <v>14</v>
      </c>
      <c r="D3684" s="1">
        <v>43241</v>
      </c>
    </row>
    <row r="3685" spans="1:4" x14ac:dyDescent="0.25">
      <c r="A3685" t="s">
        <v>2507</v>
      </c>
      <c r="C3685" t="s">
        <v>14</v>
      </c>
      <c r="D3685" s="1">
        <v>43241</v>
      </c>
    </row>
    <row r="3686" spans="1:4" x14ac:dyDescent="0.25">
      <c r="A3686" t="s">
        <v>2931</v>
      </c>
      <c r="C3686" t="s">
        <v>14</v>
      </c>
      <c r="D3686" s="1">
        <v>43250</v>
      </c>
    </row>
    <row r="3687" spans="1:4" x14ac:dyDescent="0.25">
      <c r="A3687" t="s">
        <v>2508</v>
      </c>
      <c r="C3687" t="s">
        <v>14</v>
      </c>
      <c r="D3687" s="1">
        <v>43234</v>
      </c>
    </row>
    <row r="3688" spans="1:4" x14ac:dyDescent="0.25">
      <c r="A3688" t="s">
        <v>2509</v>
      </c>
      <c r="C3688" t="s">
        <v>14</v>
      </c>
      <c r="D3688" s="1">
        <v>43227</v>
      </c>
    </row>
    <row r="3689" spans="1:4" x14ac:dyDescent="0.25">
      <c r="A3689" t="s">
        <v>2510</v>
      </c>
      <c r="C3689" t="s">
        <v>14</v>
      </c>
      <c r="D3689" s="1">
        <v>43234</v>
      </c>
    </row>
    <row r="3690" spans="1:4" x14ac:dyDescent="0.25">
      <c r="A3690" t="s">
        <v>2511</v>
      </c>
      <c r="C3690" t="s">
        <v>14</v>
      </c>
      <c r="D3690" s="1">
        <v>43227</v>
      </c>
    </row>
    <row r="3691" spans="1:4" x14ac:dyDescent="0.25">
      <c r="A3691" t="s">
        <v>1509</v>
      </c>
      <c r="C3691" t="s">
        <v>14</v>
      </c>
      <c r="D3691" s="1">
        <v>43241</v>
      </c>
    </row>
    <row r="3692" spans="1:4" x14ac:dyDescent="0.25">
      <c r="A3692" t="s">
        <v>2512</v>
      </c>
      <c r="C3692" t="s">
        <v>14</v>
      </c>
      <c r="D3692" s="1">
        <v>43227</v>
      </c>
    </row>
    <row r="3693" spans="1:4" x14ac:dyDescent="0.25">
      <c r="A3693" t="s">
        <v>1423</v>
      </c>
      <c r="C3693" t="s">
        <v>14</v>
      </c>
      <c r="D3693" s="1">
        <v>43227</v>
      </c>
    </row>
    <row r="3694" spans="1:4" x14ac:dyDescent="0.25">
      <c r="A3694" t="s">
        <v>868</v>
      </c>
      <c r="C3694" t="s">
        <v>14</v>
      </c>
      <c r="D3694" s="1">
        <v>43241</v>
      </c>
    </row>
    <row r="3695" spans="1:4" x14ac:dyDescent="0.25">
      <c r="A3695" t="s">
        <v>1585</v>
      </c>
      <c r="C3695" t="s">
        <v>14</v>
      </c>
      <c r="D3695" s="1">
        <v>43227</v>
      </c>
    </row>
    <row r="3696" spans="1:4" x14ac:dyDescent="0.25">
      <c r="A3696" t="s">
        <v>204</v>
      </c>
      <c r="C3696" t="s">
        <v>14</v>
      </c>
      <c r="D3696" s="1">
        <v>43234</v>
      </c>
    </row>
    <row r="3697" spans="1:4" x14ac:dyDescent="0.25">
      <c r="A3697" t="s">
        <v>2513</v>
      </c>
      <c r="C3697" t="s">
        <v>14</v>
      </c>
      <c r="D3697" s="1">
        <v>43241</v>
      </c>
    </row>
    <row r="3698" spans="1:4" x14ac:dyDescent="0.25">
      <c r="A3698" t="s">
        <v>2514</v>
      </c>
      <c r="C3698" t="s">
        <v>14</v>
      </c>
      <c r="D3698" s="1">
        <v>43234</v>
      </c>
    </row>
    <row r="3699" spans="1:4" x14ac:dyDescent="0.25">
      <c r="A3699" t="s">
        <v>2515</v>
      </c>
      <c r="C3699" t="s">
        <v>14</v>
      </c>
      <c r="D3699" s="1">
        <v>43241</v>
      </c>
    </row>
    <row r="3700" spans="1:4" x14ac:dyDescent="0.25">
      <c r="A3700" t="s">
        <v>2516</v>
      </c>
      <c r="C3700" t="s">
        <v>14</v>
      </c>
      <c r="D3700" s="1">
        <v>43241</v>
      </c>
    </row>
    <row r="3701" spans="1:4" x14ac:dyDescent="0.25">
      <c r="A3701" t="s">
        <v>211</v>
      </c>
      <c r="C3701" t="s">
        <v>14</v>
      </c>
      <c r="D3701" s="1">
        <v>43234</v>
      </c>
    </row>
    <row r="3702" spans="1:4" x14ac:dyDescent="0.25">
      <c r="A3702" t="s">
        <v>2517</v>
      </c>
      <c r="C3702" t="s">
        <v>14</v>
      </c>
      <c r="D3702" s="1">
        <v>43227</v>
      </c>
    </row>
    <row r="3703" spans="1:4" x14ac:dyDescent="0.25">
      <c r="A3703" t="s">
        <v>2518</v>
      </c>
      <c r="C3703" t="s">
        <v>14</v>
      </c>
      <c r="D3703" s="1">
        <v>43234</v>
      </c>
    </row>
    <row r="3704" spans="1:4" x14ac:dyDescent="0.25">
      <c r="A3704" t="s">
        <v>302</v>
      </c>
      <c r="C3704" t="s">
        <v>14</v>
      </c>
      <c r="D3704" s="1">
        <v>43234</v>
      </c>
    </row>
    <row r="3705" spans="1:4" x14ac:dyDescent="0.25">
      <c r="A3705" t="s">
        <v>1280</v>
      </c>
      <c r="C3705" t="s">
        <v>14</v>
      </c>
      <c r="D3705" s="1">
        <v>43234</v>
      </c>
    </row>
    <row r="3706" spans="1:4" x14ac:dyDescent="0.25">
      <c r="A3706" t="s">
        <v>257</v>
      </c>
      <c r="C3706" t="s">
        <v>14</v>
      </c>
      <c r="D3706" s="1">
        <v>43241</v>
      </c>
    </row>
    <row r="3707" spans="1:4" x14ac:dyDescent="0.25">
      <c r="A3707" t="s">
        <v>2932</v>
      </c>
      <c r="C3707" t="s">
        <v>14</v>
      </c>
      <c r="D3707" s="1">
        <v>43248</v>
      </c>
    </row>
    <row r="3708" spans="1:4" x14ac:dyDescent="0.25">
      <c r="A3708" t="s">
        <v>2519</v>
      </c>
      <c r="C3708" t="s">
        <v>14</v>
      </c>
      <c r="D3708" s="1">
        <v>43227</v>
      </c>
    </row>
    <row r="3709" spans="1:4" x14ac:dyDescent="0.25">
      <c r="A3709" t="s">
        <v>2520</v>
      </c>
      <c r="C3709" t="s">
        <v>14</v>
      </c>
      <c r="D3709" s="1">
        <v>43234</v>
      </c>
    </row>
    <row r="3710" spans="1:4" x14ac:dyDescent="0.25">
      <c r="A3710" t="s">
        <v>2858</v>
      </c>
      <c r="C3710" t="s">
        <v>14</v>
      </c>
      <c r="D3710" s="1">
        <v>43250</v>
      </c>
    </row>
    <row r="3711" spans="1:4" x14ac:dyDescent="0.25">
      <c r="A3711" t="s">
        <v>2521</v>
      </c>
      <c r="C3711" t="s">
        <v>14</v>
      </c>
      <c r="D3711" s="1">
        <v>43234</v>
      </c>
    </row>
    <row r="3712" spans="1:4" x14ac:dyDescent="0.25">
      <c r="A3712" t="s">
        <v>2522</v>
      </c>
      <c r="C3712" t="s">
        <v>14</v>
      </c>
      <c r="D3712" s="1">
        <v>43241</v>
      </c>
    </row>
    <row r="3713" spans="1:4" x14ac:dyDescent="0.25">
      <c r="A3713" t="s">
        <v>2523</v>
      </c>
      <c r="C3713" t="s">
        <v>14</v>
      </c>
      <c r="D3713" s="1">
        <v>43241</v>
      </c>
    </row>
    <row r="3714" spans="1:4" x14ac:dyDescent="0.25">
      <c r="A3714" t="s">
        <v>2933</v>
      </c>
      <c r="C3714" t="s">
        <v>14</v>
      </c>
      <c r="D3714" s="1">
        <v>43248</v>
      </c>
    </row>
    <row r="3715" spans="1:4" x14ac:dyDescent="0.25">
      <c r="A3715" t="s">
        <v>2524</v>
      </c>
      <c r="C3715" t="s">
        <v>14</v>
      </c>
      <c r="D3715" s="1">
        <v>43234</v>
      </c>
    </row>
    <row r="3716" spans="1:4" x14ac:dyDescent="0.25">
      <c r="A3716" t="s">
        <v>2934</v>
      </c>
      <c r="C3716" t="s">
        <v>14</v>
      </c>
      <c r="D3716" s="1">
        <v>43248</v>
      </c>
    </row>
    <row r="3717" spans="1:4" x14ac:dyDescent="0.25">
      <c r="A3717" t="s">
        <v>2525</v>
      </c>
      <c r="C3717" t="s">
        <v>14</v>
      </c>
      <c r="D3717" s="1">
        <v>43234</v>
      </c>
    </row>
    <row r="3718" spans="1:4" x14ac:dyDescent="0.25">
      <c r="A3718" t="s">
        <v>2526</v>
      </c>
      <c r="C3718" t="s">
        <v>14</v>
      </c>
      <c r="D3718" s="1">
        <v>43234</v>
      </c>
    </row>
    <row r="3719" spans="1:4" x14ac:dyDescent="0.25">
      <c r="A3719" t="s">
        <v>2527</v>
      </c>
      <c r="C3719" t="s">
        <v>14</v>
      </c>
      <c r="D3719" s="1">
        <v>43226</v>
      </c>
    </row>
    <row r="3720" spans="1:4" x14ac:dyDescent="0.25">
      <c r="A3720" t="s">
        <v>2935</v>
      </c>
      <c r="C3720" t="s">
        <v>14</v>
      </c>
      <c r="D3720" s="1">
        <v>43234</v>
      </c>
    </row>
    <row r="3721" spans="1:4" x14ac:dyDescent="0.25">
      <c r="A3721" t="s">
        <v>2528</v>
      </c>
      <c r="C3721" t="s">
        <v>14</v>
      </c>
      <c r="D3721" s="1">
        <v>43246</v>
      </c>
    </row>
    <row r="3722" spans="1:4" x14ac:dyDescent="0.25">
      <c r="A3722" t="s">
        <v>2529</v>
      </c>
      <c r="C3722" t="s">
        <v>14</v>
      </c>
      <c r="D3722" s="1">
        <v>43223</v>
      </c>
    </row>
    <row r="3723" spans="1:4" x14ac:dyDescent="0.25">
      <c r="A3723" t="s">
        <v>2530</v>
      </c>
      <c r="C3723" t="s">
        <v>14</v>
      </c>
      <c r="D3723" s="1">
        <v>43224</v>
      </c>
    </row>
    <row r="3724" spans="1:4" x14ac:dyDescent="0.25">
      <c r="A3724" t="s">
        <v>2531</v>
      </c>
      <c r="C3724" t="s">
        <v>14</v>
      </c>
      <c r="D3724" s="1">
        <v>43221</v>
      </c>
    </row>
    <row r="3725" spans="1:4" x14ac:dyDescent="0.25">
      <c r="A3725" t="s">
        <v>2533</v>
      </c>
      <c r="C3725" t="s">
        <v>14</v>
      </c>
      <c r="D3725" s="1">
        <v>43232</v>
      </c>
    </row>
    <row r="3726" spans="1:4" x14ac:dyDescent="0.25">
      <c r="A3726" t="s">
        <v>141</v>
      </c>
      <c r="C3726" t="s">
        <v>14</v>
      </c>
      <c r="D3726" s="1">
        <v>43248</v>
      </c>
    </row>
    <row r="3727" spans="1:4" x14ac:dyDescent="0.25">
      <c r="A3727" t="s">
        <v>2936</v>
      </c>
      <c r="C3727" t="s">
        <v>14</v>
      </c>
      <c r="D3727" s="1">
        <v>43250</v>
      </c>
    </row>
    <row r="3728" spans="1:4" x14ac:dyDescent="0.25">
      <c r="A3728" t="s">
        <v>2534</v>
      </c>
      <c r="C3728" t="s">
        <v>14</v>
      </c>
      <c r="D3728" s="1">
        <v>43224</v>
      </c>
    </row>
    <row r="3729" spans="1:4" x14ac:dyDescent="0.25">
      <c r="A3729" t="s">
        <v>2535</v>
      </c>
      <c r="C3729" t="s">
        <v>14</v>
      </c>
      <c r="D3729" s="1">
        <v>43234</v>
      </c>
    </row>
    <row r="3730" spans="1:4" x14ac:dyDescent="0.25">
      <c r="A3730" t="s">
        <v>2937</v>
      </c>
      <c r="C3730" t="s">
        <v>14</v>
      </c>
      <c r="D3730" s="1">
        <v>43250</v>
      </c>
    </row>
    <row r="3731" spans="1:4" x14ac:dyDescent="0.25">
      <c r="A3731" t="s">
        <v>2938</v>
      </c>
      <c r="C3731" t="s">
        <v>14</v>
      </c>
      <c r="D3731" s="1">
        <v>43250</v>
      </c>
    </row>
    <row r="3732" spans="1:4" x14ac:dyDescent="0.25">
      <c r="A3732" t="s">
        <v>2939</v>
      </c>
      <c r="C3732" t="s">
        <v>14</v>
      </c>
      <c r="D3732" s="1">
        <v>43250</v>
      </c>
    </row>
    <row r="3733" spans="1:4" x14ac:dyDescent="0.25">
      <c r="A3733" t="s">
        <v>1642</v>
      </c>
      <c r="C3733" t="s">
        <v>14</v>
      </c>
      <c r="D3733" s="1">
        <v>43221</v>
      </c>
    </row>
    <row r="3734" spans="1:4" x14ac:dyDescent="0.25">
      <c r="A3734" t="s">
        <v>1451</v>
      </c>
      <c r="C3734" t="s">
        <v>14</v>
      </c>
      <c r="D3734" s="1">
        <v>43226</v>
      </c>
    </row>
    <row r="3735" spans="1:4" x14ac:dyDescent="0.25">
      <c r="A3735" t="s">
        <v>1308</v>
      </c>
      <c r="C3735" t="s">
        <v>14</v>
      </c>
      <c r="D3735" s="1">
        <v>43224</v>
      </c>
    </row>
    <row r="3736" spans="1:4" x14ac:dyDescent="0.25">
      <c r="A3736" t="s">
        <v>1473</v>
      </c>
      <c r="C3736" t="s">
        <v>14</v>
      </c>
      <c r="D3736" s="1">
        <v>43234</v>
      </c>
    </row>
    <row r="3737" spans="1:4" x14ac:dyDescent="0.25">
      <c r="A3737" t="s">
        <v>1359</v>
      </c>
      <c r="C3737" t="s">
        <v>14</v>
      </c>
      <c r="D3737" s="1">
        <v>43224</v>
      </c>
    </row>
    <row r="3738" spans="1:4" x14ac:dyDescent="0.25">
      <c r="A3738" t="s">
        <v>176</v>
      </c>
      <c r="C3738" t="s">
        <v>14</v>
      </c>
      <c r="D3738" s="1">
        <v>43248</v>
      </c>
    </row>
    <row r="3739" spans="1:4" x14ac:dyDescent="0.25">
      <c r="A3739" t="s">
        <v>2536</v>
      </c>
      <c r="C3739" t="s">
        <v>14</v>
      </c>
      <c r="D3739" s="1">
        <v>43234</v>
      </c>
    </row>
    <row r="3740" spans="1:4" x14ac:dyDescent="0.25">
      <c r="A3740" t="s">
        <v>2537</v>
      </c>
      <c r="C3740" t="s">
        <v>14</v>
      </c>
      <c r="D3740" s="1">
        <v>43227</v>
      </c>
    </row>
    <row r="3741" spans="1:4" x14ac:dyDescent="0.25">
      <c r="A3741" t="s">
        <v>2538</v>
      </c>
      <c r="C3741" t="s">
        <v>14</v>
      </c>
      <c r="D3741" s="1">
        <v>43234</v>
      </c>
    </row>
    <row r="3742" spans="1:4" x14ac:dyDescent="0.25">
      <c r="A3742" t="s">
        <v>897</v>
      </c>
      <c r="C3742" t="s">
        <v>14</v>
      </c>
      <c r="D3742" s="1">
        <v>43227</v>
      </c>
    </row>
    <row r="3743" spans="1:4" x14ac:dyDescent="0.25">
      <c r="A3743" t="s">
        <v>722</v>
      </c>
      <c r="C3743" t="s">
        <v>14</v>
      </c>
      <c r="D3743" s="1">
        <v>43230</v>
      </c>
    </row>
    <row r="3744" spans="1:4" x14ac:dyDescent="0.25">
      <c r="A3744" t="s">
        <v>2539</v>
      </c>
      <c r="C3744" t="s">
        <v>14</v>
      </c>
      <c r="D3744" s="1">
        <v>43222</v>
      </c>
    </row>
    <row r="3745" spans="1:4" x14ac:dyDescent="0.25">
      <c r="A3745" t="s">
        <v>2540</v>
      </c>
      <c r="C3745" t="s">
        <v>14</v>
      </c>
      <c r="D3745" s="1">
        <v>43227</v>
      </c>
    </row>
    <row r="3746" spans="1:4" x14ac:dyDescent="0.25">
      <c r="A3746" t="s">
        <v>1282</v>
      </c>
      <c r="C3746" t="s">
        <v>14</v>
      </c>
      <c r="D3746" s="1">
        <v>43241</v>
      </c>
    </row>
    <row r="3747" spans="1:4" x14ac:dyDescent="0.25">
      <c r="A3747" t="s">
        <v>142</v>
      </c>
      <c r="C3747" t="s">
        <v>14</v>
      </c>
      <c r="D3747" s="1">
        <v>43248</v>
      </c>
    </row>
    <row r="3748" spans="1:4" x14ac:dyDescent="0.25">
      <c r="A3748" t="s">
        <v>2940</v>
      </c>
      <c r="C3748" t="s">
        <v>14</v>
      </c>
      <c r="D3748" s="1">
        <v>43250</v>
      </c>
    </row>
    <row r="3749" spans="1:4" x14ac:dyDescent="0.25">
      <c r="A3749" t="s">
        <v>980</v>
      </c>
      <c r="C3749" t="s">
        <v>14</v>
      </c>
      <c r="D3749" s="1">
        <v>43227</v>
      </c>
    </row>
    <row r="3750" spans="1:4" x14ac:dyDescent="0.25">
      <c r="A3750" t="s">
        <v>2542</v>
      </c>
      <c r="C3750" t="s">
        <v>14</v>
      </c>
      <c r="D3750" s="1">
        <v>43234</v>
      </c>
    </row>
    <row r="3751" spans="1:4" x14ac:dyDescent="0.25">
      <c r="A3751" t="s">
        <v>2543</v>
      </c>
      <c r="C3751" t="s">
        <v>14</v>
      </c>
      <c r="D3751" s="1">
        <v>43221</v>
      </c>
    </row>
    <row r="3752" spans="1:4" x14ac:dyDescent="0.25">
      <c r="A3752" t="s">
        <v>1130</v>
      </c>
      <c r="C3752" t="s">
        <v>14</v>
      </c>
      <c r="D3752" s="1">
        <v>43234</v>
      </c>
    </row>
    <row r="3753" spans="1:4" x14ac:dyDescent="0.25">
      <c r="A3753" t="s">
        <v>2544</v>
      </c>
      <c r="C3753" t="s">
        <v>14</v>
      </c>
      <c r="D3753" s="1">
        <v>43227</v>
      </c>
    </row>
    <row r="3754" spans="1:4" x14ac:dyDescent="0.25">
      <c r="A3754" t="s">
        <v>2545</v>
      </c>
      <c r="C3754" t="s">
        <v>14</v>
      </c>
      <c r="D3754" s="1">
        <v>43227</v>
      </c>
    </row>
    <row r="3755" spans="1:4" x14ac:dyDescent="0.25">
      <c r="A3755" t="s">
        <v>1600</v>
      </c>
      <c r="C3755" t="s">
        <v>14</v>
      </c>
      <c r="D3755" s="1">
        <v>43227</v>
      </c>
    </row>
    <row r="3756" spans="1:4" x14ac:dyDescent="0.25">
      <c r="A3756" t="s">
        <v>2546</v>
      </c>
      <c r="C3756" t="s">
        <v>14</v>
      </c>
      <c r="D3756" s="1">
        <v>43227</v>
      </c>
    </row>
    <row r="3757" spans="1:4" x14ac:dyDescent="0.25">
      <c r="A3757" t="s">
        <v>2941</v>
      </c>
      <c r="C3757" t="s">
        <v>14</v>
      </c>
      <c r="D3757" s="1">
        <v>43250</v>
      </c>
    </row>
    <row r="3758" spans="1:4" x14ac:dyDescent="0.25">
      <c r="A3758" t="s">
        <v>1607</v>
      </c>
      <c r="C3758" t="s">
        <v>14</v>
      </c>
      <c r="D3758" s="1">
        <v>43221</v>
      </c>
    </row>
    <row r="3759" spans="1:4" x14ac:dyDescent="0.25">
      <c r="A3759" t="s">
        <v>1400</v>
      </c>
      <c r="C3759" t="s">
        <v>14</v>
      </c>
      <c r="D3759" s="1">
        <v>43227</v>
      </c>
    </row>
    <row r="3760" spans="1:4" x14ac:dyDescent="0.25">
      <c r="A3760" t="s">
        <v>2942</v>
      </c>
      <c r="C3760" t="s">
        <v>14</v>
      </c>
      <c r="D3760" s="1">
        <v>43250</v>
      </c>
    </row>
    <row r="3761" spans="1:4" x14ac:dyDescent="0.25">
      <c r="A3761" t="s">
        <v>2547</v>
      </c>
      <c r="C3761" t="s">
        <v>14</v>
      </c>
      <c r="D3761" s="1">
        <v>43227</v>
      </c>
    </row>
    <row r="3762" spans="1:4" x14ac:dyDescent="0.25">
      <c r="A3762" t="s">
        <v>2548</v>
      </c>
      <c r="C3762" t="s">
        <v>14</v>
      </c>
      <c r="D3762" s="1">
        <v>43227</v>
      </c>
    </row>
    <row r="3763" spans="1:4" x14ac:dyDescent="0.25">
      <c r="A3763" t="s">
        <v>675</v>
      </c>
      <c r="C3763" t="s">
        <v>14</v>
      </c>
      <c r="D3763" s="1">
        <v>43248</v>
      </c>
    </row>
    <row r="3764" spans="1:4" x14ac:dyDescent="0.25">
      <c r="A3764" t="s">
        <v>2551</v>
      </c>
      <c r="C3764" t="s">
        <v>14</v>
      </c>
      <c r="D3764" s="1">
        <v>43223</v>
      </c>
    </row>
    <row r="3765" spans="1:4" x14ac:dyDescent="0.25">
      <c r="A3765" t="s">
        <v>2552</v>
      </c>
      <c r="C3765" t="s">
        <v>14</v>
      </c>
      <c r="D3765" s="1">
        <v>43223</v>
      </c>
    </row>
    <row r="3766" spans="1:4" x14ac:dyDescent="0.25">
      <c r="A3766" t="s">
        <v>870</v>
      </c>
      <c r="C3766" t="s">
        <v>14</v>
      </c>
      <c r="D3766" s="1">
        <v>43227</v>
      </c>
    </row>
    <row r="3767" spans="1:4" x14ac:dyDescent="0.25">
      <c r="A3767" t="s">
        <v>180</v>
      </c>
      <c r="C3767" t="s">
        <v>14</v>
      </c>
      <c r="D3767" s="1">
        <v>43234</v>
      </c>
    </row>
    <row r="3768" spans="1:4" x14ac:dyDescent="0.25">
      <c r="A3768" t="s">
        <v>120</v>
      </c>
      <c r="C3768" t="s">
        <v>14</v>
      </c>
      <c r="D3768" s="1">
        <v>43234</v>
      </c>
    </row>
    <row r="3769" spans="1:4" x14ac:dyDescent="0.25">
      <c r="A3769" t="s">
        <v>2554</v>
      </c>
      <c r="C3769" t="s">
        <v>14</v>
      </c>
      <c r="D3769" s="1">
        <v>43237</v>
      </c>
    </row>
    <row r="3770" spans="1:4" x14ac:dyDescent="0.25">
      <c r="A3770" t="s">
        <v>1668</v>
      </c>
      <c r="C3770" t="s">
        <v>14</v>
      </c>
      <c r="D3770" s="1">
        <v>43227</v>
      </c>
    </row>
    <row r="3771" spans="1:4" x14ac:dyDescent="0.25">
      <c r="A3771" t="s">
        <v>1635</v>
      </c>
      <c r="C3771" t="s">
        <v>14</v>
      </c>
      <c r="D3771" s="1">
        <v>43227</v>
      </c>
    </row>
    <row r="3772" spans="1:4" x14ac:dyDescent="0.25">
      <c r="A3772" t="s">
        <v>1099</v>
      </c>
      <c r="C3772" t="s">
        <v>14</v>
      </c>
      <c r="D3772" s="1">
        <v>43227</v>
      </c>
    </row>
    <row r="3773" spans="1:4" x14ac:dyDescent="0.25">
      <c r="A3773" t="s">
        <v>815</v>
      </c>
      <c r="C3773" t="s">
        <v>14</v>
      </c>
      <c r="D3773" s="1">
        <v>43227</v>
      </c>
    </row>
    <row r="3774" spans="1:4" x14ac:dyDescent="0.25">
      <c r="A3774" t="s">
        <v>841</v>
      </c>
      <c r="C3774" t="s">
        <v>14</v>
      </c>
      <c r="D3774" s="1">
        <v>43227</v>
      </c>
    </row>
    <row r="3775" spans="1:4" x14ac:dyDescent="0.25">
      <c r="A3775" t="s">
        <v>2555</v>
      </c>
      <c r="C3775" t="s">
        <v>14</v>
      </c>
      <c r="D3775" s="1">
        <v>43234</v>
      </c>
    </row>
    <row r="3776" spans="1:4" x14ac:dyDescent="0.25">
      <c r="A3776" t="s">
        <v>2556</v>
      </c>
      <c r="C3776" t="s">
        <v>14</v>
      </c>
      <c r="D3776" s="1">
        <v>43234</v>
      </c>
    </row>
    <row r="3777" spans="1:4" x14ac:dyDescent="0.25">
      <c r="A3777" t="s">
        <v>1704</v>
      </c>
      <c r="C3777" t="s">
        <v>14</v>
      </c>
      <c r="D3777" s="1">
        <v>43248</v>
      </c>
    </row>
    <row r="3778" spans="1:4" x14ac:dyDescent="0.25">
      <c r="A3778" t="s">
        <v>1236</v>
      </c>
      <c r="C3778" t="s">
        <v>14</v>
      </c>
      <c r="D3778" s="1">
        <v>43248</v>
      </c>
    </row>
    <row r="3779" spans="1:4" x14ac:dyDescent="0.25">
      <c r="A3779" t="s">
        <v>2557</v>
      </c>
      <c r="C3779" t="s">
        <v>14</v>
      </c>
      <c r="D3779" s="1">
        <v>43227</v>
      </c>
    </row>
    <row r="3780" spans="1:4" x14ac:dyDescent="0.25">
      <c r="A3780" t="s">
        <v>1252</v>
      </c>
      <c r="C3780" t="s">
        <v>14</v>
      </c>
      <c r="D3780" s="1">
        <v>43222</v>
      </c>
    </row>
    <row r="3781" spans="1:4" x14ac:dyDescent="0.25">
      <c r="A3781" t="s">
        <v>2943</v>
      </c>
      <c r="C3781" t="s">
        <v>14</v>
      </c>
      <c r="D3781" s="1">
        <v>43248</v>
      </c>
    </row>
    <row r="3782" spans="1:4" x14ac:dyDescent="0.25">
      <c r="A3782" t="s">
        <v>1391</v>
      </c>
      <c r="C3782" t="s">
        <v>14</v>
      </c>
      <c r="D3782" s="1">
        <v>43241</v>
      </c>
    </row>
    <row r="3783" spans="1:4" x14ac:dyDescent="0.25">
      <c r="A3783" t="s">
        <v>975</v>
      </c>
      <c r="C3783" t="s">
        <v>14</v>
      </c>
      <c r="D3783" s="1">
        <v>43234</v>
      </c>
    </row>
    <row r="3784" spans="1:4" x14ac:dyDescent="0.25">
      <c r="A3784" t="s">
        <v>1563</v>
      </c>
      <c r="C3784" t="s">
        <v>14</v>
      </c>
      <c r="D3784" s="1">
        <v>43227</v>
      </c>
    </row>
    <row r="3785" spans="1:4" x14ac:dyDescent="0.25">
      <c r="A3785" t="s">
        <v>1346</v>
      </c>
      <c r="C3785" t="s">
        <v>14</v>
      </c>
      <c r="D3785" s="1">
        <v>43240</v>
      </c>
    </row>
    <row r="3786" spans="1:4" x14ac:dyDescent="0.25">
      <c r="A3786" t="s">
        <v>741</v>
      </c>
      <c r="C3786" t="s">
        <v>14</v>
      </c>
      <c r="D3786" s="1">
        <v>43228</v>
      </c>
    </row>
    <row r="3787" spans="1:4" x14ac:dyDescent="0.25">
      <c r="A3787" t="s">
        <v>1307</v>
      </c>
      <c r="C3787" t="s">
        <v>14</v>
      </c>
      <c r="D3787" s="1">
        <v>43248</v>
      </c>
    </row>
    <row r="3788" spans="1:4" x14ac:dyDescent="0.25">
      <c r="A3788" t="s">
        <v>2558</v>
      </c>
      <c r="C3788" t="s">
        <v>14</v>
      </c>
      <c r="D3788" s="1">
        <v>43234</v>
      </c>
    </row>
    <row r="3789" spans="1:4" x14ac:dyDescent="0.25">
      <c r="A3789" t="s">
        <v>1456</v>
      </c>
      <c r="C3789" t="s">
        <v>14</v>
      </c>
      <c r="D3789" s="1">
        <v>43238</v>
      </c>
    </row>
    <row r="3790" spans="1:4" x14ac:dyDescent="0.25">
      <c r="A3790" t="s">
        <v>1128</v>
      </c>
      <c r="C3790" t="s">
        <v>14</v>
      </c>
      <c r="D3790" s="1">
        <v>43240</v>
      </c>
    </row>
    <row r="3791" spans="1:4" x14ac:dyDescent="0.25">
      <c r="A3791" t="s">
        <v>1284</v>
      </c>
      <c r="C3791" t="s">
        <v>14</v>
      </c>
      <c r="D3791" s="1">
        <v>43234</v>
      </c>
    </row>
    <row r="3792" spans="1:4" x14ac:dyDescent="0.25">
      <c r="A3792" t="s">
        <v>666</v>
      </c>
      <c r="C3792" t="s">
        <v>14</v>
      </c>
      <c r="D3792" s="1">
        <v>43228</v>
      </c>
    </row>
    <row r="3793" spans="1:4" x14ac:dyDescent="0.25">
      <c r="A3793" t="s">
        <v>2559</v>
      </c>
      <c r="C3793" t="s">
        <v>14</v>
      </c>
      <c r="D3793" s="1">
        <v>43239</v>
      </c>
    </row>
    <row r="3794" spans="1:4" x14ac:dyDescent="0.25">
      <c r="A3794" t="s">
        <v>1306</v>
      </c>
      <c r="C3794" t="s">
        <v>14</v>
      </c>
      <c r="D3794" s="1">
        <v>43241</v>
      </c>
    </row>
    <row r="3795" spans="1:4" x14ac:dyDescent="0.25">
      <c r="A3795" t="s">
        <v>2560</v>
      </c>
      <c r="C3795" t="s">
        <v>14</v>
      </c>
      <c r="D3795" s="1">
        <v>43227</v>
      </c>
    </row>
    <row r="3796" spans="1:4" x14ac:dyDescent="0.25">
      <c r="A3796" t="s">
        <v>2561</v>
      </c>
      <c r="C3796" t="s">
        <v>14</v>
      </c>
      <c r="D3796" s="1">
        <v>43223</v>
      </c>
    </row>
    <row r="3797" spans="1:4" x14ac:dyDescent="0.25">
      <c r="A3797" t="s">
        <v>2562</v>
      </c>
      <c r="C3797" t="s">
        <v>14</v>
      </c>
      <c r="D3797" s="1">
        <v>43223</v>
      </c>
    </row>
    <row r="3798" spans="1:4" x14ac:dyDescent="0.25">
      <c r="A3798" t="s">
        <v>1424</v>
      </c>
      <c r="C3798" t="s">
        <v>14</v>
      </c>
      <c r="D3798" s="1">
        <v>43227</v>
      </c>
    </row>
    <row r="3799" spans="1:4" x14ac:dyDescent="0.25">
      <c r="A3799" t="s">
        <v>1432</v>
      </c>
      <c r="C3799" t="s">
        <v>14</v>
      </c>
      <c r="D3799" s="1">
        <v>43222</v>
      </c>
    </row>
    <row r="3800" spans="1:4" x14ac:dyDescent="0.25">
      <c r="A3800" t="s">
        <v>904</v>
      </c>
      <c r="C3800" t="s">
        <v>14</v>
      </c>
      <c r="D3800" s="1">
        <v>43241</v>
      </c>
    </row>
    <row r="3801" spans="1:4" x14ac:dyDescent="0.25">
      <c r="A3801" t="s">
        <v>1275</v>
      </c>
      <c r="C3801" t="s">
        <v>14</v>
      </c>
      <c r="D3801" s="1">
        <v>43248</v>
      </c>
    </row>
    <row r="3802" spans="1:4" x14ac:dyDescent="0.25">
      <c r="A3802" t="s">
        <v>2564</v>
      </c>
      <c r="C3802" t="s">
        <v>14</v>
      </c>
      <c r="D3802" s="1">
        <v>43221</v>
      </c>
    </row>
    <row r="3803" spans="1:4" x14ac:dyDescent="0.25">
      <c r="A3803" t="s">
        <v>1468</v>
      </c>
      <c r="C3803" t="s">
        <v>14</v>
      </c>
      <c r="D3803" s="1">
        <v>43241</v>
      </c>
    </row>
    <row r="3804" spans="1:4" x14ac:dyDescent="0.25">
      <c r="A3804" t="s">
        <v>2565</v>
      </c>
      <c r="C3804" t="s">
        <v>14</v>
      </c>
      <c r="D3804" s="1">
        <v>43234</v>
      </c>
    </row>
    <row r="3805" spans="1:4" x14ac:dyDescent="0.25">
      <c r="A3805" t="s">
        <v>2566</v>
      </c>
      <c r="C3805" t="s">
        <v>14</v>
      </c>
      <c r="D3805" s="1">
        <v>43221</v>
      </c>
    </row>
    <row r="3806" spans="1:4" x14ac:dyDescent="0.25">
      <c r="A3806" t="s">
        <v>2567</v>
      </c>
      <c r="C3806" t="s">
        <v>14</v>
      </c>
      <c r="D3806" s="1">
        <v>43221</v>
      </c>
    </row>
    <row r="3807" spans="1:4" x14ac:dyDescent="0.25">
      <c r="A3807" t="s">
        <v>2568</v>
      </c>
      <c r="C3807" t="s">
        <v>14</v>
      </c>
      <c r="D3807" s="1">
        <v>43234</v>
      </c>
    </row>
    <row r="3808" spans="1:4" x14ac:dyDescent="0.25">
      <c r="A3808" t="s">
        <v>1425</v>
      </c>
      <c r="C3808" t="s">
        <v>14</v>
      </c>
      <c r="D3808" s="1">
        <v>43227</v>
      </c>
    </row>
    <row r="3809" spans="1:4" x14ac:dyDescent="0.25">
      <c r="A3809" t="s">
        <v>1465</v>
      </c>
      <c r="C3809" t="s">
        <v>14</v>
      </c>
      <c r="D3809" s="1">
        <v>43227</v>
      </c>
    </row>
    <row r="3810" spans="1:4" x14ac:dyDescent="0.25">
      <c r="A3810" t="s">
        <v>1664</v>
      </c>
      <c r="C3810" t="s">
        <v>14</v>
      </c>
      <c r="D3810" s="1">
        <v>43227</v>
      </c>
    </row>
    <row r="3811" spans="1:4" x14ac:dyDescent="0.25">
      <c r="A3811" t="s">
        <v>2569</v>
      </c>
      <c r="C3811" t="s">
        <v>14</v>
      </c>
      <c r="D3811" s="1">
        <v>43223</v>
      </c>
    </row>
    <row r="3812" spans="1:4" x14ac:dyDescent="0.25">
      <c r="A3812" t="s">
        <v>2570</v>
      </c>
      <c r="C3812" t="s">
        <v>14</v>
      </c>
      <c r="D3812" s="1">
        <v>43221</v>
      </c>
    </row>
    <row r="3813" spans="1:4" x14ac:dyDescent="0.25">
      <c r="A3813" t="s">
        <v>2571</v>
      </c>
      <c r="C3813" t="s">
        <v>14</v>
      </c>
      <c r="D3813" s="1">
        <v>43234</v>
      </c>
    </row>
    <row r="3814" spans="1:4" x14ac:dyDescent="0.25">
      <c r="A3814" t="s">
        <v>2572</v>
      </c>
      <c r="C3814" t="s">
        <v>14</v>
      </c>
      <c r="D3814" s="1">
        <v>43227</v>
      </c>
    </row>
    <row r="3815" spans="1:4" x14ac:dyDescent="0.25">
      <c r="A3815" t="s">
        <v>1632</v>
      </c>
      <c r="C3815" t="s">
        <v>14</v>
      </c>
      <c r="D3815" s="1">
        <v>43236</v>
      </c>
    </row>
    <row r="3816" spans="1:4" x14ac:dyDescent="0.25">
      <c r="A3816" t="s">
        <v>871</v>
      </c>
      <c r="C3816" t="s">
        <v>14</v>
      </c>
      <c r="D3816" s="1">
        <v>43241</v>
      </c>
    </row>
    <row r="3817" spans="1:4" x14ac:dyDescent="0.25">
      <c r="A3817" t="s">
        <v>1453</v>
      </c>
      <c r="C3817" t="s">
        <v>14</v>
      </c>
      <c r="D3817" s="1">
        <v>43227</v>
      </c>
    </row>
    <row r="3818" spans="1:4" x14ac:dyDescent="0.25">
      <c r="A3818" t="s">
        <v>1292</v>
      </c>
      <c r="C3818" t="s">
        <v>14</v>
      </c>
      <c r="D3818" s="1">
        <v>43227</v>
      </c>
    </row>
    <row r="3819" spans="1:4" x14ac:dyDescent="0.25">
      <c r="A3819" t="s">
        <v>1377</v>
      </c>
      <c r="C3819" t="s">
        <v>14</v>
      </c>
      <c r="D3819" s="1">
        <v>43234</v>
      </c>
    </row>
    <row r="3820" spans="1:4" x14ac:dyDescent="0.25">
      <c r="A3820" t="s">
        <v>2575</v>
      </c>
      <c r="C3820" t="s">
        <v>14</v>
      </c>
      <c r="D3820" s="1">
        <v>43229</v>
      </c>
    </row>
    <row r="3821" spans="1:4" x14ac:dyDescent="0.25">
      <c r="A3821" t="s">
        <v>1218</v>
      </c>
      <c r="C3821" t="s">
        <v>14</v>
      </c>
      <c r="D3821" s="1">
        <v>43240</v>
      </c>
    </row>
    <row r="3822" spans="1:4" x14ac:dyDescent="0.25">
      <c r="A3822" t="s">
        <v>2576</v>
      </c>
      <c r="C3822" t="s">
        <v>14</v>
      </c>
      <c r="D3822" s="1">
        <v>43227</v>
      </c>
    </row>
    <row r="3823" spans="1:4" x14ac:dyDescent="0.25">
      <c r="A3823" t="s">
        <v>2944</v>
      </c>
      <c r="C3823" t="s">
        <v>14</v>
      </c>
      <c r="D3823" s="1">
        <v>43221</v>
      </c>
    </row>
    <row r="3824" spans="1:4" x14ac:dyDescent="0.25">
      <c r="A3824" t="s">
        <v>2577</v>
      </c>
      <c r="C3824" t="s">
        <v>14</v>
      </c>
      <c r="D3824" s="1">
        <v>43221</v>
      </c>
    </row>
    <row r="3825" spans="1:4" x14ac:dyDescent="0.25">
      <c r="A3825" t="s">
        <v>1485</v>
      </c>
      <c r="C3825" t="s">
        <v>14</v>
      </c>
      <c r="D3825" s="1">
        <v>43231</v>
      </c>
    </row>
    <row r="3826" spans="1:4" x14ac:dyDescent="0.25">
      <c r="A3826" t="s">
        <v>2945</v>
      </c>
      <c r="C3826" t="s">
        <v>14</v>
      </c>
      <c r="D3826" s="1">
        <v>43248</v>
      </c>
    </row>
    <row r="3827" spans="1:4" x14ac:dyDescent="0.25">
      <c r="A3827" t="s">
        <v>1062</v>
      </c>
      <c r="C3827" t="s">
        <v>14</v>
      </c>
      <c r="D3827" s="1">
        <v>43240</v>
      </c>
    </row>
    <row r="3828" spans="1:4" x14ac:dyDescent="0.25">
      <c r="A3828" t="s">
        <v>2578</v>
      </c>
      <c r="C3828" t="s">
        <v>14</v>
      </c>
      <c r="D3828" s="1">
        <v>43227</v>
      </c>
    </row>
    <row r="3829" spans="1:4" x14ac:dyDescent="0.25">
      <c r="A3829" t="s">
        <v>1445</v>
      </c>
      <c r="C3829" t="s">
        <v>14</v>
      </c>
      <c r="D3829" s="1">
        <v>43227</v>
      </c>
    </row>
    <row r="3830" spans="1:4" x14ac:dyDescent="0.25">
      <c r="A3830" t="s">
        <v>620</v>
      </c>
      <c r="C3830" t="s">
        <v>14</v>
      </c>
      <c r="D3830" s="1">
        <v>43228</v>
      </c>
    </row>
    <row r="3831" spans="1:4" x14ac:dyDescent="0.25">
      <c r="A3831" t="s">
        <v>2579</v>
      </c>
      <c r="C3831" t="s">
        <v>14</v>
      </c>
      <c r="D3831" s="1">
        <v>43221</v>
      </c>
    </row>
    <row r="3832" spans="1:4" x14ac:dyDescent="0.25">
      <c r="A3832" t="s">
        <v>1384</v>
      </c>
      <c r="C3832" t="s">
        <v>14</v>
      </c>
      <c r="D3832" s="1">
        <v>43238</v>
      </c>
    </row>
    <row r="3833" spans="1:4" x14ac:dyDescent="0.25">
      <c r="A3833" t="s">
        <v>2580</v>
      </c>
      <c r="C3833" t="s">
        <v>14</v>
      </c>
      <c r="D3833" s="1">
        <v>43224</v>
      </c>
    </row>
    <row r="3834" spans="1:4" x14ac:dyDescent="0.25">
      <c r="A3834" t="s">
        <v>2581</v>
      </c>
      <c r="C3834" t="s">
        <v>14</v>
      </c>
      <c r="D3834" s="1">
        <v>43234</v>
      </c>
    </row>
    <row r="3835" spans="1:4" x14ac:dyDescent="0.25">
      <c r="A3835" t="s">
        <v>1624</v>
      </c>
      <c r="C3835" t="s">
        <v>14</v>
      </c>
      <c r="D3835" s="1">
        <v>43234</v>
      </c>
    </row>
    <row r="3836" spans="1:4" x14ac:dyDescent="0.25">
      <c r="A3836" t="s">
        <v>1544</v>
      </c>
      <c r="C3836" t="s">
        <v>14</v>
      </c>
      <c r="D3836" s="1">
        <v>43227</v>
      </c>
    </row>
    <row r="3837" spans="1:4" x14ac:dyDescent="0.25">
      <c r="A3837" t="s">
        <v>2584</v>
      </c>
      <c r="C3837" t="s">
        <v>14</v>
      </c>
      <c r="D3837" s="1">
        <v>43232</v>
      </c>
    </row>
    <row r="3838" spans="1:4" x14ac:dyDescent="0.25">
      <c r="A3838" t="s">
        <v>1136</v>
      </c>
      <c r="C3838" t="s">
        <v>14</v>
      </c>
      <c r="D3838" s="1">
        <v>43234</v>
      </c>
    </row>
    <row r="3839" spans="1:4" x14ac:dyDescent="0.25">
      <c r="A3839" t="s">
        <v>1408</v>
      </c>
      <c r="C3839" t="s">
        <v>14</v>
      </c>
      <c r="D3839" s="1">
        <v>43234</v>
      </c>
    </row>
    <row r="3840" spans="1:4" x14ac:dyDescent="0.25">
      <c r="A3840" t="s">
        <v>1667</v>
      </c>
      <c r="C3840" t="s">
        <v>14</v>
      </c>
      <c r="D3840" s="1">
        <v>43227</v>
      </c>
    </row>
    <row r="3841" spans="1:4" x14ac:dyDescent="0.25">
      <c r="A3841" t="s">
        <v>2586</v>
      </c>
      <c r="C3841" t="s">
        <v>14</v>
      </c>
      <c r="D3841" s="1">
        <v>43221</v>
      </c>
    </row>
    <row r="3842" spans="1:4" x14ac:dyDescent="0.25">
      <c r="A3842" t="s">
        <v>1373</v>
      </c>
      <c r="C3842" t="s">
        <v>14</v>
      </c>
      <c r="D3842" s="1">
        <v>43227</v>
      </c>
    </row>
    <row r="3843" spans="1:4" x14ac:dyDescent="0.25">
      <c r="A3843" t="s">
        <v>743</v>
      </c>
      <c r="C3843" t="s">
        <v>14</v>
      </c>
      <c r="D3843" s="1">
        <v>43228</v>
      </c>
    </row>
    <row r="3844" spans="1:4" x14ac:dyDescent="0.25">
      <c r="A3844" t="s">
        <v>2588</v>
      </c>
      <c r="C3844" t="s">
        <v>14</v>
      </c>
      <c r="D3844" s="1">
        <v>43241</v>
      </c>
    </row>
    <row r="3845" spans="1:4" x14ac:dyDescent="0.25">
      <c r="A3845" t="s">
        <v>2589</v>
      </c>
      <c r="C3845" t="s">
        <v>14</v>
      </c>
      <c r="D3845" s="1">
        <v>43224</v>
      </c>
    </row>
    <row r="3846" spans="1:4" x14ac:dyDescent="0.25">
      <c r="A3846" t="s">
        <v>2590</v>
      </c>
      <c r="C3846" t="s">
        <v>14</v>
      </c>
      <c r="D3846" s="1">
        <v>43221</v>
      </c>
    </row>
    <row r="3847" spans="1:4" x14ac:dyDescent="0.25">
      <c r="A3847" t="s">
        <v>777</v>
      </c>
      <c r="C3847" t="s">
        <v>14</v>
      </c>
      <c r="D3847" s="1">
        <v>43241</v>
      </c>
    </row>
    <row r="3848" spans="1:4" x14ac:dyDescent="0.25">
      <c r="A3848" t="s">
        <v>2591</v>
      </c>
      <c r="C3848" t="s">
        <v>14</v>
      </c>
      <c r="D3848" s="1">
        <v>43232</v>
      </c>
    </row>
    <row r="3849" spans="1:4" x14ac:dyDescent="0.25">
      <c r="A3849" t="s">
        <v>2592</v>
      </c>
      <c r="C3849" t="s">
        <v>14</v>
      </c>
      <c r="D3849" s="1">
        <v>43221</v>
      </c>
    </row>
    <row r="3850" spans="1:4" x14ac:dyDescent="0.25">
      <c r="A3850" t="s">
        <v>1074</v>
      </c>
      <c r="C3850" t="s">
        <v>14</v>
      </c>
      <c r="D3850" s="1">
        <v>43234</v>
      </c>
    </row>
    <row r="3851" spans="1:4" x14ac:dyDescent="0.25">
      <c r="A3851" t="s">
        <v>1352</v>
      </c>
      <c r="C3851" t="s">
        <v>14</v>
      </c>
      <c r="D3851" s="1">
        <v>43234</v>
      </c>
    </row>
    <row r="3852" spans="1:4" x14ac:dyDescent="0.25">
      <c r="A3852" t="s">
        <v>2593</v>
      </c>
      <c r="C3852" t="s">
        <v>14</v>
      </c>
      <c r="D3852" s="1">
        <v>43227</v>
      </c>
    </row>
    <row r="3853" spans="1:4" x14ac:dyDescent="0.25">
      <c r="A3853" t="s">
        <v>2594</v>
      </c>
      <c r="C3853" t="s">
        <v>14</v>
      </c>
      <c r="D3853" s="1">
        <v>43221</v>
      </c>
    </row>
    <row r="3854" spans="1:4" x14ac:dyDescent="0.25">
      <c r="A3854" t="s">
        <v>1616</v>
      </c>
      <c r="C3854" t="s">
        <v>14</v>
      </c>
      <c r="D3854" s="1">
        <v>43234</v>
      </c>
    </row>
    <row r="3855" spans="1:4" x14ac:dyDescent="0.25">
      <c r="A3855" t="s">
        <v>1548</v>
      </c>
      <c r="C3855" t="s">
        <v>14</v>
      </c>
      <c r="D3855" s="1">
        <v>43227</v>
      </c>
    </row>
    <row r="3856" spans="1:4" x14ac:dyDescent="0.25">
      <c r="A3856" t="s">
        <v>1390</v>
      </c>
      <c r="C3856" t="s">
        <v>14</v>
      </c>
      <c r="D3856" s="1">
        <v>43241</v>
      </c>
    </row>
    <row r="3857" spans="1:4" x14ac:dyDescent="0.25">
      <c r="A3857" t="s">
        <v>1326</v>
      </c>
      <c r="C3857" t="s">
        <v>14</v>
      </c>
      <c r="D3857" s="1">
        <v>43234</v>
      </c>
    </row>
    <row r="3858" spans="1:4" x14ac:dyDescent="0.25">
      <c r="A3858" t="s">
        <v>2595</v>
      </c>
      <c r="C3858" t="s">
        <v>14</v>
      </c>
      <c r="D3858" s="1">
        <v>43232</v>
      </c>
    </row>
    <row r="3859" spans="1:4" x14ac:dyDescent="0.25">
      <c r="A3859" t="s">
        <v>2596</v>
      </c>
      <c r="C3859" t="s">
        <v>14</v>
      </c>
      <c r="D3859" s="1">
        <v>43221</v>
      </c>
    </row>
    <row r="3860" spans="1:4" x14ac:dyDescent="0.25">
      <c r="A3860" t="s">
        <v>1226</v>
      </c>
      <c r="C3860" t="s">
        <v>14</v>
      </c>
      <c r="D3860" s="1">
        <v>43227</v>
      </c>
    </row>
    <row r="3861" spans="1:4" x14ac:dyDescent="0.25">
      <c r="A3861" t="s">
        <v>1507</v>
      </c>
      <c r="C3861" t="s">
        <v>14</v>
      </c>
      <c r="D3861" s="1">
        <v>43234</v>
      </c>
    </row>
    <row r="3862" spans="1:4" x14ac:dyDescent="0.25">
      <c r="A3862" t="s">
        <v>519</v>
      </c>
      <c r="C3862" t="s">
        <v>14</v>
      </c>
      <c r="D3862" s="1">
        <v>43241</v>
      </c>
    </row>
    <row r="3863" spans="1:4" x14ac:dyDescent="0.25">
      <c r="A3863" t="s">
        <v>2946</v>
      </c>
      <c r="C3863" t="s">
        <v>14</v>
      </c>
      <c r="D3863" s="1">
        <v>43248</v>
      </c>
    </row>
    <row r="3864" spans="1:4" x14ac:dyDescent="0.25">
      <c r="A3864" t="s">
        <v>2597</v>
      </c>
      <c r="C3864" t="s">
        <v>14</v>
      </c>
      <c r="D3864" s="1">
        <v>43234</v>
      </c>
    </row>
    <row r="3865" spans="1:4" x14ac:dyDescent="0.25">
      <c r="A3865" t="s">
        <v>1255</v>
      </c>
      <c r="C3865" t="s">
        <v>14</v>
      </c>
      <c r="D3865" s="1">
        <v>43243</v>
      </c>
    </row>
    <row r="3866" spans="1:4" x14ac:dyDescent="0.25">
      <c r="A3866" t="s">
        <v>2598</v>
      </c>
      <c r="C3866" t="s">
        <v>14</v>
      </c>
      <c r="D3866" s="1">
        <v>43221</v>
      </c>
    </row>
    <row r="3867" spans="1:4" x14ac:dyDescent="0.25">
      <c r="A3867" t="s">
        <v>1285</v>
      </c>
      <c r="C3867" t="s">
        <v>14</v>
      </c>
      <c r="D3867" s="1">
        <v>43234</v>
      </c>
    </row>
    <row r="3868" spans="1:4" x14ac:dyDescent="0.25">
      <c r="A3868" t="s">
        <v>2599</v>
      </c>
      <c r="C3868" t="s">
        <v>14</v>
      </c>
      <c r="D3868" s="1">
        <v>43221</v>
      </c>
    </row>
    <row r="3869" spans="1:4" x14ac:dyDescent="0.25">
      <c r="A3869" t="s">
        <v>2600</v>
      </c>
      <c r="C3869" t="s">
        <v>14</v>
      </c>
      <c r="D3869" s="1">
        <v>43229</v>
      </c>
    </row>
    <row r="3870" spans="1:4" x14ac:dyDescent="0.25">
      <c r="A3870" t="s">
        <v>2601</v>
      </c>
      <c r="C3870" t="s">
        <v>14</v>
      </c>
      <c r="D3870" s="1">
        <v>43227</v>
      </c>
    </row>
    <row r="3871" spans="1:4" x14ac:dyDescent="0.25">
      <c r="A3871" t="s">
        <v>2602</v>
      </c>
      <c r="C3871" t="s">
        <v>14</v>
      </c>
      <c r="D3871" s="1">
        <v>43221</v>
      </c>
    </row>
    <row r="3872" spans="1:4" x14ac:dyDescent="0.25">
      <c r="A3872" t="s">
        <v>2603</v>
      </c>
      <c r="C3872" t="s">
        <v>14</v>
      </c>
      <c r="D3872" s="1">
        <v>43241</v>
      </c>
    </row>
    <row r="3873" spans="1:4" x14ac:dyDescent="0.25">
      <c r="A3873" t="s">
        <v>1385</v>
      </c>
      <c r="C3873" t="s">
        <v>14</v>
      </c>
      <c r="D3873" s="1">
        <v>43221</v>
      </c>
    </row>
    <row r="3874" spans="1:4" x14ac:dyDescent="0.25">
      <c r="A3874" t="s">
        <v>2947</v>
      </c>
      <c r="C3874" t="s">
        <v>14</v>
      </c>
      <c r="D3874" s="1">
        <v>43248</v>
      </c>
    </row>
    <row r="3875" spans="1:4" x14ac:dyDescent="0.25">
      <c r="A3875" t="s">
        <v>2604</v>
      </c>
      <c r="C3875" t="s">
        <v>14</v>
      </c>
      <c r="D3875" s="1">
        <v>43221</v>
      </c>
    </row>
    <row r="3876" spans="1:4" x14ac:dyDescent="0.25">
      <c r="A3876" t="s">
        <v>2605</v>
      </c>
      <c r="C3876" t="s">
        <v>14</v>
      </c>
      <c r="D3876" s="1">
        <v>43221</v>
      </c>
    </row>
    <row r="3877" spans="1:4" x14ac:dyDescent="0.25">
      <c r="A3877" t="s">
        <v>2606</v>
      </c>
      <c r="C3877" t="s">
        <v>14</v>
      </c>
      <c r="D3877" s="1">
        <v>43232</v>
      </c>
    </row>
    <row r="3878" spans="1:4" x14ac:dyDescent="0.25">
      <c r="A3878" t="s">
        <v>1339</v>
      </c>
      <c r="C3878" t="s">
        <v>14</v>
      </c>
      <c r="D3878" s="1">
        <v>43243</v>
      </c>
    </row>
    <row r="3879" spans="1:4" x14ac:dyDescent="0.25">
      <c r="A3879" t="s">
        <v>867</v>
      </c>
      <c r="C3879" t="s">
        <v>14</v>
      </c>
      <c r="D3879" s="1">
        <v>43227</v>
      </c>
    </row>
    <row r="3880" spans="1:4" x14ac:dyDescent="0.25">
      <c r="A3880" t="s">
        <v>958</v>
      </c>
      <c r="C3880" t="s">
        <v>14</v>
      </c>
      <c r="D3880" s="1">
        <v>43234</v>
      </c>
    </row>
    <row r="3881" spans="1:4" x14ac:dyDescent="0.25">
      <c r="A3881" t="s">
        <v>1370</v>
      </c>
      <c r="C3881" t="s">
        <v>14</v>
      </c>
      <c r="D3881" s="1">
        <v>43239</v>
      </c>
    </row>
    <row r="3882" spans="1:4" x14ac:dyDescent="0.25">
      <c r="A3882" t="s">
        <v>1615</v>
      </c>
      <c r="C3882" t="s">
        <v>14</v>
      </c>
      <c r="D3882" s="1">
        <v>43222</v>
      </c>
    </row>
    <row r="3883" spans="1:4" x14ac:dyDescent="0.25">
      <c r="A3883" t="s">
        <v>1291</v>
      </c>
      <c r="C3883" t="s">
        <v>14</v>
      </c>
      <c r="D3883" s="1">
        <v>43227</v>
      </c>
    </row>
    <row r="3884" spans="1:4" x14ac:dyDescent="0.25">
      <c r="A3884" t="s">
        <v>2607</v>
      </c>
      <c r="C3884" t="s">
        <v>14</v>
      </c>
      <c r="D3884" s="1">
        <v>43221</v>
      </c>
    </row>
    <row r="3885" spans="1:4" x14ac:dyDescent="0.25">
      <c r="A3885" t="s">
        <v>1223</v>
      </c>
      <c r="C3885" t="s">
        <v>14</v>
      </c>
      <c r="D3885" s="1">
        <v>43248</v>
      </c>
    </row>
    <row r="3886" spans="1:4" x14ac:dyDescent="0.25">
      <c r="A3886" t="s">
        <v>2608</v>
      </c>
      <c r="C3886" t="s">
        <v>14</v>
      </c>
      <c r="D3886" s="1">
        <v>43227</v>
      </c>
    </row>
    <row r="3887" spans="1:4" x14ac:dyDescent="0.25">
      <c r="A3887" t="s">
        <v>1241</v>
      </c>
      <c r="C3887" t="s">
        <v>14</v>
      </c>
      <c r="D3887" s="1">
        <v>43234</v>
      </c>
    </row>
    <row r="3888" spans="1:4" x14ac:dyDescent="0.25">
      <c r="A3888" t="s">
        <v>2948</v>
      </c>
      <c r="C3888" t="s">
        <v>14</v>
      </c>
      <c r="D3888" s="1">
        <v>43248</v>
      </c>
    </row>
    <row r="3889" spans="1:4" x14ac:dyDescent="0.25">
      <c r="A3889" t="s">
        <v>2609</v>
      </c>
      <c r="C3889" t="s">
        <v>14</v>
      </c>
      <c r="D3889" s="1">
        <v>43229</v>
      </c>
    </row>
    <row r="3890" spans="1:4" x14ac:dyDescent="0.25">
      <c r="A3890" t="s">
        <v>2610</v>
      </c>
      <c r="C3890" t="s">
        <v>14</v>
      </c>
      <c r="D3890" s="1">
        <v>43234</v>
      </c>
    </row>
    <row r="3891" spans="1:4" x14ac:dyDescent="0.25">
      <c r="A3891" t="s">
        <v>1452</v>
      </c>
      <c r="C3891" t="s">
        <v>14</v>
      </c>
      <c r="D3891" s="1">
        <v>43227</v>
      </c>
    </row>
    <row r="3892" spans="1:4" x14ac:dyDescent="0.25">
      <c r="A3892" t="s">
        <v>532</v>
      </c>
      <c r="C3892" t="s">
        <v>14</v>
      </c>
      <c r="D3892" s="1">
        <v>43248</v>
      </c>
    </row>
    <row r="3893" spans="1:4" x14ac:dyDescent="0.25">
      <c r="A3893" t="s">
        <v>1511</v>
      </c>
      <c r="C3893" t="s">
        <v>14</v>
      </c>
      <c r="D3893" s="1">
        <v>43222</v>
      </c>
    </row>
    <row r="3894" spans="1:4" x14ac:dyDescent="0.25">
      <c r="A3894" t="s">
        <v>1531</v>
      </c>
      <c r="C3894" t="s">
        <v>14</v>
      </c>
      <c r="D3894" s="1">
        <v>43227</v>
      </c>
    </row>
    <row r="3895" spans="1:4" x14ac:dyDescent="0.25">
      <c r="A3895" t="s">
        <v>2949</v>
      </c>
      <c r="C3895" t="s">
        <v>14</v>
      </c>
      <c r="D3895" s="1">
        <v>43248</v>
      </c>
    </row>
    <row r="3896" spans="1:4" x14ac:dyDescent="0.25">
      <c r="A3896" t="s">
        <v>950</v>
      </c>
      <c r="C3896" t="s">
        <v>14</v>
      </c>
      <c r="D3896" s="1">
        <v>43234</v>
      </c>
    </row>
    <row r="3897" spans="1:4" x14ac:dyDescent="0.25">
      <c r="A3897" t="s">
        <v>1537</v>
      </c>
      <c r="C3897" t="s">
        <v>14</v>
      </c>
      <c r="D3897" s="1">
        <v>43234</v>
      </c>
    </row>
    <row r="3898" spans="1:4" x14ac:dyDescent="0.25">
      <c r="A3898" t="s">
        <v>2612</v>
      </c>
      <c r="C3898" t="s">
        <v>14</v>
      </c>
      <c r="D3898" s="1">
        <v>43221</v>
      </c>
    </row>
    <row r="3899" spans="1:4" x14ac:dyDescent="0.25">
      <c r="A3899" t="s">
        <v>2613</v>
      </c>
      <c r="C3899" t="s">
        <v>14</v>
      </c>
      <c r="D3899" s="1">
        <v>43224</v>
      </c>
    </row>
    <row r="3900" spans="1:4" x14ac:dyDescent="0.25">
      <c r="A3900" t="s">
        <v>2614</v>
      </c>
      <c r="C3900" t="s">
        <v>14</v>
      </c>
      <c r="D3900" s="1">
        <v>43234</v>
      </c>
    </row>
    <row r="3901" spans="1:4" x14ac:dyDescent="0.25">
      <c r="A3901" t="s">
        <v>2615</v>
      </c>
      <c r="C3901" t="s">
        <v>14</v>
      </c>
      <c r="D3901" s="1">
        <v>43241</v>
      </c>
    </row>
    <row r="3902" spans="1:4" x14ac:dyDescent="0.25">
      <c r="A3902" t="s">
        <v>760</v>
      </c>
      <c r="C3902" t="s">
        <v>14</v>
      </c>
      <c r="D3902" s="1">
        <v>43248</v>
      </c>
    </row>
    <row r="3903" spans="1:4" x14ac:dyDescent="0.25">
      <c r="A3903" t="s">
        <v>2616</v>
      </c>
      <c r="C3903" t="s">
        <v>14</v>
      </c>
      <c r="D3903" s="1">
        <v>43221</v>
      </c>
    </row>
    <row r="3904" spans="1:4" x14ac:dyDescent="0.25">
      <c r="A3904" t="s">
        <v>1584</v>
      </c>
      <c r="C3904" t="s">
        <v>14</v>
      </c>
      <c r="D3904" s="1">
        <v>43222</v>
      </c>
    </row>
    <row r="3905" spans="1:4" x14ac:dyDescent="0.25">
      <c r="A3905" t="s">
        <v>2617</v>
      </c>
      <c r="C3905" t="s">
        <v>14</v>
      </c>
      <c r="D3905" s="1">
        <v>43221</v>
      </c>
    </row>
    <row r="3906" spans="1:4" x14ac:dyDescent="0.25">
      <c r="A3906" t="s">
        <v>1426</v>
      </c>
      <c r="C3906" t="s">
        <v>14</v>
      </c>
      <c r="D3906" s="1">
        <v>43222</v>
      </c>
    </row>
    <row r="3907" spans="1:4" x14ac:dyDescent="0.25">
      <c r="A3907" t="s">
        <v>2618</v>
      </c>
      <c r="C3907" t="s">
        <v>14</v>
      </c>
      <c r="D3907" s="1">
        <v>43221</v>
      </c>
    </row>
    <row r="3908" spans="1:4" x14ac:dyDescent="0.25">
      <c r="A3908" t="s">
        <v>2619</v>
      </c>
      <c r="C3908" t="s">
        <v>14</v>
      </c>
      <c r="D3908" s="1">
        <v>43221</v>
      </c>
    </row>
    <row r="3909" spans="1:4" x14ac:dyDescent="0.25">
      <c r="A3909" t="s">
        <v>1516</v>
      </c>
      <c r="C3909" t="s">
        <v>14</v>
      </c>
      <c r="D3909" s="1">
        <v>43239</v>
      </c>
    </row>
    <row r="3910" spans="1:4" x14ac:dyDescent="0.25">
      <c r="A3910" t="s">
        <v>2950</v>
      </c>
      <c r="C3910" t="s">
        <v>14</v>
      </c>
      <c r="D3910" s="1">
        <v>43248</v>
      </c>
    </row>
    <row r="3911" spans="1:4" x14ac:dyDescent="0.25">
      <c r="A3911" t="s">
        <v>2951</v>
      </c>
      <c r="C3911" t="s">
        <v>14</v>
      </c>
      <c r="D3911" s="1">
        <v>43248</v>
      </c>
    </row>
    <row r="3912" spans="1:4" x14ac:dyDescent="0.25">
      <c r="A3912" t="s">
        <v>1582</v>
      </c>
      <c r="C3912" t="s">
        <v>14</v>
      </c>
      <c r="D3912" s="1">
        <v>43222</v>
      </c>
    </row>
    <row r="3913" spans="1:4" x14ac:dyDescent="0.25">
      <c r="A3913" t="s">
        <v>1471</v>
      </c>
      <c r="C3913" t="s">
        <v>14</v>
      </c>
      <c r="D3913" s="1">
        <v>43221</v>
      </c>
    </row>
    <row r="3914" spans="1:4" x14ac:dyDescent="0.25">
      <c r="A3914" t="s">
        <v>1534</v>
      </c>
      <c r="C3914" t="s">
        <v>14</v>
      </c>
      <c r="D3914" s="1">
        <v>43231</v>
      </c>
    </row>
    <row r="3915" spans="1:4" x14ac:dyDescent="0.25">
      <c r="A3915" t="s">
        <v>1458</v>
      </c>
      <c r="C3915" t="s">
        <v>14</v>
      </c>
      <c r="D3915" s="1">
        <v>43222</v>
      </c>
    </row>
    <row r="3916" spans="1:4" x14ac:dyDescent="0.25">
      <c r="A3916" t="s">
        <v>1394</v>
      </c>
      <c r="C3916" t="s">
        <v>14</v>
      </c>
      <c r="D3916" s="1">
        <v>43234</v>
      </c>
    </row>
    <row r="3917" spans="1:4" x14ac:dyDescent="0.25">
      <c r="A3917" t="s">
        <v>2621</v>
      </c>
      <c r="C3917" t="s">
        <v>14</v>
      </c>
      <c r="D3917" s="1">
        <v>43241</v>
      </c>
    </row>
    <row r="3918" spans="1:4" x14ac:dyDescent="0.25">
      <c r="A3918" t="s">
        <v>1479</v>
      </c>
      <c r="C3918" t="s">
        <v>14</v>
      </c>
      <c r="D3918" s="1">
        <v>43227</v>
      </c>
    </row>
    <row r="3919" spans="1:4" x14ac:dyDescent="0.25">
      <c r="A3919" t="s">
        <v>1617</v>
      </c>
      <c r="C3919" t="s">
        <v>14</v>
      </c>
      <c r="D3919" s="1">
        <v>43234</v>
      </c>
    </row>
    <row r="3920" spans="1:4" x14ac:dyDescent="0.25">
      <c r="A3920" t="s">
        <v>1231</v>
      </c>
      <c r="C3920" t="s">
        <v>14</v>
      </c>
      <c r="D3920" s="1">
        <v>43234</v>
      </c>
    </row>
    <row r="3921" spans="1:4" x14ac:dyDescent="0.25">
      <c r="A3921" t="s">
        <v>2623</v>
      </c>
      <c r="C3921" t="s">
        <v>14</v>
      </c>
      <c r="D3921" s="1">
        <v>43227</v>
      </c>
    </row>
    <row r="3922" spans="1:4" x14ac:dyDescent="0.25">
      <c r="A3922" t="s">
        <v>319</v>
      </c>
      <c r="C3922" t="s">
        <v>14</v>
      </c>
      <c r="D3922" s="1">
        <v>43248</v>
      </c>
    </row>
    <row r="3923" spans="1:4" x14ac:dyDescent="0.25">
      <c r="A3923" t="s">
        <v>1517</v>
      </c>
      <c r="C3923" t="s">
        <v>14</v>
      </c>
      <c r="D3923" s="1">
        <v>43239</v>
      </c>
    </row>
    <row r="3924" spans="1:4" x14ac:dyDescent="0.25">
      <c r="A3924" t="s">
        <v>2625</v>
      </c>
      <c r="C3924" t="s">
        <v>14</v>
      </c>
      <c r="D3924" s="1">
        <v>43227</v>
      </c>
    </row>
    <row r="3925" spans="1:4" x14ac:dyDescent="0.25">
      <c r="A3925" t="s">
        <v>2626</v>
      </c>
      <c r="C3925" t="s">
        <v>14</v>
      </c>
      <c r="D3925" s="1">
        <v>43221</v>
      </c>
    </row>
    <row r="3926" spans="1:4" x14ac:dyDescent="0.25">
      <c r="A3926" t="s">
        <v>1415</v>
      </c>
      <c r="C3926" t="s">
        <v>14</v>
      </c>
      <c r="D3926" s="1">
        <v>43239</v>
      </c>
    </row>
    <row r="3927" spans="1:4" x14ac:dyDescent="0.25">
      <c r="A3927" t="s">
        <v>1410</v>
      </c>
      <c r="C3927" t="s">
        <v>14</v>
      </c>
      <c r="D3927" s="1">
        <v>43234</v>
      </c>
    </row>
    <row r="3928" spans="1:4" x14ac:dyDescent="0.25">
      <c r="A3928" t="s">
        <v>1393</v>
      </c>
      <c r="C3928" t="s">
        <v>14</v>
      </c>
      <c r="D3928" s="1">
        <v>43234</v>
      </c>
    </row>
    <row r="3929" spans="1:4" x14ac:dyDescent="0.25">
      <c r="A3929" t="s">
        <v>2627</v>
      </c>
      <c r="C3929" t="s">
        <v>14</v>
      </c>
      <c r="D3929" s="1">
        <v>43223</v>
      </c>
    </row>
    <row r="3930" spans="1:4" x14ac:dyDescent="0.25">
      <c r="A3930" t="s">
        <v>2630</v>
      </c>
      <c r="C3930" t="s">
        <v>14</v>
      </c>
      <c r="D3930" s="1">
        <v>43234</v>
      </c>
    </row>
    <row r="3931" spans="1:4" x14ac:dyDescent="0.25">
      <c r="A3931" t="s">
        <v>1409</v>
      </c>
      <c r="C3931" t="s">
        <v>14</v>
      </c>
      <c r="D3931" s="1">
        <v>43234</v>
      </c>
    </row>
    <row r="3932" spans="1:4" x14ac:dyDescent="0.25">
      <c r="A3932" t="s">
        <v>2632</v>
      </c>
      <c r="C3932" t="s">
        <v>14</v>
      </c>
      <c r="D3932" s="1">
        <v>43221</v>
      </c>
    </row>
    <row r="3933" spans="1:4" x14ac:dyDescent="0.25">
      <c r="A3933" t="s">
        <v>2633</v>
      </c>
      <c r="C3933" t="s">
        <v>14</v>
      </c>
      <c r="D3933" s="1">
        <v>43227</v>
      </c>
    </row>
    <row r="3934" spans="1:4" x14ac:dyDescent="0.25">
      <c r="A3934" t="s">
        <v>1372</v>
      </c>
      <c r="C3934" t="s">
        <v>14</v>
      </c>
      <c r="D3934" s="1">
        <v>43227</v>
      </c>
    </row>
    <row r="3935" spans="1:4" x14ac:dyDescent="0.25">
      <c r="A3935" t="s">
        <v>1538</v>
      </c>
      <c r="C3935" t="s">
        <v>14</v>
      </c>
      <c r="D3935" s="1">
        <v>43222</v>
      </c>
    </row>
    <row r="3936" spans="1:4" x14ac:dyDescent="0.25">
      <c r="A3936" t="s">
        <v>906</v>
      </c>
      <c r="C3936" t="s">
        <v>14</v>
      </c>
      <c r="D3936" s="1">
        <v>43241</v>
      </c>
    </row>
    <row r="3937" spans="1:4" x14ac:dyDescent="0.25">
      <c r="A3937" t="s">
        <v>2635</v>
      </c>
      <c r="C3937" t="s">
        <v>14</v>
      </c>
      <c r="D3937" s="1">
        <v>43224</v>
      </c>
    </row>
    <row r="3938" spans="1:4" x14ac:dyDescent="0.25">
      <c r="A3938" t="s">
        <v>2636</v>
      </c>
      <c r="C3938" t="s">
        <v>14</v>
      </c>
      <c r="D3938" s="1">
        <v>43234</v>
      </c>
    </row>
    <row r="3939" spans="1:4" x14ac:dyDescent="0.25">
      <c r="A3939" t="s">
        <v>2638</v>
      </c>
      <c r="C3939" t="s">
        <v>14</v>
      </c>
      <c r="D3939" s="1">
        <v>43234</v>
      </c>
    </row>
    <row r="3940" spans="1:4" x14ac:dyDescent="0.25">
      <c r="A3940" t="s">
        <v>1273</v>
      </c>
      <c r="C3940" t="s">
        <v>14</v>
      </c>
      <c r="D3940" s="1">
        <v>43234</v>
      </c>
    </row>
    <row r="3941" spans="1:4" x14ac:dyDescent="0.25">
      <c r="A3941" t="s">
        <v>1520</v>
      </c>
      <c r="C3941" t="s">
        <v>14</v>
      </c>
      <c r="D3941" s="1">
        <v>43227</v>
      </c>
    </row>
    <row r="3942" spans="1:4" x14ac:dyDescent="0.25">
      <c r="A3942" t="s">
        <v>1420</v>
      </c>
      <c r="C3942" t="s">
        <v>14</v>
      </c>
      <c r="D3942" s="1">
        <v>43227</v>
      </c>
    </row>
    <row r="3943" spans="1:4" x14ac:dyDescent="0.25">
      <c r="A3943" t="s">
        <v>595</v>
      </c>
      <c r="C3943" t="s">
        <v>14</v>
      </c>
      <c r="D3943" s="1">
        <v>43248</v>
      </c>
    </row>
    <row r="3944" spans="1:4" x14ac:dyDescent="0.25">
      <c r="A3944" t="s">
        <v>1216</v>
      </c>
      <c r="C3944" t="s">
        <v>14</v>
      </c>
      <c r="D3944" s="1">
        <v>43243</v>
      </c>
    </row>
    <row r="3945" spans="1:4" x14ac:dyDescent="0.25">
      <c r="A3945" t="s">
        <v>1072</v>
      </c>
      <c r="C3945" t="s">
        <v>14</v>
      </c>
      <c r="D3945" s="1">
        <v>43234</v>
      </c>
    </row>
    <row r="3946" spans="1:4" x14ac:dyDescent="0.25">
      <c r="A3946" t="s">
        <v>2639</v>
      </c>
      <c r="C3946" t="s">
        <v>14</v>
      </c>
      <c r="D3946" s="1">
        <v>43227</v>
      </c>
    </row>
    <row r="3947" spans="1:4" x14ac:dyDescent="0.25">
      <c r="A3947" t="s">
        <v>687</v>
      </c>
      <c r="C3947" t="s">
        <v>14</v>
      </c>
      <c r="D3947" s="1">
        <v>43248</v>
      </c>
    </row>
    <row r="3948" spans="1:4" x14ac:dyDescent="0.25">
      <c r="A3948" t="s">
        <v>1546</v>
      </c>
      <c r="C3948" t="s">
        <v>14</v>
      </c>
      <c r="D3948" s="1">
        <v>43234</v>
      </c>
    </row>
    <row r="3949" spans="1:4" x14ac:dyDescent="0.25">
      <c r="A3949" t="s">
        <v>1618</v>
      </c>
      <c r="C3949" t="s">
        <v>14</v>
      </c>
      <c r="D3949" s="1">
        <v>43234</v>
      </c>
    </row>
    <row r="3950" spans="1:4" x14ac:dyDescent="0.25">
      <c r="A3950" t="s">
        <v>1343</v>
      </c>
      <c r="C3950" t="s">
        <v>14</v>
      </c>
      <c r="D3950" s="1">
        <v>43240</v>
      </c>
    </row>
    <row r="3951" spans="1:4" x14ac:dyDescent="0.25">
      <c r="A3951" t="s">
        <v>2640</v>
      </c>
      <c r="C3951" t="s">
        <v>14</v>
      </c>
      <c r="D3951" s="1">
        <v>43221</v>
      </c>
    </row>
    <row r="3952" spans="1:4" x14ac:dyDescent="0.25">
      <c r="A3952" t="s">
        <v>2641</v>
      </c>
      <c r="C3952" t="s">
        <v>14</v>
      </c>
      <c r="D3952" s="1">
        <v>43234</v>
      </c>
    </row>
    <row r="3953" spans="1:4" x14ac:dyDescent="0.25">
      <c r="A3953" t="s">
        <v>1660</v>
      </c>
      <c r="C3953" t="s">
        <v>14</v>
      </c>
      <c r="D3953" s="1">
        <v>43236</v>
      </c>
    </row>
    <row r="3954" spans="1:4" x14ac:dyDescent="0.25">
      <c r="A3954" t="s">
        <v>2644</v>
      </c>
      <c r="C3954" t="s">
        <v>14</v>
      </c>
      <c r="D3954" s="1">
        <v>43234</v>
      </c>
    </row>
    <row r="3955" spans="1:4" x14ac:dyDescent="0.25">
      <c r="A3955" t="s">
        <v>1261</v>
      </c>
      <c r="C3955" t="s">
        <v>14</v>
      </c>
      <c r="D3955" s="1">
        <v>43224</v>
      </c>
    </row>
    <row r="3956" spans="1:4" x14ac:dyDescent="0.25">
      <c r="A3956" t="s">
        <v>831</v>
      </c>
      <c r="C3956" t="s">
        <v>14</v>
      </c>
      <c r="D3956" s="1">
        <v>43227</v>
      </c>
    </row>
    <row r="3957" spans="1:4" x14ac:dyDescent="0.25">
      <c r="A3957" t="s">
        <v>2645</v>
      </c>
      <c r="C3957" t="s">
        <v>14</v>
      </c>
      <c r="D3957" s="1">
        <v>43221</v>
      </c>
    </row>
    <row r="3958" spans="1:4" x14ac:dyDescent="0.25">
      <c r="A3958" t="s">
        <v>1211</v>
      </c>
      <c r="C3958" t="s">
        <v>14</v>
      </c>
      <c r="D3958" s="1">
        <v>43248</v>
      </c>
    </row>
    <row r="3959" spans="1:4" x14ac:dyDescent="0.25">
      <c r="A3959" t="s">
        <v>2646</v>
      </c>
      <c r="C3959" t="s">
        <v>14</v>
      </c>
      <c r="D3959" s="1">
        <v>43221</v>
      </c>
    </row>
    <row r="3960" spans="1:4" x14ac:dyDescent="0.25">
      <c r="A3960" t="s">
        <v>2647</v>
      </c>
      <c r="C3960" t="s">
        <v>14</v>
      </c>
      <c r="D3960" s="1">
        <v>43227</v>
      </c>
    </row>
    <row r="3961" spans="1:4" x14ac:dyDescent="0.25">
      <c r="A3961" t="s">
        <v>2648</v>
      </c>
      <c r="C3961" t="s">
        <v>14</v>
      </c>
      <c r="D3961" s="1">
        <v>43234</v>
      </c>
    </row>
    <row r="3962" spans="1:4" x14ac:dyDescent="0.25">
      <c r="A3962" t="s">
        <v>1020</v>
      </c>
      <c r="C3962" t="s">
        <v>14</v>
      </c>
      <c r="D3962" s="1">
        <v>43234</v>
      </c>
    </row>
    <row r="3963" spans="1:4" x14ac:dyDescent="0.25">
      <c r="A3963" t="s">
        <v>2649</v>
      </c>
      <c r="C3963" t="s">
        <v>14</v>
      </c>
      <c r="D3963" s="1">
        <v>43234</v>
      </c>
    </row>
    <row r="3964" spans="1:4" x14ac:dyDescent="0.25">
      <c r="A3964" t="s">
        <v>1475</v>
      </c>
      <c r="C3964" t="s">
        <v>14</v>
      </c>
      <c r="D3964" s="1">
        <v>43227</v>
      </c>
    </row>
    <row r="3965" spans="1:4" x14ac:dyDescent="0.25">
      <c r="A3965" t="s">
        <v>2650</v>
      </c>
      <c r="C3965" t="s">
        <v>14</v>
      </c>
      <c r="D3965" s="1">
        <v>43221</v>
      </c>
    </row>
    <row r="3966" spans="1:4" x14ac:dyDescent="0.25">
      <c r="A3966" t="s">
        <v>2651</v>
      </c>
      <c r="C3966" t="s">
        <v>14</v>
      </c>
      <c r="D3966" s="1">
        <v>43221</v>
      </c>
    </row>
    <row r="3967" spans="1:4" x14ac:dyDescent="0.25">
      <c r="A3967" t="s">
        <v>2652</v>
      </c>
      <c r="C3967" t="s">
        <v>14</v>
      </c>
      <c r="D3967" s="1">
        <v>43221</v>
      </c>
    </row>
    <row r="3968" spans="1:4" x14ac:dyDescent="0.25">
      <c r="A3968" t="s">
        <v>2653</v>
      </c>
      <c r="C3968" t="s">
        <v>14</v>
      </c>
      <c r="D3968" s="1">
        <v>43221</v>
      </c>
    </row>
    <row r="3969" spans="1:4" x14ac:dyDescent="0.25">
      <c r="A3969" t="s">
        <v>2654</v>
      </c>
      <c r="C3969" t="s">
        <v>14</v>
      </c>
      <c r="D3969" s="1">
        <v>43231</v>
      </c>
    </row>
    <row r="3970" spans="1:4" x14ac:dyDescent="0.25">
      <c r="A3970" t="s">
        <v>2655</v>
      </c>
      <c r="C3970" t="s">
        <v>14</v>
      </c>
      <c r="D3970" s="1">
        <v>43221</v>
      </c>
    </row>
    <row r="3971" spans="1:4" x14ac:dyDescent="0.25">
      <c r="A3971" t="s">
        <v>2656</v>
      </c>
      <c r="C3971" t="s">
        <v>14</v>
      </c>
      <c r="D3971" s="1">
        <v>43234</v>
      </c>
    </row>
    <row r="3972" spans="1:4" x14ac:dyDescent="0.25">
      <c r="A3972" t="s">
        <v>2657</v>
      </c>
      <c r="C3972" t="s">
        <v>14</v>
      </c>
      <c r="D3972" s="1">
        <v>43223</v>
      </c>
    </row>
    <row r="3973" spans="1:4" x14ac:dyDescent="0.25">
      <c r="A3973" t="s">
        <v>2835</v>
      </c>
      <c r="C3973" t="s">
        <v>14</v>
      </c>
      <c r="D3973" s="1">
        <v>43248</v>
      </c>
    </row>
    <row r="3974" spans="1:4" x14ac:dyDescent="0.25">
      <c r="A3974" t="s">
        <v>2660</v>
      </c>
      <c r="C3974" t="s">
        <v>14</v>
      </c>
      <c r="D3974" s="1">
        <v>43227</v>
      </c>
    </row>
    <row r="3975" spans="1:4" x14ac:dyDescent="0.25">
      <c r="A3975" t="s">
        <v>509</v>
      </c>
      <c r="C3975" t="s">
        <v>14</v>
      </c>
      <c r="D3975" s="1">
        <v>43248</v>
      </c>
    </row>
    <row r="3976" spans="1:4" x14ac:dyDescent="0.25">
      <c r="A3976" t="s">
        <v>2664</v>
      </c>
      <c r="C3976" t="s">
        <v>14</v>
      </c>
      <c r="D3976" s="1">
        <v>43241</v>
      </c>
    </row>
    <row r="3977" spans="1:4" x14ac:dyDescent="0.25">
      <c r="A3977" t="s">
        <v>266</v>
      </c>
      <c r="C3977" t="s">
        <v>14</v>
      </c>
      <c r="D3977" s="1">
        <v>43241</v>
      </c>
    </row>
    <row r="3978" spans="1:4" x14ac:dyDescent="0.25">
      <c r="A3978" t="s">
        <v>348</v>
      </c>
      <c r="C3978" t="s">
        <v>14</v>
      </c>
      <c r="D3978" s="1">
        <v>43241</v>
      </c>
    </row>
    <row r="3979" spans="1:4" x14ac:dyDescent="0.25">
      <c r="A3979" t="s">
        <v>2668</v>
      </c>
      <c r="C3979" t="s">
        <v>14</v>
      </c>
      <c r="D3979" s="1">
        <v>43234</v>
      </c>
    </row>
    <row r="3980" spans="1:4" x14ac:dyDescent="0.25">
      <c r="A3980" t="s">
        <v>2669</v>
      </c>
      <c r="C3980" t="s">
        <v>14</v>
      </c>
      <c r="D3980" s="1">
        <v>43241</v>
      </c>
    </row>
    <row r="3981" spans="1:4" x14ac:dyDescent="0.25">
      <c r="A3981" t="s">
        <v>2670</v>
      </c>
      <c r="C3981" t="s">
        <v>14</v>
      </c>
      <c r="D3981" s="1">
        <v>43230</v>
      </c>
    </row>
    <row r="3982" spans="1:4" x14ac:dyDescent="0.25">
      <c r="A3982" t="s">
        <v>1263</v>
      </c>
      <c r="C3982" t="s">
        <v>14</v>
      </c>
      <c r="D3982" s="1">
        <v>43234</v>
      </c>
    </row>
    <row r="3983" spans="1:4" x14ac:dyDescent="0.25">
      <c r="A3983" t="s">
        <v>1652</v>
      </c>
      <c r="C3983" t="s">
        <v>14</v>
      </c>
      <c r="D3983" s="1">
        <v>43223</v>
      </c>
    </row>
    <row r="3984" spans="1:4" x14ac:dyDescent="0.25">
      <c r="A3984" t="s">
        <v>2674</v>
      </c>
      <c r="C3984" t="s">
        <v>14</v>
      </c>
      <c r="D3984" s="1">
        <v>43230</v>
      </c>
    </row>
    <row r="3985" spans="1:4" x14ac:dyDescent="0.25">
      <c r="A3985" t="s">
        <v>2675</v>
      </c>
      <c r="C3985" t="s">
        <v>14</v>
      </c>
      <c r="D3985" s="1">
        <v>43230</v>
      </c>
    </row>
    <row r="3986" spans="1:4" x14ac:dyDescent="0.25">
      <c r="A3986" t="s">
        <v>1586</v>
      </c>
      <c r="C3986" t="s">
        <v>14</v>
      </c>
      <c r="D3986" s="1">
        <v>43223</v>
      </c>
    </row>
    <row r="3987" spans="1:4" x14ac:dyDescent="0.25">
      <c r="A3987" t="s">
        <v>2952</v>
      </c>
      <c r="C3987" t="s">
        <v>14</v>
      </c>
      <c r="D3987" s="1">
        <v>43248</v>
      </c>
    </row>
    <row r="3988" spans="1:4" x14ac:dyDescent="0.25">
      <c r="A3988" t="s">
        <v>365</v>
      </c>
      <c r="C3988" t="s">
        <v>14</v>
      </c>
      <c r="D3988" s="1">
        <v>43248</v>
      </c>
    </row>
    <row r="3989" spans="1:4" x14ac:dyDescent="0.25">
      <c r="A3989" t="s">
        <v>1407</v>
      </c>
      <c r="C3989" t="s">
        <v>14</v>
      </c>
      <c r="D3989" s="1">
        <v>43227</v>
      </c>
    </row>
    <row r="3990" spans="1:4" x14ac:dyDescent="0.25">
      <c r="A3990" t="s">
        <v>2676</v>
      </c>
      <c r="C3990" t="s">
        <v>14</v>
      </c>
      <c r="D3990" s="1">
        <v>43234</v>
      </c>
    </row>
    <row r="3991" spans="1:4" x14ac:dyDescent="0.25">
      <c r="A3991" t="s">
        <v>2677</v>
      </c>
      <c r="C3991" t="s">
        <v>14</v>
      </c>
      <c r="D3991" s="1">
        <v>43241</v>
      </c>
    </row>
    <row r="3992" spans="1:4" x14ac:dyDescent="0.25">
      <c r="A3992" t="s">
        <v>86</v>
      </c>
      <c r="C3992" t="s">
        <v>14</v>
      </c>
      <c r="D3992" s="1">
        <v>43241</v>
      </c>
    </row>
    <row r="3993" spans="1:4" x14ac:dyDescent="0.25">
      <c r="A3993" t="s">
        <v>2953</v>
      </c>
      <c r="C3993" t="s">
        <v>14</v>
      </c>
      <c r="D3993" s="1">
        <v>43248</v>
      </c>
    </row>
    <row r="3994" spans="1:4" x14ac:dyDescent="0.25">
      <c r="A3994" t="s">
        <v>1648</v>
      </c>
      <c r="C3994" t="s">
        <v>14</v>
      </c>
      <c r="D3994" s="1">
        <v>43221</v>
      </c>
    </row>
    <row r="3995" spans="1:4" x14ac:dyDescent="0.25">
      <c r="A3995" t="s">
        <v>2678</v>
      </c>
      <c r="C3995" t="s">
        <v>14</v>
      </c>
      <c r="D3995" s="1">
        <v>43224</v>
      </c>
    </row>
    <row r="3996" spans="1:4" x14ac:dyDescent="0.25">
      <c r="A3996" t="s">
        <v>2954</v>
      </c>
      <c r="C3996" t="s">
        <v>14</v>
      </c>
      <c r="D3996" s="1">
        <v>43248</v>
      </c>
    </row>
    <row r="3997" spans="1:4" x14ac:dyDescent="0.25">
      <c r="A3997" t="s">
        <v>1414</v>
      </c>
      <c r="C3997" t="s">
        <v>14</v>
      </c>
      <c r="D3997" s="1">
        <v>43234</v>
      </c>
    </row>
    <row r="3998" spans="1:4" x14ac:dyDescent="0.25">
      <c r="A3998" t="s">
        <v>1276</v>
      </c>
      <c r="C3998" t="s">
        <v>14</v>
      </c>
      <c r="D3998" s="1">
        <v>43234</v>
      </c>
    </row>
    <row r="3999" spans="1:4" x14ac:dyDescent="0.25">
      <c r="A3999" t="s">
        <v>2679</v>
      </c>
      <c r="C3999" t="s">
        <v>14</v>
      </c>
      <c r="D3999" s="1">
        <v>43234</v>
      </c>
    </row>
    <row r="4000" spans="1:4" x14ac:dyDescent="0.25">
      <c r="A4000" t="s">
        <v>2680</v>
      </c>
      <c r="C4000" t="s">
        <v>14</v>
      </c>
      <c r="D4000" s="1">
        <v>43234</v>
      </c>
    </row>
    <row r="4001" spans="1:4" x14ac:dyDescent="0.25">
      <c r="A4001" t="s">
        <v>1237</v>
      </c>
      <c r="C4001" t="s">
        <v>14</v>
      </c>
      <c r="D4001" s="1">
        <v>43234</v>
      </c>
    </row>
    <row r="4002" spans="1:4" x14ac:dyDescent="0.25">
      <c r="A4002" t="s">
        <v>1214</v>
      </c>
      <c r="C4002" t="s">
        <v>14</v>
      </c>
      <c r="D4002" s="1">
        <v>43234</v>
      </c>
    </row>
    <row r="4003" spans="1:4" x14ac:dyDescent="0.25">
      <c r="A4003" t="s">
        <v>2681</v>
      </c>
      <c r="C4003" t="s">
        <v>14</v>
      </c>
      <c r="D4003" s="1">
        <v>43224</v>
      </c>
    </row>
    <row r="4004" spans="1:4" x14ac:dyDescent="0.25">
      <c r="A4004" t="s">
        <v>356</v>
      </c>
      <c r="C4004" t="s">
        <v>14</v>
      </c>
      <c r="D4004" s="1">
        <v>43248</v>
      </c>
    </row>
    <row r="4005" spans="1:4" x14ac:dyDescent="0.25">
      <c r="A4005" t="s">
        <v>2682</v>
      </c>
      <c r="C4005" t="s">
        <v>14</v>
      </c>
      <c r="D4005" s="1">
        <v>43234</v>
      </c>
    </row>
    <row r="4006" spans="1:4" x14ac:dyDescent="0.25">
      <c r="A4006" t="s">
        <v>2955</v>
      </c>
      <c r="C4006" t="s">
        <v>14</v>
      </c>
      <c r="D4006" s="1">
        <v>43248</v>
      </c>
    </row>
    <row r="4007" spans="1:4" x14ac:dyDescent="0.25">
      <c r="A4007" t="s">
        <v>1581</v>
      </c>
      <c r="C4007" t="s">
        <v>14</v>
      </c>
      <c r="D4007" s="1">
        <v>43223</v>
      </c>
    </row>
    <row r="4008" spans="1:4" x14ac:dyDescent="0.25">
      <c r="A4008" t="s">
        <v>705</v>
      </c>
      <c r="C4008" t="s">
        <v>14</v>
      </c>
      <c r="D4008" s="1">
        <v>43225</v>
      </c>
    </row>
    <row r="4009" spans="1:4" x14ac:dyDescent="0.25">
      <c r="A4009" t="s">
        <v>2683</v>
      </c>
      <c r="C4009" t="s">
        <v>14</v>
      </c>
      <c r="D4009" s="1">
        <v>43227</v>
      </c>
    </row>
    <row r="4010" spans="1:4" x14ac:dyDescent="0.25">
      <c r="A4010" t="s">
        <v>1318</v>
      </c>
      <c r="C4010" t="s">
        <v>14</v>
      </c>
      <c r="D4010" s="1">
        <v>43241</v>
      </c>
    </row>
    <row r="4011" spans="1:4" x14ac:dyDescent="0.25">
      <c r="A4011" t="s">
        <v>2684</v>
      </c>
      <c r="C4011" t="s">
        <v>14</v>
      </c>
      <c r="D4011" s="1">
        <v>43241</v>
      </c>
    </row>
    <row r="4012" spans="1:4" x14ac:dyDescent="0.25">
      <c r="A4012" t="s">
        <v>1492</v>
      </c>
      <c r="C4012" t="s">
        <v>14</v>
      </c>
      <c r="D4012" s="1">
        <v>43227</v>
      </c>
    </row>
    <row r="4013" spans="1:4" x14ac:dyDescent="0.25">
      <c r="A4013" t="s">
        <v>1480</v>
      </c>
      <c r="C4013" t="s">
        <v>14</v>
      </c>
      <c r="D4013" s="1">
        <v>43227</v>
      </c>
    </row>
    <row r="4014" spans="1:4" x14ac:dyDescent="0.25">
      <c r="A4014" t="s">
        <v>2685</v>
      </c>
      <c r="C4014" t="s">
        <v>14</v>
      </c>
      <c r="D4014" s="1">
        <v>43241</v>
      </c>
    </row>
    <row r="4015" spans="1:4" x14ac:dyDescent="0.25">
      <c r="A4015" t="s">
        <v>2686</v>
      </c>
      <c r="C4015" t="s">
        <v>14</v>
      </c>
      <c r="D4015" s="1">
        <v>43224</v>
      </c>
    </row>
    <row r="4016" spans="1:4" x14ac:dyDescent="0.25">
      <c r="A4016" t="s">
        <v>2687</v>
      </c>
      <c r="C4016" t="s">
        <v>14</v>
      </c>
      <c r="D4016" s="1">
        <v>43222</v>
      </c>
    </row>
    <row r="4017" spans="1:4" x14ac:dyDescent="0.25">
      <c r="A4017" t="s">
        <v>2688</v>
      </c>
      <c r="C4017" t="s">
        <v>14</v>
      </c>
      <c r="D4017" s="1">
        <v>43234</v>
      </c>
    </row>
    <row r="4018" spans="1:4" x14ac:dyDescent="0.25">
      <c r="A4018" t="s">
        <v>866</v>
      </c>
      <c r="C4018" t="s">
        <v>14</v>
      </c>
      <c r="D4018" s="1">
        <v>43227</v>
      </c>
    </row>
    <row r="4019" spans="1:4" x14ac:dyDescent="0.25">
      <c r="A4019" t="s">
        <v>637</v>
      </c>
      <c r="C4019" t="s">
        <v>14</v>
      </c>
      <c r="D4019" s="1">
        <v>43241</v>
      </c>
    </row>
    <row r="4020" spans="1:4" x14ac:dyDescent="0.25">
      <c r="A4020" t="s">
        <v>2690</v>
      </c>
      <c r="C4020" t="s">
        <v>14</v>
      </c>
      <c r="D4020" s="1">
        <v>43234</v>
      </c>
    </row>
    <row r="4021" spans="1:4" x14ac:dyDescent="0.25">
      <c r="A4021" t="s">
        <v>1497</v>
      </c>
      <c r="C4021" t="s">
        <v>14</v>
      </c>
      <c r="D4021" s="1">
        <v>43227</v>
      </c>
    </row>
    <row r="4022" spans="1:4" x14ac:dyDescent="0.25">
      <c r="A4022" t="s">
        <v>2693</v>
      </c>
      <c r="C4022" t="s">
        <v>14</v>
      </c>
      <c r="D4022" s="1">
        <v>43234</v>
      </c>
    </row>
    <row r="4023" spans="1:4" x14ac:dyDescent="0.25">
      <c r="A4023" t="s">
        <v>2694</v>
      </c>
      <c r="C4023" t="s">
        <v>14</v>
      </c>
      <c r="D4023" s="1">
        <v>43234</v>
      </c>
    </row>
    <row r="4024" spans="1:4" x14ac:dyDescent="0.25">
      <c r="A4024" t="s">
        <v>2695</v>
      </c>
      <c r="C4024" t="s">
        <v>14</v>
      </c>
      <c r="D4024" s="1">
        <v>43241</v>
      </c>
    </row>
    <row r="4025" spans="1:4" x14ac:dyDescent="0.25">
      <c r="A4025" t="s">
        <v>263</v>
      </c>
      <c r="C4025" t="s">
        <v>14</v>
      </c>
      <c r="D4025" s="1">
        <v>43248</v>
      </c>
    </row>
    <row r="4026" spans="1:4" x14ac:dyDescent="0.25">
      <c r="A4026" t="s">
        <v>2697</v>
      </c>
      <c r="C4026" t="s">
        <v>14</v>
      </c>
      <c r="D4026" s="1">
        <v>43234</v>
      </c>
    </row>
    <row r="4027" spans="1:4" x14ac:dyDescent="0.25">
      <c r="A4027" t="s">
        <v>284</v>
      </c>
      <c r="C4027" t="s">
        <v>14</v>
      </c>
      <c r="D4027" s="1">
        <v>43248</v>
      </c>
    </row>
    <row r="4028" spans="1:4" x14ac:dyDescent="0.25">
      <c r="A4028" t="s">
        <v>2698</v>
      </c>
      <c r="C4028" t="s">
        <v>14</v>
      </c>
      <c r="D4028" s="1">
        <v>43221</v>
      </c>
    </row>
    <row r="4029" spans="1:4" x14ac:dyDescent="0.25">
      <c r="A4029" t="s">
        <v>2699</v>
      </c>
      <c r="C4029" t="s">
        <v>14</v>
      </c>
      <c r="D4029" s="1">
        <v>43241</v>
      </c>
    </row>
    <row r="4030" spans="1:4" x14ac:dyDescent="0.25">
      <c r="A4030" t="s">
        <v>1283</v>
      </c>
      <c r="C4030" t="s">
        <v>14</v>
      </c>
      <c r="D4030" s="1">
        <v>43224</v>
      </c>
    </row>
    <row r="4031" spans="1:4" x14ac:dyDescent="0.25">
      <c r="A4031" t="s">
        <v>2700</v>
      </c>
      <c r="C4031" t="s">
        <v>14</v>
      </c>
      <c r="D4031" s="1">
        <v>43241</v>
      </c>
    </row>
    <row r="4032" spans="1:4" x14ac:dyDescent="0.25">
      <c r="A4032" t="s">
        <v>1333</v>
      </c>
      <c r="C4032" t="s">
        <v>14</v>
      </c>
      <c r="D4032" s="1">
        <v>43222</v>
      </c>
    </row>
    <row r="4033" spans="1:4" x14ac:dyDescent="0.25">
      <c r="A4033" t="s">
        <v>563</v>
      </c>
      <c r="C4033" t="s">
        <v>14</v>
      </c>
      <c r="D4033" s="1">
        <v>43248</v>
      </c>
    </row>
    <row r="4034" spans="1:4" x14ac:dyDescent="0.25">
      <c r="A4034" t="s">
        <v>34</v>
      </c>
      <c r="C4034" t="s">
        <v>14</v>
      </c>
      <c r="D4034" s="1">
        <v>43248</v>
      </c>
    </row>
    <row r="4035" spans="1:4" x14ac:dyDescent="0.25">
      <c r="A4035" t="s">
        <v>1207</v>
      </c>
      <c r="C4035" t="s">
        <v>14</v>
      </c>
      <c r="D4035" s="1">
        <v>43234</v>
      </c>
    </row>
    <row r="4036" spans="1:4" x14ac:dyDescent="0.25">
      <c r="A4036" t="s">
        <v>2702</v>
      </c>
      <c r="C4036" t="s">
        <v>14</v>
      </c>
      <c r="D4036" s="1">
        <v>43227</v>
      </c>
    </row>
    <row r="4037" spans="1:4" x14ac:dyDescent="0.25">
      <c r="A4037" t="s">
        <v>2956</v>
      </c>
      <c r="C4037" t="s">
        <v>14</v>
      </c>
      <c r="D4037" s="1">
        <v>43248</v>
      </c>
    </row>
    <row r="4038" spans="1:4" x14ac:dyDescent="0.25">
      <c r="A4038" t="s">
        <v>2703</v>
      </c>
      <c r="C4038" t="s">
        <v>14</v>
      </c>
      <c r="D4038" s="1">
        <v>43234</v>
      </c>
    </row>
    <row r="4039" spans="1:4" x14ac:dyDescent="0.25">
      <c r="A4039" t="s">
        <v>2704</v>
      </c>
      <c r="C4039" t="s">
        <v>14</v>
      </c>
      <c r="D4039" s="1">
        <v>43234</v>
      </c>
    </row>
    <row r="4040" spans="1:4" x14ac:dyDescent="0.25">
      <c r="A4040" t="s">
        <v>2705</v>
      </c>
      <c r="C4040" t="s">
        <v>14</v>
      </c>
      <c r="D4040" s="1">
        <v>43241</v>
      </c>
    </row>
    <row r="4041" spans="1:4" x14ac:dyDescent="0.25">
      <c r="A4041" t="s">
        <v>2706</v>
      </c>
      <c r="C4041" t="s">
        <v>14</v>
      </c>
      <c r="D4041" s="1">
        <v>43241</v>
      </c>
    </row>
    <row r="4042" spans="1:4" x14ac:dyDescent="0.25">
      <c r="A4042" t="s">
        <v>2708</v>
      </c>
      <c r="C4042" t="s">
        <v>14</v>
      </c>
      <c r="D4042" s="1">
        <v>43227</v>
      </c>
    </row>
    <row r="4043" spans="1:4" x14ac:dyDescent="0.25">
      <c r="A4043" t="s">
        <v>1638</v>
      </c>
      <c r="C4043" t="s">
        <v>14</v>
      </c>
      <c r="D4043" s="1">
        <v>43227</v>
      </c>
    </row>
    <row r="4044" spans="1:4" x14ac:dyDescent="0.25">
      <c r="A4044" t="s">
        <v>528</v>
      </c>
      <c r="C4044" t="s">
        <v>14</v>
      </c>
      <c r="D4044" s="1">
        <v>43225</v>
      </c>
    </row>
    <row r="4045" spans="1:4" x14ac:dyDescent="0.25">
      <c r="A4045" t="s">
        <v>1274</v>
      </c>
      <c r="C4045" t="s">
        <v>14</v>
      </c>
      <c r="D4045" s="1">
        <v>43248</v>
      </c>
    </row>
    <row r="4046" spans="1:4" x14ac:dyDescent="0.25">
      <c r="A4046" t="s">
        <v>2957</v>
      </c>
      <c r="C4046" t="s">
        <v>14</v>
      </c>
      <c r="D4046" s="1">
        <v>43248</v>
      </c>
    </row>
    <row r="4047" spans="1:4" x14ac:dyDescent="0.25">
      <c r="A4047" t="s">
        <v>2710</v>
      </c>
      <c r="C4047" t="s">
        <v>14</v>
      </c>
      <c r="D4047" s="1">
        <v>43241</v>
      </c>
    </row>
    <row r="4048" spans="1:4" x14ac:dyDescent="0.25">
      <c r="A4048" t="s">
        <v>2711</v>
      </c>
      <c r="C4048" t="s">
        <v>14</v>
      </c>
      <c r="D4048" s="1">
        <v>43227</v>
      </c>
    </row>
    <row r="4049" spans="1:4" x14ac:dyDescent="0.25">
      <c r="A4049" t="s">
        <v>2713</v>
      </c>
      <c r="C4049" t="s">
        <v>14</v>
      </c>
      <c r="D4049" s="1">
        <v>43224</v>
      </c>
    </row>
    <row r="4050" spans="1:4" x14ac:dyDescent="0.25">
      <c r="A4050" t="s">
        <v>1301</v>
      </c>
      <c r="C4050" t="s">
        <v>14</v>
      </c>
      <c r="D4050" s="1">
        <v>43225</v>
      </c>
    </row>
    <row r="4051" spans="1:4" x14ac:dyDescent="0.25">
      <c r="A4051" t="s">
        <v>775</v>
      </c>
      <c r="C4051" t="s">
        <v>14</v>
      </c>
      <c r="D4051" s="1">
        <v>43241</v>
      </c>
    </row>
    <row r="4052" spans="1:4" x14ac:dyDescent="0.25">
      <c r="A4052" t="s">
        <v>1041</v>
      </c>
      <c r="C4052" t="s">
        <v>14</v>
      </c>
      <c r="D4052" s="1">
        <v>43227</v>
      </c>
    </row>
    <row r="4053" spans="1:4" x14ac:dyDescent="0.25">
      <c r="A4053" t="s">
        <v>2714</v>
      </c>
      <c r="C4053" t="s">
        <v>14</v>
      </c>
      <c r="D4053" s="1">
        <v>43241</v>
      </c>
    </row>
    <row r="4054" spans="1:4" x14ac:dyDescent="0.25">
      <c r="A4054" t="s">
        <v>1442</v>
      </c>
      <c r="C4054" t="s">
        <v>14</v>
      </c>
      <c r="D4054" s="1">
        <v>43234</v>
      </c>
    </row>
    <row r="4055" spans="1:4" x14ac:dyDescent="0.25">
      <c r="A4055" t="s">
        <v>1443</v>
      </c>
      <c r="C4055" t="s">
        <v>14</v>
      </c>
      <c r="D4055" s="1">
        <v>43238</v>
      </c>
    </row>
    <row r="4056" spans="1:4" x14ac:dyDescent="0.25">
      <c r="A4056" t="s">
        <v>1345</v>
      </c>
      <c r="C4056" t="s">
        <v>14</v>
      </c>
      <c r="D4056" s="1">
        <v>43225</v>
      </c>
    </row>
    <row r="4057" spans="1:4" x14ac:dyDescent="0.25">
      <c r="A4057" t="s">
        <v>2715</v>
      </c>
      <c r="C4057" t="s">
        <v>14</v>
      </c>
      <c r="D4057" s="1">
        <v>43241</v>
      </c>
    </row>
    <row r="4058" spans="1:4" x14ac:dyDescent="0.25">
      <c r="A4058" t="s">
        <v>882</v>
      </c>
      <c r="C4058" t="s">
        <v>14</v>
      </c>
      <c r="D4058" s="1">
        <v>43227</v>
      </c>
    </row>
    <row r="4059" spans="1:4" x14ac:dyDescent="0.25">
      <c r="A4059" t="s">
        <v>2716</v>
      </c>
      <c r="C4059" t="s">
        <v>14</v>
      </c>
      <c r="D4059" s="1">
        <v>43241</v>
      </c>
    </row>
    <row r="4060" spans="1:4" x14ac:dyDescent="0.25">
      <c r="A4060" t="s">
        <v>2717</v>
      </c>
      <c r="C4060" t="s">
        <v>14</v>
      </c>
      <c r="D4060" s="1">
        <v>43241</v>
      </c>
    </row>
    <row r="4061" spans="1:4" x14ac:dyDescent="0.25">
      <c r="A4061" t="s">
        <v>2718</v>
      </c>
      <c r="C4061" t="s">
        <v>14</v>
      </c>
      <c r="D4061" s="1">
        <v>43241</v>
      </c>
    </row>
    <row r="4062" spans="1:4" x14ac:dyDescent="0.25">
      <c r="A4062" t="s">
        <v>615</v>
      </c>
      <c r="C4062" t="s">
        <v>14</v>
      </c>
      <c r="D4062" s="1">
        <v>43230</v>
      </c>
    </row>
    <row r="4063" spans="1:4" x14ac:dyDescent="0.25">
      <c r="A4063" t="s">
        <v>2719</v>
      </c>
      <c r="C4063" t="s">
        <v>14</v>
      </c>
      <c r="D4063" s="1">
        <v>43227</v>
      </c>
    </row>
    <row r="4064" spans="1:4" x14ac:dyDescent="0.25">
      <c r="A4064" t="s">
        <v>2720</v>
      </c>
      <c r="C4064" t="s">
        <v>14</v>
      </c>
      <c r="D4064" s="1">
        <v>43237</v>
      </c>
    </row>
    <row r="4065" spans="1:4" x14ac:dyDescent="0.25">
      <c r="A4065" t="s">
        <v>269</v>
      </c>
      <c r="C4065" t="s">
        <v>14</v>
      </c>
      <c r="D4065" s="1">
        <v>43234</v>
      </c>
    </row>
    <row r="4066" spans="1:4" x14ac:dyDescent="0.25">
      <c r="A4066" t="s">
        <v>2721</v>
      </c>
      <c r="C4066" t="s">
        <v>14</v>
      </c>
      <c r="D4066" s="1">
        <v>43234</v>
      </c>
    </row>
    <row r="4067" spans="1:4" x14ac:dyDescent="0.25">
      <c r="A4067" t="s">
        <v>1286</v>
      </c>
      <c r="C4067" t="s">
        <v>14</v>
      </c>
      <c r="D4067" s="1">
        <v>43241</v>
      </c>
    </row>
    <row r="4068" spans="1:4" x14ac:dyDescent="0.25">
      <c r="A4068" t="s">
        <v>2958</v>
      </c>
      <c r="C4068" t="s">
        <v>14</v>
      </c>
      <c r="D4068" s="1">
        <v>43250</v>
      </c>
    </row>
    <row r="4069" spans="1:4" x14ac:dyDescent="0.25">
      <c r="A4069" t="s">
        <v>570</v>
      </c>
      <c r="C4069" t="s">
        <v>14</v>
      </c>
      <c r="D4069" s="1">
        <v>43248</v>
      </c>
    </row>
    <row r="4070" spans="1:4" x14ac:dyDescent="0.25">
      <c r="A4070" t="s">
        <v>1208</v>
      </c>
      <c r="C4070" t="s">
        <v>14</v>
      </c>
      <c r="D4070" s="1">
        <v>43248</v>
      </c>
    </row>
    <row r="4071" spans="1:4" x14ac:dyDescent="0.25">
      <c r="A4071" t="s">
        <v>1324</v>
      </c>
      <c r="C4071" t="s">
        <v>14</v>
      </c>
      <c r="D4071" s="1">
        <v>43248</v>
      </c>
    </row>
    <row r="4072" spans="1:4" x14ac:dyDescent="0.25">
      <c r="A4072" t="s">
        <v>1438</v>
      </c>
      <c r="C4072" t="s">
        <v>14</v>
      </c>
      <c r="D4072" s="1">
        <v>43234</v>
      </c>
    </row>
    <row r="4073" spans="1:4" x14ac:dyDescent="0.25">
      <c r="A4073" t="s">
        <v>2723</v>
      </c>
      <c r="C4073" t="s">
        <v>14</v>
      </c>
      <c r="D4073" s="1">
        <v>43241</v>
      </c>
    </row>
    <row r="4074" spans="1:4" x14ac:dyDescent="0.25">
      <c r="A4074" t="s">
        <v>535</v>
      </c>
      <c r="C4074" t="s">
        <v>14</v>
      </c>
      <c r="D4074" s="1">
        <v>43241</v>
      </c>
    </row>
    <row r="4075" spans="1:4" x14ac:dyDescent="0.25">
      <c r="A4075" t="s">
        <v>902</v>
      </c>
      <c r="C4075" t="s">
        <v>14</v>
      </c>
      <c r="D4075" s="1">
        <v>43227</v>
      </c>
    </row>
    <row r="4076" spans="1:4" x14ac:dyDescent="0.25">
      <c r="A4076" t="s">
        <v>2959</v>
      </c>
      <c r="C4076" t="s">
        <v>14</v>
      </c>
      <c r="D4076" s="1">
        <v>43248</v>
      </c>
    </row>
    <row r="4077" spans="1:4" x14ac:dyDescent="0.25">
      <c r="A4077" t="s">
        <v>1362</v>
      </c>
      <c r="C4077" t="s">
        <v>14</v>
      </c>
      <c r="D4077" s="1">
        <v>43234</v>
      </c>
    </row>
    <row r="4078" spans="1:4" x14ac:dyDescent="0.25">
      <c r="A4078" t="s">
        <v>2960</v>
      </c>
      <c r="C4078" t="s">
        <v>14</v>
      </c>
      <c r="D4078" s="1">
        <v>43248</v>
      </c>
    </row>
    <row r="4079" spans="1:4" x14ac:dyDescent="0.25">
      <c r="A4079" t="s">
        <v>1325</v>
      </c>
      <c r="C4079" t="s">
        <v>14</v>
      </c>
      <c r="D4079" s="1">
        <v>43227</v>
      </c>
    </row>
    <row r="4080" spans="1:4" x14ac:dyDescent="0.25">
      <c r="A4080" t="s">
        <v>1059</v>
      </c>
      <c r="C4080" t="s">
        <v>14</v>
      </c>
      <c r="D4080" s="1">
        <v>43234</v>
      </c>
    </row>
    <row r="4081" spans="1:4" x14ac:dyDescent="0.25">
      <c r="A4081" t="s">
        <v>1259</v>
      </c>
      <c r="C4081" t="s">
        <v>14</v>
      </c>
      <c r="D4081" s="1">
        <v>43234</v>
      </c>
    </row>
    <row r="4082" spans="1:4" x14ac:dyDescent="0.25">
      <c r="A4082" t="s">
        <v>1701</v>
      </c>
      <c r="C4082" t="s">
        <v>14</v>
      </c>
      <c r="D4082" s="1">
        <v>43248</v>
      </c>
    </row>
    <row r="4083" spans="1:4" x14ac:dyDescent="0.25">
      <c r="A4083" t="s">
        <v>2724</v>
      </c>
      <c r="C4083" t="s">
        <v>14</v>
      </c>
      <c r="D4083" s="1">
        <v>43227</v>
      </c>
    </row>
    <row r="4084" spans="1:4" x14ac:dyDescent="0.25">
      <c r="A4084" t="s">
        <v>1246</v>
      </c>
      <c r="C4084" t="s">
        <v>14</v>
      </c>
      <c r="D4084" s="1">
        <v>43225</v>
      </c>
    </row>
    <row r="4085" spans="1:4" x14ac:dyDescent="0.25">
      <c r="A4085" t="s">
        <v>2725</v>
      </c>
      <c r="C4085" t="s">
        <v>14</v>
      </c>
      <c r="D4085" s="1">
        <v>43241</v>
      </c>
    </row>
    <row r="4086" spans="1:4" x14ac:dyDescent="0.25">
      <c r="A4086" t="s">
        <v>1221</v>
      </c>
      <c r="C4086" t="s">
        <v>14</v>
      </c>
      <c r="D4086" s="1">
        <v>43227</v>
      </c>
    </row>
    <row r="4087" spans="1:4" x14ac:dyDescent="0.25">
      <c r="A4087" t="s">
        <v>1217</v>
      </c>
      <c r="C4087" t="s">
        <v>14</v>
      </c>
      <c r="D4087" s="1">
        <v>43225</v>
      </c>
    </row>
    <row r="4088" spans="1:4" x14ac:dyDescent="0.25">
      <c r="A4088" t="s">
        <v>534</v>
      </c>
      <c r="C4088" t="s">
        <v>14</v>
      </c>
      <c r="D4088" s="1">
        <v>43248</v>
      </c>
    </row>
    <row r="4089" spans="1:4" x14ac:dyDescent="0.25">
      <c r="A4089" t="s">
        <v>1222</v>
      </c>
      <c r="C4089" t="s">
        <v>14</v>
      </c>
      <c r="D4089" s="1">
        <v>43234</v>
      </c>
    </row>
    <row r="4090" spans="1:4" x14ac:dyDescent="0.25">
      <c r="A4090" t="s">
        <v>2961</v>
      </c>
      <c r="C4090" t="s">
        <v>14</v>
      </c>
      <c r="D4090" s="1">
        <v>43234</v>
      </c>
    </row>
    <row r="4091" spans="1:4" x14ac:dyDescent="0.25">
      <c r="A4091" t="s">
        <v>2726</v>
      </c>
      <c r="C4091" t="s">
        <v>14</v>
      </c>
      <c r="D4091" s="1">
        <v>43227</v>
      </c>
    </row>
    <row r="4092" spans="1:4" x14ac:dyDescent="0.25">
      <c r="A4092" t="s">
        <v>1499</v>
      </c>
      <c r="C4092" t="s">
        <v>14</v>
      </c>
      <c r="D4092" s="1">
        <v>43234</v>
      </c>
    </row>
    <row r="4093" spans="1:4" x14ac:dyDescent="0.25">
      <c r="A4093" t="s">
        <v>2727</v>
      </c>
      <c r="C4093" t="s">
        <v>14</v>
      </c>
      <c r="D4093" s="1">
        <v>43241</v>
      </c>
    </row>
    <row r="4094" spans="1:4" x14ac:dyDescent="0.25">
      <c r="A4094" t="s">
        <v>2729</v>
      </c>
      <c r="C4094" t="s">
        <v>14</v>
      </c>
      <c r="D4094" s="1">
        <v>43227</v>
      </c>
    </row>
    <row r="4095" spans="1:4" x14ac:dyDescent="0.25">
      <c r="A4095" t="s">
        <v>2730</v>
      </c>
      <c r="C4095" t="s">
        <v>14</v>
      </c>
      <c r="D4095" s="1">
        <v>43241</v>
      </c>
    </row>
    <row r="4096" spans="1:4" x14ac:dyDescent="0.25">
      <c r="A4096" t="s">
        <v>2731</v>
      </c>
      <c r="C4096" t="s">
        <v>14</v>
      </c>
      <c r="D4096" s="1">
        <v>43227</v>
      </c>
    </row>
    <row r="4097" spans="1:4" x14ac:dyDescent="0.25">
      <c r="A4097" t="s">
        <v>1205</v>
      </c>
      <c r="C4097" t="s">
        <v>14</v>
      </c>
      <c r="D4097" s="1">
        <v>43241</v>
      </c>
    </row>
    <row r="4098" spans="1:4" x14ac:dyDescent="0.25">
      <c r="A4098" t="s">
        <v>524</v>
      </c>
      <c r="C4098" t="s">
        <v>14</v>
      </c>
      <c r="D4098" s="1">
        <v>43248</v>
      </c>
    </row>
    <row r="4099" spans="1:4" x14ac:dyDescent="0.25">
      <c r="A4099" t="s">
        <v>2843</v>
      </c>
      <c r="C4099" t="s">
        <v>14</v>
      </c>
      <c r="D4099" s="1">
        <v>43248</v>
      </c>
    </row>
    <row r="4100" spans="1:4" x14ac:dyDescent="0.25">
      <c r="A4100" t="s">
        <v>2734</v>
      </c>
      <c r="C4100" t="s">
        <v>14</v>
      </c>
      <c r="D4100" s="1">
        <v>43241</v>
      </c>
    </row>
    <row r="4101" spans="1:4" x14ac:dyDescent="0.25">
      <c r="A4101" t="s">
        <v>569</v>
      </c>
      <c r="C4101" t="s">
        <v>14</v>
      </c>
      <c r="D4101" s="1">
        <v>43248</v>
      </c>
    </row>
    <row r="4102" spans="1:4" x14ac:dyDescent="0.25">
      <c r="A4102" t="s">
        <v>634</v>
      </c>
      <c r="C4102" t="s">
        <v>14</v>
      </c>
      <c r="D4102" s="1">
        <v>43248</v>
      </c>
    </row>
    <row r="4103" spans="1:4" x14ac:dyDescent="0.25">
      <c r="A4103" t="s">
        <v>2738</v>
      </c>
      <c r="C4103" t="s">
        <v>14</v>
      </c>
      <c r="D4103" s="1">
        <v>43234</v>
      </c>
    </row>
    <row r="4104" spans="1:4" x14ac:dyDescent="0.25">
      <c r="A4104" t="s">
        <v>2739</v>
      </c>
      <c r="C4104" t="s">
        <v>14</v>
      </c>
      <c r="D4104" s="1">
        <v>43234</v>
      </c>
    </row>
    <row r="4105" spans="1:4" x14ac:dyDescent="0.25">
      <c r="A4105" t="s">
        <v>2962</v>
      </c>
      <c r="C4105" t="s">
        <v>14</v>
      </c>
      <c r="D4105" s="1">
        <v>43234</v>
      </c>
    </row>
    <row r="4106" spans="1:4" x14ac:dyDescent="0.25">
      <c r="A4106" t="s">
        <v>790</v>
      </c>
      <c r="C4106" t="s">
        <v>14</v>
      </c>
      <c r="D4106" s="1">
        <v>43248</v>
      </c>
    </row>
    <row r="4107" spans="1:4" x14ac:dyDescent="0.25">
      <c r="A4107" t="s">
        <v>2740</v>
      </c>
      <c r="C4107" t="s">
        <v>14</v>
      </c>
      <c r="D4107" s="1">
        <v>43241</v>
      </c>
    </row>
    <row r="4108" spans="1:4" x14ac:dyDescent="0.25">
      <c r="A4108" t="s">
        <v>2741</v>
      </c>
      <c r="C4108" t="s">
        <v>14</v>
      </c>
      <c r="D4108" s="1">
        <v>43241</v>
      </c>
    </row>
    <row r="4109" spans="1:4" x14ac:dyDescent="0.25">
      <c r="A4109" t="s">
        <v>2742</v>
      </c>
      <c r="C4109" t="s">
        <v>14</v>
      </c>
      <c r="D4109" s="1">
        <v>43223</v>
      </c>
    </row>
    <row r="4110" spans="1:4" x14ac:dyDescent="0.25">
      <c r="A4110" t="s">
        <v>2743</v>
      </c>
      <c r="C4110" t="s">
        <v>14</v>
      </c>
      <c r="D4110" s="1">
        <v>43223</v>
      </c>
    </row>
    <row r="4111" spans="1:4" x14ac:dyDescent="0.25">
      <c r="A4111" t="s">
        <v>1270</v>
      </c>
      <c r="C4111" t="s">
        <v>14</v>
      </c>
      <c r="D4111" s="1">
        <v>43241</v>
      </c>
    </row>
    <row r="4112" spans="1:4" x14ac:dyDescent="0.25">
      <c r="A4112" t="s">
        <v>2744</v>
      </c>
      <c r="C4112" t="s">
        <v>14</v>
      </c>
      <c r="D4112" s="1">
        <v>43223</v>
      </c>
    </row>
    <row r="4113" spans="1:4" x14ac:dyDescent="0.25">
      <c r="A4113" t="s">
        <v>842</v>
      </c>
      <c r="C4113" t="s">
        <v>14</v>
      </c>
      <c r="D4113" s="1">
        <v>43242</v>
      </c>
    </row>
    <row r="4114" spans="1:4" x14ac:dyDescent="0.25">
      <c r="A4114" t="s">
        <v>2745</v>
      </c>
      <c r="C4114" t="s">
        <v>14</v>
      </c>
      <c r="D4114" s="1">
        <v>43227</v>
      </c>
    </row>
    <row r="4115" spans="1:4" x14ac:dyDescent="0.25">
      <c r="A4115" t="s">
        <v>2746</v>
      </c>
      <c r="C4115" t="s">
        <v>14</v>
      </c>
      <c r="D4115" s="1">
        <v>43227</v>
      </c>
    </row>
    <row r="4116" spans="1:4" x14ac:dyDescent="0.25">
      <c r="A4116" t="s">
        <v>196</v>
      </c>
      <c r="C4116" t="s">
        <v>14</v>
      </c>
      <c r="D4116" s="1">
        <v>43241</v>
      </c>
    </row>
    <row r="4117" spans="1:4" x14ac:dyDescent="0.25">
      <c r="A4117" t="s">
        <v>2747</v>
      </c>
      <c r="C4117" t="s">
        <v>14</v>
      </c>
      <c r="D4117" s="1">
        <v>43223</v>
      </c>
    </row>
    <row r="4118" spans="1:4" x14ac:dyDescent="0.25">
      <c r="A4118" t="s">
        <v>2748</v>
      </c>
      <c r="C4118" t="s">
        <v>14</v>
      </c>
      <c r="D4118" s="1">
        <v>43227</v>
      </c>
    </row>
    <row r="4119" spans="1:4" x14ac:dyDescent="0.25">
      <c r="A4119" t="s">
        <v>32</v>
      </c>
      <c r="C4119" t="s">
        <v>14</v>
      </c>
      <c r="D4119" s="1">
        <v>43241</v>
      </c>
    </row>
    <row r="4120" spans="1:4" x14ac:dyDescent="0.25">
      <c r="A4120" t="s">
        <v>2749</v>
      </c>
      <c r="C4120" t="s">
        <v>14</v>
      </c>
      <c r="D4120" s="1">
        <v>43227</v>
      </c>
    </row>
    <row r="4121" spans="1:4" x14ac:dyDescent="0.25">
      <c r="A4121" t="s">
        <v>2750</v>
      </c>
      <c r="C4121" t="s">
        <v>14</v>
      </c>
      <c r="D4121" s="1">
        <v>43248</v>
      </c>
    </row>
    <row r="4122" spans="1:4" x14ac:dyDescent="0.25">
      <c r="A4122" t="s">
        <v>46</v>
      </c>
      <c r="C4122" t="s">
        <v>14</v>
      </c>
      <c r="D4122" s="1">
        <v>43234</v>
      </c>
    </row>
    <row r="4123" spans="1:4" x14ac:dyDescent="0.25">
      <c r="A4123" t="s">
        <v>2751</v>
      </c>
      <c r="C4123" t="s">
        <v>17</v>
      </c>
      <c r="D4123" s="1">
        <v>43250</v>
      </c>
    </row>
    <row r="4124" spans="1:4" x14ac:dyDescent="0.25">
      <c r="A4124" t="s">
        <v>2963</v>
      </c>
      <c r="C4124" t="s">
        <v>17</v>
      </c>
      <c r="D4124" s="1">
        <v>43250</v>
      </c>
    </row>
    <row r="4125" spans="1:4" x14ac:dyDescent="0.25">
      <c r="A4125" t="s">
        <v>2964</v>
      </c>
      <c r="C4125" t="s">
        <v>17</v>
      </c>
      <c r="D4125" s="1">
        <v>43250</v>
      </c>
    </row>
    <row r="4126" spans="1:4" x14ac:dyDescent="0.25">
      <c r="A4126" t="s">
        <v>2965</v>
      </c>
      <c r="C4126" t="s">
        <v>17</v>
      </c>
      <c r="D4126" s="1">
        <v>43223</v>
      </c>
    </row>
    <row r="4127" spans="1:4" x14ac:dyDescent="0.25">
      <c r="A4127" t="s">
        <v>2966</v>
      </c>
      <c r="C4127" t="s">
        <v>17</v>
      </c>
      <c r="D4127" s="1">
        <v>43221</v>
      </c>
    </row>
    <row r="4128" spans="1:4" x14ac:dyDescent="0.25">
      <c r="A4128" t="s">
        <v>2855</v>
      </c>
      <c r="C4128" t="s">
        <v>17</v>
      </c>
      <c r="D4128" s="1">
        <v>43233</v>
      </c>
    </row>
    <row r="4129" spans="1:4" x14ac:dyDescent="0.25">
      <c r="A4129" t="s">
        <v>2967</v>
      </c>
      <c r="C4129" t="s">
        <v>17</v>
      </c>
      <c r="D4129" s="1">
        <v>43225</v>
      </c>
    </row>
    <row r="4130" spans="1:4" x14ac:dyDescent="0.25">
      <c r="A4130" t="s">
        <v>2968</v>
      </c>
      <c r="C4130" t="s">
        <v>17</v>
      </c>
      <c r="D4130" s="1">
        <v>43241</v>
      </c>
    </row>
    <row r="4131" spans="1:4" x14ac:dyDescent="0.25">
      <c r="A4131" t="s">
        <v>2969</v>
      </c>
      <c r="C4131" t="s">
        <v>17</v>
      </c>
      <c r="D4131" s="1">
        <v>43228</v>
      </c>
    </row>
    <row r="4132" spans="1:4" x14ac:dyDescent="0.25">
      <c r="A4132" t="s">
        <v>2859</v>
      </c>
      <c r="C4132" t="s">
        <v>17</v>
      </c>
      <c r="D4132" s="1">
        <v>43235</v>
      </c>
    </row>
    <row r="4133" spans="1:4" x14ac:dyDescent="0.25">
      <c r="A4133" t="s">
        <v>2970</v>
      </c>
      <c r="C4133" t="s">
        <v>17</v>
      </c>
      <c r="D4133" s="1">
        <v>43225</v>
      </c>
    </row>
    <row r="4134" spans="1:4" x14ac:dyDescent="0.25">
      <c r="A4134" t="s">
        <v>2971</v>
      </c>
      <c r="C4134" t="s">
        <v>17</v>
      </c>
      <c r="D4134" s="1">
        <v>43223</v>
      </c>
    </row>
    <row r="4135" spans="1:4" x14ac:dyDescent="0.25">
      <c r="A4135" t="s">
        <v>2972</v>
      </c>
      <c r="C4135" t="s">
        <v>17</v>
      </c>
      <c r="D4135" s="1">
        <v>43221</v>
      </c>
    </row>
    <row r="4136" spans="1:4" x14ac:dyDescent="0.25">
      <c r="A4136" t="s">
        <v>2973</v>
      </c>
      <c r="C4136" t="s">
        <v>17</v>
      </c>
      <c r="D4136" s="1">
        <v>43223</v>
      </c>
    </row>
    <row r="4137" spans="1:4" x14ac:dyDescent="0.25">
      <c r="A4137" t="s">
        <v>2974</v>
      </c>
      <c r="C4137" t="s">
        <v>17</v>
      </c>
      <c r="D4137" s="1">
        <v>43233</v>
      </c>
    </row>
    <row r="4138" spans="1:4" x14ac:dyDescent="0.25">
      <c r="A4138" t="s">
        <v>2975</v>
      </c>
      <c r="C4138" t="s">
        <v>17</v>
      </c>
      <c r="D4138" s="1">
        <v>43221</v>
      </c>
    </row>
    <row r="4139" spans="1:4" x14ac:dyDescent="0.25">
      <c r="A4139" t="s">
        <v>2976</v>
      </c>
      <c r="C4139" t="s">
        <v>17</v>
      </c>
      <c r="D4139" s="1">
        <v>43223</v>
      </c>
    </row>
    <row r="4140" spans="1:4" x14ac:dyDescent="0.25">
      <c r="A4140" t="s">
        <v>2977</v>
      </c>
      <c r="C4140" t="s">
        <v>17</v>
      </c>
      <c r="D4140" s="1">
        <v>43221</v>
      </c>
    </row>
    <row r="4141" spans="1:4" x14ac:dyDescent="0.25">
      <c r="A4141" t="s">
        <v>2978</v>
      </c>
      <c r="C4141" t="s">
        <v>17</v>
      </c>
      <c r="D4141" s="1">
        <v>43251</v>
      </c>
    </row>
    <row r="4142" spans="1:4" x14ac:dyDescent="0.25">
      <c r="A4142" t="s">
        <v>2765</v>
      </c>
      <c r="C4142" t="s">
        <v>17</v>
      </c>
      <c r="D4142" s="1">
        <v>43223</v>
      </c>
    </row>
    <row r="4143" spans="1:4" x14ac:dyDescent="0.25">
      <c r="A4143" t="s">
        <v>2766</v>
      </c>
      <c r="C4143" t="s">
        <v>17</v>
      </c>
      <c r="D4143" s="1">
        <v>43223</v>
      </c>
    </row>
    <row r="4144" spans="1:4" x14ac:dyDescent="0.25">
      <c r="A4144" t="s">
        <v>2979</v>
      </c>
      <c r="C4144" t="s">
        <v>17</v>
      </c>
      <c r="D4144" s="1">
        <v>43244</v>
      </c>
    </row>
    <row r="4145" spans="1:4" x14ac:dyDescent="0.25">
      <c r="A4145" t="s">
        <v>2980</v>
      </c>
      <c r="C4145" t="s">
        <v>17</v>
      </c>
      <c r="D4145" s="1">
        <v>43251</v>
      </c>
    </row>
    <row r="4146" spans="1:4" x14ac:dyDescent="0.25">
      <c r="A4146" t="s">
        <v>2981</v>
      </c>
      <c r="C4146" t="s">
        <v>17</v>
      </c>
      <c r="D4146" s="1">
        <v>43249</v>
      </c>
    </row>
    <row r="4147" spans="1:4" x14ac:dyDescent="0.25">
      <c r="A4147" t="s">
        <v>2982</v>
      </c>
      <c r="C4147" t="s">
        <v>17</v>
      </c>
      <c r="D4147" s="1">
        <v>43250</v>
      </c>
    </row>
    <row r="4148" spans="1:4" x14ac:dyDescent="0.25">
      <c r="A4148" t="s">
        <v>2866</v>
      </c>
      <c r="C4148" t="s">
        <v>17</v>
      </c>
      <c r="D4148" s="1">
        <v>43235</v>
      </c>
    </row>
    <row r="4149" spans="1:4" x14ac:dyDescent="0.25">
      <c r="A4149" t="s">
        <v>2983</v>
      </c>
      <c r="C4149" t="s">
        <v>17</v>
      </c>
      <c r="D4149" s="1">
        <v>43223</v>
      </c>
    </row>
    <row r="4150" spans="1:4" x14ac:dyDescent="0.25">
      <c r="A4150" t="s">
        <v>2984</v>
      </c>
      <c r="C4150" t="s">
        <v>17</v>
      </c>
      <c r="D4150" s="1">
        <v>43251</v>
      </c>
    </row>
    <row r="4151" spans="1:4" x14ac:dyDescent="0.25">
      <c r="A4151" t="s">
        <v>2776</v>
      </c>
      <c r="C4151" t="s">
        <v>17</v>
      </c>
      <c r="D4151" s="1">
        <v>43240</v>
      </c>
    </row>
    <row r="4152" spans="1:4" x14ac:dyDescent="0.25">
      <c r="A4152" t="s">
        <v>2985</v>
      </c>
      <c r="C4152" t="s">
        <v>17</v>
      </c>
      <c r="D4152" s="1">
        <v>43251</v>
      </c>
    </row>
    <row r="4153" spans="1:4" x14ac:dyDescent="0.25">
      <c r="A4153" t="s">
        <v>2986</v>
      </c>
      <c r="C4153" t="s">
        <v>17</v>
      </c>
      <c r="D4153" s="1">
        <v>43251</v>
      </c>
    </row>
    <row r="4154" spans="1:4" x14ac:dyDescent="0.25">
      <c r="A4154" t="s">
        <v>2872</v>
      </c>
      <c r="C4154" t="s">
        <v>17</v>
      </c>
      <c r="D4154" s="1">
        <v>43235</v>
      </c>
    </row>
    <row r="4155" spans="1:4" x14ac:dyDescent="0.25">
      <c r="A4155" t="s">
        <v>2987</v>
      </c>
      <c r="C4155" t="s">
        <v>17</v>
      </c>
      <c r="D4155" s="1">
        <v>43251</v>
      </c>
    </row>
    <row r="4156" spans="1:4" x14ac:dyDescent="0.25">
      <c r="A4156" t="s">
        <v>2873</v>
      </c>
      <c r="C4156" t="s">
        <v>17</v>
      </c>
      <c r="D4156" s="1">
        <v>43235</v>
      </c>
    </row>
    <row r="4157" spans="1:4" x14ac:dyDescent="0.25">
      <c r="A4157" t="s">
        <v>2779</v>
      </c>
      <c r="C4157" t="s">
        <v>17</v>
      </c>
      <c r="D4157" s="1">
        <v>43223</v>
      </c>
    </row>
    <row r="4158" spans="1:4" x14ac:dyDescent="0.25">
      <c r="A4158" t="s">
        <v>2988</v>
      </c>
      <c r="C4158" t="s">
        <v>17</v>
      </c>
      <c r="D4158" s="1">
        <v>43223</v>
      </c>
    </row>
    <row r="4159" spans="1:4" x14ac:dyDescent="0.25">
      <c r="A4159" t="s">
        <v>2989</v>
      </c>
      <c r="C4159" t="s">
        <v>17</v>
      </c>
      <c r="D4159" s="1">
        <v>43250</v>
      </c>
    </row>
    <row r="4160" spans="1:4" x14ac:dyDescent="0.25">
      <c r="A4160" t="s">
        <v>2990</v>
      </c>
      <c r="C4160" t="s">
        <v>17</v>
      </c>
      <c r="D4160" s="1">
        <v>43237</v>
      </c>
    </row>
    <row r="4161" spans="1:4" x14ac:dyDescent="0.25">
      <c r="A4161" t="s">
        <v>2789</v>
      </c>
      <c r="C4161" t="s">
        <v>17</v>
      </c>
      <c r="D4161" s="1">
        <v>43223</v>
      </c>
    </row>
    <row r="4162" spans="1:4" x14ac:dyDescent="0.25">
      <c r="A4162" t="s">
        <v>2991</v>
      </c>
      <c r="C4162" t="s">
        <v>17</v>
      </c>
      <c r="D4162" s="1">
        <v>43230</v>
      </c>
    </row>
    <row r="4163" spans="1:4" x14ac:dyDescent="0.25">
      <c r="A4163" t="s">
        <v>2992</v>
      </c>
      <c r="C4163" t="s">
        <v>17</v>
      </c>
      <c r="D4163" s="1">
        <v>43235</v>
      </c>
    </row>
    <row r="4164" spans="1:4" x14ac:dyDescent="0.25">
      <c r="A4164" t="s">
        <v>2993</v>
      </c>
      <c r="C4164" t="s">
        <v>17</v>
      </c>
      <c r="D4164" s="1">
        <v>43242</v>
      </c>
    </row>
    <row r="4165" spans="1:4" x14ac:dyDescent="0.25">
      <c r="A4165" t="s">
        <v>2994</v>
      </c>
      <c r="C4165" t="s">
        <v>17</v>
      </c>
      <c r="D4165" s="1">
        <v>43247</v>
      </c>
    </row>
    <row r="4166" spans="1:4" x14ac:dyDescent="0.25">
      <c r="A4166" t="s">
        <v>2995</v>
      </c>
      <c r="C4166" t="s">
        <v>17</v>
      </c>
      <c r="D4166" s="1">
        <v>43239</v>
      </c>
    </row>
    <row r="4167" spans="1:4" x14ac:dyDescent="0.25">
      <c r="A4167" t="s">
        <v>2996</v>
      </c>
      <c r="C4167" t="s">
        <v>17</v>
      </c>
      <c r="D4167" s="1">
        <v>43234</v>
      </c>
    </row>
    <row r="4168" spans="1:4" x14ac:dyDescent="0.25">
      <c r="A4168" t="s">
        <v>2885</v>
      </c>
      <c r="C4168" t="s">
        <v>17</v>
      </c>
      <c r="D4168" s="1">
        <v>43235</v>
      </c>
    </row>
    <row r="4169" spans="1:4" x14ac:dyDescent="0.25">
      <c r="A4169" t="s">
        <v>1462</v>
      </c>
      <c r="C4169" t="s">
        <v>17</v>
      </c>
      <c r="D4169" s="1">
        <v>43242</v>
      </c>
    </row>
    <row r="4170" spans="1:4" x14ac:dyDescent="0.25">
      <c r="A4170" t="s">
        <v>1523</v>
      </c>
      <c r="C4170" t="s">
        <v>17</v>
      </c>
      <c r="D4170" s="1">
        <v>43242</v>
      </c>
    </row>
    <row r="4171" spans="1:4" x14ac:dyDescent="0.25">
      <c r="A4171" t="s">
        <v>1576</v>
      </c>
      <c r="C4171" t="s">
        <v>17</v>
      </c>
      <c r="D4171" s="1">
        <v>43239</v>
      </c>
    </row>
    <row r="4172" spans="1:4" x14ac:dyDescent="0.25">
      <c r="A4172" t="s">
        <v>1675</v>
      </c>
      <c r="C4172" t="s">
        <v>17</v>
      </c>
      <c r="D4172" s="1">
        <v>43235</v>
      </c>
    </row>
    <row r="4173" spans="1:4" x14ac:dyDescent="0.25">
      <c r="A4173" t="s">
        <v>1386</v>
      </c>
      <c r="C4173" t="s">
        <v>17</v>
      </c>
      <c r="D4173" s="1">
        <v>43242</v>
      </c>
    </row>
    <row r="4174" spans="1:4" x14ac:dyDescent="0.25">
      <c r="A4174" t="s">
        <v>2997</v>
      </c>
      <c r="C4174" t="s">
        <v>17</v>
      </c>
      <c r="D4174" s="1">
        <v>43221</v>
      </c>
    </row>
    <row r="4175" spans="1:4" x14ac:dyDescent="0.25">
      <c r="A4175" t="s">
        <v>1645</v>
      </c>
      <c r="C4175" t="s">
        <v>17</v>
      </c>
      <c r="D4175" s="1">
        <v>43239</v>
      </c>
    </row>
    <row r="4176" spans="1:4" x14ac:dyDescent="0.25">
      <c r="A4176" t="s">
        <v>2998</v>
      </c>
      <c r="C4176" t="s">
        <v>17</v>
      </c>
      <c r="D4176" s="1">
        <v>43233</v>
      </c>
    </row>
    <row r="4177" spans="1:4" x14ac:dyDescent="0.25">
      <c r="A4177" t="s">
        <v>2999</v>
      </c>
      <c r="C4177" t="s">
        <v>17</v>
      </c>
      <c r="D4177" s="1">
        <v>43240</v>
      </c>
    </row>
    <row r="4178" spans="1:4" x14ac:dyDescent="0.25">
      <c r="A4178" t="s">
        <v>2896</v>
      </c>
      <c r="C4178" t="s">
        <v>17</v>
      </c>
      <c r="D4178" s="1">
        <v>43235</v>
      </c>
    </row>
    <row r="4179" spans="1:4" x14ac:dyDescent="0.25">
      <c r="A4179" t="s">
        <v>1641</v>
      </c>
      <c r="C4179" t="s">
        <v>17</v>
      </c>
      <c r="D4179" s="1">
        <v>43239</v>
      </c>
    </row>
    <row r="4180" spans="1:4" x14ac:dyDescent="0.25">
      <c r="A4180" t="s">
        <v>3000</v>
      </c>
      <c r="C4180" t="s">
        <v>17</v>
      </c>
      <c r="D4180" s="1">
        <v>43246</v>
      </c>
    </row>
    <row r="4181" spans="1:4" x14ac:dyDescent="0.25">
      <c r="A4181" t="s">
        <v>1375</v>
      </c>
      <c r="C4181" t="s">
        <v>17</v>
      </c>
      <c r="D4181" s="1">
        <v>43242</v>
      </c>
    </row>
    <row r="4182" spans="1:4" x14ac:dyDescent="0.25">
      <c r="A4182" t="s">
        <v>3001</v>
      </c>
      <c r="C4182" t="s">
        <v>17</v>
      </c>
      <c r="D4182" s="1">
        <v>43221</v>
      </c>
    </row>
    <row r="4183" spans="1:4" x14ac:dyDescent="0.25">
      <c r="A4183" t="s">
        <v>1577</v>
      </c>
      <c r="C4183" t="s">
        <v>17</v>
      </c>
      <c r="D4183" s="1">
        <v>43239</v>
      </c>
    </row>
    <row r="4184" spans="1:4" x14ac:dyDescent="0.25">
      <c r="A4184" t="s">
        <v>3002</v>
      </c>
      <c r="C4184" t="s">
        <v>17</v>
      </c>
      <c r="D4184" s="1">
        <v>43221</v>
      </c>
    </row>
    <row r="4185" spans="1:4" x14ac:dyDescent="0.25">
      <c r="A4185" t="s">
        <v>2910</v>
      </c>
      <c r="C4185" t="s">
        <v>17</v>
      </c>
      <c r="D4185" s="1">
        <v>43235</v>
      </c>
    </row>
    <row r="4186" spans="1:4" x14ac:dyDescent="0.25">
      <c r="A4186" t="s">
        <v>3003</v>
      </c>
      <c r="C4186" t="s">
        <v>17</v>
      </c>
      <c r="D4186" s="1">
        <v>43221</v>
      </c>
    </row>
    <row r="4187" spans="1:4" x14ac:dyDescent="0.25">
      <c r="A4187" t="s">
        <v>3004</v>
      </c>
      <c r="C4187" t="s">
        <v>17</v>
      </c>
      <c r="D4187" s="1">
        <v>43221</v>
      </c>
    </row>
    <row r="4188" spans="1:4" x14ac:dyDescent="0.25">
      <c r="A4188" t="s">
        <v>3005</v>
      </c>
      <c r="C4188" t="s">
        <v>17</v>
      </c>
      <c r="D4188" s="1">
        <v>43221</v>
      </c>
    </row>
    <row r="4189" spans="1:4" x14ac:dyDescent="0.25">
      <c r="A4189" t="s">
        <v>3006</v>
      </c>
      <c r="C4189" t="s">
        <v>17</v>
      </c>
      <c r="D4189" s="1">
        <v>43226</v>
      </c>
    </row>
    <row r="4190" spans="1:4" x14ac:dyDescent="0.25">
      <c r="A4190" t="s">
        <v>1651</v>
      </c>
      <c r="C4190" t="s">
        <v>17</v>
      </c>
      <c r="D4190" s="1">
        <v>43235</v>
      </c>
    </row>
    <row r="4191" spans="1:4" x14ac:dyDescent="0.25">
      <c r="A4191" t="s">
        <v>3007</v>
      </c>
      <c r="C4191" t="s">
        <v>17</v>
      </c>
      <c r="D4191" s="1">
        <v>43234</v>
      </c>
    </row>
    <row r="4192" spans="1:4" x14ac:dyDescent="0.25">
      <c r="A4192" t="s">
        <v>3008</v>
      </c>
      <c r="C4192" t="s">
        <v>17</v>
      </c>
      <c r="D4192" s="1">
        <v>43234</v>
      </c>
    </row>
    <row r="4193" spans="1:4" x14ac:dyDescent="0.25">
      <c r="A4193" t="s">
        <v>3009</v>
      </c>
      <c r="C4193" t="s">
        <v>17</v>
      </c>
      <c r="D4193" s="1">
        <v>43221</v>
      </c>
    </row>
    <row r="4194" spans="1:4" x14ac:dyDescent="0.25">
      <c r="A4194" t="s">
        <v>3010</v>
      </c>
      <c r="C4194" t="s">
        <v>17</v>
      </c>
      <c r="D4194" s="1">
        <v>43240</v>
      </c>
    </row>
    <row r="4195" spans="1:4" x14ac:dyDescent="0.25">
      <c r="A4195" t="s">
        <v>3011</v>
      </c>
      <c r="C4195" t="s">
        <v>17</v>
      </c>
      <c r="D4195" s="1">
        <v>43240</v>
      </c>
    </row>
    <row r="4196" spans="1:4" x14ac:dyDescent="0.25">
      <c r="A4196" t="s">
        <v>3012</v>
      </c>
      <c r="C4196" t="s">
        <v>17</v>
      </c>
      <c r="D4196" s="1">
        <v>43246</v>
      </c>
    </row>
    <row r="4197" spans="1:4" x14ac:dyDescent="0.25">
      <c r="A4197" t="s">
        <v>3013</v>
      </c>
      <c r="C4197" t="s">
        <v>17</v>
      </c>
      <c r="D4197" s="1">
        <v>43246</v>
      </c>
    </row>
    <row r="4198" spans="1:4" x14ac:dyDescent="0.25">
      <c r="A4198" t="s">
        <v>3014</v>
      </c>
      <c r="C4198" t="s">
        <v>17</v>
      </c>
      <c r="D4198" s="1">
        <v>43247</v>
      </c>
    </row>
    <row r="4199" spans="1:4" x14ac:dyDescent="0.25">
      <c r="A4199" t="s">
        <v>3015</v>
      </c>
      <c r="C4199" t="s">
        <v>17</v>
      </c>
      <c r="D4199" s="1">
        <v>43245</v>
      </c>
    </row>
    <row r="4200" spans="1:4" x14ac:dyDescent="0.25">
      <c r="A4200" t="s">
        <v>3016</v>
      </c>
      <c r="C4200" t="s">
        <v>17</v>
      </c>
      <c r="D4200" s="1">
        <v>43239</v>
      </c>
    </row>
    <row r="4201" spans="1:4" x14ac:dyDescent="0.25">
      <c r="A4201" t="s">
        <v>2823</v>
      </c>
      <c r="C4201" t="s">
        <v>17</v>
      </c>
      <c r="D4201" s="1">
        <v>43235</v>
      </c>
    </row>
    <row r="4202" spans="1:4" x14ac:dyDescent="0.25">
      <c r="A4202" t="s">
        <v>2824</v>
      </c>
      <c r="C4202" t="s">
        <v>17</v>
      </c>
      <c r="D4202" s="1">
        <v>43240</v>
      </c>
    </row>
    <row r="4203" spans="1:4" x14ac:dyDescent="0.25">
      <c r="A4203" t="s">
        <v>3017</v>
      </c>
      <c r="C4203" t="s">
        <v>17</v>
      </c>
      <c r="D4203" s="1">
        <v>43221</v>
      </c>
    </row>
    <row r="4204" spans="1:4" x14ac:dyDescent="0.25">
      <c r="A4204" t="s">
        <v>2826</v>
      </c>
      <c r="C4204" t="s">
        <v>17</v>
      </c>
      <c r="D4204" s="1">
        <v>43235</v>
      </c>
    </row>
    <row r="4205" spans="1:4" x14ac:dyDescent="0.25">
      <c r="A4205" t="s">
        <v>2833</v>
      </c>
      <c r="C4205" t="s">
        <v>17</v>
      </c>
      <c r="D4205" s="1">
        <v>43235</v>
      </c>
    </row>
    <row r="4206" spans="1:4" x14ac:dyDescent="0.25">
      <c r="A4206" t="s">
        <v>2929</v>
      </c>
      <c r="C4206" t="s">
        <v>17</v>
      </c>
      <c r="D4206" s="1">
        <v>43225</v>
      </c>
    </row>
    <row r="4207" spans="1:4" x14ac:dyDescent="0.25">
      <c r="A4207" t="s">
        <v>2965</v>
      </c>
      <c r="C4207" t="s">
        <v>15</v>
      </c>
      <c r="D4207" s="1">
        <v>43228</v>
      </c>
    </row>
    <row r="4208" spans="1:4" x14ac:dyDescent="0.25">
      <c r="A4208" t="s">
        <v>3018</v>
      </c>
      <c r="C4208" t="s">
        <v>15</v>
      </c>
      <c r="D4208" s="1">
        <v>43251</v>
      </c>
    </row>
    <row r="4209" spans="1:4" x14ac:dyDescent="0.25">
      <c r="A4209" t="s">
        <v>2966</v>
      </c>
      <c r="C4209" t="s">
        <v>15</v>
      </c>
      <c r="D4209" s="1">
        <v>43223</v>
      </c>
    </row>
    <row r="4210" spans="1:4" x14ac:dyDescent="0.25">
      <c r="A4210" t="s">
        <v>3019</v>
      </c>
      <c r="C4210" t="s">
        <v>15</v>
      </c>
      <c r="D4210" s="1">
        <v>43228</v>
      </c>
    </row>
    <row r="4211" spans="1:4" x14ac:dyDescent="0.25">
      <c r="A4211" t="s">
        <v>2855</v>
      </c>
      <c r="C4211" t="s">
        <v>15</v>
      </c>
      <c r="D4211" s="1">
        <v>43251</v>
      </c>
    </row>
    <row r="4212" spans="1:4" x14ac:dyDescent="0.25">
      <c r="A4212" t="s">
        <v>2967</v>
      </c>
      <c r="C4212" t="s">
        <v>15</v>
      </c>
      <c r="D4212" s="1">
        <v>43228</v>
      </c>
    </row>
    <row r="4213" spans="1:4" x14ac:dyDescent="0.25">
      <c r="A4213" t="s">
        <v>3020</v>
      </c>
      <c r="C4213" t="s">
        <v>15</v>
      </c>
      <c r="D4213" s="1">
        <v>43251</v>
      </c>
    </row>
    <row r="4214" spans="1:4" x14ac:dyDescent="0.25">
      <c r="A4214" t="s">
        <v>3021</v>
      </c>
      <c r="C4214" t="s">
        <v>15</v>
      </c>
      <c r="D4214" s="1">
        <v>43228</v>
      </c>
    </row>
    <row r="4215" spans="1:4" x14ac:dyDescent="0.25">
      <c r="A4215" t="s">
        <v>3022</v>
      </c>
      <c r="C4215" t="s">
        <v>15</v>
      </c>
      <c r="D4215" s="1">
        <v>43228</v>
      </c>
    </row>
    <row r="4216" spans="1:4" x14ac:dyDescent="0.25">
      <c r="A4216" t="s">
        <v>3023</v>
      </c>
      <c r="C4216" t="s">
        <v>15</v>
      </c>
      <c r="D4216" s="1">
        <v>43223</v>
      </c>
    </row>
    <row r="4217" spans="1:4" x14ac:dyDescent="0.25">
      <c r="A4217" t="s">
        <v>2858</v>
      </c>
      <c r="C4217" t="s">
        <v>15</v>
      </c>
      <c r="D4217" s="1">
        <v>43228</v>
      </c>
    </row>
    <row r="4218" spans="1:4" x14ac:dyDescent="0.25">
      <c r="A4218" t="s">
        <v>3024</v>
      </c>
      <c r="C4218" t="s">
        <v>15</v>
      </c>
      <c r="D4218" s="1">
        <v>43228</v>
      </c>
    </row>
    <row r="4219" spans="1:4" x14ac:dyDescent="0.25">
      <c r="A4219" t="s">
        <v>3025</v>
      </c>
      <c r="C4219" t="s">
        <v>15</v>
      </c>
      <c r="D4219" s="1">
        <v>43228</v>
      </c>
    </row>
    <row r="4220" spans="1:4" x14ac:dyDescent="0.25">
      <c r="A4220" t="s">
        <v>3026</v>
      </c>
      <c r="C4220" t="s">
        <v>15</v>
      </c>
      <c r="D4220" s="1">
        <v>43228</v>
      </c>
    </row>
    <row r="4221" spans="1:4" x14ac:dyDescent="0.25">
      <c r="A4221" t="s">
        <v>2859</v>
      </c>
      <c r="C4221" t="s">
        <v>15</v>
      </c>
      <c r="D4221" s="1">
        <v>43232</v>
      </c>
    </row>
    <row r="4222" spans="1:4" x14ac:dyDescent="0.25">
      <c r="A4222" t="s">
        <v>3027</v>
      </c>
      <c r="C4222" t="s">
        <v>15</v>
      </c>
      <c r="D4222" s="1">
        <v>43228</v>
      </c>
    </row>
    <row r="4223" spans="1:4" x14ac:dyDescent="0.25">
      <c r="A4223" t="s">
        <v>3028</v>
      </c>
      <c r="C4223" t="s">
        <v>15</v>
      </c>
      <c r="D4223" s="1">
        <v>43228</v>
      </c>
    </row>
    <row r="4224" spans="1:4" x14ac:dyDescent="0.25">
      <c r="A4224" t="s">
        <v>3029</v>
      </c>
      <c r="C4224" t="s">
        <v>15</v>
      </c>
      <c r="D4224" s="1">
        <v>43228</v>
      </c>
    </row>
    <row r="4225" spans="1:4" x14ac:dyDescent="0.25">
      <c r="A4225" t="s">
        <v>3030</v>
      </c>
      <c r="C4225" t="s">
        <v>15</v>
      </c>
      <c r="D4225" s="1">
        <v>43228</v>
      </c>
    </row>
    <row r="4226" spans="1:4" x14ac:dyDescent="0.25">
      <c r="A4226" t="s">
        <v>3031</v>
      </c>
      <c r="C4226" t="s">
        <v>15</v>
      </c>
      <c r="D4226" s="1">
        <v>43228</v>
      </c>
    </row>
    <row r="4227" spans="1:4" x14ac:dyDescent="0.25">
      <c r="A4227" t="s">
        <v>2970</v>
      </c>
      <c r="C4227" t="s">
        <v>15</v>
      </c>
      <c r="D4227" s="1">
        <v>43228</v>
      </c>
    </row>
    <row r="4228" spans="1:4" x14ac:dyDescent="0.25">
      <c r="A4228" t="s">
        <v>2971</v>
      </c>
      <c r="C4228" t="s">
        <v>15</v>
      </c>
      <c r="D4228" s="1">
        <v>43228</v>
      </c>
    </row>
    <row r="4229" spans="1:4" x14ac:dyDescent="0.25">
      <c r="A4229" t="s">
        <v>2972</v>
      </c>
      <c r="C4229" t="s">
        <v>15</v>
      </c>
      <c r="D4229" s="1">
        <v>43223</v>
      </c>
    </row>
    <row r="4230" spans="1:4" x14ac:dyDescent="0.25">
      <c r="A4230" t="s">
        <v>2973</v>
      </c>
      <c r="C4230" t="s">
        <v>15</v>
      </c>
      <c r="D4230" s="1">
        <v>43228</v>
      </c>
    </row>
    <row r="4231" spans="1:4" x14ac:dyDescent="0.25">
      <c r="A4231" t="s">
        <v>3032</v>
      </c>
      <c r="C4231" t="s">
        <v>15</v>
      </c>
      <c r="D4231" s="1">
        <v>43251</v>
      </c>
    </row>
    <row r="4232" spans="1:4" x14ac:dyDescent="0.25">
      <c r="A4232" t="s">
        <v>2974</v>
      </c>
      <c r="C4232" t="s">
        <v>15</v>
      </c>
      <c r="D4232" s="1">
        <v>43251</v>
      </c>
    </row>
    <row r="4233" spans="1:4" x14ac:dyDescent="0.25">
      <c r="A4233" t="s">
        <v>2975</v>
      </c>
      <c r="C4233" t="s">
        <v>15</v>
      </c>
      <c r="D4233" s="1">
        <v>43223</v>
      </c>
    </row>
    <row r="4234" spans="1:4" x14ac:dyDescent="0.25">
      <c r="A4234" t="s">
        <v>2976</v>
      </c>
      <c r="C4234" t="s">
        <v>15</v>
      </c>
      <c r="D4234" s="1">
        <v>43228</v>
      </c>
    </row>
    <row r="4235" spans="1:4" x14ac:dyDescent="0.25">
      <c r="A4235" t="s">
        <v>2977</v>
      </c>
      <c r="C4235" t="s">
        <v>15</v>
      </c>
      <c r="D4235" s="1">
        <v>43223</v>
      </c>
    </row>
    <row r="4236" spans="1:4" x14ac:dyDescent="0.25">
      <c r="A4236" t="s">
        <v>2763</v>
      </c>
      <c r="C4236" t="s">
        <v>15</v>
      </c>
      <c r="D4236" s="1">
        <v>43250</v>
      </c>
    </row>
    <row r="4237" spans="1:4" x14ac:dyDescent="0.25">
      <c r="A4237" t="s">
        <v>3033</v>
      </c>
      <c r="C4237" t="s">
        <v>15</v>
      </c>
      <c r="D4237" s="1">
        <v>43251</v>
      </c>
    </row>
    <row r="4238" spans="1:4" x14ac:dyDescent="0.25">
      <c r="A4238" t="s">
        <v>3034</v>
      </c>
      <c r="C4238" t="s">
        <v>15</v>
      </c>
      <c r="D4238" s="1">
        <v>43251</v>
      </c>
    </row>
    <row r="4239" spans="1:4" x14ac:dyDescent="0.25">
      <c r="A4239" t="s">
        <v>3035</v>
      </c>
      <c r="C4239" t="s">
        <v>15</v>
      </c>
      <c r="D4239" s="1">
        <v>43251</v>
      </c>
    </row>
    <row r="4240" spans="1:4" x14ac:dyDescent="0.25">
      <c r="A4240" t="s">
        <v>2866</v>
      </c>
      <c r="C4240" t="s">
        <v>15</v>
      </c>
      <c r="D4240" s="1">
        <v>43250</v>
      </c>
    </row>
    <row r="4241" spans="1:4" x14ac:dyDescent="0.25">
      <c r="A4241" t="s">
        <v>2984</v>
      </c>
      <c r="C4241" t="s">
        <v>15</v>
      </c>
      <c r="D4241" s="1">
        <v>43228</v>
      </c>
    </row>
    <row r="4242" spans="1:4" x14ac:dyDescent="0.25">
      <c r="A4242" t="s">
        <v>2776</v>
      </c>
      <c r="C4242" t="s">
        <v>15</v>
      </c>
      <c r="D4242" s="1">
        <v>43250</v>
      </c>
    </row>
    <row r="4243" spans="1:4" x14ac:dyDescent="0.25">
      <c r="A4243" t="s">
        <v>2985</v>
      </c>
      <c r="C4243" t="s">
        <v>15</v>
      </c>
      <c r="D4243" s="1">
        <v>43228</v>
      </c>
    </row>
    <row r="4244" spans="1:4" x14ac:dyDescent="0.25">
      <c r="A4244" t="s">
        <v>2872</v>
      </c>
      <c r="C4244" t="s">
        <v>15</v>
      </c>
      <c r="D4244" s="1">
        <v>43250</v>
      </c>
    </row>
    <row r="4245" spans="1:4" x14ac:dyDescent="0.25">
      <c r="A4245" t="s">
        <v>2987</v>
      </c>
      <c r="C4245" t="s">
        <v>15</v>
      </c>
      <c r="D4245" s="1">
        <v>43228</v>
      </c>
    </row>
    <row r="4246" spans="1:4" x14ac:dyDescent="0.25">
      <c r="A4246" t="s">
        <v>2873</v>
      </c>
      <c r="C4246" t="s">
        <v>15</v>
      </c>
      <c r="D4246" s="1">
        <v>43250</v>
      </c>
    </row>
    <row r="4247" spans="1:4" x14ac:dyDescent="0.25">
      <c r="A4247" t="s">
        <v>2781</v>
      </c>
      <c r="C4247" t="s">
        <v>15</v>
      </c>
      <c r="D4247" s="1">
        <v>43250</v>
      </c>
    </row>
    <row r="4248" spans="1:4" x14ac:dyDescent="0.25">
      <c r="A4248" t="s">
        <v>2988</v>
      </c>
      <c r="C4248" t="s">
        <v>15</v>
      </c>
      <c r="D4248" s="1">
        <v>43228</v>
      </c>
    </row>
    <row r="4249" spans="1:4" x14ac:dyDescent="0.25">
      <c r="A4249" t="s">
        <v>2937</v>
      </c>
      <c r="C4249" t="s">
        <v>15</v>
      </c>
      <c r="D4249" s="1">
        <v>43228</v>
      </c>
    </row>
    <row r="4250" spans="1:4" x14ac:dyDescent="0.25">
      <c r="A4250" t="s">
        <v>2877</v>
      </c>
      <c r="C4250" t="s">
        <v>15</v>
      </c>
      <c r="D4250" s="1">
        <v>43228</v>
      </c>
    </row>
    <row r="4251" spans="1:4" x14ac:dyDescent="0.25">
      <c r="A4251" t="s">
        <v>3036</v>
      </c>
      <c r="C4251" t="s">
        <v>15</v>
      </c>
      <c r="D4251" s="1">
        <v>43221</v>
      </c>
    </row>
    <row r="4252" spans="1:4" x14ac:dyDescent="0.25">
      <c r="A4252" t="s">
        <v>2938</v>
      </c>
      <c r="C4252" t="s">
        <v>15</v>
      </c>
      <c r="D4252" s="1">
        <v>43228</v>
      </c>
    </row>
    <row r="4253" spans="1:4" x14ac:dyDescent="0.25">
      <c r="A4253" t="s">
        <v>2939</v>
      </c>
      <c r="C4253" t="s">
        <v>15</v>
      </c>
      <c r="D4253" s="1">
        <v>43228</v>
      </c>
    </row>
    <row r="4254" spans="1:4" x14ac:dyDescent="0.25">
      <c r="A4254" t="s">
        <v>3037</v>
      </c>
      <c r="C4254" t="s">
        <v>15</v>
      </c>
      <c r="D4254" s="1">
        <v>43228</v>
      </c>
    </row>
    <row r="4255" spans="1:4" x14ac:dyDescent="0.25">
      <c r="A4255" t="s">
        <v>3038</v>
      </c>
      <c r="C4255" t="s">
        <v>15</v>
      </c>
      <c r="D4255" s="1">
        <v>43228</v>
      </c>
    </row>
    <row r="4256" spans="1:4" x14ac:dyDescent="0.25">
      <c r="A4256" t="s">
        <v>3039</v>
      </c>
      <c r="C4256" t="s">
        <v>15</v>
      </c>
      <c r="D4256" s="1">
        <v>43228</v>
      </c>
    </row>
    <row r="4257" spans="1:4" x14ac:dyDescent="0.25">
      <c r="A4257" t="s">
        <v>2880</v>
      </c>
      <c r="C4257" t="s">
        <v>15</v>
      </c>
      <c r="D4257" s="1">
        <v>43247</v>
      </c>
    </row>
    <row r="4258" spans="1:4" x14ac:dyDescent="0.25">
      <c r="A4258" t="s">
        <v>3040</v>
      </c>
      <c r="C4258" t="s">
        <v>15</v>
      </c>
      <c r="D4258" s="1">
        <v>43228</v>
      </c>
    </row>
    <row r="4259" spans="1:4" x14ac:dyDescent="0.25">
      <c r="A4259" t="s">
        <v>3041</v>
      </c>
      <c r="C4259" t="s">
        <v>15</v>
      </c>
      <c r="D4259" s="1">
        <v>43228</v>
      </c>
    </row>
    <row r="4260" spans="1:4" x14ac:dyDescent="0.25">
      <c r="A4260" t="s">
        <v>2789</v>
      </c>
      <c r="C4260" t="s">
        <v>15</v>
      </c>
      <c r="D4260" s="1">
        <v>43228</v>
      </c>
    </row>
    <row r="4261" spans="1:4" x14ac:dyDescent="0.25">
      <c r="A4261" t="s">
        <v>3042</v>
      </c>
      <c r="C4261" t="s">
        <v>15</v>
      </c>
      <c r="D4261" s="1">
        <v>43239</v>
      </c>
    </row>
    <row r="4262" spans="1:4" x14ac:dyDescent="0.25">
      <c r="A4262" t="s">
        <v>3043</v>
      </c>
      <c r="C4262" t="s">
        <v>15</v>
      </c>
      <c r="D4262" s="1">
        <v>43228</v>
      </c>
    </row>
    <row r="4263" spans="1:4" x14ac:dyDescent="0.25">
      <c r="A4263" t="s">
        <v>3044</v>
      </c>
      <c r="C4263" t="s">
        <v>15</v>
      </c>
      <c r="D4263" s="1">
        <v>43228</v>
      </c>
    </row>
    <row r="4264" spans="1:4" x14ac:dyDescent="0.25">
      <c r="A4264" t="s">
        <v>2994</v>
      </c>
      <c r="C4264" t="s">
        <v>15</v>
      </c>
      <c r="D4264" s="1">
        <v>43251</v>
      </c>
    </row>
    <row r="4265" spans="1:4" x14ac:dyDescent="0.25">
      <c r="A4265" t="s">
        <v>1589</v>
      </c>
      <c r="C4265" t="s">
        <v>15</v>
      </c>
      <c r="D4265" s="1">
        <v>43228</v>
      </c>
    </row>
    <row r="4266" spans="1:4" x14ac:dyDescent="0.25">
      <c r="A4266" t="s">
        <v>2882</v>
      </c>
      <c r="C4266" t="s">
        <v>15</v>
      </c>
      <c r="D4266" s="1">
        <v>43247</v>
      </c>
    </row>
    <row r="4267" spans="1:4" x14ac:dyDescent="0.25">
      <c r="A4267" t="s">
        <v>2883</v>
      </c>
      <c r="C4267" t="s">
        <v>15</v>
      </c>
      <c r="D4267" s="1">
        <v>43251</v>
      </c>
    </row>
    <row r="4268" spans="1:4" x14ac:dyDescent="0.25">
      <c r="A4268" t="s">
        <v>2791</v>
      </c>
      <c r="C4268" t="s">
        <v>15</v>
      </c>
      <c r="D4268" s="1">
        <v>43251</v>
      </c>
    </row>
    <row r="4269" spans="1:4" x14ac:dyDescent="0.25">
      <c r="A4269" t="s">
        <v>2996</v>
      </c>
      <c r="C4269" t="s">
        <v>15</v>
      </c>
      <c r="D4269" s="1">
        <v>43228</v>
      </c>
    </row>
    <row r="4270" spans="1:4" x14ac:dyDescent="0.25">
      <c r="A4270" t="s">
        <v>3045</v>
      </c>
      <c r="C4270" t="s">
        <v>15</v>
      </c>
      <c r="D4270" s="1">
        <v>43228</v>
      </c>
    </row>
    <row r="4271" spans="1:4" x14ac:dyDescent="0.25">
      <c r="A4271" t="s">
        <v>2884</v>
      </c>
      <c r="C4271" t="s">
        <v>15</v>
      </c>
      <c r="D4271" s="1">
        <v>43247</v>
      </c>
    </row>
    <row r="4272" spans="1:4" x14ac:dyDescent="0.25">
      <c r="A4272" t="s">
        <v>2885</v>
      </c>
      <c r="C4272" t="s">
        <v>15</v>
      </c>
      <c r="D4272" s="1">
        <v>43228</v>
      </c>
    </row>
    <row r="4273" spans="1:4" x14ac:dyDescent="0.25">
      <c r="A4273" t="s">
        <v>3046</v>
      </c>
      <c r="C4273" t="s">
        <v>15</v>
      </c>
      <c r="D4273" s="1">
        <v>43228</v>
      </c>
    </row>
    <row r="4274" spans="1:4" x14ac:dyDescent="0.25">
      <c r="A4274" t="s">
        <v>1462</v>
      </c>
      <c r="C4274" t="s">
        <v>15</v>
      </c>
      <c r="D4274" s="1">
        <v>43238</v>
      </c>
    </row>
    <row r="4275" spans="1:4" x14ac:dyDescent="0.25">
      <c r="A4275" t="s">
        <v>3047</v>
      </c>
      <c r="C4275" t="s">
        <v>15</v>
      </c>
      <c r="D4275" s="1">
        <v>43223</v>
      </c>
    </row>
    <row r="4276" spans="1:4" x14ac:dyDescent="0.25">
      <c r="A4276" t="s">
        <v>1523</v>
      </c>
      <c r="C4276" t="s">
        <v>15</v>
      </c>
      <c r="D4276" s="1">
        <v>43238</v>
      </c>
    </row>
    <row r="4277" spans="1:4" x14ac:dyDescent="0.25">
      <c r="A4277" t="s">
        <v>3048</v>
      </c>
      <c r="C4277" t="s">
        <v>15</v>
      </c>
      <c r="D4277" s="1">
        <v>43223</v>
      </c>
    </row>
    <row r="4278" spans="1:4" x14ac:dyDescent="0.25">
      <c r="A4278" t="s">
        <v>3049</v>
      </c>
      <c r="C4278" t="s">
        <v>15</v>
      </c>
      <c r="D4278" s="1">
        <v>43223</v>
      </c>
    </row>
    <row r="4279" spans="1:4" x14ac:dyDescent="0.25">
      <c r="A4279" t="s">
        <v>3050</v>
      </c>
      <c r="C4279" t="s">
        <v>15</v>
      </c>
      <c r="D4279" s="1">
        <v>43228</v>
      </c>
    </row>
    <row r="4280" spans="1:4" x14ac:dyDescent="0.25">
      <c r="A4280" t="s">
        <v>2889</v>
      </c>
      <c r="C4280" t="s">
        <v>15</v>
      </c>
      <c r="D4280" s="1">
        <v>43251</v>
      </c>
    </row>
    <row r="4281" spans="1:4" x14ac:dyDescent="0.25">
      <c r="A4281" t="s">
        <v>2890</v>
      </c>
      <c r="C4281" t="s">
        <v>15</v>
      </c>
      <c r="D4281" s="1">
        <v>43234</v>
      </c>
    </row>
    <row r="4282" spans="1:4" x14ac:dyDescent="0.25">
      <c r="A4282" t="s">
        <v>3051</v>
      </c>
      <c r="C4282" t="s">
        <v>15</v>
      </c>
      <c r="D4282" s="1">
        <v>43223</v>
      </c>
    </row>
    <row r="4283" spans="1:4" x14ac:dyDescent="0.25">
      <c r="A4283" t="s">
        <v>3052</v>
      </c>
      <c r="C4283" t="s">
        <v>15</v>
      </c>
      <c r="D4283" s="1">
        <v>43228</v>
      </c>
    </row>
    <row r="4284" spans="1:4" x14ac:dyDescent="0.25">
      <c r="A4284" t="s">
        <v>1576</v>
      </c>
      <c r="C4284" t="s">
        <v>15</v>
      </c>
      <c r="D4284" s="1">
        <v>43241</v>
      </c>
    </row>
    <row r="4285" spans="1:4" x14ac:dyDescent="0.25">
      <c r="A4285" t="s">
        <v>1675</v>
      </c>
      <c r="C4285" t="s">
        <v>15</v>
      </c>
      <c r="D4285" s="1">
        <v>43233</v>
      </c>
    </row>
    <row r="4286" spans="1:4" x14ac:dyDescent="0.25">
      <c r="A4286" t="s">
        <v>1386</v>
      </c>
      <c r="C4286" t="s">
        <v>15</v>
      </c>
      <c r="D4286" s="1">
        <v>43238</v>
      </c>
    </row>
    <row r="4287" spans="1:4" x14ac:dyDescent="0.25">
      <c r="A4287" t="s">
        <v>3053</v>
      </c>
      <c r="C4287" t="s">
        <v>15</v>
      </c>
      <c r="D4287" s="1">
        <v>43223</v>
      </c>
    </row>
    <row r="4288" spans="1:4" x14ac:dyDescent="0.25">
      <c r="A4288" t="s">
        <v>2997</v>
      </c>
      <c r="C4288" t="s">
        <v>15</v>
      </c>
      <c r="D4288" s="1">
        <v>43223</v>
      </c>
    </row>
    <row r="4289" spans="1:4" x14ac:dyDescent="0.25">
      <c r="A4289" t="s">
        <v>3054</v>
      </c>
      <c r="C4289" t="s">
        <v>15</v>
      </c>
      <c r="D4289" s="1">
        <v>43223</v>
      </c>
    </row>
    <row r="4290" spans="1:4" x14ac:dyDescent="0.25">
      <c r="A4290" t="s">
        <v>1645</v>
      </c>
      <c r="C4290" t="s">
        <v>15</v>
      </c>
      <c r="D4290" s="1">
        <v>43241</v>
      </c>
    </row>
    <row r="4291" spans="1:4" x14ac:dyDescent="0.25">
      <c r="A4291" t="s">
        <v>2999</v>
      </c>
      <c r="C4291" t="s">
        <v>15</v>
      </c>
      <c r="D4291" s="1">
        <v>43228</v>
      </c>
    </row>
    <row r="4292" spans="1:4" x14ac:dyDescent="0.25">
      <c r="A4292" t="s">
        <v>2895</v>
      </c>
      <c r="C4292" t="s">
        <v>15</v>
      </c>
      <c r="D4292" s="1">
        <v>43247</v>
      </c>
    </row>
    <row r="4293" spans="1:4" x14ac:dyDescent="0.25">
      <c r="A4293" t="s">
        <v>2896</v>
      </c>
      <c r="C4293" t="s">
        <v>15</v>
      </c>
      <c r="D4293" s="1">
        <v>43228</v>
      </c>
    </row>
    <row r="4294" spans="1:4" x14ac:dyDescent="0.25">
      <c r="A4294" t="s">
        <v>2897</v>
      </c>
      <c r="C4294" t="s">
        <v>15</v>
      </c>
      <c r="D4294" s="1">
        <v>43251</v>
      </c>
    </row>
    <row r="4295" spans="1:4" x14ac:dyDescent="0.25">
      <c r="A4295" t="s">
        <v>2898</v>
      </c>
      <c r="C4295" t="s">
        <v>15</v>
      </c>
      <c r="D4295" s="1">
        <v>43251</v>
      </c>
    </row>
    <row r="4296" spans="1:4" x14ac:dyDescent="0.25">
      <c r="A4296" t="s">
        <v>1641</v>
      </c>
      <c r="C4296" t="s">
        <v>15</v>
      </c>
      <c r="D4296" s="1">
        <v>43241</v>
      </c>
    </row>
    <row r="4297" spans="1:4" x14ac:dyDescent="0.25">
      <c r="A4297" t="s">
        <v>3055</v>
      </c>
      <c r="C4297" t="s">
        <v>15</v>
      </c>
      <c r="D4297" s="1">
        <v>43223</v>
      </c>
    </row>
    <row r="4298" spans="1:4" x14ac:dyDescent="0.25">
      <c r="A4298" t="s">
        <v>3056</v>
      </c>
      <c r="C4298" t="s">
        <v>15</v>
      </c>
      <c r="D4298" s="1">
        <v>43223</v>
      </c>
    </row>
    <row r="4299" spans="1:4" x14ac:dyDescent="0.25">
      <c r="A4299" t="s">
        <v>3057</v>
      </c>
      <c r="C4299" t="s">
        <v>15</v>
      </c>
      <c r="D4299" s="1">
        <v>43223</v>
      </c>
    </row>
    <row r="4300" spans="1:4" x14ac:dyDescent="0.25">
      <c r="A4300" t="s">
        <v>2798</v>
      </c>
      <c r="C4300" t="s">
        <v>15</v>
      </c>
      <c r="D4300" s="1">
        <v>43251</v>
      </c>
    </row>
    <row r="4301" spans="1:4" x14ac:dyDescent="0.25">
      <c r="A4301" t="s">
        <v>2900</v>
      </c>
      <c r="C4301" t="s">
        <v>15</v>
      </c>
      <c r="D4301" s="1">
        <v>43234</v>
      </c>
    </row>
    <row r="4302" spans="1:4" x14ac:dyDescent="0.25">
      <c r="A4302" t="s">
        <v>3058</v>
      </c>
      <c r="C4302" t="s">
        <v>15</v>
      </c>
      <c r="D4302" s="1">
        <v>43223</v>
      </c>
    </row>
    <row r="4303" spans="1:4" x14ac:dyDescent="0.25">
      <c r="A4303" t="s">
        <v>2799</v>
      </c>
      <c r="C4303" t="s">
        <v>15</v>
      </c>
      <c r="D4303" s="1">
        <v>43251</v>
      </c>
    </row>
    <row r="4304" spans="1:4" x14ac:dyDescent="0.25">
      <c r="A4304" t="s">
        <v>3059</v>
      </c>
      <c r="C4304" t="s">
        <v>15</v>
      </c>
      <c r="D4304" s="1">
        <v>43228</v>
      </c>
    </row>
    <row r="4305" spans="1:4" x14ac:dyDescent="0.25">
      <c r="A4305" t="s">
        <v>3060</v>
      </c>
      <c r="C4305" t="s">
        <v>15</v>
      </c>
      <c r="D4305" s="1">
        <v>43223</v>
      </c>
    </row>
    <row r="4306" spans="1:4" x14ac:dyDescent="0.25">
      <c r="A4306" t="s">
        <v>3061</v>
      </c>
      <c r="C4306" t="s">
        <v>15</v>
      </c>
      <c r="D4306" s="1">
        <v>43223</v>
      </c>
    </row>
    <row r="4307" spans="1:4" x14ac:dyDescent="0.25">
      <c r="A4307" t="s">
        <v>3062</v>
      </c>
      <c r="C4307" t="s">
        <v>15</v>
      </c>
      <c r="D4307" s="1">
        <v>43245</v>
      </c>
    </row>
    <row r="4308" spans="1:4" x14ac:dyDescent="0.25">
      <c r="A4308" t="s">
        <v>2904</v>
      </c>
      <c r="C4308" t="s">
        <v>15</v>
      </c>
      <c r="D4308" s="1">
        <v>43251</v>
      </c>
    </row>
    <row r="4309" spans="1:4" x14ac:dyDescent="0.25">
      <c r="A4309" t="s">
        <v>1375</v>
      </c>
      <c r="C4309" t="s">
        <v>15</v>
      </c>
      <c r="D4309" s="1">
        <v>43238</v>
      </c>
    </row>
    <row r="4310" spans="1:4" x14ac:dyDescent="0.25">
      <c r="A4310" t="s">
        <v>3001</v>
      </c>
      <c r="C4310" t="s">
        <v>15</v>
      </c>
      <c r="D4310" s="1">
        <v>43223</v>
      </c>
    </row>
    <row r="4311" spans="1:4" x14ac:dyDescent="0.25">
      <c r="A4311" t="s">
        <v>3063</v>
      </c>
      <c r="C4311" t="s">
        <v>15</v>
      </c>
      <c r="D4311" s="1">
        <v>43228</v>
      </c>
    </row>
    <row r="4312" spans="1:4" x14ac:dyDescent="0.25">
      <c r="A4312" t="s">
        <v>3064</v>
      </c>
      <c r="C4312" t="s">
        <v>15</v>
      </c>
      <c r="D4312" s="1">
        <v>43223</v>
      </c>
    </row>
    <row r="4313" spans="1:4" x14ac:dyDescent="0.25">
      <c r="A4313" t="s">
        <v>3065</v>
      </c>
      <c r="C4313" t="s">
        <v>15</v>
      </c>
      <c r="D4313" s="1">
        <v>43223</v>
      </c>
    </row>
    <row r="4314" spans="1:4" x14ac:dyDescent="0.25">
      <c r="A4314" t="s">
        <v>3066</v>
      </c>
      <c r="C4314" t="s">
        <v>15</v>
      </c>
      <c r="D4314" s="1">
        <v>43223</v>
      </c>
    </row>
    <row r="4315" spans="1:4" x14ac:dyDescent="0.25">
      <c r="A4315" t="s">
        <v>1577</v>
      </c>
      <c r="C4315" t="s">
        <v>15</v>
      </c>
      <c r="D4315" s="1">
        <v>43241</v>
      </c>
    </row>
    <row r="4316" spans="1:4" x14ac:dyDescent="0.25">
      <c r="A4316" t="s">
        <v>3067</v>
      </c>
      <c r="C4316" t="s">
        <v>15</v>
      </c>
      <c r="D4316" s="1">
        <v>43223</v>
      </c>
    </row>
    <row r="4317" spans="1:4" x14ac:dyDescent="0.25">
      <c r="A4317" t="s">
        <v>3068</v>
      </c>
      <c r="C4317" t="s">
        <v>15</v>
      </c>
      <c r="D4317" s="1">
        <v>43223</v>
      </c>
    </row>
    <row r="4318" spans="1:4" x14ac:dyDescent="0.25">
      <c r="A4318" t="s">
        <v>3069</v>
      </c>
      <c r="C4318" t="s">
        <v>15</v>
      </c>
      <c r="D4318" s="1">
        <v>43245</v>
      </c>
    </row>
    <row r="4319" spans="1:4" x14ac:dyDescent="0.25">
      <c r="A4319" t="s">
        <v>3002</v>
      </c>
      <c r="C4319" t="s">
        <v>15</v>
      </c>
      <c r="D4319" s="1">
        <v>43223</v>
      </c>
    </row>
    <row r="4320" spans="1:4" x14ac:dyDescent="0.25">
      <c r="A4320" t="s">
        <v>2906</v>
      </c>
      <c r="C4320" t="s">
        <v>15</v>
      </c>
      <c r="D4320" s="1">
        <v>43247</v>
      </c>
    </row>
    <row r="4321" spans="1:4" x14ac:dyDescent="0.25">
      <c r="A4321" t="s">
        <v>2908</v>
      </c>
      <c r="C4321" t="s">
        <v>15</v>
      </c>
      <c r="D4321" s="1">
        <v>43251</v>
      </c>
    </row>
    <row r="4322" spans="1:4" x14ac:dyDescent="0.25">
      <c r="A4322" t="s">
        <v>2910</v>
      </c>
      <c r="C4322" t="s">
        <v>15</v>
      </c>
      <c r="D4322" s="1">
        <v>43228</v>
      </c>
    </row>
    <row r="4323" spans="1:4" x14ac:dyDescent="0.25">
      <c r="A4323" t="s">
        <v>3070</v>
      </c>
      <c r="C4323" t="s">
        <v>15</v>
      </c>
      <c r="D4323" s="1">
        <v>43223</v>
      </c>
    </row>
    <row r="4324" spans="1:4" x14ac:dyDescent="0.25">
      <c r="A4324" t="s">
        <v>3071</v>
      </c>
      <c r="C4324" t="s">
        <v>15</v>
      </c>
      <c r="D4324" s="1">
        <v>43223</v>
      </c>
    </row>
    <row r="4325" spans="1:4" x14ac:dyDescent="0.25">
      <c r="A4325" t="s">
        <v>3072</v>
      </c>
      <c r="C4325" t="s">
        <v>15</v>
      </c>
      <c r="D4325" s="1">
        <v>43223</v>
      </c>
    </row>
    <row r="4326" spans="1:4" x14ac:dyDescent="0.25">
      <c r="A4326" t="s">
        <v>2805</v>
      </c>
      <c r="C4326" t="s">
        <v>15</v>
      </c>
      <c r="D4326" s="1">
        <v>43251</v>
      </c>
    </row>
    <row r="4327" spans="1:4" x14ac:dyDescent="0.25">
      <c r="A4327" t="s">
        <v>3003</v>
      </c>
      <c r="C4327" t="s">
        <v>15</v>
      </c>
      <c r="D4327" s="1">
        <v>43223</v>
      </c>
    </row>
    <row r="4328" spans="1:4" x14ac:dyDescent="0.25">
      <c r="A4328" t="s">
        <v>3073</v>
      </c>
      <c r="C4328" t="s">
        <v>15</v>
      </c>
      <c r="D4328" s="1">
        <v>43223</v>
      </c>
    </row>
    <row r="4329" spans="1:4" x14ac:dyDescent="0.25">
      <c r="A4329" t="s">
        <v>3004</v>
      </c>
      <c r="C4329" t="s">
        <v>15</v>
      </c>
      <c r="D4329" s="1">
        <v>43223</v>
      </c>
    </row>
    <row r="4330" spans="1:4" x14ac:dyDescent="0.25">
      <c r="A4330" t="s">
        <v>1608</v>
      </c>
      <c r="C4330" t="s">
        <v>15</v>
      </c>
      <c r="D4330" s="1">
        <v>43238</v>
      </c>
    </row>
    <row r="4331" spans="1:4" x14ac:dyDescent="0.25">
      <c r="A4331" t="s">
        <v>3005</v>
      </c>
      <c r="C4331" t="s">
        <v>15</v>
      </c>
      <c r="D4331" s="1">
        <v>43223</v>
      </c>
    </row>
    <row r="4332" spans="1:4" x14ac:dyDescent="0.25">
      <c r="A4332" t="s">
        <v>2912</v>
      </c>
      <c r="C4332" t="s">
        <v>15</v>
      </c>
      <c r="D4332" s="1">
        <v>43247</v>
      </c>
    </row>
    <row r="4333" spans="1:4" x14ac:dyDescent="0.25">
      <c r="A4333" t="s">
        <v>3074</v>
      </c>
      <c r="C4333" t="s">
        <v>15</v>
      </c>
      <c r="D4333" s="1">
        <v>43223</v>
      </c>
    </row>
    <row r="4334" spans="1:4" x14ac:dyDescent="0.25">
      <c r="A4334" t="s">
        <v>3075</v>
      </c>
      <c r="C4334" t="s">
        <v>15</v>
      </c>
      <c r="D4334" s="1">
        <v>43223</v>
      </c>
    </row>
    <row r="4335" spans="1:4" x14ac:dyDescent="0.25">
      <c r="A4335" t="s">
        <v>3076</v>
      </c>
      <c r="C4335" t="s">
        <v>15</v>
      </c>
      <c r="D4335" s="1">
        <v>43223</v>
      </c>
    </row>
    <row r="4336" spans="1:4" x14ac:dyDescent="0.25">
      <c r="A4336" t="s">
        <v>1651</v>
      </c>
      <c r="C4336" t="s">
        <v>15</v>
      </c>
      <c r="D4336" s="1">
        <v>43228</v>
      </c>
    </row>
    <row r="4337" spans="1:4" x14ac:dyDescent="0.25">
      <c r="A4337" t="s">
        <v>3077</v>
      </c>
      <c r="C4337" t="s">
        <v>15</v>
      </c>
      <c r="D4337" s="1">
        <v>43223</v>
      </c>
    </row>
    <row r="4338" spans="1:4" x14ac:dyDescent="0.25">
      <c r="A4338" t="s">
        <v>3078</v>
      </c>
      <c r="C4338" t="s">
        <v>15</v>
      </c>
      <c r="D4338" s="1">
        <v>43223</v>
      </c>
    </row>
    <row r="4339" spans="1:4" x14ac:dyDescent="0.25">
      <c r="A4339" t="s">
        <v>3079</v>
      </c>
      <c r="C4339" t="s">
        <v>15</v>
      </c>
      <c r="D4339" s="1">
        <v>43228</v>
      </c>
    </row>
    <row r="4340" spans="1:4" x14ac:dyDescent="0.25">
      <c r="A4340" t="s">
        <v>3080</v>
      </c>
      <c r="C4340" t="s">
        <v>15</v>
      </c>
      <c r="D4340" s="1">
        <v>43245</v>
      </c>
    </row>
    <row r="4341" spans="1:4" x14ac:dyDescent="0.25">
      <c r="A4341" t="s">
        <v>3007</v>
      </c>
      <c r="C4341" t="s">
        <v>15</v>
      </c>
      <c r="D4341" s="1">
        <v>43228</v>
      </c>
    </row>
    <row r="4342" spans="1:4" x14ac:dyDescent="0.25">
      <c r="A4342" t="s">
        <v>3008</v>
      </c>
      <c r="C4342" t="s">
        <v>15</v>
      </c>
      <c r="D4342" s="1">
        <v>43228</v>
      </c>
    </row>
    <row r="4343" spans="1:4" x14ac:dyDescent="0.25">
      <c r="A4343" t="s">
        <v>3081</v>
      </c>
      <c r="C4343" t="s">
        <v>15</v>
      </c>
      <c r="D4343" s="1">
        <v>43223</v>
      </c>
    </row>
    <row r="4344" spans="1:4" x14ac:dyDescent="0.25">
      <c r="A4344" t="s">
        <v>3082</v>
      </c>
      <c r="C4344" t="s">
        <v>15</v>
      </c>
      <c r="D4344" s="1">
        <v>43223</v>
      </c>
    </row>
    <row r="4345" spans="1:4" x14ac:dyDescent="0.25">
      <c r="A4345" t="s">
        <v>2917</v>
      </c>
      <c r="C4345" t="s">
        <v>15</v>
      </c>
      <c r="D4345" s="1">
        <v>43234</v>
      </c>
    </row>
    <row r="4346" spans="1:4" x14ac:dyDescent="0.25">
      <c r="A4346" t="s">
        <v>3009</v>
      </c>
      <c r="C4346" t="s">
        <v>15</v>
      </c>
      <c r="D4346" s="1">
        <v>43223</v>
      </c>
    </row>
    <row r="4347" spans="1:4" x14ac:dyDescent="0.25">
      <c r="A4347" t="s">
        <v>3010</v>
      </c>
      <c r="C4347" t="s">
        <v>15</v>
      </c>
      <c r="D4347" s="1">
        <v>43228</v>
      </c>
    </row>
    <row r="4348" spans="1:4" x14ac:dyDescent="0.25">
      <c r="A4348" t="s">
        <v>3083</v>
      </c>
      <c r="C4348" t="s">
        <v>15</v>
      </c>
      <c r="D4348" s="1">
        <v>43223</v>
      </c>
    </row>
    <row r="4349" spans="1:4" x14ac:dyDescent="0.25">
      <c r="A4349" t="s">
        <v>3011</v>
      </c>
      <c r="C4349" t="s">
        <v>15</v>
      </c>
      <c r="D4349" s="1">
        <v>43228</v>
      </c>
    </row>
    <row r="4350" spans="1:4" x14ac:dyDescent="0.25">
      <c r="A4350" t="s">
        <v>1597</v>
      </c>
      <c r="C4350" t="s">
        <v>15</v>
      </c>
      <c r="D4350" s="1">
        <v>43228</v>
      </c>
    </row>
    <row r="4351" spans="1:4" x14ac:dyDescent="0.25">
      <c r="A4351" t="s">
        <v>3084</v>
      </c>
      <c r="C4351" t="s">
        <v>15</v>
      </c>
      <c r="D4351" s="1">
        <v>43223</v>
      </c>
    </row>
    <row r="4352" spans="1:4" x14ac:dyDescent="0.25">
      <c r="A4352" t="s">
        <v>3085</v>
      </c>
      <c r="C4352" t="s">
        <v>15</v>
      </c>
      <c r="D4352" s="1">
        <v>43223</v>
      </c>
    </row>
    <row r="4353" spans="1:4" x14ac:dyDescent="0.25">
      <c r="A4353" t="s">
        <v>3086</v>
      </c>
      <c r="C4353" t="s">
        <v>15</v>
      </c>
      <c r="D4353" s="1">
        <v>43223</v>
      </c>
    </row>
    <row r="4354" spans="1:4" x14ac:dyDescent="0.25">
      <c r="A4354" t="s">
        <v>3087</v>
      </c>
      <c r="C4354" t="s">
        <v>15</v>
      </c>
      <c r="D4354" s="1">
        <v>43223</v>
      </c>
    </row>
    <row r="4355" spans="1:4" x14ac:dyDescent="0.25">
      <c r="A4355" t="s">
        <v>3088</v>
      </c>
      <c r="C4355" t="s">
        <v>15</v>
      </c>
      <c r="D4355" s="1">
        <v>43223</v>
      </c>
    </row>
    <row r="4356" spans="1:4" x14ac:dyDescent="0.25">
      <c r="A4356" t="s">
        <v>3089</v>
      </c>
      <c r="C4356" t="s">
        <v>15</v>
      </c>
      <c r="D4356" s="1">
        <v>43223</v>
      </c>
    </row>
    <row r="4357" spans="1:4" x14ac:dyDescent="0.25">
      <c r="A4357" t="s">
        <v>2921</v>
      </c>
      <c r="C4357" t="s">
        <v>15</v>
      </c>
      <c r="D4357" s="1">
        <v>43247</v>
      </c>
    </row>
    <row r="4358" spans="1:4" x14ac:dyDescent="0.25">
      <c r="A4358" t="s">
        <v>3090</v>
      </c>
      <c r="C4358" t="s">
        <v>15</v>
      </c>
      <c r="D4358" s="1">
        <v>43223</v>
      </c>
    </row>
    <row r="4359" spans="1:4" x14ac:dyDescent="0.25">
      <c r="A4359" t="s">
        <v>3014</v>
      </c>
      <c r="C4359" t="s">
        <v>15</v>
      </c>
      <c r="D4359" s="1">
        <v>43251</v>
      </c>
    </row>
    <row r="4360" spans="1:4" x14ac:dyDescent="0.25">
      <c r="A4360" t="s">
        <v>2924</v>
      </c>
      <c r="C4360" t="s">
        <v>15</v>
      </c>
      <c r="D4360" s="1">
        <v>43251</v>
      </c>
    </row>
    <row r="4361" spans="1:4" x14ac:dyDescent="0.25">
      <c r="A4361" t="s">
        <v>2823</v>
      </c>
      <c r="C4361" t="s">
        <v>15</v>
      </c>
      <c r="D4361" s="1">
        <v>43250</v>
      </c>
    </row>
    <row r="4362" spans="1:4" x14ac:dyDescent="0.25">
      <c r="A4362" t="s">
        <v>2824</v>
      </c>
      <c r="C4362" t="s">
        <v>15</v>
      </c>
      <c r="D4362" s="1">
        <v>43250</v>
      </c>
    </row>
    <row r="4363" spans="1:4" x14ac:dyDescent="0.25">
      <c r="A4363" t="s">
        <v>2825</v>
      </c>
      <c r="C4363" t="s">
        <v>15</v>
      </c>
      <c r="D4363" s="1">
        <v>43250</v>
      </c>
    </row>
    <row r="4364" spans="1:4" x14ac:dyDescent="0.25">
      <c r="A4364" t="s">
        <v>3017</v>
      </c>
      <c r="C4364" t="s">
        <v>15</v>
      </c>
      <c r="D4364" s="1">
        <v>43223</v>
      </c>
    </row>
    <row r="4365" spans="1:4" x14ac:dyDescent="0.25">
      <c r="A4365" t="s">
        <v>2826</v>
      </c>
      <c r="C4365" t="s">
        <v>15</v>
      </c>
      <c r="D4365" s="1">
        <v>43250</v>
      </c>
    </row>
    <row r="4366" spans="1:4" x14ac:dyDescent="0.25">
      <c r="A4366" t="s">
        <v>2830</v>
      </c>
      <c r="C4366" t="s">
        <v>15</v>
      </c>
      <c r="D4366" s="1">
        <v>43250</v>
      </c>
    </row>
    <row r="4367" spans="1:4" x14ac:dyDescent="0.25">
      <c r="A4367" t="s">
        <v>2833</v>
      </c>
      <c r="C4367" t="s">
        <v>15</v>
      </c>
      <c r="D4367" s="1">
        <v>43250</v>
      </c>
    </row>
    <row r="4368" spans="1:4" x14ac:dyDescent="0.25">
      <c r="A4368" t="s">
        <v>2657</v>
      </c>
      <c r="C4368" t="s">
        <v>15</v>
      </c>
      <c r="D4368" s="1">
        <v>43228</v>
      </c>
    </row>
    <row r="4369" spans="1:4" x14ac:dyDescent="0.25">
      <c r="A4369" t="s">
        <v>3091</v>
      </c>
      <c r="C4369" t="s">
        <v>15</v>
      </c>
      <c r="D4369" s="1">
        <v>43228</v>
      </c>
    </row>
    <row r="4370" spans="1:4" x14ac:dyDescent="0.25">
      <c r="A4370" t="s">
        <v>3092</v>
      </c>
      <c r="C4370" t="s">
        <v>15</v>
      </c>
      <c r="D4370" s="1">
        <v>43228</v>
      </c>
    </row>
    <row r="4371" spans="1:4" x14ac:dyDescent="0.25">
      <c r="A4371" t="s">
        <v>2844</v>
      </c>
      <c r="C4371" t="s">
        <v>15</v>
      </c>
      <c r="D4371" s="1">
        <v>43251</v>
      </c>
    </row>
    <row r="4372" spans="1:4" x14ac:dyDescent="0.25">
      <c r="A4372" t="s">
        <v>2742</v>
      </c>
      <c r="C4372" t="s">
        <v>15</v>
      </c>
      <c r="D4372" s="1">
        <v>43228</v>
      </c>
    </row>
    <row r="4373" spans="1:4" x14ac:dyDescent="0.25">
      <c r="A4373" t="s">
        <v>2743</v>
      </c>
      <c r="C4373" t="s">
        <v>15</v>
      </c>
      <c r="D4373" s="1">
        <v>43228</v>
      </c>
    </row>
    <row r="4374" spans="1:4" x14ac:dyDescent="0.25">
      <c r="A4374" t="s">
        <v>2744</v>
      </c>
      <c r="C4374" t="s">
        <v>15</v>
      </c>
      <c r="D4374" s="1">
        <v>43228</v>
      </c>
    </row>
    <row r="4375" spans="1:4" x14ac:dyDescent="0.25">
      <c r="A4375" t="s">
        <v>2747</v>
      </c>
      <c r="C4375" t="s">
        <v>15</v>
      </c>
      <c r="D4375" s="1">
        <v>43228</v>
      </c>
    </row>
    <row r="4376" spans="1:4" x14ac:dyDescent="0.25">
      <c r="A4376" t="s">
        <v>2929</v>
      </c>
      <c r="C4376" t="s">
        <v>15</v>
      </c>
      <c r="D4376" s="1">
        <v>43228</v>
      </c>
    </row>
    <row r="4377" spans="1:4" x14ac:dyDescent="0.25">
      <c r="A4377" t="s">
        <v>3093</v>
      </c>
      <c r="C4377" t="s">
        <v>15</v>
      </c>
      <c r="D4377" s="1">
        <v>43228</v>
      </c>
    </row>
    <row r="4378" spans="1:4" x14ac:dyDescent="0.25">
      <c r="A4378" t="s">
        <v>3094</v>
      </c>
      <c r="C4378" t="s">
        <v>15</v>
      </c>
      <c r="D4378" s="1">
        <v>43228</v>
      </c>
    </row>
    <row r="4379" spans="1:4" x14ac:dyDescent="0.25">
      <c r="A4379" t="s">
        <v>3095</v>
      </c>
      <c r="C4379" t="s">
        <v>16</v>
      </c>
      <c r="D4379" s="1">
        <v>43238</v>
      </c>
    </row>
    <row r="4380" spans="1:4" x14ac:dyDescent="0.25">
      <c r="A4380" t="s">
        <v>677</v>
      </c>
      <c r="C4380" t="s">
        <v>16</v>
      </c>
      <c r="D4380" s="1">
        <v>43245</v>
      </c>
    </row>
    <row r="4381" spans="1:4" x14ac:dyDescent="0.25">
      <c r="A4381" t="s">
        <v>2731</v>
      </c>
      <c r="C4381" t="s">
        <v>16</v>
      </c>
      <c r="D4381" s="1">
        <v>43247</v>
      </c>
    </row>
    <row r="4382" spans="1:4" x14ac:dyDescent="0.25">
      <c r="A4382" t="s">
        <v>3096</v>
      </c>
      <c r="C4382" t="s">
        <v>16</v>
      </c>
      <c r="D4382" s="1">
        <v>43245</v>
      </c>
    </row>
    <row r="4383" spans="1:4" x14ac:dyDescent="0.25">
      <c r="A4383" t="s">
        <v>729</v>
      </c>
      <c r="C4383" t="s">
        <v>16</v>
      </c>
      <c r="D4383" s="1">
        <v>43250</v>
      </c>
    </row>
    <row r="4384" spans="1:4" x14ac:dyDescent="0.25">
      <c r="A4384" t="s">
        <v>3097</v>
      </c>
      <c r="C4384" t="s">
        <v>16</v>
      </c>
      <c r="D4384" s="1">
        <v>43250</v>
      </c>
    </row>
    <row r="4385" spans="1:4" x14ac:dyDescent="0.25">
      <c r="A4385" t="s">
        <v>592</v>
      </c>
      <c r="C4385" t="s">
        <v>16</v>
      </c>
      <c r="D4385" s="1">
        <v>43231</v>
      </c>
    </row>
    <row r="4386" spans="1:4" x14ac:dyDescent="0.25">
      <c r="A4386" t="s">
        <v>3098</v>
      </c>
      <c r="C4386" t="s">
        <v>16</v>
      </c>
      <c r="D4386" s="1">
        <v>43245</v>
      </c>
    </row>
    <row r="4387" spans="1:4" x14ac:dyDescent="0.25">
      <c r="A4387" t="s">
        <v>3099</v>
      </c>
      <c r="C4387" t="s">
        <v>16</v>
      </c>
      <c r="D4387" s="1">
        <v>43245</v>
      </c>
    </row>
    <row r="4388" spans="1:4" x14ac:dyDescent="0.25">
      <c r="A4388" t="s">
        <v>3100</v>
      </c>
      <c r="C4388" t="s">
        <v>16</v>
      </c>
      <c r="D4388" s="1">
        <v>43231</v>
      </c>
    </row>
    <row r="4389" spans="1:4" x14ac:dyDescent="0.25">
      <c r="A4389" t="s">
        <v>3101</v>
      </c>
      <c r="C4389" t="s">
        <v>16</v>
      </c>
      <c r="D4389" s="1">
        <v>43231</v>
      </c>
    </row>
    <row r="4390" spans="1:4" x14ac:dyDescent="0.25">
      <c r="A4390" t="s">
        <v>1650</v>
      </c>
      <c r="C4390" t="s">
        <v>16</v>
      </c>
      <c r="D4390" s="1">
        <v>43238</v>
      </c>
    </row>
    <row r="4391" spans="1:4" x14ac:dyDescent="0.25">
      <c r="A4391" t="s">
        <v>753</v>
      </c>
      <c r="C4391" t="s">
        <v>16</v>
      </c>
      <c r="D4391" s="1">
        <v>43236</v>
      </c>
    </row>
    <row r="4392" spans="1:4" x14ac:dyDescent="0.25">
      <c r="A4392" t="s">
        <v>3102</v>
      </c>
      <c r="C4392" t="s">
        <v>16</v>
      </c>
      <c r="D4392" s="1">
        <v>43238</v>
      </c>
    </row>
    <row r="4393" spans="1:4" x14ac:dyDescent="0.25">
      <c r="A4393" t="s">
        <v>627</v>
      </c>
      <c r="C4393" t="s">
        <v>16</v>
      </c>
      <c r="D4393" s="1">
        <v>43245</v>
      </c>
    </row>
    <row r="4394" spans="1:4" x14ac:dyDescent="0.25">
      <c r="A4394" t="s">
        <v>3103</v>
      </c>
      <c r="C4394" t="s">
        <v>16</v>
      </c>
      <c r="D4394" s="1">
        <v>43250</v>
      </c>
    </row>
    <row r="4395" spans="1:4" x14ac:dyDescent="0.25">
      <c r="A4395" t="s">
        <v>3104</v>
      </c>
      <c r="C4395" t="s">
        <v>16</v>
      </c>
      <c r="D4395" s="1">
        <v>43245</v>
      </c>
    </row>
    <row r="4396" spans="1:4" x14ac:dyDescent="0.25">
      <c r="A4396" t="s">
        <v>3105</v>
      </c>
      <c r="C4396" t="s">
        <v>16</v>
      </c>
      <c r="D4396" s="1">
        <v>43241</v>
      </c>
    </row>
    <row r="4397" spans="1:4" x14ac:dyDescent="0.25">
      <c r="A4397" t="s">
        <v>3106</v>
      </c>
      <c r="C4397" t="s">
        <v>16</v>
      </c>
      <c r="D4397" s="1">
        <v>43230</v>
      </c>
    </row>
    <row r="4398" spans="1:4" x14ac:dyDescent="0.25">
      <c r="A4398" t="s">
        <v>3107</v>
      </c>
      <c r="C4398" t="s">
        <v>16</v>
      </c>
      <c r="D4398" s="1">
        <v>43231</v>
      </c>
    </row>
    <row r="4399" spans="1:4" x14ac:dyDescent="0.25">
      <c r="A4399" t="s">
        <v>3108</v>
      </c>
      <c r="C4399" t="s">
        <v>16</v>
      </c>
      <c r="D4399" s="1">
        <v>43250</v>
      </c>
    </row>
    <row r="4400" spans="1:4" x14ac:dyDescent="0.25">
      <c r="A4400" t="s">
        <v>3109</v>
      </c>
      <c r="C4400" t="s">
        <v>16</v>
      </c>
      <c r="D4400" s="1">
        <v>43250</v>
      </c>
    </row>
    <row r="4401" spans="1:4" x14ac:dyDescent="0.25">
      <c r="A4401" t="s">
        <v>3110</v>
      </c>
      <c r="C4401" t="s">
        <v>16</v>
      </c>
      <c r="D4401" s="1">
        <v>43250</v>
      </c>
    </row>
    <row r="4402" spans="1:4" x14ac:dyDescent="0.25">
      <c r="A4402" t="s">
        <v>2726</v>
      </c>
      <c r="C4402" t="s">
        <v>16</v>
      </c>
      <c r="D4402" s="1">
        <v>43247</v>
      </c>
    </row>
    <row r="4403" spans="1:4" x14ac:dyDescent="0.25">
      <c r="A4403" t="s">
        <v>3111</v>
      </c>
      <c r="C4403" t="s">
        <v>16</v>
      </c>
      <c r="D4403" s="1">
        <v>43224</v>
      </c>
    </row>
    <row r="4404" spans="1:4" x14ac:dyDescent="0.25">
      <c r="A4404" t="s">
        <v>955</v>
      </c>
      <c r="C4404" t="s">
        <v>16</v>
      </c>
      <c r="D4404" s="1">
        <v>43238</v>
      </c>
    </row>
    <row r="4405" spans="1:4" x14ac:dyDescent="0.25">
      <c r="A4405" t="s">
        <v>1300</v>
      </c>
      <c r="C4405" t="s">
        <v>16</v>
      </c>
      <c r="D4405" s="1">
        <v>43231</v>
      </c>
    </row>
    <row r="4406" spans="1:4" x14ac:dyDescent="0.25">
      <c r="A4406" t="s">
        <v>3112</v>
      </c>
      <c r="C4406" t="s">
        <v>16</v>
      </c>
      <c r="D4406" s="1">
        <v>43238</v>
      </c>
    </row>
    <row r="4407" spans="1:4" x14ac:dyDescent="0.25">
      <c r="A4407" t="s">
        <v>547</v>
      </c>
      <c r="C4407" t="s">
        <v>16</v>
      </c>
      <c r="D4407" s="1">
        <v>43250</v>
      </c>
    </row>
    <row r="4408" spans="1:4" x14ac:dyDescent="0.25">
      <c r="A4408" t="s">
        <v>3113</v>
      </c>
      <c r="C4408" t="s">
        <v>16</v>
      </c>
      <c r="D4408" s="1">
        <v>43250</v>
      </c>
    </row>
    <row r="4409" spans="1:4" x14ac:dyDescent="0.25">
      <c r="A4409" t="s">
        <v>656</v>
      </c>
      <c r="C4409" t="s">
        <v>16</v>
      </c>
      <c r="D4409" s="1">
        <v>43250</v>
      </c>
    </row>
    <row r="4410" spans="1:4" x14ac:dyDescent="0.25">
      <c r="A4410" t="s">
        <v>3114</v>
      </c>
      <c r="C4410" t="s">
        <v>16</v>
      </c>
      <c r="D4410" s="1">
        <v>43245</v>
      </c>
    </row>
    <row r="4411" spans="1:4" x14ac:dyDescent="0.25">
      <c r="A4411" t="s">
        <v>3115</v>
      </c>
      <c r="C4411" t="s">
        <v>16</v>
      </c>
      <c r="D4411" s="1">
        <v>43230</v>
      </c>
    </row>
    <row r="4412" spans="1:4" x14ac:dyDescent="0.25">
      <c r="A4412" t="s">
        <v>3116</v>
      </c>
      <c r="C4412" t="s">
        <v>16</v>
      </c>
      <c r="D4412" s="1">
        <v>43230</v>
      </c>
    </row>
    <row r="4413" spans="1:4" x14ac:dyDescent="0.25">
      <c r="A4413" t="s">
        <v>849</v>
      </c>
      <c r="C4413" t="s">
        <v>16</v>
      </c>
      <c r="D4413" s="1">
        <v>43251</v>
      </c>
    </row>
    <row r="4414" spans="1:4" x14ac:dyDescent="0.25">
      <c r="A4414" t="s">
        <v>3117</v>
      </c>
      <c r="C4414" t="s">
        <v>16</v>
      </c>
      <c r="D4414" s="1">
        <v>43250</v>
      </c>
    </row>
    <row r="4415" spans="1:4" x14ac:dyDescent="0.25">
      <c r="A4415" t="s">
        <v>3118</v>
      </c>
      <c r="C4415" t="s">
        <v>16</v>
      </c>
      <c r="D4415" s="1">
        <v>43245</v>
      </c>
    </row>
    <row r="4416" spans="1:4" x14ac:dyDescent="0.25">
      <c r="A4416" t="s">
        <v>3119</v>
      </c>
      <c r="C4416" t="s">
        <v>16</v>
      </c>
      <c r="D4416" s="1">
        <v>43250</v>
      </c>
    </row>
    <row r="4417" spans="1:4" x14ac:dyDescent="0.25">
      <c r="A4417" t="s">
        <v>841</v>
      </c>
      <c r="C4417" t="s">
        <v>16</v>
      </c>
      <c r="D4417" s="1">
        <v>43230</v>
      </c>
    </row>
    <row r="4418" spans="1:4" x14ac:dyDescent="0.25">
      <c r="A4418" t="s">
        <v>3120</v>
      </c>
      <c r="C4418" t="s">
        <v>16</v>
      </c>
      <c r="D4418" s="1">
        <v>43237</v>
      </c>
    </row>
    <row r="4419" spans="1:4" x14ac:dyDescent="0.25">
      <c r="A4419" t="s">
        <v>1122</v>
      </c>
      <c r="C4419" t="s">
        <v>16</v>
      </c>
      <c r="D4419" s="1">
        <v>43245</v>
      </c>
    </row>
    <row r="4420" spans="1:4" x14ac:dyDescent="0.25">
      <c r="A4420" t="s">
        <v>3121</v>
      </c>
      <c r="C4420" t="s">
        <v>16</v>
      </c>
      <c r="D4420" s="1">
        <v>43238</v>
      </c>
    </row>
    <row r="4421" spans="1:4" x14ac:dyDescent="0.25">
      <c r="A4421" t="s">
        <v>559</v>
      </c>
      <c r="C4421" t="s">
        <v>16</v>
      </c>
      <c r="D4421" s="1">
        <v>43245</v>
      </c>
    </row>
    <row r="4422" spans="1:4" x14ac:dyDescent="0.25">
      <c r="A4422" t="s">
        <v>3122</v>
      </c>
      <c r="C4422" t="s">
        <v>16</v>
      </c>
      <c r="D4422" s="1">
        <v>43237</v>
      </c>
    </row>
    <row r="4423" spans="1:4" x14ac:dyDescent="0.25">
      <c r="A4423" t="s">
        <v>715</v>
      </c>
      <c r="C4423" t="s">
        <v>16</v>
      </c>
      <c r="D4423" s="1">
        <v>43233</v>
      </c>
    </row>
    <row r="4424" spans="1:4" x14ac:dyDescent="0.25">
      <c r="A4424" t="s">
        <v>573</v>
      </c>
      <c r="C4424" t="s">
        <v>16</v>
      </c>
      <c r="D4424" s="1">
        <v>43250</v>
      </c>
    </row>
    <row r="4425" spans="1:4" x14ac:dyDescent="0.25">
      <c r="A4425" t="s">
        <v>3123</v>
      </c>
      <c r="C4425" t="s">
        <v>16</v>
      </c>
      <c r="D4425" s="1">
        <v>43230</v>
      </c>
    </row>
    <row r="4426" spans="1:4" x14ac:dyDescent="0.25">
      <c r="A4426" t="s">
        <v>227</v>
      </c>
      <c r="C4426" t="s">
        <v>16</v>
      </c>
      <c r="D4426" s="1">
        <v>43231</v>
      </c>
    </row>
    <row r="4427" spans="1:4" x14ac:dyDescent="0.25">
      <c r="A4427" t="s">
        <v>770</v>
      </c>
      <c r="C4427" t="s">
        <v>16</v>
      </c>
      <c r="D4427" s="1">
        <v>43231</v>
      </c>
    </row>
    <row r="4428" spans="1:4" x14ac:dyDescent="0.25">
      <c r="A4428" t="s">
        <v>1425</v>
      </c>
      <c r="C4428" t="s">
        <v>16</v>
      </c>
      <c r="D4428" s="1">
        <v>43237</v>
      </c>
    </row>
    <row r="4429" spans="1:4" x14ac:dyDescent="0.25">
      <c r="A4429" t="s">
        <v>2555</v>
      </c>
      <c r="C4429" t="s">
        <v>16</v>
      </c>
      <c r="D4429" s="1">
        <v>43237</v>
      </c>
    </row>
    <row r="4430" spans="1:4" x14ac:dyDescent="0.25">
      <c r="A4430" t="s">
        <v>815</v>
      </c>
      <c r="C4430" t="s">
        <v>16</v>
      </c>
      <c r="D4430" s="1">
        <v>43230</v>
      </c>
    </row>
    <row r="4431" spans="1:4" x14ac:dyDescent="0.25">
      <c r="A4431" t="s">
        <v>3124</v>
      </c>
      <c r="C4431" t="s">
        <v>16</v>
      </c>
      <c r="D4431" s="1">
        <v>43250</v>
      </c>
    </row>
    <row r="4432" spans="1:4" x14ac:dyDescent="0.25">
      <c r="A4432" t="s">
        <v>3125</v>
      </c>
      <c r="C4432" t="s">
        <v>16</v>
      </c>
      <c r="D4432" s="1">
        <v>43230</v>
      </c>
    </row>
    <row r="4433" spans="1:4" x14ac:dyDescent="0.25">
      <c r="A4433" t="s">
        <v>1160</v>
      </c>
      <c r="C4433" t="s">
        <v>16</v>
      </c>
      <c r="D4433" s="1">
        <v>43231</v>
      </c>
    </row>
    <row r="4434" spans="1:4" x14ac:dyDescent="0.25">
      <c r="A4434" t="s">
        <v>723</v>
      </c>
      <c r="C4434" t="s">
        <v>16</v>
      </c>
      <c r="D4434" s="1">
        <v>43250</v>
      </c>
    </row>
    <row r="4435" spans="1:4" x14ac:dyDescent="0.25">
      <c r="A4435" t="s">
        <v>331</v>
      </c>
      <c r="C4435" t="s">
        <v>16</v>
      </c>
      <c r="D4435" s="1">
        <v>43231</v>
      </c>
    </row>
    <row r="4436" spans="1:4" x14ac:dyDescent="0.25">
      <c r="A4436" t="s">
        <v>872</v>
      </c>
      <c r="C4436" t="s">
        <v>16</v>
      </c>
      <c r="D4436" s="1">
        <v>43245</v>
      </c>
    </row>
    <row r="4437" spans="1:4" x14ac:dyDescent="0.25">
      <c r="A4437" t="s">
        <v>3126</v>
      </c>
      <c r="C4437" t="s">
        <v>16</v>
      </c>
      <c r="D4437" s="1">
        <v>43245</v>
      </c>
    </row>
    <row r="4438" spans="1:4" x14ac:dyDescent="0.25">
      <c r="A4438" t="s">
        <v>1424</v>
      </c>
      <c r="C4438" t="s">
        <v>16</v>
      </c>
      <c r="D4438" s="1">
        <v>43237</v>
      </c>
    </row>
    <row r="4439" spans="1:4" x14ac:dyDescent="0.25">
      <c r="A4439" t="s">
        <v>3127</v>
      </c>
      <c r="C4439" t="s">
        <v>16</v>
      </c>
      <c r="D4439" s="1">
        <v>43230</v>
      </c>
    </row>
    <row r="4440" spans="1:4" x14ac:dyDescent="0.25">
      <c r="A4440" t="s">
        <v>3128</v>
      </c>
      <c r="C4440" t="s">
        <v>16</v>
      </c>
      <c r="D4440" s="1">
        <v>43231</v>
      </c>
    </row>
    <row r="4441" spans="1:4" x14ac:dyDescent="0.25">
      <c r="A4441" t="s">
        <v>3129</v>
      </c>
      <c r="C4441" t="s">
        <v>16</v>
      </c>
      <c r="D4441" s="1">
        <v>43250</v>
      </c>
    </row>
    <row r="4442" spans="1:4" x14ac:dyDescent="0.25">
      <c r="A4442" t="s">
        <v>756</v>
      </c>
      <c r="C4442" t="s">
        <v>16</v>
      </c>
      <c r="D4442" s="1">
        <v>43250</v>
      </c>
    </row>
    <row r="4443" spans="1:4" x14ac:dyDescent="0.25">
      <c r="A4443" t="s">
        <v>253</v>
      </c>
      <c r="C4443" t="s">
        <v>16</v>
      </c>
      <c r="D4443" s="1">
        <v>43231</v>
      </c>
    </row>
    <row r="4444" spans="1:4" x14ac:dyDescent="0.25">
      <c r="A4444" t="s">
        <v>3130</v>
      </c>
      <c r="C4444" t="s">
        <v>16</v>
      </c>
      <c r="D4444" s="1">
        <v>43231</v>
      </c>
    </row>
    <row r="4445" spans="1:4" x14ac:dyDescent="0.25">
      <c r="A4445" t="s">
        <v>3131</v>
      </c>
      <c r="C4445" t="s">
        <v>16</v>
      </c>
      <c r="D4445" s="1">
        <v>43231</v>
      </c>
    </row>
    <row r="4446" spans="1:4" x14ac:dyDescent="0.25">
      <c r="A4446" t="s">
        <v>1579</v>
      </c>
      <c r="C4446" t="s">
        <v>16</v>
      </c>
      <c r="D4446" s="1">
        <v>43238</v>
      </c>
    </row>
    <row r="4447" spans="1:4" x14ac:dyDescent="0.25">
      <c r="A4447" t="s">
        <v>1357</v>
      </c>
      <c r="C4447" t="s">
        <v>16</v>
      </c>
      <c r="D4447" s="1">
        <v>43231</v>
      </c>
    </row>
    <row r="4448" spans="1:4" x14ac:dyDescent="0.25">
      <c r="A4448" t="s">
        <v>1088</v>
      </c>
      <c r="C4448" t="s">
        <v>16</v>
      </c>
      <c r="D4448" s="1">
        <v>43231</v>
      </c>
    </row>
    <row r="4449" spans="1:4" x14ac:dyDescent="0.25">
      <c r="A4449" t="s">
        <v>1488</v>
      </c>
      <c r="C4449" t="s">
        <v>16</v>
      </c>
      <c r="D4449" s="1">
        <v>43250</v>
      </c>
    </row>
    <row r="4450" spans="1:4" x14ac:dyDescent="0.25">
      <c r="A4450" t="s">
        <v>810</v>
      </c>
      <c r="C4450" t="s">
        <v>16</v>
      </c>
      <c r="D4450" s="1">
        <v>43245</v>
      </c>
    </row>
    <row r="4451" spans="1:4" x14ac:dyDescent="0.25">
      <c r="A4451" t="s">
        <v>682</v>
      </c>
      <c r="C4451" t="s">
        <v>16</v>
      </c>
      <c r="D4451" s="1">
        <v>43250</v>
      </c>
    </row>
    <row r="4452" spans="1:4" x14ac:dyDescent="0.25">
      <c r="A4452" t="s">
        <v>3132</v>
      </c>
      <c r="C4452" t="s">
        <v>16</v>
      </c>
      <c r="D4452" s="1">
        <v>43231</v>
      </c>
    </row>
    <row r="4453" spans="1:4" x14ac:dyDescent="0.25">
      <c r="A4453" t="s">
        <v>3133</v>
      </c>
      <c r="C4453" t="s">
        <v>16</v>
      </c>
      <c r="D4453" s="1">
        <v>43245</v>
      </c>
    </row>
    <row r="4454" spans="1:4" x14ac:dyDescent="0.25">
      <c r="A4454" t="s">
        <v>3134</v>
      </c>
      <c r="C4454" t="s">
        <v>16</v>
      </c>
      <c r="D4454" s="1">
        <v>43246</v>
      </c>
    </row>
    <row r="4455" spans="1:4" x14ac:dyDescent="0.25">
      <c r="A4455" t="s">
        <v>3135</v>
      </c>
      <c r="C4455" t="s">
        <v>16</v>
      </c>
      <c r="D4455" s="1">
        <v>43233</v>
      </c>
    </row>
    <row r="4456" spans="1:4" x14ac:dyDescent="0.25">
      <c r="A4456" t="s">
        <v>3136</v>
      </c>
      <c r="C4456" t="s">
        <v>16</v>
      </c>
      <c r="D4456" s="1">
        <v>43230</v>
      </c>
    </row>
    <row r="4457" spans="1:4" x14ac:dyDescent="0.25">
      <c r="A4457" t="s">
        <v>3137</v>
      </c>
      <c r="C4457" t="s">
        <v>16</v>
      </c>
      <c r="D4457" s="1">
        <v>43245</v>
      </c>
    </row>
    <row r="4458" spans="1:4" x14ac:dyDescent="0.25">
      <c r="A4458" t="s">
        <v>3138</v>
      </c>
      <c r="C4458" t="s">
        <v>16</v>
      </c>
      <c r="D4458" s="1">
        <v>43233</v>
      </c>
    </row>
    <row r="4459" spans="1:4" x14ac:dyDescent="0.25">
      <c r="A4459" t="s">
        <v>3139</v>
      </c>
      <c r="C4459" t="s">
        <v>16</v>
      </c>
      <c r="D4459" s="1">
        <v>43248</v>
      </c>
    </row>
    <row r="4460" spans="1:4" x14ac:dyDescent="0.25">
      <c r="A4460" t="s">
        <v>3140</v>
      </c>
      <c r="C4460" t="s">
        <v>16</v>
      </c>
      <c r="D4460" s="1">
        <v>43246</v>
      </c>
    </row>
    <row r="4461" spans="1:4" x14ac:dyDescent="0.25">
      <c r="A4461" t="s">
        <v>3141</v>
      </c>
      <c r="C4461" t="s">
        <v>16</v>
      </c>
      <c r="D4461" s="1">
        <v>43246</v>
      </c>
    </row>
    <row r="4462" spans="1:4" x14ac:dyDescent="0.25">
      <c r="A4462" t="s">
        <v>3142</v>
      </c>
      <c r="C4462" t="s">
        <v>16</v>
      </c>
      <c r="D4462" s="1">
        <v>43233</v>
      </c>
    </row>
    <row r="4463" spans="1:4" x14ac:dyDescent="0.25">
      <c r="A4463" t="s">
        <v>3143</v>
      </c>
      <c r="C4463" t="s">
        <v>16</v>
      </c>
      <c r="D4463" s="1">
        <v>43246</v>
      </c>
    </row>
    <row r="4464" spans="1:4" x14ac:dyDescent="0.25">
      <c r="A4464" t="s">
        <v>3144</v>
      </c>
      <c r="C4464" t="s">
        <v>16</v>
      </c>
      <c r="D4464" s="1">
        <v>43245</v>
      </c>
    </row>
    <row r="4465" spans="1:4" x14ac:dyDescent="0.25">
      <c r="A4465" t="s">
        <v>3145</v>
      </c>
      <c r="C4465" t="s">
        <v>16</v>
      </c>
      <c r="D4465" s="1">
        <v>43230</v>
      </c>
    </row>
    <row r="4466" spans="1:4" x14ac:dyDescent="0.25">
      <c r="A4466" t="s">
        <v>3146</v>
      </c>
      <c r="C4466" t="s">
        <v>16</v>
      </c>
      <c r="D4466" s="1">
        <v>43246</v>
      </c>
    </row>
    <row r="4467" spans="1:4" x14ac:dyDescent="0.25">
      <c r="A4467" t="s">
        <v>2853</v>
      </c>
      <c r="C4467" t="s">
        <v>16</v>
      </c>
      <c r="D4467" s="1">
        <v>43221</v>
      </c>
    </row>
    <row r="4468" spans="1:4" x14ac:dyDescent="0.25">
      <c r="A4468" t="s">
        <v>3147</v>
      </c>
      <c r="C4468" t="s">
        <v>16</v>
      </c>
      <c r="D4468" s="1">
        <v>43248</v>
      </c>
    </row>
    <row r="4469" spans="1:4" x14ac:dyDescent="0.25">
      <c r="A4469" t="s">
        <v>3148</v>
      </c>
      <c r="C4469" t="s">
        <v>16</v>
      </c>
      <c r="D4469" s="1">
        <v>43246</v>
      </c>
    </row>
    <row r="4470" spans="1:4" x14ac:dyDescent="0.25">
      <c r="A4470" t="s">
        <v>3149</v>
      </c>
      <c r="C4470" t="s">
        <v>16</v>
      </c>
      <c r="D4470" s="1">
        <v>43246</v>
      </c>
    </row>
    <row r="4471" spans="1:4" x14ac:dyDescent="0.25">
      <c r="A4471" t="s">
        <v>3150</v>
      </c>
      <c r="C4471" t="s">
        <v>16</v>
      </c>
      <c r="D4471" s="1">
        <v>43246</v>
      </c>
    </row>
    <row r="4472" spans="1:4" x14ac:dyDescent="0.25">
      <c r="A4472" t="s">
        <v>3151</v>
      </c>
      <c r="C4472" t="s">
        <v>16</v>
      </c>
      <c r="D4472" s="1">
        <v>43246</v>
      </c>
    </row>
    <row r="4473" spans="1:4" x14ac:dyDescent="0.25">
      <c r="A4473" t="s">
        <v>3152</v>
      </c>
      <c r="C4473" t="s">
        <v>16</v>
      </c>
      <c r="D4473" s="1">
        <v>43233</v>
      </c>
    </row>
    <row r="4474" spans="1:4" x14ac:dyDescent="0.25">
      <c r="A4474" t="s">
        <v>3153</v>
      </c>
      <c r="C4474" t="s">
        <v>16</v>
      </c>
      <c r="D4474" s="1">
        <v>43246</v>
      </c>
    </row>
    <row r="4475" spans="1:4" x14ac:dyDescent="0.25">
      <c r="A4475" t="s">
        <v>3154</v>
      </c>
      <c r="C4475" t="s">
        <v>16</v>
      </c>
      <c r="D4475" s="1">
        <v>43246</v>
      </c>
    </row>
    <row r="4476" spans="1:4" x14ac:dyDescent="0.25">
      <c r="A4476" t="s">
        <v>2854</v>
      </c>
      <c r="C4476" t="s">
        <v>16</v>
      </c>
      <c r="D4476" s="1">
        <v>43221</v>
      </c>
    </row>
    <row r="4477" spans="1:4" x14ac:dyDescent="0.25">
      <c r="A4477" t="s">
        <v>3155</v>
      </c>
      <c r="C4477" t="s">
        <v>16</v>
      </c>
      <c r="D4477" s="1">
        <v>43248</v>
      </c>
    </row>
    <row r="4478" spans="1:4" x14ac:dyDescent="0.25">
      <c r="A4478" t="s">
        <v>3156</v>
      </c>
      <c r="C4478" t="s">
        <v>16</v>
      </c>
      <c r="D4478" s="1">
        <v>43246</v>
      </c>
    </row>
    <row r="4479" spans="1:4" x14ac:dyDescent="0.25">
      <c r="A4479" t="s">
        <v>3157</v>
      </c>
      <c r="C4479" t="s">
        <v>16</v>
      </c>
      <c r="D4479" s="1">
        <v>43246</v>
      </c>
    </row>
    <row r="4480" spans="1:4" x14ac:dyDescent="0.25">
      <c r="A4480" t="s">
        <v>3158</v>
      </c>
      <c r="C4480" t="s">
        <v>16</v>
      </c>
      <c r="D4480" s="1">
        <v>43233</v>
      </c>
    </row>
    <row r="4481" spans="1:4" x14ac:dyDescent="0.25">
      <c r="A4481" t="s">
        <v>2825</v>
      </c>
      <c r="C4481" t="s">
        <v>16</v>
      </c>
      <c r="D4481" s="1">
        <v>43245</v>
      </c>
    </row>
    <row r="4482" spans="1:4" x14ac:dyDescent="0.25">
      <c r="A4482" t="s">
        <v>3159</v>
      </c>
      <c r="C4482" t="s">
        <v>16</v>
      </c>
      <c r="D4482" s="1">
        <v>43230</v>
      </c>
    </row>
    <row r="4483" spans="1:4" x14ac:dyDescent="0.25">
      <c r="A4483" t="s">
        <v>3160</v>
      </c>
      <c r="C4483" t="s">
        <v>16</v>
      </c>
      <c r="D4483" s="1">
        <v>43246</v>
      </c>
    </row>
    <row r="4484" spans="1:4" x14ac:dyDescent="0.25">
      <c r="A4484" t="s">
        <v>3161</v>
      </c>
      <c r="C4484" t="s">
        <v>16</v>
      </c>
      <c r="D4484" s="1">
        <v>43243</v>
      </c>
    </row>
    <row r="4485" spans="1:4" x14ac:dyDescent="0.25">
      <c r="A4485" t="s">
        <v>3162</v>
      </c>
      <c r="C4485" t="s">
        <v>16</v>
      </c>
      <c r="D4485" s="1">
        <v>43246</v>
      </c>
    </row>
    <row r="4486" spans="1:4" x14ac:dyDescent="0.25">
      <c r="A4486" t="s">
        <v>3163</v>
      </c>
      <c r="C4486" t="s">
        <v>16</v>
      </c>
      <c r="D4486" s="1">
        <v>43246</v>
      </c>
    </row>
    <row r="4487" spans="1:4" x14ac:dyDescent="0.25">
      <c r="A4487" t="s">
        <v>2757</v>
      </c>
      <c r="C4487" t="s">
        <v>16</v>
      </c>
      <c r="D4487" s="1">
        <v>43221</v>
      </c>
    </row>
    <row r="4488" spans="1:4" x14ac:dyDescent="0.25">
      <c r="A4488" t="s">
        <v>3164</v>
      </c>
      <c r="C4488" t="s">
        <v>16</v>
      </c>
      <c r="D4488" s="1">
        <v>43233</v>
      </c>
    </row>
    <row r="4489" spans="1:4" x14ac:dyDescent="0.25">
      <c r="A4489" t="s">
        <v>3165</v>
      </c>
      <c r="C4489" t="s">
        <v>16</v>
      </c>
      <c r="D4489" s="1">
        <v>43243</v>
      </c>
    </row>
    <row r="4490" spans="1:4" x14ac:dyDescent="0.25">
      <c r="A4490" t="s">
        <v>3166</v>
      </c>
      <c r="C4490" t="s">
        <v>16</v>
      </c>
      <c r="D4490" s="1">
        <v>43246</v>
      </c>
    </row>
    <row r="4491" spans="1:4" x14ac:dyDescent="0.25">
      <c r="A4491" t="s">
        <v>3167</v>
      </c>
      <c r="C4491" t="s">
        <v>16</v>
      </c>
      <c r="D4491" s="1">
        <v>43246</v>
      </c>
    </row>
    <row r="4492" spans="1:4" x14ac:dyDescent="0.25">
      <c r="A4492" t="s">
        <v>3168</v>
      </c>
      <c r="C4492" t="s">
        <v>16</v>
      </c>
      <c r="D4492" s="1">
        <v>43246</v>
      </c>
    </row>
    <row r="4493" spans="1:4" x14ac:dyDescent="0.25">
      <c r="A4493" t="s">
        <v>3169</v>
      </c>
      <c r="C4493" t="s">
        <v>16</v>
      </c>
      <c r="D4493" s="1">
        <v>43246</v>
      </c>
    </row>
    <row r="4494" spans="1:4" x14ac:dyDescent="0.25">
      <c r="A4494" t="s">
        <v>3170</v>
      </c>
      <c r="C4494" t="s">
        <v>16</v>
      </c>
      <c r="D4494" s="1">
        <v>43246</v>
      </c>
    </row>
    <row r="4495" spans="1:4" x14ac:dyDescent="0.25">
      <c r="A4495" t="s">
        <v>3171</v>
      </c>
      <c r="C4495" t="s">
        <v>16</v>
      </c>
      <c r="D4495" s="1">
        <v>43246</v>
      </c>
    </row>
    <row r="4496" spans="1:4" x14ac:dyDescent="0.25">
      <c r="A4496" t="s">
        <v>3172</v>
      </c>
      <c r="C4496" t="s">
        <v>16</v>
      </c>
      <c r="D4496" s="1">
        <v>43246</v>
      </c>
    </row>
    <row r="4497" spans="1:4" x14ac:dyDescent="0.25">
      <c r="A4497" t="s">
        <v>3173</v>
      </c>
      <c r="C4497" t="s">
        <v>16</v>
      </c>
      <c r="D4497" s="1">
        <v>43246</v>
      </c>
    </row>
    <row r="4498" spans="1:4" x14ac:dyDescent="0.25">
      <c r="A4498" t="s">
        <v>3174</v>
      </c>
      <c r="C4498" t="s">
        <v>16</v>
      </c>
      <c r="D4498" s="1">
        <v>43245</v>
      </c>
    </row>
    <row r="4499" spans="1:4" x14ac:dyDescent="0.25">
      <c r="A4499" t="s">
        <v>3175</v>
      </c>
      <c r="C4499" t="s">
        <v>16</v>
      </c>
      <c r="D4499" s="1">
        <v>43233</v>
      </c>
    </row>
    <row r="4500" spans="1:4" x14ac:dyDescent="0.25">
      <c r="A4500" t="s">
        <v>3176</v>
      </c>
      <c r="C4500" t="s">
        <v>16</v>
      </c>
      <c r="D4500" s="1">
        <v>43248</v>
      </c>
    </row>
    <row r="4501" spans="1:4" x14ac:dyDescent="0.25">
      <c r="A4501" t="s">
        <v>3177</v>
      </c>
      <c r="C4501" t="s">
        <v>16</v>
      </c>
      <c r="D4501" s="1">
        <v>43246</v>
      </c>
    </row>
    <row r="4502" spans="1:4" x14ac:dyDescent="0.25">
      <c r="A4502" t="s">
        <v>3178</v>
      </c>
      <c r="C4502" t="s">
        <v>16</v>
      </c>
      <c r="D4502" s="1">
        <v>43243</v>
      </c>
    </row>
    <row r="4503" spans="1:4" x14ac:dyDescent="0.25">
      <c r="A4503" t="s">
        <v>3179</v>
      </c>
      <c r="C4503" t="s">
        <v>16</v>
      </c>
      <c r="D4503" s="1">
        <v>43246</v>
      </c>
    </row>
    <row r="4504" spans="1:4" x14ac:dyDescent="0.25">
      <c r="A4504" t="s">
        <v>3180</v>
      </c>
      <c r="C4504" t="s">
        <v>16</v>
      </c>
      <c r="D4504" s="1">
        <v>43246</v>
      </c>
    </row>
    <row r="4505" spans="1:4" x14ac:dyDescent="0.25">
      <c r="A4505" t="s">
        <v>3181</v>
      </c>
      <c r="C4505" t="s">
        <v>16</v>
      </c>
      <c r="D4505" s="1">
        <v>43246</v>
      </c>
    </row>
    <row r="4506" spans="1:4" x14ac:dyDescent="0.25">
      <c r="A4506" t="s">
        <v>3182</v>
      </c>
      <c r="C4506" t="s">
        <v>16</v>
      </c>
      <c r="D4506" s="1">
        <v>43246</v>
      </c>
    </row>
    <row r="4507" spans="1:4" x14ac:dyDescent="0.25">
      <c r="A4507" t="s">
        <v>3183</v>
      </c>
      <c r="C4507" t="s">
        <v>16</v>
      </c>
      <c r="D4507" s="1">
        <v>43246</v>
      </c>
    </row>
    <row r="4508" spans="1:4" x14ac:dyDescent="0.25">
      <c r="A4508" t="s">
        <v>3184</v>
      </c>
      <c r="C4508" t="s">
        <v>16</v>
      </c>
      <c r="D4508" s="1">
        <v>43233</v>
      </c>
    </row>
    <row r="4509" spans="1:4" x14ac:dyDescent="0.25">
      <c r="A4509" t="s">
        <v>3185</v>
      </c>
      <c r="C4509" t="s">
        <v>16</v>
      </c>
      <c r="D4509" s="1">
        <v>43233</v>
      </c>
    </row>
    <row r="4510" spans="1:4" x14ac:dyDescent="0.25">
      <c r="A4510" t="s">
        <v>3186</v>
      </c>
      <c r="C4510" t="s">
        <v>16</v>
      </c>
      <c r="D4510" s="1">
        <v>43246</v>
      </c>
    </row>
    <row r="4511" spans="1:4" x14ac:dyDescent="0.25">
      <c r="A4511" t="s">
        <v>3187</v>
      </c>
      <c r="C4511" t="s">
        <v>16</v>
      </c>
      <c r="D4511" s="1">
        <v>43250</v>
      </c>
    </row>
    <row r="4512" spans="1:4" x14ac:dyDescent="0.25">
      <c r="A4512" t="s">
        <v>3188</v>
      </c>
      <c r="C4512" t="s">
        <v>16</v>
      </c>
      <c r="D4512" s="1">
        <v>43243</v>
      </c>
    </row>
    <row r="4513" spans="1:4" x14ac:dyDescent="0.25">
      <c r="A4513" t="s">
        <v>3189</v>
      </c>
      <c r="C4513" t="s">
        <v>16</v>
      </c>
      <c r="D4513" s="1">
        <v>43246</v>
      </c>
    </row>
    <row r="4514" spans="1:4" x14ac:dyDescent="0.25">
      <c r="A4514" t="s">
        <v>3190</v>
      </c>
      <c r="C4514" t="s">
        <v>16</v>
      </c>
      <c r="D4514" s="1">
        <v>43246</v>
      </c>
    </row>
    <row r="4515" spans="1:4" x14ac:dyDescent="0.25">
      <c r="A4515" t="s">
        <v>3191</v>
      </c>
      <c r="C4515" t="s">
        <v>16</v>
      </c>
      <c r="D4515" s="1">
        <v>43246</v>
      </c>
    </row>
    <row r="4516" spans="1:4" x14ac:dyDescent="0.25">
      <c r="A4516" t="s">
        <v>3192</v>
      </c>
      <c r="C4516" t="s">
        <v>16</v>
      </c>
      <c r="D4516" s="1">
        <v>43246</v>
      </c>
    </row>
    <row r="4517" spans="1:4" x14ac:dyDescent="0.25">
      <c r="A4517" t="s">
        <v>3193</v>
      </c>
      <c r="C4517" t="s">
        <v>16</v>
      </c>
      <c r="D4517" s="1">
        <v>43250</v>
      </c>
    </row>
    <row r="4518" spans="1:4" x14ac:dyDescent="0.25">
      <c r="A4518" t="s">
        <v>3194</v>
      </c>
      <c r="C4518" t="s">
        <v>16</v>
      </c>
      <c r="D4518" s="1">
        <v>43246</v>
      </c>
    </row>
    <row r="4519" spans="1:4" x14ac:dyDescent="0.25">
      <c r="A4519" t="s">
        <v>3195</v>
      </c>
      <c r="C4519" t="s">
        <v>16</v>
      </c>
      <c r="D4519" s="1">
        <v>43233</v>
      </c>
    </row>
    <row r="4520" spans="1:4" x14ac:dyDescent="0.25">
      <c r="A4520" t="s">
        <v>3196</v>
      </c>
      <c r="C4520" t="s">
        <v>16</v>
      </c>
      <c r="D4520" s="1">
        <v>43233</v>
      </c>
    </row>
    <row r="4521" spans="1:4" x14ac:dyDescent="0.25">
      <c r="A4521" t="s">
        <v>3197</v>
      </c>
      <c r="C4521" t="s">
        <v>16</v>
      </c>
      <c r="D4521" s="1">
        <v>43246</v>
      </c>
    </row>
    <row r="4522" spans="1:4" x14ac:dyDescent="0.25">
      <c r="A4522" t="s">
        <v>3198</v>
      </c>
      <c r="C4522" t="s">
        <v>16</v>
      </c>
      <c r="D4522" s="1">
        <v>43246</v>
      </c>
    </row>
    <row r="4523" spans="1:4" x14ac:dyDescent="0.25">
      <c r="A4523" t="s">
        <v>3199</v>
      </c>
      <c r="C4523" t="s">
        <v>16</v>
      </c>
      <c r="D4523" s="1">
        <v>43246</v>
      </c>
    </row>
    <row r="4524" spans="1:4" x14ac:dyDescent="0.25">
      <c r="A4524" t="s">
        <v>3200</v>
      </c>
      <c r="C4524" t="s">
        <v>16</v>
      </c>
      <c r="D4524" s="1">
        <v>43246</v>
      </c>
    </row>
    <row r="4525" spans="1:4" x14ac:dyDescent="0.25">
      <c r="A4525" t="s">
        <v>2511</v>
      </c>
      <c r="C4525" t="s">
        <v>16</v>
      </c>
      <c r="D4525" s="1">
        <v>43231</v>
      </c>
    </row>
    <row r="4526" spans="1:4" x14ac:dyDescent="0.25">
      <c r="A4526" t="s">
        <v>762</v>
      </c>
      <c r="C4526" t="s">
        <v>16</v>
      </c>
      <c r="D4526" s="1">
        <v>43250</v>
      </c>
    </row>
    <row r="4527" spans="1:4" x14ac:dyDescent="0.25">
      <c r="A4527" t="s">
        <v>3201</v>
      </c>
      <c r="C4527" t="s">
        <v>16</v>
      </c>
      <c r="D4527" s="1">
        <v>43231</v>
      </c>
    </row>
    <row r="4528" spans="1:4" x14ac:dyDescent="0.25">
      <c r="A4528" t="s">
        <v>2517</v>
      </c>
      <c r="C4528" t="s">
        <v>16</v>
      </c>
      <c r="D4528" s="1">
        <v>43231</v>
      </c>
    </row>
    <row r="4529" spans="1:4" x14ac:dyDescent="0.25">
      <c r="A4529" t="s">
        <v>1277</v>
      </c>
      <c r="C4529" t="s">
        <v>16</v>
      </c>
      <c r="D4529" s="1">
        <v>43250</v>
      </c>
    </row>
    <row r="4530" spans="1:4" x14ac:dyDescent="0.25">
      <c r="A4530" t="s">
        <v>1509</v>
      </c>
      <c r="C4530" t="s">
        <v>16</v>
      </c>
      <c r="D4530" s="1">
        <v>43238</v>
      </c>
    </row>
    <row r="4531" spans="1:4" x14ac:dyDescent="0.25">
      <c r="A4531" t="s">
        <v>1322</v>
      </c>
      <c r="C4531" t="s">
        <v>16</v>
      </c>
      <c r="D4531" s="1">
        <v>43231</v>
      </c>
    </row>
    <row r="4532" spans="1:4" x14ac:dyDescent="0.25">
      <c r="A4532" t="s">
        <v>567</v>
      </c>
      <c r="C4532" t="s">
        <v>16</v>
      </c>
      <c r="D4532" s="1">
        <v>43250</v>
      </c>
    </row>
    <row r="4533" spans="1:4" x14ac:dyDescent="0.25">
      <c r="A4533" t="s">
        <v>1240</v>
      </c>
      <c r="C4533" t="s">
        <v>16</v>
      </c>
      <c r="D4533" s="1">
        <v>43250</v>
      </c>
    </row>
    <row r="4534" spans="1:4" x14ac:dyDescent="0.25">
      <c r="A4534" t="s">
        <v>3202</v>
      </c>
      <c r="C4534" t="s">
        <v>16</v>
      </c>
      <c r="D4534" s="1">
        <v>43224</v>
      </c>
    </row>
    <row r="4535" spans="1:4" x14ac:dyDescent="0.25">
      <c r="A4535" t="s">
        <v>842</v>
      </c>
      <c r="C4535" t="s">
        <v>16</v>
      </c>
      <c r="D4535" s="1">
        <v>43250</v>
      </c>
    </row>
    <row r="4536" spans="1:4" x14ac:dyDescent="0.25">
      <c r="A4536" t="s">
        <v>498</v>
      </c>
      <c r="C4536" t="s">
        <v>16</v>
      </c>
      <c r="D4536" s="1">
        <v>43250</v>
      </c>
    </row>
    <row r="4537" spans="1:4" x14ac:dyDescent="0.25">
      <c r="A4537" t="s">
        <v>1159</v>
      </c>
      <c r="C4537" t="s">
        <v>16</v>
      </c>
      <c r="D4537" s="1">
        <v>43231</v>
      </c>
    </row>
    <row r="4538" spans="1:4" x14ac:dyDescent="0.25">
      <c r="A4538" t="s">
        <v>340</v>
      </c>
      <c r="C4538" t="s">
        <v>16</v>
      </c>
      <c r="D4538" s="1">
        <v>43238</v>
      </c>
    </row>
    <row r="4539" spans="1:4" x14ac:dyDescent="0.25">
      <c r="A4539" t="s">
        <v>3203</v>
      </c>
      <c r="C4539" t="s">
        <v>16</v>
      </c>
      <c r="D4539" s="1">
        <v>43238</v>
      </c>
    </row>
    <row r="4540" spans="1:4" x14ac:dyDescent="0.25">
      <c r="A4540" t="s">
        <v>738</v>
      </c>
      <c r="C4540" t="s">
        <v>16</v>
      </c>
      <c r="D4540" s="1">
        <v>43238</v>
      </c>
    </row>
    <row r="4541" spans="1:4" x14ac:dyDescent="0.25">
      <c r="A4541" t="s">
        <v>809</v>
      </c>
      <c r="C4541" t="s">
        <v>16</v>
      </c>
      <c r="D4541" s="1">
        <v>43251</v>
      </c>
    </row>
    <row r="4542" spans="1:4" x14ac:dyDescent="0.25">
      <c r="A4542" t="s">
        <v>1428</v>
      </c>
      <c r="C4542" t="s">
        <v>16</v>
      </c>
      <c r="D4542" s="1">
        <v>43250</v>
      </c>
    </row>
    <row r="4543" spans="1:4" x14ac:dyDescent="0.25">
      <c r="A4543" t="s">
        <v>1311</v>
      </c>
      <c r="C4543" t="s">
        <v>16</v>
      </c>
      <c r="D4543" s="1">
        <v>43231</v>
      </c>
    </row>
    <row r="4544" spans="1:4" x14ac:dyDescent="0.25">
      <c r="A4544" t="s">
        <v>1188</v>
      </c>
      <c r="C4544" t="s">
        <v>16</v>
      </c>
      <c r="D4544" s="1">
        <v>43245</v>
      </c>
    </row>
    <row r="4545" spans="1:4" x14ac:dyDescent="0.25">
      <c r="A4545" t="s">
        <v>161</v>
      </c>
      <c r="C4545" t="s">
        <v>16</v>
      </c>
      <c r="D4545" s="1">
        <v>43238</v>
      </c>
    </row>
    <row r="4546" spans="1:4" x14ac:dyDescent="0.25">
      <c r="A4546" t="s">
        <v>3204</v>
      </c>
      <c r="C4546" t="s">
        <v>16</v>
      </c>
      <c r="D4546" s="1">
        <v>43230</v>
      </c>
    </row>
    <row r="4547" spans="1:4" x14ac:dyDescent="0.25">
      <c r="A4547" t="s">
        <v>2669</v>
      </c>
      <c r="C4547" t="s">
        <v>16</v>
      </c>
      <c r="D4547" s="1">
        <v>43227</v>
      </c>
    </row>
    <row r="4548" spans="1:4" x14ac:dyDescent="0.25">
      <c r="A4548" t="s">
        <v>1605</v>
      </c>
      <c r="C4548" t="s">
        <v>16</v>
      </c>
      <c r="D4548" s="1">
        <v>43238</v>
      </c>
    </row>
    <row r="4549" spans="1:4" x14ac:dyDescent="0.25">
      <c r="A4549" t="s">
        <v>1484</v>
      </c>
      <c r="C4549" t="s">
        <v>16</v>
      </c>
      <c r="D4549" s="1">
        <v>43250</v>
      </c>
    </row>
    <row r="4550" spans="1:4" x14ac:dyDescent="0.25">
      <c r="A4550" t="s">
        <v>541</v>
      </c>
      <c r="C4550" t="s">
        <v>16</v>
      </c>
      <c r="D4550" s="1">
        <v>43238</v>
      </c>
    </row>
    <row r="4551" spans="1:4" x14ac:dyDescent="0.25">
      <c r="A4551" t="s">
        <v>919</v>
      </c>
      <c r="C4551" t="s">
        <v>16</v>
      </c>
      <c r="D4551" s="1">
        <v>43251</v>
      </c>
    </row>
    <row r="4552" spans="1:4" x14ac:dyDescent="0.25">
      <c r="A4552" t="s">
        <v>870</v>
      </c>
      <c r="C4552" t="s">
        <v>16</v>
      </c>
      <c r="D4552" s="1">
        <v>43230</v>
      </c>
    </row>
    <row r="4553" spans="1:4" x14ac:dyDescent="0.25">
      <c r="A4553" t="s">
        <v>2556</v>
      </c>
      <c r="C4553" t="s">
        <v>16</v>
      </c>
      <c r="D4553" s="1">
        <v>43237</v>
      </c>
    </row>
    <row r="4554" spans="1:4" x14ac:dyDescent="0.25">
      <c r="A4554" t="s">
        <v>1355</v>
      </c>
      <c r="C4554" t="s">
        <v>16</v>
      </c>
      <c r="D4554" s="1">
        <v>43231</v>
      </c>
    </row>
    <row r="4555" spans="1:4" x14ac:dyDescent="0.25">
      <c r="A4555" t="s">
        <v>3205</v>
      </c>
      <c r="C4555" t="s">
        <v>16</v>
      </c>
      <c r="D4555" s="1">
        <v>43230</v>
      </c>
    </row>
    <row r="4556" spans="1:4" x14ac:dyDescent="0.25">
      <c r="A4556" t="s">
        <v>611</v>
      </c>
      <c r="C4556" t="s">
        <v>16</v>
      </c>
      <c r="D4556" s="1">
        <v>43250</v>
      </c>
    </row>
    <row r="4557" spans="1:4" x14ac:dyDescent="0.25">
      <c r="A4557" t="s">
        <v>3206</v>
      </c>
      <c r="C4557" t="s">
        <v>16</v>
      </c>
      <c r="D4557" s="1">
        <v>43231</v>
      </c>
    </row>
    <row r="4558" spans="1:4" x14ac:dyDescent="0.25">
      <c r="A4558" t="s">
        <v>979</v>
      </c>
      <c r="C4558" t="s">
        <v>16</v>
      </c>
      <c r="D4558" s="1">
        <v>43224</v>
      </c>
    </row>
    <row r="4559" spans="1:4" x14ac:dyDescent="0.25">
      <c r="A4559" t="s">
        <v>678</v>
      </c>
      <c r="C4559" t="s">
        <v>16</v>
      </c>
      <c r="D4559" s="1">
        <v>43250</v>
      </c>
    </row>
    <row r="4560" spans="1:4" x14ac:dyDescent="0.25">
      <c r="A4560" t="s">
        <v>789</v>
      </c>
      <c r="C4560" t="s">
        <v>16</v>
      </c>
      <c r="D4560" s="1">
        <v>43233</v>
      </c>
    </row>
    <row r="4561" spans="1:4" x14ac:dyDescent="0.25">
      <c r="A4561" t="s">
        <v>3207</v>
      </c>
      <c r="C4561" t="s">
        <v>16</v>
      </c>
      <c r="D4561" s="1">
        <v>43231</v>
      </c>
    </row>
    <row r="4562" spans="1:4" x14ac:dyDescent="0.25">
      <c r="A4562" t="s">
        <v>1194</v>
      </c>
      <c r="C4562" t="s">
        <v>16</v>
      </c>
      <c r="D4562" s="1">
        <v>43231</v>
      </c>
    </row>
    <row r="4563" spans="1:4" x14ac:dyDescent="0.25">
      <c r="A4563" t="s">
        <v>3208</v>
      </c>
      <c r="C4563" t="s">
        <v>16</v>
      </c>
      <c r="D4563" s="1">
        <v>43238</v>
      </c>
    </row>
    <row r="4564" spans="1:4" x14ac:dyDescent="0.25">
      <c r="A4564" t="s">
        <v>808</v>
      </c>
      <c r="C4564" t="s">
        <v>16</v>
      </c>
      <c r="D4564" s="1">
        <v>43231</v>
      </c>
    </row>
    <row r="4565" spans="1:4" x14ac:dyDescent="0.25">
      <c r="A4565" t="s">
        <v>1257</v>
      </c>
      <c r="C4565" t="s">
        <v>16</v>
      </c>
      <c r="D4565" s="1">
        <v>43231</v>
      </c>
    </row>
    <row r="4566" spans="1:4" x14ac:dyDescent="0.25">
      <c r="A4566" t="s">
        <v>3209</v>
      </c>
      <c r="C4566" t="s">
        <v>16</v>
      </c>
      <c r="D4566" s="1">
        <v>43224</v>
      </c>
    </row>
    <row r="4567" spans="1:4" x14ac:dyDescent="0.25">
      <c r="A4567" t="s">
        <v>3210</v>
      </c>
      <c r="C4567" t="s">
        <v>16</v>
      </c>
      <c r="D4567" s="1">
        <v>43238</v>
      </c>
    </row>
    <row r="4568" spans="1:4" x14ac:dyDescent="0.25">
      <c r="A4568" t="s">
        <v>3211</v>
      </c>
      <c r="C4568" t="s">
        <v>16</v>
      </c>
      <c r="D4568" s="1">
        <v>43231</v>
      </c>
    </row>
    <row r="4569" spans="1:4" x14ac:dyDescent="0.25">
      <c r="A4569" t="s">
        <v>767</v>
      </c>
      <c r="C4569" t="s">
        <v>16</v>
      </c>
      <c r="D4569" s="1">
        <v>43250</v>
      </c>
    </row>
    <row r="4570" spans="1:4" x14ac:dyDescent="0.25">
      <c r="A4570" t="s">
        <v>835</v>
      </c>
      <c r="C4570" t="s">
        <v>16</v>
      </c>
      <c r="D4570" s="1">
        <v>43245</v>
      </c>
    </row>
    <row r="4571" spans="1:4" x14ac:dyDescent="0.25">
      <c r="A4571" t="s">
        <v>1316</v>
      </c>
      <c r="C4571" t="s">
        <v>16</v>
      </c>
      <c r="D4571" s="1">
        <v>43250</v>
      </c>
    </row>
    <row r="4572" spans="1:4" x14ac:dyDescent="0.25">
      <c r="A4572" t="s">
        <v>1293</v>
      </c>
      <c r="C4572" t="s">
        <v>16</v>
      </c>
      <c r="D4572" s="1">
        <v>43250</v>
      </c>
    </row>
    <row r="4573" spans="1:4" x14ac:dyDescent="0.25">
      <c r="A4573" t="s">
        <v>524</v>
      </c>
      <c r="C4573" t="s">
        <v>16</v>
      </c>
      <c r="D4573" s="1">
        <v>43231</v>
      </c>
    </row>
    <row r="4574" spans="1:4" x14ac:dyDescent="0.25">
      <c r="A4574" t="s">
        <v>2729</v>
      </c>
      <c r="C4574" t="s">
        <v>16</v>
      </c>
      <c r="D4574" s="1">
        <v>43247</v>
      </c>
    </row>
    <row r="4575" spans="1:4" x14ac:dyDescent="0.25">
      <c r="A4575" t="s">
        <v>2700</v>
      </c>
      <c r="C4575" t="s">
        <v>16</v>
      </c>
      <c r="D4575" s="1">
        <v>43227</v>
      </c>
    </row>
    <row r="4576" spans="1:4" x14ac:dyDescent="0.25">
      <c r="A4576" t="s">
        <v>993</v>
      </c>
      <c r="C4576" t="s">
        <v>16</v>
      </c>
      <c r="D4576" s="1">
        <v>43238</v>
      </c>
    </row>
    <row r="4577" spans="1:4" x14ac:dyDescent="0.25">
      <c r="A4577" t="s">
        <v>3212</v>
      </c>
      <c r="C4577" t="s">
        <v>16</v>
      </c>
      <c r="D4577" s="1">
        <v>43245</v>
      </c>
    </row>
    <row r="4578" spans="1:4" x14ac:dyDescent="0.25">
      <c r="A4578" t="s">
        <v>1262</v>
      </c>
      <c r="C4578" t="s">
        <v>16</v>
      </c>
      <c r="D4578" s="1">
        <v>43230</v>
      </c>
    </row>
    <row r="4579" spans="1:4" x14ac:dyDescent="0.25">
      <c r="A4579" t="s">
        <v>3213</v>
      </c>
      <c r="C4579" t="s">
        <v>16</v>
      </c>
      <c r="D4579" s="1">
        <v>43230</v>
      </c>
    </row>
    <row r="4580" spans="1:4" x14ac:dyDescent="0.25">
      <c r="A4580" t="s">
        <v>1287</v>
      </c>
      <c r="C4580" t="s">
        <v>16</v>
      </c>
      <c r="D4580" s="1">
        <v>43224</v>
      </c>
    </row>
    <row r="4581" spans="1:4" x14ac:dyDescent="0.25">
      <c r="A4581" t="s">
        <v>3214</v>
      </c>
      <c r="C4581" t="s">
        <v>16</v>
      </c>
      <c r="D4581" s="1">
        <v>43250</v>
      </c>
    </row>
    <row r="4582" spans="1:4" x14ac:dyDescent="0.25">
      <c r="A4582" t="s">
        <v>1248</v>
      </c>
      <c r="C4582" t="s">
        <v>16</v>
      </c>
      <c r="D4582" s="1">
        <v>43231</v>
      </c>
    </row>
    <row r="4583" spans="1:4" x14ac:dyDescent="0.25">
      <c r="A4583" t="s">
        <v>54</v>
      </c>
      <c r="C4583" t="s">
        <v>16</v>
      </c>
      <c r="D4583" s="1">
        <v>43231</v>
      </c>
    </row>
    <row r="4584" spans="1:4" x14ac:dyDescent="0.25">
      <c r="A4584" t="s">
        <v>3215</v>
      </c>
      <c r="C4584" t="s">
        <v>16</v>
      </c>
      <c r="D4584" s="1">
        <v>43250</v>
      </c>
    </row>
    <row r="4585" spans="1:4" x14ac:dyDescent="0.25">
      <c r="A4585" t="s">
        <v>1219</v>
      </c>
      <c r="C4585" t="s">
        <v>16</v>
      </c>
      <c r="D4585" s="1">
        <v>43238</v>
      </c>
    </row>
    <row r="4586" spans="1:4" x14ac:dyDescent="0.25">
      <c r="A4586" t="s">
        <v>1646</v>
      </c>
      <c r="C4586" t="s">
        <v>16</v>
      </c>
      <c r="D4586" s="1">
        <v>43238</v>
      </c>
    </row>
    <row r="4587" spans="1:4" x14ac:dyDescent="0.25">
      <c r="A4587" t="s">
        <v>3216</v>
      </c>
      <c r="C4587" t="s">
        <v>16</v>
      </c>
      <c r="D4587" s="1">
        <v>43238</v>
      </c>
    </row>
    <row r="4588" spans="1:4" x14ac:dyDescent="0.25">
      <c r="A4588" t="s">
        <v>2677</v>
      </c>
      <c r="C4588" t="s">
        <v>16</v>
      </c>
      <c r="D4588" s="1">
        <v>43227</v>
      </c>
    </row>
    <row r="4589" spans="1:4" x14ac:dyDescent="0.25">
      <c r="A4589" t="s">
        <v>915</v>
      </c>
      <c r="C4589" t="s">
        <v>16</v>
      </c>
      <c r="D4589" s="1">
        <v>43250</v>
      </c>
    </row>
    <row r="4590" spans="1:4" x14ac:dyDescent="0.25">
      <c r="A4590" t="s">
        <v>674</v>
      </c>
      <c r="C4590" t="s">
        <v>16</v>
      </c>
      <c r="D4590" s="1">
        <v>43236</v>
      </c>
    </row>
    <row r="4591" spans="1:4" x14ac:dyDescent="0.25">
      <c r="A4591" t="s">
        <v>902</v>
      </c>
      <c r="C4591" t="s">
        <v>16</v>
      </c>
      <c r="D4591" s="1">
        <v>43230</v>
      </c>
    </row>
    <row r="4592" spans="1:4" x14ac:dyDescent="0.25">
      <c r="A4592" t="s">
        <v>3217</v>
      </c>
      <c r="C4592" t="s">
        <v>16</v>
      </c>
      <c r="D4592" s="1">
        <v>43238</v>
      </c>
    </row>
    <row r="4593" spans="1:4" x14ac:dyDescent="0.25">
      <c r="A4593" t="s">
        <v>2690</v>
      </c>
      <c r="C4593" t="s">
        <v>16</v>
      </c>
      <c r="D4593" s="1">
        <v>43237</v>
      </c>
    </row>
    <row r="4594" spans="1:4" x14ac:dyDescent="0.25">
      <c r="A4594" t="s">
        <v>3218</v>
      </c>
      <c r="C4594" t="s">
        <v>16</v>
      </c>
      <c r="D4594" s="1">
        <v>43230</v>
      </c>
    </row>
    <row r="4595" spans="1:4" x14ac:dyDescent="0.25">
      <c r="A4595" t="s">
        <v>673</v>
      </c>
      <c r="C4595" t="s">
        <v>16</v>
      </c>
      <c r="D4595" s="1">
        <v>43231</v>
      </c>
    </row>
    <row r="4596" spans="1:4" x14ac:dyDescent="0.25">
      <c r="A4596" t="s">
        <v>751</v>
      </c>
      <c r="C4596" t="s">
        <v>16</v>
      </c>
      <c r="D4596" s="1">
        <v>43229</v>
      </c>
    </row>
    <row r="4597" spans="1:4" x14ac:dyDescent="0.25">
      <c r="A4597" t="s">
        <v>765</v>
      </c>
      <c r="C4597" t="s">
        <v>16</v>
      </c>
      <c r="D4597" s="1">
        <v>43245</v>
      </c>
    </row>
    <row r="4598" spans="1:4" x14ac:dyDescent="0.25">
      <c r="A4598" t="s">
        <v>669</v>
      </c>
      <c r="C4598" t="s">
        <v>16</v>
      </c>
      <c r="D4598" s="1">
        <v>43250</v>
      </c>
    </row>
    <row r="4599" spans="1:4" x14ac:dyDescent="0.25">
      <c r="A4599" t="s">
        <v>1337</v>
      </c>
      <c r="C4599" t="s">
        <v>16</v>
      </c>
      <c r="D4599" s="1">
        <v>43231</v>
      </c>
    </row>
    <row r="4600" spans="1:4" x14ac:dyDescent="0.25">
      <c r="A4600" t="s">
        <v>728</v>
      </c>
      <c r="C4600" t="s">
        <v>16</v>
      </c>
      <c r="D4600" s="1">
        <v>43245</v>
      </c>
    </row>
    <row r="4601" spans="1:4" x14ac:dyDescent="0.25">
      <c r="A4601" t="s">
        <v>3219</v>
      </c>
      <c r="C4601" t="s">
        <v>16</v>
      </c>
      <c r="D4601" s="1">
        <v>43224</v>
      </c>
    </row>
    <row r="4602" spans="1:4" x14ac:dyDescent="0.25">
      <c r="A4602" t="s">
        <v>3220</v>
      </c>
      <c r="C4602" t="s">
        <v>16</v>
      </c>
      <c r="D4602" s="1">
        <v>43231</v>
      </c>
    </row>
    <row r="4603" spans="1:4" x14ac:dyDescent="0.25">
      <c r="A4603" t="s">
        <v>646</v>
      </c>
      <c r="C4603" t="s">
        <v>16</v>
      </c>
      <c r="D4603" s="1">
        <v>43233</v>
      </c>
    </row>
    <row r="4604" spans="1:4" x14ac:dyDescent="0.25">
      <c r="A4604" t="s">
        <v>3221</v>
      </c>
      <c r="C4604" t="s">
        <v>16</v>
      </c>
      <c r="D4604" s="1">
        <v>43238</v>
      </c>
    </row>
    <row r="4605" spans="1:4" x14ac:dyDescent="0.25">
      <c r="A4605" t="s">
        <v>566</v>
      </c>
      <c r="C4605" t="s">
        <v>16</v>
      </c>
      <c r="D4605" s="1">
        <v>43250</v>
      </c>
    </row>
    <row r="4606" spans="1:4" x14ac:dyDescent="0.25">
      <c r="A4606" t="s">
        <v>3222</v>
      </c>
      <c r="C4606" t="s">
        <v>16</v>
      </c>
      <c r="D4606" s="1">
        <v>43231</v>
      </c>
    </row>
    <row r="4607" spans="1:4" x14ac:dyDescent="0.25">
      <c r="A4607" t="s">
        <v>804</v>
      </c>
      <c r="C4607" t="s">
        <v>16</v>
      </c>
      <c r="D4607" s="1">
        <v>43251</v>
      </c>
    </row>
    <row r="4608" spans="1:4" x14ac:dyDescent="0.25">
      <c r="A4608" t="s">
        <v>640</v>
      </c>
      <c r="C4608" t="s">
        <v>16</v>
      </c>
      <c r="D4608" s="1">
        <v>43240</v>
      </c>
    </row>
    <row r="4609" spans="1:4" x14ac:dyDescent="0.25">
      <c r="A4609" t="s">
        <v>3223</v>
      </c>
      <c r="C4609" t="s">
        <v>16</v>
      </c>
      <c r="D4609" s="1">
        <v>43245</v>
      </c>
    </row>
    <row r="4610" spans="1:4" x14ac:dyDescent="0.25">
      <c r="A4610" t="s">
        <v>3224</v>
      </c>
      <c r="C4610" t="s">
        <v>16</v>
      </c>
      <c r="D4610" s="1">
        <v>43250</v>
      </c>
    </row>
    <row r="4611" spans="1:4" x14ac:dyDescent="0.25">
      <c r="A4611" t="s">
        <v>3225</v>
      </c>
      <c r="C4611" t="s">
        <v>16</v>
      </c>
      <c r="D4611" s="1">
        <v>43231</v>
      </c>
    </row>
    <row r="4612" spans="1:4" x14ac:dyDescent="0.25">
      <c r="A4612" t="s">
        <v>755</v>
      </c>
      <c r="C4612" t="s">
        <v>16</v>
      </c>
      <c r="D4612" s="1">
        <v>43250</v>
      </c>
    </row>
    <row r="4613" spans="1:4" x14ac:dyDescent="0.25">
      <c r="A4613" t="s">
        <v>3226</v>
      </c>
      <c r="C4613" t="s">
        <v>16</v>
      </c>
      <c r="D4613" s="1">
        <v>43231</v>
      </c>
    </row>
    <row r="4614" spans="1:4" x14ac:dyDescent="0.25">
      <c r="A4614" t="s">
        <v>3227</v>
      </c>
      <c r="C4614" t="s">
        <v>16</v>
      </c>
      <c r="D4614" s="1">
        <v>43250</v>
      </c>
    </row>
    <row r="4615" spans="1:4" x14ac:dyDescent="0.25">
      <c r="A4615" t="s">
        <v>869</v>
      </c>
      <c r="C4615" t="s">
        <v>16</v>
      </c>
      <c r="D4615" s="1">
        <v>43245</v>
      </c>
    </row>
    <row r="4616" spans="1:4" x14ac:dyDescent="0.25">
      <c r="A4616" t="s">
        <v>591</v>
      </c>
      <c r="C4616" t="s">
        <v>16</v>
      </c>
      <c r="D4616" s="1">
        <v>43231</v>
      </c>
    </row>
    <row r="4617" spans="1:4" x14ac:dyDescent="0.25">
      <c r="A4617" t="s">
        <v>3228</v>
      </c>
      <c r="C4617" t="s">
        <v>16</v>
      </c>
      <c r="D4617" s="1">
        <v>43250</v>
      </c>
    </row>
    <row r="4618" spans="1:4" x14ac:dyDescent="0.25">
      <c r="A4618" t="s">
        <v>3229</v>
      </c>
      <c r="C4618" t="s">
        <v>16</v>
      </c>
      <c r="D4618" s="1">
        <v>43231</v>
      </c>
    </row>
    <row r="4619" spans="1:4" x14ac:dyDescent="0.25">
      <c r="A4619" t="s">
        <v>752</v>
      </c>
      <c r="C4619" t="s">
        <v>16</v>
      </c>
      <c r="D4619" s="1">
        <v>43250</v>
      </c>
    </row>
    <row r="4620" spans="1:4" x14ac:dyDescent="0.25">
      <c r="A4620" t="s">
        <v>3230</v>
      </c>
      <c r="C4620" t="s">
        <v>16</v>
      </c>
      <c r="D4620" s="1">
        <v>43230</v>
      </c>
    </row>
    <row r="4621" spans="1:4" x14ac:dyDescent="0.25">
      <c r="A4621" t="s">
        <v>3231</v>
      </c>
      <c r="C4621" t="s">
        <v>16</v>
      </c>
      <c r="D4621" s="1">
        <v>43231</v>
      </c>
    </row>
    <row r="4622" spans="1:4" x14ac:dyDescent="0.25">
      <c r="A4622" t="s">
        <v>3232</v>
      </c>
      <c r="C4622" t="s">
        <v>16</v>
      </c>
      <c r="D4622" s="1">
        <v>43245</v>
      </c>
    </row>
    <row r="4623" spans="1:4" x14ac:dyDescent="0.25">
      <c r="A4623" t="s">
        <v>764</v>
      </c>
      <c r="C4623" t="s">
        <v>16</v>
      </c>
      <c r="D4623" s="1">
        <v>43250</v>
      </c>
    </row>
    <row r="4624" spans="1:4" x14ac:dyDescent="0.25">
      <c r="A4624" t="s">
        <v>1445</v>
      </c>
      <c r="C4624" t="s">
        <v>16</v>
      </c>
      <c r="D4624" s="1">
        <v>43237</v>
      </c>
    </row>
    <row r="4625" spans="1:4" x14ac:dyDescent="0.25">
      <c r="A4625" t="s">
        <v>1095</v>
      </c>
      <c r="C4625" t="s">
        <v>16</v>
      </c>
      <c r="D4625" s="1">
        <v>43231</v>
      </c>
    </row>
    <row r="4626" spans="1:4" x14ac:dyDescent="0.25">
      <c r="A4626" t="s">
        <v>3233</v>
      </c>
      <c r="C4626" t="s">
        <v>16</v>
      </c>
      <c r="D4626" s="1">
        <v>43238</v>
      </c>
    </row>
    <row r="4627" spans="1:4" x14ac:dyDescent="0.25">
      <c r="A4627" t="s">
        <v>606</v>
      </c>
      <c r="C4627" t="s">
        <v>16</v>
      </c>
      <c r="D4627" s="1">
        <v>43231</v>
      </c>
    </row>
    <row r="4628" spans="1:4" x14ac:dyDescent="0.25">
      <c r="A4628" t="s">
        <v>514</v>
      </c>
      <c r="C4628" t="s">
        <v>16</v>
      </c>
      <c r="D4628" s="1">
        <v>43250</v>
      </c>
    </row>
    <row r="4629" spans="1:4" x14ac:dyDescent="0.25">
      <c r="A4629" t="s">
        <v>782</v>
      </c>
      <c r="C4629" t="s">
        <v>16</v>
      </c>
      <c r="D4629" s="1">
        <v>43237</v>
      </c>
    </row>
    <row r="4630" spans="1:4" x14ac:dyDescent="0.25">
      <c r="A4630" t="s">
        <v>3234</v>
      </c>
      <c r="C4630" t="s">
        <v>16</v>
      </c>
      <c r="D4630" s="1">
        <v>43231</v>
      </c>
    </row>
    <row r="4631" spans="1:4" x14ac:dyDescent="0.25">
      <c r="A4631" t="s">
        <v>3235</v>
      </c>
      <c r="C4631" t="s">
        <v>16</v>
      </c>
      <c r="D4631" s="1">
        <v>43234</v>
      </c>
    </row>
    <row r="4632" spans="1:4" x14ac:dyDescent="0.25">
      <c r="A4632" t="s">
        <v>3236</v>
      </c>
      <c r="C4632" t="s">
        <v>16</v>
      </c>
      <c r="D4632" s="1">
        <v>43245</v>
      </c>
    </row>
    <row r="4633" spans="1:4" x14ac:dyDescent="0.25">
      <c r="A4633" t="s">
        <v>535</v>
      </c>
      <c r="C4633" t="s">
        <v>16</v>
      </c>
      <c r="D4633" s="1">
        <v>43227</v>
      </c>
    </row>
    <row r="4634" spans="1:4" x14ac:dyDescent="0.25">
      <c r="A4634" t="s">
        <v>1148</v>
      </c>
      <c r="C4634" t="s">
        <v>16</v>
      </c>
      <c r="D4634" s="1">
        <v>43224</v>
      </c>
    </row>
    <row r="4635" spans="1:4" x14ac:dyDescent="0.25">
      <c r="A4635" t="s">
        <v>3237</v>
      </c>
      <c r="C4635" t="s">
        <v>16</v>
      </c>
      <c r="D4635" s="1">
        <v>43250</v>
      </c>
    </row>
    <row r="4636" spans="1:4" x14ac:dyDescent="0.25">
      <c r="A4636" t="s">
        <v>1258</v>
      </c>
      <c r="C4636" t="s">
        <v>16</v>
      </c>
      <c r="D4636" s="1">
        <v>43238</v>
      </c>
    </row>
    <row r="4637" spans="1:4" x14ac:dyDescent="0.25">
      <c r="A4637" t="s">
        <v>3238</v>
      </c>
      <c r="C4637" t="s">
        <v>16</v>
      </c>
      <c r="D4637" s="1">
        <v>43238</v>
      </c>
    </row>
    <row r="4638" spans="1:4" x14ac:dyDescent="0.25">
      <c r="A4638" t="s">
        <v>3239</v>
      </c>
      <c r="C4638" t="s">
        <v>16</v>
      </c>
      <c r="D4638" s="1">
        <v>43250</v>
      </c>
    </row>
    <row r="4639" spans="1:4" x14ac:dyDescent="0.25">
      <c r="A4639" t="s">
        <v>3240</v>
      </c>
      <c r="C4639" t="s">
        <v>16</v>
      </c>
      <c r="D4639" s="1">
        <v>43250</v>
      </c>
    </row>
    <row r="4640" spans="1:4" x14ac:dyDescent="0.25">
      <c r="A4640" t="s">
        <v>1338</v>
      </c>
      <c r="C4640" t="s">
        <v>16</v>
      </c>
      <c r="D4640" s="1">
        <v>43231</v>
      </c>
    </row>
    <row r="4641" spans="1:4" x14ac:dyDescent="0.25">
      <c r="A4641" t="s">
        <v>3241</v>
      </c>
      <c r="C4641" t="s">
        <v>16</v>
      </c>
      <c r="D4641" s="1">
        <v>43245</v>
      </c>
    </row>
    <row r="4642" spans="1:4" x14ac:dyDescent="0.25">
      <c r="A4642" t="s">
        <v>3242</v>
      </c>
      <c r="C4642" t="s">
        <v>16</v>
      </c>
      <c r="D4642" s="1">
        <v>43250</v>
      </c>
    </row>
    <row r="4643" spans="1:4" x14ac:dyDescent="0.25">
      <c r="A4643" t="s">
        <v>1474</v>
      </c>
      <c r="C4643" t="s">
        <v>16</v>
      </c>
      <c r="D4643" s="1">
        <v>43250</v>
      </c>
    </row>
    <row r="4644" spans="1:4" x14ac:dyDescent="0.25">
      <c r="A4644" t="s">
        <v>718</v>
      </c>
      <c r="C4644" t="s">
        <v>16</v>
      </c>
      <c r="D4644" s="1">
        <v>43231</v>
      </c>
    </row>
    <row r="4645" spans="1:4" x14ac:dyDescent="0.25">
      <c r="A4645" t="s">
        <v>1348</v>
      </c>
      <c r="C4645" t="s">
        <v>16</v>
      </c>
      <c r="D4645" s="1">
        <v>43230</v>
      </c>
    </row>
    <row r="4646" spans="1:4" x14ac:dyDescent="0.25">
      <c r="A4646" t="s">
        <v>2693</v>
      </c>
      <c r="C4646" t="s">
        <v>16</v>
      </c>
      <c r="D4646" s="1">
        <v>43237</v>
      </c>
    </row>
    <row r="4647" spans="1:4" x14ac:dyDescent="0.25">
      <c r="A4647" t="s">
        <v>3243</v>
      </c>
      <c r="C4647" t="s">
        <v>16</v>
      </c>
      <c r="D4647" s="1">
        <v>43250</v>
      </c>
    </row>
    <row r="4648" spans="1:4" x14ac:dyDescent="0.25">
      <c r="A4648" t="s">
        <v>3244</v>
      </c>
      <c r="C4648" t="s">
        <v>16</v>
      </c>
      <c r="D4648" s="1">
        <v>43231</v>
      </c>
    </row>
    <row r="4649" spans="1:4" x14ac:dyDescent="0.25">
      <c r="A4649" t="s">
        <v>648</v>
      </c>
      <c r="C4649" t="s">
        <v>16</v>
      </c>
      <c r="D4649" s="1">
        <v>43250</v>
      </c>
    </row>
    <row r="4650" spans="1:4" x14ac:dyDescent="0.25">
      <c r="A4650" t="s">
        <v>1544</v>
      </c>
      <c r="C4650" t="s">
        <v>16</v>
      </c>
      <c r="D4650" s="1">
        <v>43237</v>
      </c>
    </row>
    <row r="4651" spans="1:4" x14ac:dyDescent="0.25">
      <c r="A4651" t="s">
        <v>3245</v>
      </c>
      <c r="C4651" t="s">
        <v>16</v>
      </c>
      <c r="D4651" s="1">
        <v>43231</v>
      </c>
    </row>
    <row r="4652" spans="1:4" x14ac:dyDescent="0.25">
      <c r="A4652" t="s">
        <v>3246</v>
      </c>
      <c r="C4652" t="s">
        <v>16</v>
      </c>
      <c r="D4652" s="1">
        <v>43231</v>
      </c>
    </row>
    <row r="4653" spans="1:4" x14ac:dyDescent="0.25">
      <c r="A4653" t="s">
        <v>798</v>
      </c>
      <c r="C4653" t="s">
        <v>16</v>
      </c>
      <c r="D4653" s="1">
        <v>43250</v>
      </c>
    </row>
    <row r="4654" spans="1:4" x14ac:dyDescent="0.25">
      <c r="A4654" t="s">
        <v>3247</v>
      </c>
      <c r="C4654" t="s">
        <v>16</v>
      </c>
      <c r="D4654" s="1">
        <v>43231</v>
      </c>
    </row>
    <row r="4655" spans="1:4" x14ac:dyDescent="0.25">
      <c r="A4655" t="s">
        <v>3248</v>
      </c>
      <c r="C4655" t="s">
        <v>16</v>
      </c>
      <c r="D4655" s="1">
        <v>43241</v>
      </c>
    </row>
    <row r="4656" spans="1:4" x14ac:dyDescent="0.25">
      <c r="A4656" t="s">
        <v>3249</v>
      </c>
      <c r="C4656" t="s">
        <v>16</v>
      </c>
      <c r="D4656" s="1">
        <v>43231</v>
      </c>
    </row>
    <row r="4657" spans="1:4" x14ac:dyDescent="0.25">
      <c r="A4657" t="s">
        <v>1396</v>
      </c>
      <c r="C4657" t="s">
        <v>16</v>
      </c>
      <c r="D4657" s="1">
        <v>43238</v>
      </c>
    </row>
    <row r="4658" spans="1:4" x14ac:dyDescent="0.25">
      <c r="A4658" t="s">
        <v>3250</v>
      </c>
      <c r="C4658" t="s">
        <v>16</v>
      </c>
      <c r="D4658" s="1">
        <v>43231</v>
      </c>
    </row>
    <row r="4659" spans="1:4" x14ac:dyDescent="0.25">
      <c r="A4659" t="s">
        <v>1003</v>
      </c>
      <c r="C4659" t="s">
        <v>16</v>
      </c>
      <c r="D4659" s="1">
        <v>43238</v>
      </c>
    </row>
    <row r="4660" spans="1:4" x14ac:dyDescent="0.25">
      <c r="A4660" t="s">
        <v>3251</v>
      </c>
      <c r="C4660" t="s">
        <v>16</v>
      </c>
      <c r="D4660" s="1">
        <v>43231</v>
      </c>
    </row>
    <row r="4661" spans="1:4" x14ac:dyDescent="0.25">
      <c r="A4661" t="s">
        <v>1612</v>
      </c>
      <c r="C4661" t="s">
        <v>16</v>
      </c>
      <c r="D4661" s="1">
        <v>43238</v>
      </c>
    </row>
    <row r="4662" spans="1:4" x14ac:dyDescent="0.25">
      <c r="A4662" t="s">
        <v>3252</v>
      </c>
      <c r="C4662" t="s">
        <v>16</v>
      </c>
      <c r="D4662" s="1">
        <v>43230</v>
      </c>
    </row>
    <row r="4663" spans="1:4" x14ac:dyDescent="0.25">
      <c r="A4663" t="s">
        <v>634</v>
      </c>
      <c r="C4663" t="s">
        <v>16</v>
      </c>
      <c r="D4663" s="1">
        <v>43238</v>
      </c>
    </row>
    <row r="4664" spans="1:4" x14ac:dyDescent="0.25">
      <c r="A4664" t="s">
        <v>3253</v>
      </c>
      <c r="C4664" t="s">
        <v>16</v>
      </c>
      <c r="D4664" s="1">
        <v>43237</v>
      </c>
    </row>
    <row r="4665" spans="1:4" x14ac:dyDescent="0.25">
      <c r="A4665" t="s">
        <v>626</v>
      </c>
      <c r="C4665" t="s">
        <v>16</v>
      </c>
      <c r="D4665" s="1">
        <v>43245</v>
      </c>
    </row>
    <row r="4666" spans="1:4" x14ac:dyDescent="0.25">
      <c r="A4666" t="s">
        <v>652</v>
      </c>
      <c r="C4666" t="s">
        <v>16</v>
      </c>
      <c r="D4666" s="1">
        <v>43250</v>
      </c>
    </row>
    <row r="4667" spans="1:4" x14ac:dyDescent="0.25">
      <c r="A4667" t="s">
        <v>3254</v>
      </c>
      <c r="C4667" t="s">
        <v>16</v>
      </c>
      <c r="D4667" s="1">
        <v>43250</v>
      </c>
    </row>
    <row r="4668" spans="1:4" x14ac:dyDescent="0.25">
      <c r="A4668" t="s">
        <v>223</v>
      </c>
      <c r="C4668" t="s">
        <v>16</v>
      </c>
      <c r="D4668" s="1">
        <v>43231</v>
      </c>
    </row>
    <row r="4669" spans="1:4" x14ac:dyDescent="0.25">
      <c r="A4669" t="s">
        <v>3255</v>
      </c>
      <c r="C4669" t="s">
        <v>16</v>
      </c>
      <c r="D4669" s="1">
        <v>43245</v>
      </c>
    </row>
    <row r="4670" spans="1:4" x14ac:dyDescent="0.25">
      <c r="A4670" t="s">
        <v>1002</v>
      </c>
      <c r="C4670" t="s">
        <v>16</v>
      </c>
      <c r="D4670" s="1">
        <v>43231</v>
      </c>
    </row>
    <row r="4671" spans="1:4" x14ac:dyDescent="0.25">
      <c r="A4671" t="s">
        <v>3256</v>
      </c>
      <c r="C4671" t="s">
        <v>16</v>
      </c>
      <c r="D4671" s="1">
        <v>43230</v>
      </c>
    </row>
    <row r="4672" spans="1:4" x14ac:dyDescent="0.25">
      <c r="A4672" t="s">
        <v>3257</v>
      </c>
      <c r="C4672" t="s">
        <v>16</v>
      </c>
      <c r="D4672" s="1">
        <v>43245</v>
      </c>
    </row>
    <row r="4673" spans="1:4" x14ac:dyDescent="0.25">
      <c r="A4673" t="s">
        <v>181</v>
      </c>
      <c r="C4673" t="s">
        <v>16</v>
      </c>
      <c r="D4673" s="1">
        <v>43231</v>
      </c>
    </row>
    <row r="4674" spans="1:4" x14ac:dyDescent="0.25">
      <c r="A4674" t="s">
        <v>531</v>
      </c>
      <c r="C4674" t="s">
        <v>16</v>
      </c>
      <c r="D4674" s="1">
        <v>43231</v>
      </c>
    </row>
    <row r="4675" spans="1:4" x14ac:dyDescent="0.25">
      <c r="A4675" t="s">
        <v>3258</v>
      </c>
      <c r="C4675" t="s">
        <v>16</v>
      </c>
      <c r="D4675" s="1">
        <v>43250</v>
      </c>
    </row>
    <row r="4676" spans="1:4" x14ac:dyDescent="0.25">
      <c r="A4676" t="s">
        <v>821</v>
      </c>
      <c r="C4676" t="s">
        <v>16</v>
      </c>
      <c r="D4676" s="1">
        <v>43245</v>
      </c>
    </row>
    <row r="4677" spans="1:4" x14ac:dyDescent="0.25">
      <c r="A4677" t="s">
        <v>3259</v>
      </c>
      <c r="C4677" t="s">
        <v>16</v>
      </c>
      <c r="D4677" s="1">
        <v>43231</v>
      </c>
    </row>
    <row r="4678" spans="1:4" x14ac:dyDescent="0.25">
      <c r="A4678" t="s">
        <v>3260</v>
      </c>
      <c r="C4678" t="s">
        <v>16</v>
      </c>
      <c r="D4678" s="1">
        <v>43250</v>
      </c>
    </row>
    <row r="4679" spans="1:4" x14ac:dyDescent="0.25">
      <c r="A4679" t="s">
        <v>796</v>
      </c>
      <c r="C4679" t="s">
        <v>16</v>
      </c>
      <c r="D4679" s="1">
        <v>43250</v>
      </c>
    </row>
    <row r="4680" spans="1:4" x14ac:dyDescent="0.25">
      <c r="A4680" t="s">
        <v>787</v>
      </c>
      <c r="C4680" t="s">
        <v>16</v>
      </c>
      <c r="D4680" s="1">
        <v>43231</v>
      </c>
    </row>
    <row r="4681" spans="1:4" x14ac:dyDescent="0.25">
      <c r="A4681" t="s">
        <v>3261</v>
      </c>
      <c r="C4681" t="s">
        <v>16</v>
      </c>
      <c r="D4681" s="1">
        <v>43234</v>
      </c>
    </row>
    <row r="4682" spans="1:4" x14ac:dyDescent="0.25">
      <c r="A4682" t="s">
        <v>659</v>
      </c>
      <c r="C4682" t="s">
        <v>16</v>
      </c>
      <c r="D4682" s="1">
        <v>43245</v>
      </c>
    </row>
    <row r="4683" spans="1:4" x14ac:dyDescent="0.25">
      <c r="A4683" t="s">
        <v>575</v>
      </c>
      <c r="C4683" t="s">
        <v>16</v>
      </c>
      <c r="D4683" s="1">
        <v>43238</v>
      </c>
    </row>
    <row r="4684" spans="1:4" x14ac:dyDescent="0.25">
      <c r="A4684" t="s">
        <v>3262</v>
      </c>
      <c r="C4684" t="s">
        <v>16</v>
      </c>
      <c r="D4684" s="1">
        <v>43250</v>
      </c>
    </row>
    <row r="4685" spans="1:4" x14ac:dyDescent="0.25">
      <c r="A4685" t="s">
        <v>536</v>
      </c>
      <c r="C4685" t="s">
        <v>16</v>
      </c>
      <c r="D4685" s="1">
        <v>43236</v>
      </c>
    </row>
    <row r="4686" spans="1:4" x14ac:dyDescent="0.25">
      <c r="A4686" t="s">
        <v>1063</v>
      </c>
      <c r="C4686" t="s">
        <v>16</v>
      </c>
      <c r="D4686" s="1">
        <v>43224</v>
      </c>
    </row>
    <row r="4687" spans="1:4" x14ac:dyDescent="0.25">
      <c r="A4687" t="s">
        <v>3263</v>
      </c>
      <c r="C4687" t="s">
        <v>16</v>
      </c>
      <c r="D4687" s="1">
        <v>43250</v>
      </c>
    </row>
    <row r="4688" spans="1:4" x14ac:dyDescent="0.25">
      <c r="A4688" t="s">
        <v>636</v>
      </c>
      <c r="C4688" t="s">
        <v>16</v>
      </c>
      <c r="D4688" s="1">
        <v>43231</v>
      </c>
    </row>
    <row r="4689" spans="1:4" x14ac:dyDescent="0.25">
      <c r="A4689" t="s">
        <v>3264</v>
      </c>
      <c r="C4689" t="s">
        <v>16</v>
      </c>
      <c r="D4689" s="1">
        <v>43231</v>
      </c>
    </row>
    <row r="4690" spans="1:4" x14ac:dyDescent="0.25">
      <c r="A4690" t="s">
        <v>780</v>
      </c>
      <c r="C4690" t="s">
        <v>16</v>
      </c>
      <c r="D4690" s="1">
        <v>43224</v>
      </c>
    </row>
    <row r="4691" spans="1:4" x14ac:dyDescent="0.25">
      <c r="A4691" t="s">
        <v>3265</v>
      </c>
      <c r="C4691" t="s">
        <v>16</v>
      </c>
      <c r="D4691" s="1">
        <v>43250</v>
      </c>
    </row>
    <row r="4692" spans="1:4" x14ac:dyDescent="0.25">
      <c r="A4692" t="s">
        <v>2960</v>
      </c>
      <c r="C4692" t="s">
        <v>16</v>
      </c>
      <c r="D4692" s="1">
        <v>43250</v>
      </c>
    </row>
    <row r="4693" spans="1:4" x14ac:dyDescent="0.25">
      <c r="A4693" t="s">
        <v>3266</v>
      </c>
      <c r="C4693" t="s">
        <v>16</v>
      </c>
      <c r="D4693" s="1">
        <v>43245</v>
      </c>
    </row>
    <row r="4694" spans="1:4" x14ac:dyDescent="0.25">
      <c r="A4694" t="s">
        <v>1487</v>
      </c>
      <c r="C4694" t="s">
        <v>16</v>
      </c>
      <c r="D4694" s="1">
        <v>43231</v>
      </c>
    </row>
    <row r="4695" spans="1:4" x14ac:dyDescent="0.25">
      <c r="A4695" t="s">
        <v>635</v>
      </c>
      <c r="C4695" t="s">
        <v>16</v>
      </c>
      <c r="D4695" s="1">
        <v>43240</v>
      </c>
    </row>
    <row r="4696" spans="1:4" x14ac:dyDescent="0.25">
      <c r="A4696" t="s">
        <v>1358</v>
      </c>
      <c r="C4696" t="s">
        <v>16</v>
      </c>
      <c r="D4696" s="1">
        <v>43231</v>
      </c>
    </row>
    <row r="4697" spans="1:4" x14ac:dyDescent="0.25">
      <c r="A4697" t="s">
        <v>662</v>
      </c>
      <c r="C4697" t="s">
        <v>16</v>
      </c>
      <c r="D4697" s="1">
        <v>43231</v>
      </c>
    </row>
    <row r="4698" spans="1:4" x14ac:dyDescent="0.25">
      <c r="A4698" t="s">
        <v>1519</v>
      </c>
      <c r="C4698" t="s">
        <v>16</v>
      </c>
      <c r="D4698" s="1">
        <v>43231</v>
      </c>
    </row>
    <row r="4699" spans="1:4" x14ac:dyDescent="0.25">
      <c r="A4699" t="s">
        <v>555</v>
      </c>
      <c r="C4699" t="s">
        <v>16</v>
      </c>
      <c r="D4699" s="1">
        <v>43250</v>
      </c>
    </row>
    <row r="4700" spans="1:4" x14ac:dyDescent="0.25">
      <c r="A4700" t="s">
        <v>3267</v>
      </c>
      <c r="C4700" t="s">
        <v>16</v>
      </c>
      <c r="D4700" s="1">
        <v>43230</v>
      </c>
    </row>
    <row r="4701" spans="1:4" x14ac:dyDescent="0.25">
      <c r="A4701" t="s">
        <v>1530</v>
      </c>
      <c r="C4701" t="s">
        <v>16</v>
      </c>
      <c r="D4701" s="1">
        <v>43236</v>
      </c>
    </row>
    <row r="4702" spans="1:4" x14ac:dyDescent="0.25">
      <c r="A4702" t="s">
        <v>2723</v>
      </c>
      <c r="C4702" t="s">
        <v>16</v>
      </c>
      <c r="D4702" s="1">
        <v>43227</v>
      </c>
    </row>
    <row r="4703" spans="1:4" x14ac:dyDescent="0.25">
      <c r="A4703" t="s">
        <v>3268</v>
      </c>
      <c r="C4703" t="s">
        <v>16</v>
      </c>
      <c r="D4703" s="1">
        <v>43250</v>
      </c>
    </row>
    <row r="4704" spans="1:4" x14ac:dyDescent="0.25">
      <c r="A4704" t="s">
        <v>1207</v>
      </c>
      <c r="C4704" t="s">
        <v>16</v>
      </c>
      <c r="D4704" s="1">
        <v>43231</v>
      </c>
    </row>
    <row r="4705" spans="1:4" x14ac:dyDescent="0.25">
      <c r="A4705" t="s">
        <v>579</v>
      </c>
      <c r="C4705" t="s">
        <v>16</v>
      </c>
      <c r="D4705" s="1">
        <v>43231</v>
      </c>
    </row>
    <row r="4706" spans="1:4" x14ac:dyDescent="0.25">
      <c r="A4706" t="s">
        <v>2685</v>
      </c>
      <c r="C4706" t="s">
        <v>16</v>
      </c>
      <c r="D4706" s="1">
        <v>43227</v>
      </c>
    </row>
    <row r="4707" spans="1:4" x14ac:dyDescent="0.25">
      <c r="A4707" t="s">
        <v>578</v>
      </c>
      <c r="C4707" t="s">
        <v>16</v>
      </c>
      <c r="D4707" s="1">
        <v>43245</v>
      </c>
    </row>
    <row r="4708" spans="1:4" x14ac:dyDescent="0.25">
      <c r="A4708" t="s">
        <v>1288</v>
      </c>
      <c r="C4708" t="s">
        <v>16</v>
      </c>
      <c r="D4708" s="1">
        <v>43224</v>
      </c>
    </row>
    <row r="4709" spans="1:4" x14ac:dyDescent="0.25">
      <c r="A4709" t="s">
        <v>1057</v>
      </c>
      <c r="C4709" t="s">
        <v>16</v>
      </c>
      <c r="D4709" s="1">
        <v>43231</v>
      </c>
    </row>
    <row r="4710" spans="1:4" x14ac:dyDescent="0.25">
      <c r="A4710" t="s">
        <v>554</v>
      </c>
      <c r="C4710" t="s">
        <v>16</v>
      </c>
      <c r="D4710" s="1">
        <v>43229</v>
      </c>
    </row>
    <row r="4711" spans="1:4" x14ac:dyDescent="0.25">
      <c r="A4711" t="s">
        <v>3269</v>
      </c>
      <c r="C4711" t="s">
        <v>16</v>
      </c>
      <c r="D4711" s="1">
        <v>43231</v>
      </c>
    </row>
    <row r="4712" spans="1:4" x14ac:dyDescent="0.25">
      <c r="A4712" t="s">
        <v>3270</v>
      </c>
      <c r="C4712" t="s">
        <v>16</v>
      </c>
      <c r="D4712" s="1">
        <v>43231</v>
      </c>
    </row>
    <row r="4713" spans="1:4" x14ac:dyDescent="0.25">
      <c r="A4713" t="s">
        <v>1082</v>
      </c>
      <c r="C4713" t="s">
        <v>16</v>
      </c>
      <c r="D4713" s="1">
        <v>43231</v>
      </c>
    </row>
    <row r="4714" spans="1:4" x14ac:dyDescent="0.25">
      <c r="A4714" t="s">
        <v>3271</v>
      </c>
      <c r="C4714" t="s">
        <v>16</v>
      </c>
      <c r="D4714" s="1">
        <v>43231</v>
      </c>
    </row>
    <row r="4715" spans="1:4" x14ac:dyDescent="0.25">
      <c r="A4715" t="s">
        <v>676</v>
      </c>
      <c r="C4715" t="s">
        <v>16</v>
      </c>
      <c r="D4715" s="1">
        <v>43231</v>
      </c>
    </row>
    <row r="4716" spans="1:4" x14ac:dyDescent="0.25">
      <c r="A4716" t="s">
        <v>3272</v>
      </c>
      <c r="C4716" t="s">
        <v>16</v>
      </c>
      <c r="D4716" s="1">
        <v>43231</v>
      </c>
    </row>
    <row r="4717" spans="1:4" x14ac:dyDescent="0.25">
      <c r="A4717" t="s">
        <v>749</v>
      </c>
      <c r="C4717" t="s">
        <v>16</v>
      </c>
      <c r="D4717" s="1">
        <v>43231</v>
      </c>
    </row>
    <row r="4718" spans="1:4" x14ac:dyDescent="0.25">
      <c r="A4718" t="s">
        <v>734</v>
      </c>
      <c r="C4718" t="s">
        <v>16</v>
      </c>
      <c r="D4718" s="1">
        <v>43224</v>
      </c>
    </row>
    <row r="4719" spans="1:4" x14ac:dyDescent="0.25">
      <c r="A4719" t="s">
        <v>3273</v>
      </c>
      <c r="C4719" t="s">
        <v>16</v>
      </c>
      <c r="D4719" s="1">
        <v>43231</v>
      </c>
    </row>
    <row r="4720" spans="1:4" x14ac:dyDescent="0.25">
      <c r="A4720" t="s">
        <v>525</v>
      </c>
      <c r="C4720" t="s">
        <v>16</v>
      </c>
      <c r="D4720" s="1">
        <v>43231</v>
      </c>
    </row>
    <row r="4721" spans="1:4" x14ac:dyDescent="0.25">
      <c r="A4721" t="s">
        <v>3274</v>
      </c>
      <c r="C4721" t="s">
        <v>16</v>
      </c>
      <c r="D4721" s="1">
        <v>43231</v>
      </c>
    </row>
    <row r="4722" spans="1:4" x14ac:dyDescent="0.25">
      <c r="A4722" t="s">
        <v>3275</v>
      </c>
      <c r="C4722" t="s">
        <v>16</v>
      </c>
      <c r="D4722" s="1">
        <v>43250</v>
      </c>
    </row>
    <row r="4723" spans="1:4" x14ac:dyDescent="0.25">
      <c r="A4723" t="s">
        <v>3276</v>
      </c>
      <c r="C4723" t="s">
        <v>16</v>
      </c>
      <c r="D4723" s="1">
        <v>43231</v>
      </c>
    </row>
    <row r="4724" spans="1:4" x14ac:dyDescent="0.25">
      <c r="A4724" t="s">
        <v>3277</v>
      </c>
      <c r="C4724" t="s">
        <v>16</v>
      </c>
      <c r="D4724" s="1">
        <v>43250</v>
      </c>
    </row>
    <row r="4725" spans="1:4" x14ac:dyDescent="0.25">
      <c r="A4725" t="s">
        <v>740</v>
      </c>
      <c r="C4725" t="s">
        <v>16</v>
      </c>
      <c r="D4725" s="1">
        <v>43231</v>
      </c>
    </row>
    <row r="4726" spans="1:4" x14ac:dyDescent="0.25">
      <c r="A4726" t="s">
        <v>1398</v>
      </c>
      <c r="C4726" t="s">
        <v>16</v>
      </c>
      <c r="D4726" s="1">
        <v>43236</v>
      </c>
    </row>
    <row r="4727" spans="1:4" x14ac:dyDescent="0.25">
      <c r="A4727" t="s">
        <v>3278</v>
      </c>
      <c r="C4727" t="s">
        <v>16</v>
      </c>
      <c r="D4727" s="1">
        <v>43241</v>
      </c>
    </row>
    <row r="4728" spans="1:4" x14ac:dyDescent="0.25">
      <c r="A4728" t="s">
        <v>3279</v>
      </c>
      <c r="C4728" t="s">
        <v>16</v>
      </c>
      <c r="D4728" s="1">
        <v>43250</v>
      </c>
    </row>
    <row r="4729" spans="1:4" x14ac:dyDescent="0.25">
      <c r="A4729" t="s">
        <v>3280</v>
      </c>
      <c r="C4729" t="s">
        <v>16</v>
      </c>
      <c r="D4729" s="1">
        <v>43231</v>
      </c>
    </row>
    <row r="4730" spans="1:4" x14ac:dyDescent="0.25">
      <c r="A4730" t="s">
        <v>790</v>
      </c>
      <c r="C4730" t="s">
        <v>16</v>
      </c>
      <c r="D4730" s="1">
        <v>43231</v>
      </c>
    </row>
    <row r="4731" spans="1:4" x14ac:dyDescent="0.25">
      <c r="A4731" t="s">
        <v>908</v>
      </c>
      <c r="C4731" t="s">
        <v>16</v>
      </c>
      <c r="D4731" s="1">
        <v>43250</v>
      </c>
    </row>
    <row r="4732" spans="1:4" x14ac:dyDescent="0.25">
      <c r="A4732" t="s">
        <v>613</v>
      </c>
      <c r="C4732" t="s">
        <v>16</v>
      </c>
      <c r="D4732" s="1">
        <v>43231</v>
      </c>
    </row>
    <row r="4733" spans="1:4" x14ac:dyDescent="0.25">
      <c r="A4733" t="s">
        <v>3281</v>
      </c>
      <c r="C4733" t="s">
        <v>16</v>
      </c>
      <c r="D4733" s="1">
        <v>43231</v>
      </c>
    </row>
    <row r="4734" spans="1:4" x14ac:dyDescent="0.25">
      <c r="A4734" t="s">
        <v>2554</v>
      </c>
      <c r="C4734" t="s">
        <v>16</v>
      </c>
      <c r="D4734" s="1">
        <v>43230</v>
      </c>
    </row>
    <row r="4735" spans="1:4" x14ac:dyDescent="0.25">
      <c r="A4735" t="s">
        <v>3282</v>
      </c>
      <c r="C4735" t="s">
        <v>16</v>
      </c>
      <c r="D4735" s="1">
        <v>43230</v>
      </c>
    </row>
    <row r="4736" spans="1:4" x14ac:dyDescent="0.25">
      <c r="A4736" t="s">
        <v>2741</v>
      </c>
      <c r="C4736" t="s">
        <v>16</v>
      </c>
      <c r="D4736" s="1">
        <v>43227</v>
      </c>
    </row>
    <row r="4737" spans="1:4" x14ac:dyDescent="0.25">
      <c r="A4737" t="s">
        <v>3283</v>
      </c>
      <c r="C4737" t="s">
        <v>16</v>
      </c>
      <c r="D4737" s="1">
        <v>43238</v>
      </c>
    </row>
    <row r="4738" spans="1:4" x14ac:dyDescent="0.25">
      <c r="A4738" t="s">
        <v>633</v>
      </c>
      <c r="C4738" t="s">
        <v>16</v>
      </c>
      <c r="D4738" s="1">
        <v>43240</v>
      </c>
    </row>
    <row r="4739" spans="1:4" x14ac:dyDescent="0.25">
      <c r="A4739" t="s">
        <v>589</v>
      </c>
      <c r="C4739" t="s">
        <v>16</v>
      </c>
      <c r="D4739" s="1">
        <v>43231</v>
      </c>
    </row>
    <row r="4740" spans="1:4" x14ac:dyDescent="0.25">
      <c r="A4740" t="s">
        <v>1552</v>
      </c>
      <c r="C4740" t="s">
        <v>16</v>
      </c>
      <c r="D4740" s="1">
        <v>43238</v>
      </c>
    </row>
    <row r="4741" spans="1:4" x14ac:dyDescent="0.25">
      <c r="A4741" t="s">
        <v>3284</v>
      </c>
      <c r="C4741" t="s">
        <v>16</v>
      </c>
      <c r="D4741" s="1">
        <v>43231</v>
      </c>
    </row>
    <row r="4742" spans="1:4" x14ac:dyDescent="0.25">
      <c r="A4742" t="s">
        <v>3285</v>
      </c>
      <c r="C4742" t="s">
        <v>16</v>
      </c>
      <c r="D4742" s="1">
        <v>43245</v>
      </c>
    </row>
    <row r="4743" spans="1:4" x14ac:dyDescent="0.25">
      <c r="A4743" t="s">
        <v>3286</v>
      </c>
      <c r="C4743" t="s">
        <v>16</v>
      </c>
      <c r="D4743" s="1">
        <v>43231</v>
      </c>
    </row>
    <row r="4744" spans="1:4" x14ac:dyDescent="0.25">
      <c r="A4744" t="s">
        <v>1329</v>
      </c>
      <c r="C4744" t="s">
        <v>16</v>
      </c>
      <c r="D4744" s="1">
        <v>43231</v>
      </c>
    </row>
    <row r="4745" spans="1:4" x14ac:dyDescent="0.25">
      <c r="A4745" t="s">
        <v>957</v>
      </c>
      <c r="C4745" t="s">
        <v>16</v>
      </c>
      <c r="D4745" s="1">
        <v>43231</v>
      </c>
    </row>
    <row r="4746" spans="1:4" x14ac:dyDescent="0.25">
      <c r="A4746" t="s">
        <v>187</v>
      </c>
      <c r="C4746" t="s">
        <v>16</v>
      </c>
      <c r="D4746" s="1">
        <v>43231</v>
      </c>
    </row>
    <row r="4747" spans="1:4" x14ac:dyDescent="0.25">
      <c r="A4747" t="s">
        <v>3287</v>
      </c>
      <c r="C4747" t="s">
        <v>16</v>
      </c>
      <c r="D4747" s="1">
        <v>43250</v>
      </c>
    </row>
    <row r="4748" spans="1:4" x14ac:dyDescent="0.25">
      <c r="A4748" t="s">
        <v>3288</v>
      </c>
      <c r="C4748" t="s">
        <v>16</v>
      </c>
      <c r="D4748" s="1">
        <v>43245</v>
      </c>
    </row>
    <row r="4749" spans="1:4" x14ac:dyDescent="0.25">
      <c r="A4749" t="s">
        <v>1263</v>
      </c>
      <c r="C4749" t="s">
        <v>16</v>
      </c>
      <c r="D4749" s="1">
        <v>43231</v>
      </c>
    </row>
    <row r="4750" spans="1:4" x14ac:dyDescent="0.25">
      <c r="A4750" t="s">
        <v>3289</v>
      </c>
      <c r="C4750" t="s">
        <v>16</v>
      </c>
      <c r="D4750" s="1">
        <v>43250</v>
      </c>
    </row>
    <row r="4751" spans="1:4" x14ac:dyDescent="0.25">
      <c r="A4751" t="s">
        <v>1342</v>
      </c>
      <c r="C4751" t="s">
        <v>16</v>
      </c>
      <c r="D4751" s="1">
        <v>43231</v>
      </c>
    </row>
    <row r="4752" spans="1:4" x14ac:dyDescent="0.25">
      <c r="A4752" t="s">
        <v>3290</v>
      </c>
      <c r="C4752" t="s">
        <v>16</v>
      </c>
      <c r="D4752" s="1">
        <v>43238</v>
      </c>
    </row>
    <row r="4753" spans="1:4" x14ac:dyDescent="0.25">
      <c r="A4753" t="s">
        <v>3291</v>
      </c>
      <c r="C4753" t="s">
        <v>16</v>
      </c>
      <c r="D4753" s="1">
        <v>43250</v>
      </c>
    </row>
    <row r="4754" spans="1:4" x14ac:dyDescent="0.25">
      <c r="A4754" t="s">
        <v>534</v>
      </c>
      <c r="C4754" t="s">
        <v>16</v>
      </c>
      <c r="D4754" s="1">
        <v>43250</v>
      </c>
    </row>
    <row r="4755" spans="1:4" x14ac:dyDescent="0.25">
      <c r="A4755" t="s">
        <v>3292</v>
      </c>
      <c r="C4755" t="s">
        <v>16</v>
      </c>
      <c r="D4755" s="1">
        <v>43238</v>
      </c>
    </row>
    <row r="4756" spans="1:4" x14ac:dyDescent="0.25">
      <c r="A4756" t="s">
        <v>1332</v>
      </c>
      <c r="C4756" t="s">
        <v>16</v>
      </c>
      <c r="D4756" s="1">
        <v>43224</v>
      </c>
    </row>
    <row r="4757" spans="1:4" x14ac:dyDescent="0.25">
      <c r="A4757" t="s">
        <v>3293</v>
      </c>
      <c r="C4757" t="s">
        <v>16</v>
      </c>
      <c r="D4757" s="1">
        <v>43230</v>
      </c>
    </row>
    <row r="4758" spans="1:4" x14ac:dyDescent="0.25">
      <c r="A4758" t="s">
        <v>3294</v>
      </c>
      <c r="C4758" t="s">
        <v>16</v>
      </c>
      <c r="D4758" s="1">
        <v>43250</v>
      </c>
    </row>
    <row r="4759" spans="1:4" x14ac:dyDescent="0.25">
      <c r="A4759" t="s">
        <v>3295</v>
      </c>
      <c r="C4759" t="s">
        <v>16</v>
      </c>
      <c r="D4759" s="1">
        <v>43250</v>
      </c>
    </row>
    <row r="4760" spans="1:4" x14ac:dyDescent="0.25">
      <c r="A4760" t="s">
        <v>3296</v>
      </c>
      <c r="C4760" t="s">
        <v>16</v>
      </c>
      <c r="D4760" s="1">
        <v>43250</v>
      </c>
    </row>
    <row r="4761" spans="1:4" x14ac:dyDescent="0.25">
      <c r="A4761" t="s">
        <v>3297</v>
      </c>
      <c r="C4761" t="s">
        <v>16</v>
      </c>
      <c r="D4761" s="1">
        <v>43231</v>
      </c>
    </row>
    <row r="4762" spans="1:4" x14ac:dyDescent="0.25">
      <c r="A4762" t="s">
        <v>3298</v>
      </c>
      <c r="C4762" t="s">
        <v>16</v>
      </c>
      <c r="D4762" s="1">
        <v>43250</v>
      </c>
    </row>
    <row r="4763" spans="1:4" x14ac:dyDescent="0.25">
      <c r="A4763" t="s">
        <v>1008</v>
      </c>
      <c r="C4763" t="s">
        <v>16</v>
      </c>
      <c r="D4763" s="1">
        <v>43245</v>
      </c>
    </row>
    <row r="4764" spans="1:4" x14ac:dyDescent="0.25">
      <c r="A4764" t="s">
        <v>3299</v>
      </c>
      <c r="C4764" t="s">
        <v>16</v>
      </c>
      <c r="D4764" s="1">
        <v>43231</v>
      </c>
    </row>
    <row r="4765" spans="1:4" x14ac:dyDescent="0.25">
      <c r="A4765" t="s">
        <v>3300</v>
      </c>
      <c r="C4765" t="s">
        <v>16</v>
      </c>
      <c r="D4765" s="1">
        <v>43238</v>
      </c>
    </row>
    <row r="4766" spans="1:4" x14ac:dyDescent="0.25">
      <c r="A4766" t="s">
        <v>3301</v>
      </c>
      <c r="C4766" t="s">
        <v>16</v>
      </c>
      <c r="D4766" s="1">
        <v>43231</v>
      </c>
    </row>
    <row r="4767" spans="1:4" x14ac:dyDescent="0.25">
      <c r="A4767" t="s">
        <v>3302</v>
      </c>
      <c r="C4767" t="s">
        <v>16</v>
      </c>
      <c r="D4767" s="1">
        <v>43231</v>
      </c>
    </row>
    <row r="4768" spans="1:4" x14ac:dyDescent="0.25">
      <c r="A4768" t="s">
        <v>3303</v>
      </c>
      <c r="C4768" t="s">
        <v>16</v>
      </c>
      <c r="D4768" s="1">
        <v>43230</v>
      </c>
    </row>
    <row r="4769" spans="1:4" x14ac:dyDescent="0.25">
      <c r="A4769" t="s">
        <v>3095</v>
      </c>
      <c r="C4769" t="s">
        <v>12</v>
      </c>
      <c r="D4769" s="1">
        <v>43245</v>
      </c>
    </row>
    <row r="4770" spans="1:4" x14ac:dyDescent="0.25">
      <c r="A4770" t="s">
        <v>677</v>
      </c>
      <c r="C4770" t="s">
        <v>12</v>
      </c>
      <c r="D4770" s="1">
        <v>43238</v>
      </c>
    </row>
    <row r="4771" spans="1:4" x14ac:dyDescent="0.25">
      <c r="A4771" t="s">
        <v>592</v>
      </c>
      <c r="C4771" t="s">
        <v>12</v>
      </c>
      <c r="D4771" s="1">
        <v>43238</v>
      </c>
    </row>
    <row r="4772" spans="1:4" x14ac:dyDescent="0.25">
      <c r="A4772" t="s">
        <v>1369</v>
      </c>
      <c r="C4772" t="s">
        <v>12</v>
      </c>
      <c r="D4772" s="1">
        <v>43245</v>
      </c>
    </row>
    <row r="4773" spans="1:4" x14ac:dyDescent="0.25">
      <c r="A4773" t="s">
        <v>3304</v>
      </c>
      <c r="C4773" t="s">
        <v>12</v>
      </c>
      <c r="D4773" s="1">
        <v>43224</v>
      </c>
    </row>
    <row r="4774" spans="1:4" x14ac:dyDescent="0.25">
      <c r="A4774" t="s">
        <v>3098</v>
      </c>
      <c r="C4774" t="s">
        <v>12</v>
      </c>
      <c r="D4774" s="1">
        <v>43238</v>
      </c>
    </row>
    <row r="4775" spans="1:4" x14ac:dyDescent="0.25">
      <c r="A4775" t="s">
        <v>3099</v>
      </c>
      <c r="C4775" t="s">
        <v>12</v>
      </c>
      <c r="D4775" s="1">
        <v>43238</v>
      </c>
    </row>
    <row r="4776" spans="1:4" x14ac:dyDescent="0.25">
      <c r="A4776" t="s">
        <v>1319</v>
      </c>
      <c r="C4776" t="s">
        <v>12</v>
      </c>
      <c r="D4776" s="1">
        <v>43227</v>
      </c>
    </row>
    <row r="4777" spans="1:4" x14ac:dyDescent="0.25">
      <c r="A4777" t="s">
        <v>3100</v>
      </c>
      <c r="C4777" t="s">
        <v>12</v>
      </c>
      <c r="D4777" s="1">
        <v>43238</v>
      </c>
    </row>
    <row r="4778" spans="1:4" x14ac:dyDescent="0.25">
      <c r="A4778" t="s">
        <v>1447</v>
      </c>
      <c r="C4778" t="s">
        <v>12</v>
      </c>
      <c r="D4778" s="1">
        <v>43227</v>
      </c>
    </row>
    <row r="4779" spans="1:4" x14ac:dyDescent="0.25">
      <c r="A4779" t="s">
        <v>3101</v>
      </c>
      <c r="C4779" t="s">
        <v>12</v>
      </c>
      <c r="D4779" s="1">
        <v>43238</v>
      </c>
    </row>
    <row r="4780" spans="1:4" x14ac:dyDescent="0.25">
      <c r="A4780" t="s">
        <v>1650</v>
      </c>
      <c r="C4780" t="s">
        <v>12</v>
      </c>
      <c r="D4780" s="1">
        <v>43245</v>
      </c>
    </row>
    <row r="4781" spans="1:4" x14ac:dyDescent="0.25">
      <c r="A4781" t="s">
        <v>753</v>
      </c>
      <c r="C4781" t="s">
        <v>12</v>
      </c>
      <c r="D4781" s="1">
        <v>43243</v>
      </c>
    </row>
    <row r="4782" spans="1:4" x14ac:dyDescent="0.25">
      <c r="A4782" t="s">
        <v>3102</v>
      </c>
      <c r="C4782" t="s">
        <v>12</v>
      </c>
      <c r="D4782" s="1">
        <v>43245</v>
      </c>
    </row>
    <row r="4783" spans="1:4" x14ac:dyDescent="0.25">
      <c r="A4783" t="s">
        <v>150</v>
      </c>
      <c r="C4783" t="s">
        <v>12</v>
      </c>
      <c r="D4783" s="1">
        <v>43229</v>
      </c>
    </row>
    <row r="4784" spans="1:4" x14ac:dyDescent="0.25">
      <c r="A4784" t="s">
        <v>3305</v>
      </c>
      <c r="C4784" t="s">
        <v>12</v>
      </c>
      <c r="D4784" s="1">
        <v>43231</v>
      </c>
    </row>
    <row r="4785" spans="1:4" x14ac:dyDescent="0.25">
      <c r="A4785" t="s">
        <v>3306</v>
      </c>
      <c r="C4785" t="s">
        <v>12</v>
      </c>
      <c r="D4785" s="1">
        <v>43231</v>
      </c>
    </row>
    <row r="4786" spans="1:4" x14ac:dyDescent="0.25">
      <c r="A4786" t="s">
        <v>3307</v>
      </c>
      <c r="C4786" t="s">
        <v>12</v>
      </c>
      <c r="D4786" s="1">
        <v>43229</v>
      </c>
    </row>
    <row r="4787" spans="1:4" x14ac:dyDescent="0.25">
      <c r="A4787" t="s">
        <v>3105</v>
      </c>
      <c r="C4787" t="s">
        <v>12</v>
      </c>
      <c r="D4787" s="1">
        <v>43248</v>
      </c>
    </row>
    <row r="4788" spans="1:4" x14ac:dyDescent="0.25">
      <c r="A4788" t="s">
        <v>3106</v>
      </c>
      <c r="C4788" t="s">
        <v>12</v>
      </c>
      <c r="D4788" s="1">
        <v>43237</v>
      </c>
    </row>
    <row r="4789" spans="1:4" x14ac:dyDescent="0.25">
      <c r="A4789" t="s">
        <v>3308</v>
      </c>
      <c r="C4789" t="s">
        <v>12</v>
      </c>
      <c r="D4789" s="1">
        <v>43231</v>
      </c>
    </row>
    <row r="4790" spans="1:4" x14ac:dyDescent="0.25">
      <c r="A4790" t="s">
        <v>3107</v>
      </c>
      <c r="C4790" t="s">
        <v>12</v>
      </c>
      <c r="D4790" s="1">
        <v>43238</v>
      </c>
    </row>
    <row r="4791" spans="1:4" x14ac:dyDescent="0.25">
      <c r="A4791" t="s">
        <v>3309</v>
      </c>
      <c r="C4791" t="s">
        <v>12</v>
      </c>
      <c r="D4791" s="1">
        <v>43224</v>
      </c>
    </row>
    <row r="4792" spans="1:4" x14ac:dyDescent="0.25">
      <c r="A4792" t="s">
        <v>3111</v>
      </c>
      <c r="C4792" t="s">
        <v>12</v>
      </c>
      <c r="D4792" s="1">
        <v>43237</v>
      </c>
    </row>
    <row r="4793" spans="1:4" x14ac:dyDescent="0.25">
      <c r="A4793" t="s">
        <v>955</v>
      </c>
      <c r="C4793" t="s">
        <v>12</v>
      </c>
      <c r="D4793" s="1">
        <v>43245</v>
      </c>
    </row>
    <row r="4794" spans="1:4" x14ac:dyDescent="0.25">
      <c r="A4794" t="s">
        <v>1300</v>
      </c>
      <c r="C4794" t="s">
        <v>12</v>
      </c>
      <c r="D4794" s="1">
        <v>43238</v>
      </c>
    </row>
    <row r="4795" spans="1:4" x14ac:dyDescent="0.25">
      <c r="A4795" t="s">
        <v>3112</v>
      </c>
      <c r="C4795" t="s">
        <v>12</v>
      </c>
      <c r="D4795" s="1">
        <v>43245</v>
      </c>
    </row>
    <row r="4796" spans="1:4" x14ac:dyDescent="0.25">
      <c r="A4796" t="s">
        <v>3310</v>
      </c>
      <c r="C4796" t="s">
        <v>12</v>
      </c>
      <c r="D4796" s="1">
        <v>43231</v>
      </c>
    </row>
    <row r="4797" spans="1:4" x14ac:dyDescent="0.25">
      <c r="A4797" t="s">
        <v>3311</v>
      </c>
      <c r="C4797" t="s">
        <v>12</v>
      </c>
      <c r="D4797" s="1">
        <v>43229</v>
      </c>
    </row>
    <row r="4798" spans="1:4" x14ac:dyDescent="0.25">
      <c r="A4798" t="s">
        <v>944</v>
      </c>
      <c r="C4798" t="s">
        <v>12</v>
      </c>
      <c r="D4798" s="1">
        <v>43227</v>
      </c>
    </row>
    <row r="4799" spans="1:4" x14ac:dyDescent="0.25">
      <c r="A4799" t="s">
        <v>3115</v>
      </c>
      <c r="C4799" t="s">
        <v>12</v>
      </c>
      <c r="D4799" s="1">
        <v>43237</v>
      </c>
    </row>
    <row r="4800" spans="1:4" x14ac:dyDescent="0.25">
      <c r="A4800" t="s">
        <v>3116</v>
      </c>
      <c r="C4800" t="s">
        <v>12</v>
      </c>
      <c r="D4800" s="1">
        <v>43237</v>
      </c>
    </row>
    <row r="4801" spans="1:4" x14ac:dyDescent="0.25">
      <c r="A4801" t="s">
        <v>849</v>
      </c>
      <c r="C4801" t="s">
        <v>12</v>
      </c>
      <c r="D4801" s="1">
        <v>43224</v>
      </c>
    </row>
    <row r="4802" spans="1:4" x14ac:dyDescent="0.25">
      <c r="A4802" t="s">
        <v>3117</v>
      </c>
      <c r="C4802" t="s">
        <v>12</v>
      </c>
      <c r="D4802" s="1">
        <v>43231</v>
      </c>
    </row>
    <row r="4803" spans="1:4" x14ac:dyDescent="0.25">
      <c r="A4803" t="s">
        <v>310</v>
      </c>
      <c r="C4803" t="s">
        <v>12</v>
      </c>
      <c r="D4803" s="1">
        <v>43231</v>
      </c>
    </row>
    <row r="4804" spans="1:4" x14ac:dyDescent="0.25">
      <c r="A4804" t="s">
        <v>841</v>
      </c>
      <c r="C4804" t="s">
        <v>12</v>
      </c>
      <c r="D4804" s="1">
        <v>43231</v>
      </c>
    </row>
    <row r="4805" spans="1:4" x14ac:dyDescent="0.25">
      <c r="A4805" t="s">
        <v>3120</v>
      </c>
      <c r="C4805" t="s">
        <v>12</v>
      </c>
      <c r="D4805" s="1">
        <v>43244</v>
      </c>
    </row>
    <row r="4806" spans="1:4" x14ac:dyDescent="0.25">
      <c r="A4806" t="s">
        <v>3121</v>
      </c>
      <c r="C4806" t="s">
        <v>12</v>
      </c>
      <c r="D4806" s="1">
        <v>43245</v>
      </c>
    </row>
    <row r="4807" spans="1:4" x14ac:dyDescent="0.25">
      <c r="A4807" t="s">
        <v>3122</v>
      </c>
      <c r="C4807" t="s">
        <v>12</v>
      </c>
      <c r="D4807" s="1">
        <v>43244</v>
      </c>
    </row>
    <row r="4808" spans="1:4" x14ac:dyDescent="0.25">
      <c r="A4808" t="s">
        <v>715</v>
      </c>
      <c r="C4808" t="s">
        <v>12</v>
      </c>
      <c r="D4808" s="1">
        <v>43231</v>
      </c>
    </row>
    <row r="4809" spans="1:4" x14ac:dyDescent="0.25">
      <c r="A4809" t="s">
        <v>1203</v>
      </c>
      <c r="C4809" t="s">
        <v>12</v>
      </c>
      <c r="D4809" s="1">
        <v>43227</v>
      </c>
    </row>
    <row r="4810" spans="1:4" x14ac:dyDescent="0.25">
      <c r="A4810" t="s">
        <v>3312</v>
      </c>
      <c r="C4810" t="s">
        <v>12</v>
      </c>
      <c r="D4810" s="1">
        <v>43229</v>
      </c>
    </row>
    <row r="4811" spans="1:4" x14ac:dyDescent="0.25">
      <c r="A4811" t="s">
        <v>3123</v>
      </c>
      <c r="C4811" t="s">
        <v>12</v>
      </c>
      <c r="D4811" s="1">
        <v>43237</v>
      </c>
    </row>
    <row r="4812" spans="1:4" x14ac:dyDescent="0.25">
      <c r="A4812" t="s">
        <v>3313</v>
      </c>
      <c r="C4812" t="s">
        <v>12</v>
      </c>
      <c r="D4812" s="1">
        <v>43227</v>
      </c>
    </row>
    <row r="4813" spans="1:4" x14ac:dyDescent="0.25">
      <c r="A4813" t="s">
        <v>33</v>
      </c>
      <c r="C4813" t="s">
        <v>12</v>
      </c>
      <c r="D4813" s="1">
        <v>43226</v>
      </c>
    </row>
    <row r="4814" spans="1:4" x14ac:dyDescent="0.25">
      <c r="A4814" t="s">
        <v>227</v>
      </c>
      <c r="C4814" t="s">
        <v>12</v>
      </c>
      <c r="D4814" s="1">
        <v>43238</v>
      </c>
    </row>
    <row r="4815" spans="1:4" x14ac:dyDescent="0.25">
      <c r="A4815" t="s">
        <v>30</v>
      </c>
      <c r="C4815" t="s">
        <v>12</v>
      </c>
      <c r="D4815" s="1">
        <v>43226</v>
      </c>
    </row>
    <row r="4816" spans="1:4" x14ac:dyDescent="0.25">
      <c r="A4816" t="s">
        <v>3314</v>
      </c>
      <c r="C4816" t="s">
        <v>12</v>
      </c>
      <c r="D4816" s="1">
        <v>43231</v>
      </c>
    </row>
    <row r="4817" spans="1:4" x14ac:dyDescent="0.25">
      <c r="A4817" t="s">
        <v>770</v>
      </c>
      <c r="C4817" t="s">
        <v>12</v>
      </c>
      <c r="D4817" s="1">
        <v>43231</v>
      </c>
    </row>
    <row r="4818" spans="1:4" x14ac:dyDescent="0.25">
      <c r="A4818" t="s">
        <v>942</v>
      </c>
      <c r="C4818" t="s">
        <v>12</v>
      </c>
      <c r="D4818" s="1">
        <v>43227</v>
      </c>
    </row>
    <row r="4819" spans="1:4" x14ac:dyDescent="0.25">
      <c r="A4819" t="s">
        <v>1425</v>
      </c>
      <c r="C4819" t="s">
        <v>12</v>
      </c>
      <c r="D4819" s="1">
        <v>43231</v>
      </c>
    </row>
    <row r="4820" spans="1:4" x14ac:dyDescent="0.25">
      <c r="A4820" t="s">
        <v>3315</v>
      </c>
      <c r="C4820" t="s">
        <v>12</v>
      </c>
      <c r="D4820" s="1">
        <v>43224</v>
      </c>
    </row>
    <row r="4821" spans="1:4" x14ac:dyDescent="0.25">
      <c r="A4821" t="s">
        <v>60</v>
      </c>
      <c r="C4821" t="s">
        <v>12</v>
      </c>
      <c r="D4821" s="1">
        <v>43234</v>
      </c>
    </row>
    <row r="4822" spans="1:4" x14ac:dyDescent="0.25">
      <c r="A4822" t="s">
        <v>2555</v>
      </c>
      <c r="C4822" t="s">
        <v>12</v>
      </c>
      <c r="D4822" s="1">
        <v>43231</v>
      </c>
    </row>
    <row r="4823" spans="1:4" x14ac:dyDescent="0.25">
      <c r="A4823" t="s">
        <v>815</v>
      </c>
      <c r="C4823" t="s">
        <v>12</v>
      </c>
      <c r="D4823" s="1">
        <v>43231</v>
      </c>
    </row>
    <row r="4824" spans="1:4" x14ac:dyDescent="0.25">
      <c r="A4824" t="s">
        <v>3125</v>
      </c>
      <c r="C4824" t="s">
        <v>12</v>
      </c>
      <c r="D4824" s="1">
        <v>43237</v>
      </c>
    </row>
    <row r="4825" spans="1:4" x14ac:dyDescent="0.25">
      <c r="A4825" t="s">
        <v>1155</v>
      </c>
      <c r="C4825" t="s">
        <v>12</v>
      </c>
      <c r="D4825" s="1">
        <v>43227</v>
      </c>
    </row>
    <row r="4826" spans="1:4" x14ac:dyDescent="0.25">
      <c r="A4826" t="s">
        <v>3316</v>
      </c>
      <c r="C4826" t="s">
        <v>12</v>
      </c>
      <c r="D4826" s="1">
        <v>43229</v>
      </c>
    </row>
    <row r="4827" spans="1:4" x14ac:dyDescent="0.25">
      <c r="A4827" t="s">
        <v>1160</v>
      </c>
      <c r="C4827" t="s">
        <v>12</v>
      </c>
      <c r="D4827" s="1">
        <v>43238</v>
      </c>
    </row>
    <row r="4828" spans="1:4" x14ac:dyDescent="0.25">
      <c r="A4828" t="s">
        <v>331</v>
      </c>
      <c r="C4828" t="s">
        <v>12</v>
      </c>
      <c r="D4828" s="1">
        <v>43238</v>
      </c>
    </row>
    <row r="4829" spans="1:4" x14ac:dyDescent="0.25">
      <c r="A4829" t="s">
        <v>1506</v>
      </c>
      <c r="C4829" t="s">
        <v>12</v>
      </c>
      <c r="D4829" s="1">
        <v>43227</v>
      </c>
    </row>
    <row r="4830" spans="1:4" x14ac:dyDescent="0.25">
      <c r="A4830" t="s">
        <v>1424</v>
      </c>
      <c r="C4830" t="s">
        <v>12</v>
      </c>
      <c r="D4830" s="1">
        <v>43231</v>
      </c>
    </row>
    <row r="4831" spans="1:4" x14ac:dyDescent="0.25">
      <c r="A4831" t="s">
        <v>3127</v>
      </c>
      <c r="C4831" t="s">
        <v>12</v>
      </c>
      <c r="D4831" s="1">
        <v>43237</v>
      </c>
    </row>
    <row r="4832" spans="1:4" x14ac:dyDescent="0.25">
      <c r="A4832" t="s">
        <v>3128</v>
      </c>
      <c r="C4832" t="s">
        <v>12</v>
      </c>
      <c r="D4832" s="1">
        <v>43238</v>
      </c>
    </row>
    <row r="4833" spans="1:4" x14ac:dyDescent="0.25">
      <c r="A4833" t="s">
        <v>527</v>
      </c>
      <c r="C4833" t="s">
        <v>12</v>
      </c>
      <c r="D4833" s="1">
        <v>43231</v>
      </c>
    </row>
    <row r="4834" spans="1:4" x14ac:dyDescent="0.25">
      <c r="A4834" t="s">
        <v>3317</v>
      </c>
      <c r="C4834" t="s">
        <v>12</v>
      </c>
      <c r="D4834" s="1">
        <v>43229</v>
      </c>
    </row>
    <row r="4835" spans="1:4" x14ac:dyDescent="0.25">
      <c r="A4835" t="s">
        <v>253</v>
      </c>
      <c r="C4835" t="s">
        <v>12</v>
      </c>
      <c r="D4835" s="1">
        <v>43224</v>
      </c>
    </row>
    <row r="4836" spans="1:4" x14ac:dyDescent="0.25">
      <c r="A4836" t="s">
        <v>1321</v>
      </c>
      <c r="C4836" t="s">
        <v>12</v>
      </c>
      <c r="D4836" s="1">
        <v>43227</v>
      </c>
    </row>
    <row r="4837" spans="1:4" x14ac:dyDescent="0.25">
      <c r="A4837" t="s">
        <v>3130</v>
      </c>
      <c r="C4837" t="s">
        <v>12</v>
      </c>
      <c r="D4837" s="1">
        <v>43231</v>
      </c>
    </row>
    <row r="4838" spans="1:4" x14ac:dyDescent="0.25">
      <c r="A4838" t="s">
        <v>3131</v>
      </c>
      <c r="C4838" t="s">
        <v>12</v>
      </c>
      <c r="D4838" s="1">
        <v>43238</v>
      </c>
    </row>
    <row r="4839" spans="1:4" x14ac:dyDescent="0.25">
      <c r="A4839" t="s">
        <v>1426</v>
      </c>
      <c r="C4839" t="s">
        <v>12</v>
      </c>
      <c r="D4839" s="1">
        <v>43222</v>
      </c>
    </row>
    <row r="4840" spans="1:4" x14ac:dyDescent="0.25">
      <c r="A4840" t="s">
        <v>1184</v>
      </c>
      <c r="C4840" t="s">
        <v>12</v>
      </c>
      <c r="D4840" s="1">
        <v>43227</v>
      </c>
    </row>
    <row r="4841" spans="1:4" x14ac:dyDescent="0.25">
      <c r="A4841" t="s">
        <v>1579</v>
      </c>
      <c r="C4841" t="s">
        <v>12</v>
      </c>
      <c r="D4841" s="1">
        <v>43245</v>
      </c>
    </row>
    <row r="4842" spans="1:4" x14ac:dyDescent="0.25">
      <c r="A4842" t="s">
        <v>1357</v>
      </c>
      <c r="C4842" t="s">
        <v>12</v>
      </c>
      <c r="D4842" s="1">
        <v>43227</v>
      </c>
    </row>
    <row r="4843" spans="1:4" x14ac:dyDescent="0.25">
      <c r="A4843" t="s">
        <v>1088</v>
      </c>
      <c r="C4843" t="s">
        <v>12</v>
      </c>
      <c r="D4843" s="1">
        <v>43238</v>
      </c>
    </row>
    <row r="4844" spans="1:4" x14ac:dyDescent="0.25">
      <c r="A4844" t="s">
        <v>748</v>
      </c>
      <c r="C4844" t="s">
        <v>12</v>
      </c>
      <c r="D4844" s="1">
        <v>43231</v>
      </c>
    </row>
    <row r="4845" spans="1:4" x14ac:dyDescent="0.25">
      <c r="A4845" t="s">
        <v>1705</v>
      </c>
      <c r="C4845" t="s">
        <v>12</v>
      </c>
      <c r="D4845" s="1">
        <v>43231</v>
      </c>
    </row>
    <row r="4846" spans="1:4" x14ac:dyDescent="0.25">
      <c r="A4846" t="s">
        <v>3132</v>
      </c>
      <c r="C4846" t="s">
        <v>12</v>
      </c>
      <c r="D4846" s="1">
        <v>43238</v>
      </c>
    </row>
    <row r="4847" spans="1:4" x14ac:dyDescent="0.25">
      <c r="A4847" t="s">
        <v>3134</v>
      </c>
      <c r="C4847" t="s">
        <v>12</v>
      </c>
      <c r="D4847" s="1">
        <v>43248</v>
      </c>
    </row>
    <row r="4848" spans="1:4" x14ac:dyDescent="0.25">
      <c r="A4848" t="s">
        <v>3135</v>
      </c>
      <c r="C4848" t="s">
        <v>12</v>
      </c>
      <c r="D4848" s="1">
        <v>43240</v>
      </c>
    </row>
    <row r="4849" spans="1:4" x14ac:dyDescent="0.25">
      <c r="A4849" t="s">
        <v>3136</v>
      </c>
      <c r="C4849" t="s">
        <v>12</v>
      </c>
      <c r="D4849" s="1">
        <v>43235</v>
      </c>
    </row>
    <row r="4850" spans="1:4" x14ac:dyDescent="0.25">
      <c r="A4850" t="s">
        <v>3318</v>
      </c>
      <c r="C4850" t="s">
        <v>12</v>
      </c>
      <c r="D4850" s="1">
        <v>43248</v>
      </c>
    </row>
    <row r="4851" spans="1:4" x14ac:dyDescent="0.25">
      <c r="A4851" t="s">
        <v>3319</v>
      </c>
      <c r="C4851" t="s">
        <v>12</v>
      </c>
      <c r="D4851" s="1">
        <v>43240</v>
      </c>
    </row>
    <row r="4852" spans="1:4" x14ac:dyDescent="0.25">
      <c r="A4852" t="s">
        <v>3320</v>
      </c>
      <c r="C4852" t="s">
        <v>12</v>
      </c>
      <c r="D4852" s="1">
        <v>43248</v>
      </c>
    </row>
    <row r="4853" spans="1:4" x14ac:dyDescent="0.25">
      <c r="A4853" t="s">
        <v>3138</v>
      </c>
      <c r="C4853" t="s">
        <v>12</v>
      </c>
      <c r="D4853" s="1">
        <v>43240</v>
      </c>
    </row>
    <row r="4854" spans="1:4" x14ac:dyDescent="0.25">
      <c r="A4854" t="s">
        <v>3321</v>
      </c>
      <c r="C4854" t="s">
        <v>12</v>
      </c>
      <c r="D4854" s="1">
        <v>43248</v>
      </c>
    </row>
    <row r="4855" spans="1:4" x14ac:dyDescent="0.25">
      <c r="A4855" t="s">
        <v>3322</v>
      </c>
      <c r="C4855" t="s">
        <v>12</v>
      </c>
      <c r="D4855" s="1">
        <v>43246</v>
      </c>
    </row>
    <row r="4856" spans="1:4" x14ac:dyDescent="0.25">
      <c r="A4856" t="s">
        <v>3140</v>
      </c>
      <c r="C4856" t="s">
        <v>12</v>
      </c>
      <c r="D4856" s="1">
        <v>43241</v>
      </c>
    </row>
    <row r="4857" spans="1:4" x14ac:dyDescent="0.25">
      <c r="A4857" t="s">
        <v>3142</v>
      </c>
      <c r="C4857" t="s">
        <v>12</v>
      </c>
      <c r="D4857" s="1">
        <v>43240</v>
      </c>
    </row>
    <row r="4858" spans="1:4" x14ac:dyDescent="0.25">
      <c r="A4858" t="s">
        <v>3143</v>
      </c>
      <c r="C4858" t="s">
        <v>12</v>
      </c>
      <c r="D4858" s="1">
        <v>43245</v>
      </c>
    </row>
    <row r="4859" spans="1:4" x14ac:dyDescent="0.25">
      <c r="A4859" t="s">
        <v>3145</v>
      </c>
      <c r="C4859" t="s">
        <v>12</v>
      </c>
      <c r="D4859" s="1">
        <v>43236</v>
      </c>
    </row>
    <row r="4860" spans="1:4" x14ac:dyDescent="0.25">
      <c r="A4860" t="s">
        <v>3146</v>
      </c>
      <c r="C4860" t="s">
        <v>12</v>
      </c>
      <c r="D4860" s="1">
        <v>43241</v>
      </c>
    </row>
    <row r="4861" spans="1:4" x14ac:dyDescent="0.25">
      <c r="A4861" t="s">
        <v>2964</v>
      </c>
      <c r="C4861" t="s">
        <v>12</v>
      </c>
      <c r="D4861" s="1">
        <v>43250</v>
      </c>
    </row>
    <row r="4862" spans="1:4" x14ac:dyDescent="0.25">
      <c r="A4862" t="s">
        <v>3148</v>
      </c>
      <c r="C4862" t="s">
        <v>12</v>
      </c>
      <c r="D4862" s="1">
        <v>43243</v>
      </c>
    </row>
    <row r="4863" spans="1:4" x14ac:dyDescent="0.25">
      <c r="A4863" t="s">
        <v>3149</v>
      </c>
      <c r="C4863" t="s">
        <v>12</v>
      </c>
      <c r="D4863" s="1">
        <v>43245</v>
      </c>
    </row>
    <row r="4864" spans="1:4" x14ac:dyDescent="0.25">
      <c r="A4864" t="s">
        <v>3150</v>
      </c>
      <c r="C4864" t="s">
        <v>12</v>
      </c>
      <c r="D4864" s="1">
        <v>43248</v>
      </c>
    </row>
    <row r="4865" spans="1:4" x14ac:dyDescent="0.25">
      <c r="A4865" t="s">
        <v>3151</v>
      </c>
      <c r="C4865" t="s">
        <v>12</v>
      </c>
      <c r="D4865" s="1">
        <v>43243</v>
      </c>
    </row>
    <row r="4866" spans="1:4" x14ac:dyDescent="0.25">
      <c r="A4866" t="s">
        <v>3152</v>
      </c>
      <c r="C4866" t="s">
        <v>12</v>
      </c>
      <c r="D4866" s="1">
        <v>43240</v>
      </c>
    </row>
    <row r="4867" spans="1:4" x14ac:dyDescent="0.25">
      <c r="A4867" t="s">
        <v>3153</v>
      </c>
      <c r="C4867" t="s">
        <v>12</v>
      </c>
      <c r="D4867" s="1">
        <v>43248</v>
      </c>
    </row>
    <row r="4868" spans="1:4" x14ac:dyDescent="0.25">
      <c r="A4868" t="s">
        <v>3154</v>
      </c>
      <c r="C4868" t="s">
        <v>12</v>
      </c>
      <c r="D4868" s="1">
        <v>43241</v>
      </c>
    </row>
    <row r="4869" spans="1:4" x14ac:dyDescent="0.25">
      <c r="A4869" t="s">
        <v>3156</v>
      </c>
      <c r="C4869" t="s">
        <v>12</v>
      </c>
      <c r="D4869" s="1">
        <v>43241</v>
      </c>
    </row>
    <row r="4870" spans="1:4" x14ac:dyDescent="0.25">
      <c r="A4870" t="s">
        <v>3158</v>
      </c>
      <c r="C4870" t="s">
        <v>12</v>
      </c>
      <c r="D4870" s="1">
        <v>43240</v>
      </c>
    </row>
    <row r="4871" spans="1:4" x14ac:dyDescent="0.25">
      <c r="A4871" t="s">
        <v>3159</v>
      </c>
      <c r="C4871" t="s">
        <v>12</v>
      </c>
      <c r="D4871" s="1">
        <v>43235</v>
      </c>
    </row>
    <row r="4872" spans="1:4" x14ac:dyDescent="0.25">
      <c r="A4872" t="s">
        <v>3160</v>
      </c>
      <c r="C4872" t="s">
        <v>12</v>
      </c>
      <c r="D4872" s="1">
        <v>43241</v>
      </c>
    </row>
    <row r="4873" spans="1:4" x14ac:dyDescent="0.25">
      <c r="A4873" t="s">
        <v>3161</v>
      </c>
      <c r="C4873" t="s">
        <v>12</v>
      </c>
      <c r="D4873" s="1">
        <v>43250</v>
      </c>
    </row>
    <row r="4874" spans="1:4" x14ac:dyDescent="0.25">
      <c r="A4874" t="s">
        <v>3323</v>
      </c>
      <c r="C4874" t="s">
        <v>12</v>
      </c>
      <c r="D4874" s="1">
        <v>43248</v>
      </c>
    </row>
    <row r="4875" spans="1:4" x14ac:dyDescent="0.25">
      <c r="A4875" t="s">
        <v>3162</v>
      </c>
      <c r="C4875" t="s">
        <v>12</v>
      </c>
      <c r="D4875" s="1">
        <v>43248</v>
      </c>
    </row>
    <row r="4876" spans="1:4" x14ac:dyDescent="0.25">
      <c r="A4876" t="s">
        <v>3163</v>
      </c>
      <c r="C4876" t="s">
        <v>12</v>
      </c>
      <c r="D4876" s="1">
        <v>43241</v>
      </c>
    </row>
    <row r="4877" spans="1:4" x14ac:dyDescent="0.25">
      <c r="A4877" t="s">
        <v>3164</v>
      </c>
      <c r="C4877" t="s">
        <v>12</v>
      </c>
      <c r="D4877" s="1">
        <v>43240</v>
      </c>
    </row>
    <row r="4878" spans="1:4" x14ac:dyDescent="0.25">
      <c r="A4878" t="s">
        <v>3165</v>
      </c>
      <c r="C4878" t="s">
        <v>12</v>
      </c>
      <c r="D4878" s="1">
        <v>43248</v>
      </c>
    </row>
    <row r="4879" spans="1:4" x14ac:dyDescent="0.25">
      <c r="A4879" t="s">
        <v>3166</v>
      </c>
      <c r="C4879" t="s">
        <v>12</v>
      </c>
      <c r="D4879" s="1">
        <v>43248</v>
      </c>
    </row>
    <row r="4880" spans="1:4" x14ac:dyDescent="0.25">
      <c r="A4880" t="s">
        <v>3167</v>
      </c>
      <c r="C4880" t="s">
        <v>12</v>
      </c>
      <c r="D4880" s="1">
        <v>43243</v>
      </c>
    </row>
    <row r="4881" spans="1:4" x14ac:dyDescent="0.25">
      <c r="A4881" t="s">
        <v>3169</v>
      </c>
      <c r="C4881" t="s">
        <v>12</v>
      </c>
      <c r="D4881" s="1">
        <v>43241</v>
      </c>
    </row>
    <row r="4882" spans="1:4" x14ac:dyDescent="0.25">
      <c r="A4882" t="s">
        <v>3170</v>
      </c>
      <c r="C4882" t="s">
        <v>12</v>
      </c>
      <c r="D4882" s="1">
        <v>43245</v>
      </c>
    </row>
    <row r="4883" spans="1:4" x14ac:dyDescent="0.25">
      <c r="A4883" t="s">
        <v>3171</v>
      </c>
      <c r="C4883" t="s">
        <v>12</v>
      </c>
      <c r="D4883" s="1">
        <v>43248</v>
      </c>
    </row>
    <row r="4884" spans="1:4" x14ac:dyDescent="0.25">
      <c r="A4884" t="s">
        <v>3172</v>
      </c>
      <c r="C4884" t="s">
        <v>12</v>
      </c>
      <c r="D4884" s="1">
        <v>43248</v>
      </c>
    </row>
    <row r="4885" spans="1:4" x14ac:dyDescent="0.25">
      <c r="A4885" t="s">
        <v>3173</v>
      </c>
      <c r="C4885" t="s">
        <v>12</v>
      </c>
      <c r="D4885" s="1">
        <v>43243</v>
      </c>
    </row>
    <row r="4886" spans="1:4" x14ac:dyDescent="0.25">
      <c r="A4886" t="s">
        <v>3324</v>
      </c>
      <c r="C4886" t="s">
        <v>12</v>
      </c>
      <c r="D4886" s="1">
        <v>43246</v>
      </c>
    </row>
    <row r="4887" spans="1:4" x14ac:dyDescent="0.25">
      <c r="A4887" t="s">
        <v>3175</v>
      </c>
      <c r="C4887" t="s">
        <v>12</v>
      </c>
      <c r="D4887" s="1">
        <v>43240</v>
      </c>
    </row>
    <row r="4888" spans="1:4" x14ac:dyDescent="0.25">
      <c r="A4888" t="s">
        <v>3177</v>
      </c>
      <c r="C4888" t="s">
        <v>12</v>
      </c>
      <c r="D4888" s="1">
        <v>43241</v>
      </c>
    </row>
    <row r="4889" spans="1:4" x14ac:dyDescent="0.25">
      <c r="A4889" t="s">
        <v>3178</v>
      </c>
      <c r="C4889" t="s">
        <v>12</v>
      </c>
      <c r="D4889" s="1">
        <v>43248</v>
      </c>
    </row>
    <row r="4890" spans="1:4" x14ac:dyDescent="0.25">
      <c r="A4890" t="s">
        <v>3181</v>
      </c>
      <c r="C4890" t="s">
        <v>12</v>
      </c>
      <c r="D4890" s="1">
        <v>43241</v>
      </c>
    </row>
    <row r="4891" spans="1:4" x14ac:dyDescent="0.25">
      <c r="A4891" t="s">
        <v>3183</v>
      </c>
      <c r="C4891" t="s">
        <v>12</v>
      </c>
      <c r="D4891" s="1">
        <v>43248</v>
      </c>
    </row>
    <row r="4892" spans="1:4" x14ac:dyDescent="0.25">
      <c r="A4892" t="s">
        <v>3184</v>
      </c>
      <c r="C4892" t="s">
        <v>12</v>
      </c>
      <c r="D4892" s="1">
        <v>43240</v>
      </c>
    </row>
    <row r="4893" spans="1:4" x14ac:dyDescent="0.25">
      <c r="A4893" t="s">
        <v>3185</v>
      </c>
      <c r="C4893" t="s">
        <v>12</v>
      </c>
      <c r="D4893" s="1">
        <v>43240</v>
      </c>
    </row>
    <row r="4894" spans="1:4" x14ac:dyDescent="0.25">
      <c r="A4894" t="s">
        <v>3186</v>
      </c>
      <c r="C4894" t="s">
        <v>12</v>
      </c>
      <c r="D4894" s="1">
        <v>43243</v>
      </c>
    </row>
    <row r="4895" spans="1:4" x14ac:dyDescent="0.25">
      <c r="A4895" t="s">
        <v>3188</v>
      </c>
      <c r="C4895" t="s">
        <v>12</v>
      </c>
      <c r="D4895" s="1">
        <v>43250</v>
      </c>
    </row>
    <row r="4896" spans="1:4" x14ac:dyDescent="0.25">
      <c r="A4896" t="s">
        <v>3189</v>
      </c>
      <c r="C4896" t="s">
        <v>12</v>
      </c>
      <c r="D4896" s="1">
        <v>43241</v>
      </c>
    </row>
    <row r="4897" spans="1:4" x14ac:dyDescent="0.25">
      <c r="A4897" t="s">
        <v>3190</v>
      </c>
      <c r="C4897" t="s">
        <v>12</v>
      </c>
      <c r="D4897" s="1">
        <v>43245</v>
      </c>
    </row>
    <row r="4898" spans="1:4" x14ac:dyDescent="0.25">
      <c r="A4898" t="s">
        <v>3191</v>
      </c>
      <c r="C4898" t="s">
        <v>12</v>
      </c>
      <c r="D4898" s="1">
        <v>43245</v>
      </c>
    </row>
    <row r="4899" spans="1:4" x14ac:dyDescent="0.25">
      <c r="A4899" t="s">
        <v>3192</v>
      </c>
      <c r="C4899" t="s">
        <v>12</v>
      </c>
      <c r="D4899" s="1">
        <v>43243</v>
      </c>
    </row>
    <row r="4900" spans="1:4" x14ac:dyDescent="0.25">
      <c r="A4900" t="s">
        <v>3194</v>
      </c>
      <c r="C4900" t="s">
        <v>12</v>
      </c>
      <c r="D4900" s="1">
        <v>43241</v>
      </c>
    </row>
    <row r="4901" spans="1:4" x14ac:dyDescent="0.25">
      <c r="A4901" t="s">
        <v>3195</v>
      </c>
      <c r="C4901" t="s">
        <v>12</v>
      </c>
      <c r="D4901" s="1">
        <v>43240</v>
      </c>
    </row>
    <row r="4902" spans="1:4" x14ac:dyDescent="0.25">
      <c r="A4902" t="s">
        <v>3196</v>
      </c>
      <c r="C4902" t="s">
        <v>12</v>
      </c>
      <c r="D4902" s="1">
        <v>43240</v>
      </c>
    </row>
    <row r="4903" spans="1:4" x14ac:dyDescent="0.25">
      <c r="A4903" t="s">
        <v>3325</v>
      </c>
      <c r="C4903" t="s">
        <v>12</v>
      </c>
      <c r="D4903" s="1">
        <v>43240</v>
      </c>
    </row>
    <row r="4904" spans="1:4" x14ac:dyDescent="0.25">
      <c r="A4904" t="s">
        <v>3197</v>
      </c>
      <c r="C4904" t="s">
        <v>12</v>
      </c>
      <c r="D4904" s="1">
        <v>43245</v>
      </c>
    </row>
    <row r="4905" spans="1:4" x14ac:dyDescent="0.25">
      <c r="A4905" t="s">
        <v>3198</v>
      </c>
      <c r="C4905" t="s">
        <v>12</v>
      </c>
      <c r="D4905" s="1">
        <v>43245</v>
      </c>
    </row>
    <row r="4906" spans="1:4" x14ac:dyDescent="0.25">
      <c r="A4906" t="s">
        <v>3199</v>
      </c>
      <c r="C4906" t="s">
        <v>12</v>
      </c>
      <c r="D4906" s="1">
        <v>43245</v>
      </c>
    </row>
    <row r="4907" spans="1:4" x14ac:dyDescent="0.25">
      <c r="A4907" t="s">
        <v>3200</v>
      </c>
      <c r="C4907" t="s">
        <v>12</v>
      </c>
      <c r="D4907" s="1">
        <v>43241</v>
      </c>
    </row>
    <row r="4908" spans="1:4" x14ac:dyDescent="0.25">
      <c r="A4908" t="s">
        <v>2509</v>
      </c>
      <c r="C4908" t="s">
        <v>12</v>
      </c>
      <c r="D4908" s="1">
        <v>43227</v>
      </c>
    </row>
    <row r="4909" spans="1:4" x14ac:dyDescent="0.25">
      <c r="A4909" t="s">
        <v>2503</v>
      </c>
      <c r="C4909" t="s">
        <v>12</v>
      </c>
      <c r="D4909" s="1">
        <v>43227</v>
      </c>
    </row>
    <row r="4910" spans="1:4" x14ac:dyDescent="0.25">
      <c r="A4910" t="s">
        <v>2505</v>
      </c>
      <c r="C4910" t="s">
        <v>12</v>
      </c>
      <c r="D4910" s="1">
        <v>43222</v>
      </c>
    </row>
    <row r="4911" spans="1:4" x14ac:dyDescent="0.25">
      <c r="A4911" t="s">
        <v>2502</v>
      </c>
      <c r="C4911" t="s">
        <v>12</v>
      </c>
      <c r="D4911" s="1">
        <v>43245</v>
      </c>
    </row>
    <row r="4912" spans="1:4" x14ac:dyDescent="0.25">
      <c r="A4912" t="s">
        <v>2511</v>
      </c>
      <c r="C4912" t="s">
        <v>12</v>
      </c>
      <c r="D4912" s="1">
        <v>43227</v>
      </c>
    </row>
    <row r="4913" spans="1:4" x14ac:dyDescent="0.25">
      <c r="A4913" t="s">
        <v>1423</v>
      </c>
      <c r="C4913" t="s">
        <v>12</v>
      </c>
      <c r="D4913" s="1">
        <v>43222</v>
      </c>
    </row>
    <row r="4914" spans="1:4" x14ac:dyDescent="0.25">
      <c r="A4914" t="s">
        <v>3201</v>
      </c>
      <c r="C4914" t="s">
        <v>12</v>
      </c>
      <c r="D4914" s="1">
        <v>43238</v>
      </c>
    </row>
    <row r="4915" spans="1:4" x14ac:dyDescent="0.25">
      <c r="A4915" t="s">
        <v>2517</v>
      </c>
      <c r="C4915" t="s">
        <v>12</v>
      </c>
      <c r="D4915" s="1">
        <v>43227</v>
      </c>
    </row>
    <row r="4916" spans="1:4" x14ac:dyDescent="0.25">
      <c r="A4916" t="s">
        <v>2512</v>
      </c>
      <c r="C4916" t="s">
        <v>12</v>
      </c>
      <c r="D4916" s="1">
        <v>43227</v>
      </c>
    </row>
    <row r="4917" spans="1:4" x14ac:dyDescent="0.25">
      <c r="A4917" t="s">
        <v>1509</v>
      </c>
      <c r="C4917" t="s">
        <v>12</v>
      </c>
      <c r="D4917" s="1">
        <v>43245</v>
      </c>
    </row>
    <row r="4918" spans="1:4" x14ac:dyDescent="0.25">
      <c r="A4918" t="s">
        <v>1585</v>
      </c>
      <c r="C4918" t="s">
        <v>12</v>
      </c>
      <c r="D4918" s="1">
        <v>43227</v>
      </c>
    </row>
    <row r="4919" spans="1:4" x14ac:dyDescent="0.25">
      <c r="A4919" t="s">
        <v>3326</v>
      </c>
      <c r="C4919" t="s">
        <v>12</v>
      </c>
      <c r="D4919" s="1">
        <v>43224</v>
      </c>
    </row>
    <row r="4920" spans="1:4" x14ac:dyDescent="0.25">
      <c r="A4920" t="s">
        <v>1322</v>
      </c>
      <c r="C4920" t="s">
        <v>12</v>
      </c>
      <c r="D4920" s="1">
        <v>43238</v>
      </c>
    </row>
    <row r="4921" spans="1:4" x14ac:dyDescent="0.25">
      <c r="A4921" t="s">
        <v>3327</v>
      </c>
      <c r="C4921" t="s">
        <v>12</v>
      </c>
      <c r="D4921" s="1">
        <v>43227</v>
      </c>
    </row>
    <row r="4922" spans="1:4" x14ac:dyDescent="0.25">
      <c r="A4922" t="s">
        <v>2546</v>
      </c>
      <c r="C4922" t="s">
        <v>12</v>
      </c>
      <c r="D4922" s="1">
        <v>43227</v>
      </c>
    </row>
    <row r="4923" spans="1:4" x14ac:dyDescent="0.25">
      <c r="A4923" t="s">
        <v>1006</v>
      </c>
      <c r="C4923" t="s">
        <v>12</v>
      </c>
      <c r="D4923" s="1">
        <v>43227</v>
      </c>
    </row>
    <row r="4924" spans="1:4" x14ac:dyDescent="0.25">
      <c r="A4924" t="s">
        <v>3202</v>
      </c>
      <c r="C4924" t="s">
        <v>12</v>
      </c>
      <c r="D4924" s="1">
        <v>43226</v>
      </c>
    </row>
    <row r="4925" spans="1:4" x14ac:dyDescent="0.25">
      <c r="A4925" t="s">
        <v>1159</v>
      </c>
      <c r="C4925" t="s">
        <v>12</v>
      </c>
      <c r="D4925" s="1">
        <v>43238</v>
      </c>
    </row>
    <row r="4926" spans="1:4" x14ac:dyDescent="0.25">
      <c r="A4926" t="s">
        <v>340</v>
      </c>
      <c r="C4926" t="s">
        <v>12</v>
      </c>
      <c r="D4926" s="1">
        <v>43245</v>
      </c>
    </row>
    <row r="4927" spans="1:4" x14ac:dyDescent="0.25">
      <c r="A4927" t="s">
        <v>3203</v>
      </c>
      <c r="C4927" t="s">
        <v>12</v>
      </c>
      <c r="D4927" s="1">
        <v>43245</v>
      </c>
    </row>
    <row r="4928" spans="1:4" x14ac:dyDescent="0.25">
      <c r="A4928" t="s">
        <v>3328</v>
      </c>
      <c r="C4928" t="s">
        <v>12</v>
      </c>
      <c r="D4928" s="1">
        <v>43231</v>
      </c>
    </row>
    <row r="4929" spans="1:4" x14ac:dyDescent="0.25">
      <c r="A4929" t="s">
        <v>738</v>
      </c>
      <c r="C4929" t="s">
        <v>12</v>
      </c>
      <c r="D4929" s="1">
        <v>43224</v>
      </c>
    </row>
    <row r="4930" spans="1:4" x14ac:dyDescent="0.25">
      <c r="A4930" t="s">
        <v>809</v>
      </c>
      <c r="C4930" t="s">
        <v>12</v>
      </c>
      <c r="D4930" s="1">
        <v>43224</v>
      </c>
    </row>
    <row r="4931" spans="1:4" x14ac:dyDescent="0.25">
      <c r="A4931" t="s">
        <v>1400</v>
      </c>
      <c r="C4931" t="s">
        <v>12</v>
      </c>
      <c r="D4931" s="1">
        <v>43222</v>
      </c>
    </row>
    <row r="4932" spans="1:4" x14ac:dyDescent="0.25">
      <c r="A4932" t="s">
        <v>3329</v>
      </c>
      <c r="C4932" t="s">
        <v>12</v>
      </c>
      <c r="D4932" s="1">
        <v>43227</v>
      </c>
    </row>
    <row r="4933" spans="1:4" x14ac:dyDescent="0.25">
      <c r="A4933" t="s">
        <v>1311</v>
      </c>
      <c r="C4933" t="s">
        <v>12</v>
      </c>
      <c r="D4933" s="1">
        <v>43227</v>
      </c>
    </row>
    <row r="4934" spans="1:4" x14ac:dyDescent="0.25">
      <c r="A4934" t="s">
        <v>1341</v>
      </c>
      <c r="C4934" t="s">
        <v>12</v>
      </c>
      <c r="D4934" s="1">
        <v>43231</v>
      </c>
    </row>
    <row r="4935" spans="1:4" x14ac:dyDescent="0.25">
      <c r="A4935" t="s">
        <v>161</v>
      </c>
      <c r="C4935" t="s">
        <v>12</v>
      </c>
      <c r="D4935" s="1">
        <v>43245</v>
      </c>
    </row>
    <row r="4936" spans="1:4" x14ac:dyDescent="0.25">
      <c r="A4936" t="s">
        <v>3330</v>
      </c>
      <c r="C4936" t="s">
        <v>12</v>
      </c>
      <c r="D4936" s="1">
        <v>43227</v>
      </c>
    </row>
    <row r="4937" spans="1:4" x14ac:dyDescent="0.25">
      <c r="A4937" t="s">
        <v>1180</v>
      </c>
      <c r="C4937" t="s">
        <v>12</v>
      </c>
      <c r="D4937" s="1">
        <v>43227</v>
      </c>
    </row>
    <row r="4938" spans="1:4" x14ac:dyDescent="0.25">
      <c r="A4938" t="s">
        <v>3204</v>
      </c>
      <c r="C4938" t="s">
        <v>12</v>
      </c>
      <c r="D4938" s="1">
        <v>43237</v>
      </c>
    </row>
    <row r="4939" spans="1:4" x14ac:dyDescent="0.25">
      <c r="A4939" t="s">
        <v>2669</v>
      </c>
      <c r="C4939" t="s">
        <v>12</v>
      </c>
      <c r="D4939" s="1">
        <v>43234</v>
      </c>
    </row>
    <row r="4940" spans="1:4" x14ac:dyDescent="0.25">
      <c r="A4940" t="s">
        <v>1605</v>
      </c>
      <c r="C4940" t="s">
        <v>12</v>
      </c>
      <c r="D4940" s="1">
        <v>43245</v>
      </c>
    </row>
    <row r="4941" spans="1:4" x14ac:dyDescent="0.25">
      <c r="A4941" t="s">
        <v>249</v>
      </c>
      <c r="C4941" t="s">
        <v>12</v>
      </c>
      <c r="D4941" s="1">
        <v>43224</v>
      </c>
    </row>
    <row r="4942" spans="1:4" x14ac:dyDescent="0.25">
      <c r="A4942" t="s">
        <v>541</v>
      </c>
      <c r="C4942" t="s">
        <v>12</v>
      </c>
      <c r="D4942" s="1">
        <v>43224</v>
      </c>
    </row>
    <row r="4943" spans="1:4" x14ac:dyDescent="0.25">
      <c r="A4943" t="s">
        <v>919</v>
      </c>
      <c r="C4943" t="s">
        <v>12</v>
      </c>
      <c r="D4943" s="1">
        <v>43224</v>
      </c>
    </row>
    <row r="4944" spans="1:4" x14ac:dyDescent="0.25">
      <c r="A4944" t="s">
        <v>870</v>
      </c>
      <c r="C4944" t="s">
        <v>12</v>
      </c>
      <c r="D4944" s="1">
        <v>43231</v>
      </c>
    </row>
    <row r="4945" spans="1:4" x14ac:dyDescent="0.25">
      <c r="A4945" t="s">
        <v>2556</v>
      </c>
      <c r="C4945" t="s">
        <v>12</v>
      </c>
      <c r="D4945" s="1">
        <v>43231</v>
      </c>
    </row>
    <row r="4946" spans="1:4" x14ac:dyDescent="0.25">
      <c r="A4946" t="s">
        <v>1355</v>
      </c>
      <c r="C4946" t="s">
        <v>12</v>
      </c>
      <c r="D4946" s="1">
        <v>43227</v>
      </c>
    </row>
    <row r="4947" spans="1:4" x14ac:dyDescent="0.25">
      <c r="A4947" t="s">
        <v>3205</v>
      </c>
      <c r="C4947" t="s">
        <v>12</v>
      </c>
      <c r="D4947" s="1">
        <v>43237</v>
      </c>
    </row>
    <row r="4948" spans="1:4" x14ac:dyDescent="0.25">
      <c r="A4948" t="s">
        <v>3206</v>
      </c>
      <c r="C4948" t="s">
        <v>12</v>
      </c>
      <c r="D4948" s="1">
        <v>43238</v>
      </c>
    </row>
    <row r="4949" spans="1:4" x14ac:dyDescent="0.25">
      <c r="A4949" t="s">
        <v>979</v>
      </c>
      <c r="C4949" t="s">
        <v>12</v>
      </c>
      <c r="D4949" s="1">
        <v>43231</v>
      </c>
    </row>
    <row r="4950" spans="1:4" x14ac:dyDescent="0.25">
      <c r="A4950" t="s">
        <v>789</v>
      </c>
      <c r="C4950" t="s">
        <v>12</v>
      </c>
      <c r="D4950" s="1">
        <v>43231</v>
      </c>
    </row>
    <row r="4951" spans="1:4" x14ac:dyDescent="0.25">
      <c r="A4951" t="s">
        <v>3207</v>
      </c>
      <c r="C4951" t="s">
        <v>12</v>
      </c>
      <c r="D4951" s="1">
        <v>43231</v>
      </c>
    </row>
    <row r="4952" spans="1:4" x14ac:dyDescent="0.25">
      <c r="A4952" t="s">
        <v>1194</v>
      </c>
      <c r="C4952" t="s">
        <v>12</v>
      </c>
      <c r="D4952" s="1">
        <v>43238</v>
      </c>
    </row>
    <row r="4953" spans="1:4" x14ac:dyDescent="0.25">
      <c r="A4953" t="s">
        <v>3331</v>
      </c>
      <c r="C4953" t="s">
        <v>12</v>
      </c>
      <c r="D4953" s="1">
        <v>43234</v>
      </c>
    </row>
    <row r="4954" spans="1:4" x14ac:dyDescent="0.25">
      <c r="A4954" t="s">
        <v>808</v>
      </c>
      <c r="C4954" t="s">
        <v>12</v>
      </c>
      <c r="D4954" s="1">
        <v>43238</v>
      </c>
    </row>
    <row r="4955" spans="1:4" x14ac:dyDescent="0.25">
      <c r="A4955" t="s">
        <v>1257</v>
      </c>
      <c r="C4955" t="s">
        <v>12</v>
      </c>
      <c r="D4955" s="1">
        <v>43238</v>
      </c>
    </row>
    <row r="4956" spans="1:4" x14ac:dyDescent="0.25">
      <c r="A4956" t="s">
        <v>3209</v>
      </c>
      <c r="C4956" t="s">
        <v>12</v>
      </c>
      <c r="D4956" s="1">
        <v>43237</v>
      </c>
    </row>
    <row r="4957" spans="1:4" x14ac:dyDescent="0.25">
      <c r="A4957" t="s">
        <v>3210</v>
      </c>
      <c r="C4957" t="s">
        <v>12</v>
      </c>
      <c r="D4957" s="1">
        <v>43245</v>
      </c>
    </row>
    <row r="4958" spans="1:4" x14ac:dyDescent="0.25">
      <c r="A4958" t="s">
        <v>3332</v>
      </c>
      <c r="C4958" t="s">
        <v>12</v>
      </c>
      <c r="D4958" s="1">
        <v>43231</v>
      </c>
    </row>
    <row r="4959" spans="1:4" x14ac:dyDescent="0.25">
      <c r="A4959" t="s">
        <v>1361</v>
      </c>
      <c r="C4959" t="s">
        <v>12</v>
      </c>
      <c r="D4959" s="1">
        <v>43227</v>
      </c>
    </row>
    <row r="4960" spans="1:4" x14ac:dyDescent="0.25">
      <c r="A4960" t="s">
        <v>3333</v>
      </c>
      <c r="C4960" t="s">
        <v>12</v>
      </c>
      <c r="D4960" s="1">
        <v>43229</v>
      </c>
    </row>
    <row r="4961" spans="1:4" x14ac:dyDescent="0.25">
      <c r="A4961" t="s">
        <v>1187</v>
      </c>
      <c r="C4961" t="s">
        <v>12</v>
      </c>
      <c r="D4961" s="1">
        <v>43227</v>
      </c>
    </row>
    <row r="4962" spans="1:4" x14ac:dyDescent="0.25">
      <c r="A4962" t="s">
        <v>3211</v>
      </c>
      <c r="C4962" t="s">
        <v>12</v>
      </c>
      <c r="D4962" s="1">
        <v>43238</v>
      </c>
    </row>
    <row r="4963" spans="1:4" x14ac:dyDescent="0.25">
      <c r="A4963" t="s">
        <v>767</v>
      </c>
      <c r="C4963" t="s">
        <v>12</v>
      </c>
      <c r="D4963" s="1">
        <v>43231</v>
      </c>
    </row>
    <row r="4964" spans="1:4" x14ac:dyDescent="0.25">
      <c r="A4964" t="s">
        <v>3334</v>
      </c>
      <c r="C4964" t="s">
        <v>12</v>
      </c>
      <c r="D4964" s="1">
        <v>43227</v>
      </c>
    </row>
    <row r="4965" spans="1:4" x14ac:dyDescent="0.25">
      <c r="A4965" t="s">
        <v>524</v>
      </c>
      <c r="C4965" t="s">
        <v>12</v>
      </c>
      <c r="D4965" s="1">
        <v>43238</v>
      </c>
    </row>
    <row r="4966" spans="1:4" x14ac:dyDescent="0.25">
      <c r="A4966" t="s">
        <v>2700</v>
      </c>
      <c r="C4966" t="s">
        <v>12</v>
      </c>
      <c r="D4966" s="1">
        <v>43234</v>
      </c>
    </row>
    <row r="4967" spans="1:4" x14ac:dyDescent="0.25">
      <c r="A4967" t="s">
        <v>49</v>
      </c>
      <c r="C4967" t="s">
        <v>12</v>
      </c>
      <c r="D4967" s="1">
        <v>43228</v>
      </c>
    </row>
    <row r="4968" spans="1:4" x14ac:dyDescent="0.25">
      <c r="A4968" t="s">
        <v>3335</v>
      </c>
      <c r="C4968" t="s">
        <v>12</v>
      </c>
      <c r="D4968" s="1">
        <v>43229</v>
      </c>
    </row>
    <row r="4969" spans="1:4" x14ac:dyDescent="0.25">
      <c r="A4969" t="s">
        <v>993</v>
      </c>
      <c r="C4969" t="s">
        <v>12</v>
      </c>
      <c r="D4969" s="1">
        <v>43245</v>
      </c>
    </row>
    <row r="4970" spans="1:4" x14ac:dyDescent="0.25">
      <c r="A4970" t="s">
        <v>1262</v>
      </c>
      <c r="C4970" t="s">
        <v>12</v>
      </c>
      <c r="D4970" s="1">
        <v>43237</v>
      </c>
    </row>
    <row r="4971" spans="1:4" x14ac:dyDescent="0.25">
      <c r="A4971" t="s">
        <v>3213</v>
      </c>
      <c r="C4971" t="s">
        <v>12</v>
      </c>
      <c r="D4971" s="1">
        <v>43237</v>
      </c>
    </row>
    <row r="4972" spans="1:4" x14ac:dyDescent="0.25">
      <c r="A4972" t="s">
        <v>1287</v>
      </c>
      <c r="C4972" t="s">
        <v>12</v>
      </c>
      <c r="D4972" s="1">
        <v>43231</v>
      </c>
    </row>
    <row r="4973" spans="1:4" x14ac:dyDescent="0.25">
      <c r="A4973" t="s">
        <v>1248</v>
      </c>
      <c r="C4973" t="s">
        <v>12</v>
      </c>
      <c r="D4973" s="1">
        <v>43227</v>
      </c>
    </row>
    <row r="4974" spans="1:4" x14ac:dyDescent="0.25">
      <c r="A4974" t="s">
        <v>54</v>
      </c>
      <c r="C4974" t="s">
        <v>12</v>
      </c>
      <c r="D4974" s="1">
        <v>43238</v>
      </c>
    </row>
    <row r="4975" spans="1:4" x14ac:dyDescent="0.25">
      <c r="A4975" t="s">
        <v>1403</v>
      </c>
      <c r="C4975" t="s">
        <v>12</v>
      </c>
      <c r="D4975" s="1">
        <v>43245</v>
      </c>
    </row>
    <row r="4976" spans="1:4" x14ac:dyDescent="0.25">
      <c r="A4976" t="s">
        <v>1646</v>
      </c>
      <c r="C4976" t="s">
        <v>12</v>
      </c>
      <c r="D4976" s="1">
        <v>43245</v>
      </c>
    </row>
    <row r="4977" spans="1:4" x14ac:dyDescent="0.25">
      <c r="A4977" t="s">
        <v>3216</v>
      </c>
      <c r="C4977" t="s">
        <v>12</v>
      </c>
      <c r="D4977" s="1">
        <v>43245</v>
      </c>
    </row>
    <row r="4978" spans="1:4" x14ac:dyDescent="0.25">
      <c r="A4978" t="s">
        <v>784</v>
      </c>
      <c r="C4978" t="s">
        <v>12</v>
      </c>
      <c r="D4978" s="1">
        <v>43231</v>
      </c>
    </row>
    <row r="4979" spans="1:4" x14ac:dyDescent="0.25">
      <c r="A4979" t="s">
        <v>2677</v>
      </c>
      <c r="C4979" t="s">
        <v>12</v>
      </c>
      <c r="D4979" s="1">
        <v>43234</v>
      </c>
    </row>
    <row r="4980" spans="1:4" x14ac:dyDescent="0.25">
      <c r="A4980" t="s">
        <v>674</v>
      </c>
      <c r="C4980" t="s">
        <v>12</v>
      </c>
      <c r="D4980" s="1">
        <v>43243</v>
      </c>
    </row>
    <row r="4981" spans="1:4" x14ac:dyDescent="0.25">
      <c r="A4981" t="s">
        <v>902</v>
      </c>
      <c r="C4981" t="s">
        <v>12</v>
      </c>
      <c r="D4981" s="1">
        <v>43231</v>
      </c>
    </row>
    <row r="4982" spans="1:4" x14ac:dyDescent="0.25">
      <c r="A4982" t="s">
        <v>3217</v>
      </c>
      <c r="C4982" t="s">
        <v>12</v>
      </c>
      <c r="D4982" s="1">
        <v>43245</v>
      </c>
    </row>
    <row r="4983" spans="1:4" x14ac:dyDescent="0.25">
      <c r="A4983" t="s">
        <v>2690</v>
      </c>
      <c r="C4983" t="s">
        <v>12</v>
      </c>
      <c r="D4983" s="1">
        <v>43231</v>
      </c>
    </row>
    <row r="4984" spans="1:4" x14ac:dyDescent="0.25">
      <c r="A4984" t="s">
        <v>3218</v>
      </c>
      <c r="C4984" t="s">
        <v>12</v>
      </c>
      <c r="D4984" s="1">
        <v>43237</v>
      </c>
    </row>
    <row r="4985" spans="1:4" x14ac:dyDescent="0.25">
      <c r="A4985" t="s">
        <v>673</v>
      </c>
      <c r="C4985" t="s">
        <v>12</v>
      </c>
      <c r="D4985" s="1">
        <v>43238</v>
      </c>
    </row>
    <row r="4986" spans="1:4" x14ac:dyDescent="0.25">
      <c r="A4986" t="s">
        <v>751</v>
      </c>
      <c r="C4986" t="s">
        <v>12</v>
      </c>
      <c r="D4986" s="1">
        <v>43238</v>
      </c>
    </row>
    <row r="4987" spans="1:4" x14ac:dyDescent="0.25">
      <c r="A4987" t="s">
        <v>669</v>
      </c>
      <c r="C4987" t="s">
        <v>12</v>
      </c>
      <c r="D4987" s="1">
        <v>43231</v>
      </c>
    </row>
    <row r="4988" spans="1:4" x14ac:dyDescent="0.25">
      <c r="A4988" t="s">
        <v>1337</v>
      </c>
      <c r="C4988" t="s">
        <v>12</v>
      </c>
      <c r="D4988" s="1">
        <v>43238</v>
      </c>
    </row>
    <row r="4989" spans="1:4" x14ac:dyDescent="0.25">
      <c r="A4989" t="s">
        <v>728</v>
      </c>
      <c r="C4989" t="s">
        <v>12</v>
      </c>
      <c r="D4989" s="1">
        <v>43238</v>
      </c>
    </row>
    <row r="4990" spans="1:4" x14ac:dyDescent="0.25">
      <c r="A4990" t="s">
        <v>3336</v>
      </c>
      <c r="C4990" t="s">
        <v>12</v>
      </c>
      <c r="D4990" s="1">
        <v>43229</v>
      </c>
    </row>
    <row r="4991" spans="1:4" x14ac:dyDescent="0.25">
      <c r="A4991" t="s">
        <v>1078</v>
      </c>
      <c r="C4991" t="s">
        <v>12</v>
      </c>
      <c r="D4991" s="1">
        <v>43227</v>
      </c>
    </row>
    <row r="4992" spans="1:4" x14ac:dyDescent="0.25">
      <c r="A4992" t="s">
        <v>3219</v>
      </c>
      <c r="C4992" t="s">
        <v>12</v>
      </c>
      <c r="D4992" s="1">
        <v>43237</v>
      </c>
    </row>
    <row r="4993" spans="1:4" x14ac:dyDescent="0.25">
      <c r="A4993" t="s">
        <v>3220</v>
      </c>
      <c r="C4993" t="s">
        <v>12</v>
      </c>
      <c r="D4993" s="1">
        <v>43238</v>
      </c>
    </row>
    <row r="4994" spans="1:4" x14ac:dyDescent="0.25">
      <c r="A4994" t="s">
        <v>672</v>
      </c>
      <c r="C4994" t="s">
        <v>12</v>
      </c>
      <c r="D4994" s="1">
        <v>43244</v>
      </c>
    </row>
    <row r="4995" spans="1:4" x14ac:dyDescent="0.25">
      <c r="A4995" t="s">
        <v>646</v>
      </c>
      <c r="C4995" t="s">
        <v>12</v>
      </c>
      <c r="D4995" s="1">
        <v>43231</v>
      </c>
    </row>
    <row r="4996" spans="1:4" x14ac:dyDescent="0.25">
      <c r="A4996" t="s">
        <v>3221</v>
      </c>
      <c r="C4996" t="s">
        <v>12</v>
      </c>
      <c r="D4996" s="1">
        <v>43245</v>
      </c>
    </row>
    <row r="4997" spans="1:4" x14ac:dyDescent="0.25">
      <c r="A4997" t="s">
        <v>3222</v>
      </c>
      <c r="C4997" t="s">
        <v>12</v>
      </c>
      <c r="D4997" s="1">
        <v>43231</v>
      </c>
    </row>
    <row r="4998" spans="1:4" x14ac:dyDescent="0.25">
      <c r="A4998" t="s">
        <v>804</v>
      </c>
      <c r="C4998" t="s">
        <v>12</v>
      </c>
      <c r="D4998" s="1">
        <v>43224</v>
      </c>
    </row>
    <row r="4999" spans="1:4" x14ac:dyDescent="0.25">
      <c r="A4999" t="s">
        <v>640</v>
      </c>
      <c r="C4999" t="s">
        <v>12</v>
      </c>
      <c r="D4999" s="1">
        <v>43247</v>
      </c>
    </row>
    <row r="5000" spans="1:4" x14ac:dyDescent="0.25">
      <c r="A5000" t="s">
        <v>256</v>
      </c>
      <c r="C5000" t="s">
        <v>12</v>
      </c>
      <c r="D5000" s="1">
        <v>43231</v>
      </c>
    </row>
    <row r="5001" spans="1:4" x14ac:dyDescent="0.25">
      <c r="A5001" t="s">
        <v>3337</v>
      </c>
      <c r="C5001" t="s">
        <v>12</v>
      </c>
      <c r="D5001" s="1">
        <v>43231</v>
      </c>
    </row>
    <row r="5002" spans="1:4" x14ac:dyDescent="0.25">
      <c r="A5002" t="s">
        <v>3225</v>
      </c>
      <c r="C5002" t="s">
        <v>12</v>
      </c>
      <c r="D5002" s="1">
        <v>43238</v>
      </c>
    </row>
    <row r="5003" spans="1:4" x14ac:dyDescent="0.25">
      <c r="A5003" t="s">
        <v>3338</v>
      </c>
      <c r="C5003" t="s">
        <v>12</v>
      </c>
      <c r="D5003" s="1">
        <v>43229</v>
      </c>
    </row>
    <row r="5004" spans="1:4" x14ac:dyDescent="0.25">
      <c r="A5004" t="s">
        <v>3226</v>
      </c>
      <c r="C5004" t="s">
        <v>12</v>
      </c>
      <c r="D5004" s="1">
        <v>43238</v>
      </c>
    </row>
    <row r="5005" spans="1:4" x14ac:dyDescent="0.25">
      <c r="A5005" t="s">
        <v>591</v>
      </c>
      <c r="C5005" t="s">
        <v>12</v>
      </c>
      <c r="D5005" s="1">
        <v>43238</v>
      </c>
    </row>
    <row r="5006" spans="1:4" x14ac:dyDescent="0.25">
      <c r="A5006" t="s">
        <v>1092</v>
      </c>
      <c r="C5006" t="s">
        <v>12</v>
      </c>
      <c r="D5006" s="1">
        <v>43227</v>
      </c>
    </row>
    <row r="5007" spans="1:4" x14ac:dyDescent="0.25">
      <c r="A5007" t="s">
        <v>329</v>
      </c>
      <c r="C5007" t="s">
        <v>12</v>
      </c>
      <c r="D5007" s="1">
        <v>43229</v>
      </c>
    </row>
    <row r="5008" spans="1:4" x14ac:dyDescent="0.25">
      <c r="A5008" t="s">
        <v>3229</v>
      </c>
      <c r="C5008" t="s">
        <v>12</v>
      </c>
      <c r="D5008" s="1">
        <v>43238</v>
      </c>
    </row>
    <row r="5009" spans="1:4" x14ac:dyDescent="0.25">
      <c r="A5009" t="s">
        <v>3230</v>
      </c>
      <c r="C5009" t="s">
        <v>12</v>
      </c>
      <c r="D5009" s="1">
        <v>43237</v>
      </c>
    </row>
    <row r="5010" spans="1:4" x14ac:dyDescent="0.25">
      <c r="A5010" t="s">
        <v>147</v>
      </c>
      <c r="C5010" t="s">
        <v>12</v>
      </c>
      <c r="D5010" s="1">
        <v>43224</v>
      </c>
    </row>
    <row r="5011" spans="1:4" x14ac:dyDescent="0.25">
      <c r="A5011" t="s">
        <v>3231</v>
      </c>
      <c r="C5011" t="s">
        <v>12</v>
      </c>
      <c r="D5011" s="1">
        <v>43238</v>
      </c>
    </row>
    <row r="5012" spans="1:4" x14ac:dyDescent="0.25">
      <c r="A5012" t="s">
        <v>3232</v>
      </c>
      <c r="C5012" t="s">
        <v>12</v>
      </c>
      <c r="D5012" s="1">
        <v>43238</v>
      </c>
    </row>
    <row r="5013" spans="1:4" x14ac:dyDescent="0.25">
      <c r="A5013" t="s">
        <v>3339</v>
      </c>
      <c r="C5013" t="s">
        <v>12</v>
      </c>
      <c r="D5013" s="1">
        <v>43224</v>
      </c>
    </row>
    <row r="5014" spans="1:4" x14ac:dyDescent="0.25">
      <c r="A5014" t="s">
        <v>764</v>
      </c>
      <c r="C5014" t="s">
        <v>12</v>
      </c>
      <c r="D5014" s="1">
        <v>43229</v>
      </c>
    </row>
    <row r="5015" spans="1:4" x14ac:dyDescent="0.25">
      <c r="A5015" t="s">
        <v>1445</v>
      </c>
      <c r="C5015" t="s">
        <v>12</v>
      </c>
      <c r="D5015" s="1">
        <v>43231</v>
      </c>
    </row>
    <row r="5016" spans="1:4" x14ac:dyDescent="0.25">
      <c r="A5016" t="s">
        <v>1349</v>
      </c>
      <c r="C5016" t="s">
        <v>12</v>
      </c>
      <c r="D5016" s="1">
        <v>43227</v>
      </c>
    </row>
    <row r="5017" spans="1:4" x14ac:dyDescent="0.25">
      <c r="A5017" t="s">
        <v>1095</v>
      </c>
      <c r="C5017" t="s">
        <v>12</v>
      </c>
      <c r="D5017" s="1">
        <v>43238</v>
      </c>
    </row>
    <row r="5018" spans="1:4" x14ac:dyDescent="0.25">
      <c r="A5018" t="s">
        <v>3233</v>
      </c>
      <c r="C5018" t="s">
        <v>12</v>
      </c>
      <c r="D5018" s="1">
        <v>43229</v>
      </c>
    </row>
    <row r="5019" spans="1:4" x14ac:dyDescent="0.25">
      <c r="A5019" t="s">
        <v>606</v>
      </c>
      <c r="C5019" t="s">
        <v>12</v>
      </c>
      <c r="D5019" s="1">
        <v>43238</v>
      </c>
    </row>
    <row r="5020" spans="1:4" x14ac:dyDescent="0.25">
      <c r="A5020" t="s">
        <v>782</v>
      </c>
      <c r="C5020" t="s">
        <v>12</v>
      </c>
      <c r="D5020" s="1">
        <v>43244</v>
      </c>
    </row>
    <row r="5021" spans="1:4" x14ac:dyDescent="0.25">
      <c r="A5021" t="s">
        <v>3340</v>
      </c>
      <c r="C5021" t="s">
        <v>12</v>
      </c>
      <c r="D5021" s="1">
        <v>43231</v>
      </c>
    </row>
    <row r="5022" spans="1:4" x14ac:dyDescent="0.25">
      <c r="A5022" t="s">
        <v>671</v>
      </c>
      <c r="C5022" t="s">
        <v>12</v>
      </c>
      <c r="D5022" s="1">
        <v>43231</v>
      </c>
    </row>
    <row r="5023" spans="1:4" x14ac:dyDescent="0.25">
      <c r="A5023" t="s">
        <v>3234</v>
      </c>
      <c r="C5023" t="s">
        <v>12</v>
      </c>
      <c r="D5023" s="1">
        <v>43238</v>
      </c>
    </row>
    <row r="5024" spans="1:4" x14ac:dyDescent="0.25">
      <c r="A5024" t="s">
        <v>3235</v>
      </c>
      <c r="C5024" t="s">
        <v>12</v>
      </c>
      <c r="D5024" s="1">
        <v>43241</v>
      </c>
    </row>
    <row r="5025" spans="1:4" x14ac:dyDescent="0.25">
      <c r="A5025" t="s">
        <v>3341</v>
      </c>
      <c r="C5025" t="s">
        <v>12</v>
      </c>
      <c r="D5025" s="1">
        <v>43224</v>
      </c>
    </row>
    <row r="5026" spans="1:4" x14ac:dyDescent="0.25">
      <c r="A5026" t="s">
        <v>1037</v>
      </c>
      <c r="C5026" t="s">
        <v>12</v>
      </c>
      <c r="D5026" s="1">
        <v>43227</v>
      </c>
    </row>
    <row r="5027" spans="1:4" x14ac:dyDescent="0.25">
      <c r="A5027" t="s">
        <v>535</v>
      </c>
      <c r="C5027" t="s">
        <v>12</v>
      </c>
      <c r="D5027" s="1">
        <v>43234</v>
      </c>
    </row>
    <row r="5028" spans="1:4" x14ac:dyDescent="0.25">
      <c r="A5028" t="s">
        <v>286</v>
      </c>
      <c r="C5028" t="s">
        <v>12</v>
      </c>
      <c r="D5028" s="1">
        <v>43226</v>
      </c>
    </row>
    <row r="5029" spans="1:4" x14ac:dyDescent="0.25">
      <c r="A5029" t="s">
        <v>1148</v>
      </c>
      <c r="C5029" t="s">
        <v>12</v>
      </c>
      <c r="D5029" s="1">
        <v>43231</v>
      </c>
    </row>
    <row r="5030" spans="1:4" x14ac:dyDescent="0.25">
      <c r="A5030" t="s">
        <v>3238</v>
      </c>
      <c r="C5030" t="s">
        <v>12</v>
      </c>
      <c r="D5030" s="1">
        <v>43245</v>
      </c>
    </row>
    <row r="5031" spans="1:4" x14ac:dyDescent="0.25">
      <c r="A5031" t="s">
        <v>1351</v>
      </c>
      <c r="C5031" t="s">
        <v>12</v>
      </c>
      <c r="D5031" s="1">
        <v>43227</v>
      </c>
    </row>
    <row r="5032" spans="1:4" x14ac:dyDescent="0.25">
      <c r="A5032" t="s">
        <v>736</v>
      </c>
      <c r="C5032" t="s">
        <v>12</v>
      </c>
      <c r="D5032" s="1">
        <v>43231</v>
      </c>
    </row>
    <row r="5033" spans="1:4" x14ac:dyDescent="0.25">
      <c r="A5033" t="s">
        <v>1338</v>
      </c>
      <c r="C5033" t="s">
        <v>12</v>
      </c>
      <c r="D5033" s="1">
        <v>43238</v>
      </c>
    </row>
    <row r="5034" spans="1:4" x14ac:dyDescent="0.25">
      <c r="A5034" t="s">
        <v>3342</v>
      </c>
      <c r="C5034" t="s">
        <v>12</v>
      </c>
      <c r="D5034" s="1">
        <v>43229</v>
      </c>
    </row>
    <row r="5035" spans="1:4" x14ac:dyDescent="0.25">
      <c r="A5035" t="s">
        <v>1538</v>
      </c>
      <c r="C5035" t="s">
        <v>12</v>
      </c>
      <c r="D5035" s="1">
        <v>43222</v>
      </c>
    </row>
    <row r="5036" spans="1:4" x14ac:dyDescent="0.25">
      <c r="A5036" t="s">
        <v>718</v>
      </c>
      <c r="C5036" t="s">
        <v>12</v>
      </c>
      <c r="D5036" s="1">
        <v>43238</v>
      </c>
    </row>
    <row r="5037" spans="1:4" x14ac:dyDescent="0.25">
      <c r="A5037" t="s">
        <v>1348</v>
      </c>
      <c r="C5037" t="s">
        <v>12</v>
      </c>
      <c r="D5037" s="1">
        <v>43237</v>
      </c>
    </row>
    <row r="5038" spans="1:4" x14ac:dyDescent="0.25">
      <c r="A5038" t="s">
        <v>2693</v>
      </c>
      <c r="C5038" t="s">
        <v>12</v>
      </c>
      <c r="D5038" s="1">
        <v>43231</v>
      </c>
    </row>
    <row r="5039" spans="1:4" x14ac:dyDescent="0.25">
      <c r="A5039" t="s">
        <v>353</v>
      </c>
      <c r="C5039" t="s">
        <v>12</v>
      </c>
      <c r="D5039" s="1">
        <v>43224</v>
      </c>
    </row>
    <row r="5040" spans="1:4" x14ac:dyDescent="0.25">
      <c r="A5040" t="s">
        <v>3243</v>
      </c>
      <c r="C5040" t="s">
        <v>12</v>
      </c>
      <c r="D5040" s="1">
        <v>43231</v>
      </c>
    </row>
    <row r="5041" spans="1:4" x14ac:dyDescent="0.25">
      <c r="A5041" t="s">
        <v>3244</v>
      </c>
      <c r="C5041" t="s">
        <v>12</v>
      </c>
      <c r="D5041" s="1">
        <v>43238</v>
      </c>
    </row>
    <row r="5042" spans="1:4" x14ac:dyDescent="0.25">
      <c r="A5042" t="s">
        <v>295</v>
      </c>
      <c r="C5042" t="s">
        <v>12</v>
      </c>
      <c r="D5042" s="1">
        <v>43224</v>
      </c>
    </row>
    <row r="5043" spans="1:4" x14ac:dyDescent="0.25">
      <c r="A5043" t="s">
        <v>3343</v>
      </c>
      <c r="C5043" t="s">
        <v>12</v>
      </c>
      <c r="D5043" s="1">
        <v>43231</v>
      </c>
    </row>
    <row r="5044" spans="1:4" x14ac:dyDescent="0.25">
      <c r="A5044" t="s">
        <v>1544</v>
      </c>
      <c r="C5044" t="s">
        <v>12</v>
      </c>
      <c r="D5044" s="1">
        <v>43231</v>
      </c>
    </row>
    <row r="5045" spans="1:4" x14ac:dyDescent="0.25">
      <c r="A5045" t="s">
        <v>3245</v>
      </c>
      <c r="C5045" t="s">
        <v>12</v>
      </c>
      <c r="D5045" s="1">
        <v>43238</v>
      </c>
    </row>
    <row r="5046" spans="1:4" x14ac:dyDescent="0.25">
      <c r="A5046" t="s">
        <v>3246</v>
      </c>
      <c r="C5046" t="s">
        <v>12</v>
      </c>
      <c r="D5046" s="1">
        <v>43238</v>
      </c>
    </row>
    <row r="5047" spans="1:4" x14ac:dyDescent="0.25">
      <c r="A5047" t="s">
        <v>3247</v>
      </c>
      <c r="C5047" t="s">
        <v>12</v>
      </c>
      <c r="D5047" s="1">
        <v>43238</v>
      </c>
    </row>
    <row r="5048" spans="1:4" x14ac:dyDescent="0.25">
      <c r="A5048" t="s">
        <v>372</v>
      </c>
      <c r="C5048" t="s">
        <v>12</v>
      </c>
      <c r="D5048" s="1">
        <v>43231</v>
      </c>
    </row>
    <row r="5049" spans="1:4" x14ac:dyDescent="0.25">
      <c r="A5049" t="s">
        <v>3344</v>
      </c>
      <c r="C5049" t="s">
        <v>12</v>
      </c>
      <c r="D5049" s="1">
        <v>43224</v>
      </c>
    </row>
    <row r="5050" spans="1:4" x14ac:dyDescent="0.25">
      <c r="A5050" t="s">
        <v>3248</v>
      </c>
      <c r="C5050" t="s">
        <v>12</v>
      </c>
      <c r="D5050" s="1">
        <v>43248</v>
      </c>
    </row>
    <row r="5051" spans="1:4" x14ac:dyDescent="0.25">
      <c r="A5051" t="s">
        <v>1392</v>
      </c>
      <c r="C5051" t="s">
        <v>12</v>
      </c>
      <c r="D5051" s="1">
        <v>43245</v>
      </c>
    </row>
    <row r="5052" spans="1:4" x14ac:dyDescent="0.25">
      <c r="A5052" t="s">
        <v>966</v>
      </c>
      <c r="C5052" t="s">
        <v>12</v>
      </c>
      <c r="D5052" s="1">
        <v>43227</v>
      </c>
    </row>
    <row r="5053" spans="1:4" x14ac:dyDescent="0.25">
      <c r="A5053" t="s">
        <v>3249</v>
      </c>
      <c r="C5053" t="s">
        <v>12</v>
      </c>
      <c r="D5053" s="1">
        <v>43224</v>
      </c>
    </row>
    <row r="5054" spans="1:4" x14ac:dyDescent="0.25">
      <c r="A5054" t="s">
        <v>1396</v>
      </c>
      <c r="C5054" t="s">
        <v>12</v>
      </c>
      <c r="D5054" s="1">
        <v>43245</v>
      </c>
    </row>
    <row r="5055" spans="1:4" x14ac:dyDescent="0.25">
      <c r="A5055" t="s">
        <v>3250</v>
      </c>
      <c r="C5055" t="s">
        <v>12</v>
      </c>
      <c r="D5055" s="1">
        <v>43238</v>
      </c>
    </row>
    <row r="5056" spans="1:4" x14ac:dyDescent="0.25">
      <c r="A5056" t="s">
        <v>1003</v>
      </c>
      <c r="C5056" t="s">
        <v>12</v>
      </c>
      <c r="D5056" s="1">
        <v>43245</v>
      </c>
    </row>
    <row r="5057" spans="1:4" x14ac:dyDescent="0.25">
      <c r="A5057" t="s">
        <v>3251</v>
      </c>
      <c r="C5057" t="s">
        <v>12</v>
      </c>
      <c r="D5057" s="1">
        <v>43238</v>
      </c>
    </row>
    <row r="5058" spans="1:4" x14ac:dyDescent="0.25">
      <c r="A5058" t="s">
        <v>87</v>
      </c>
      <c r="C5058" t="s">
        <v>12</v>
      </c>
      <c r="D5058" s="1">
        <v>43231</v>
      </c>
    </row>
    <row r="5059" spans="1:4" x14ac:dyDescent="0.25">
      <c r="A5059" t="s">
        <v>1612</v>
      </c>
      <c r="C5059" t="s">
        <v>12</v>
      </c>
      <c r="D5059" s="1">
        <v>43245</v>
      </c>
    </row>
    <row r="5060" spans="1:4" x14ac:dyDescent="0.25">
      <c r="A5060" t="s">
        <v>3252</v>
      </c>
      <c r="C5060" t="s">
        <v>12</v>
      </c>
      <c r="D5060" s="1">
        <v>43237</v>
      </c>
    </row>
    <row r="5061" spans="1:4" x14ac:dyDescent="0.25">
      <c r="A5061" t="s">
        <v>634</v>
      </c>
      <c r="C5061" t="s">
        <v>12</v>
      </c>
      <c r="D5061" s="1">
        <v>43245</v>
      </c>
    </row>
    <row r="5062" spans="1:4" x14ac:dyDescent="0.25">
      <c r="A5062" t="s">
        <v>3253</v>
      </c>
      <c r="C5062" t="s">
        <v>12</v>
      </c>
      <c r="D5062" s="1">
        <v>43244</v>
      </c>
    </row>
    <row r="5063" spans="1:4" x14ac:dyDescent="0.25">
      <c r="A5063" t="s">
        <v>82</v>
      </c>
      <c r="C5063" t="s">
        <v>12</v>
      </c>
      <c r="D5063" s="1">
        <v>43231</v>
      </c>
    </row>
    <row r="5064" spans="1:4" x14ac:dyDescent="0.25">
      <c r="A5064" t="s">
        <v>223</v>
      </c>
      <c r="C5064" t="s">
        <v>12</v>
      </c>
      <c r="D5064" s="1">
        <v>43238</v>
      </c>
    </row>
    <row r="5065" spans="1:4" x14ac:dyDescent="0.25">
      <c r="A5065" t="s">
        <v>3255</v>
      </c>
      <c r="C5065" t="s">
        <v>12</v>
      </c>
      <c r="D5065" s="1">
        <v>43238</v>
      </c>
    </row>
    <row r="5066" spans="1:4" x14ac:dyDescent="0.25">
      <c r="A5066" t="s">
        <v>1002</v>
      </c>
      <c r="C5066" t="s">
        <v>12</v>
      </c>
      <c r="D5066" s="1">
        <v>43238</v>
      </c>
    </row>
    <row r="5067" spans="1:4" x14ac:dyDescent="0.25">
      <c r="A5067" t="s">
        <v>3256</v>
      </c>
      <c r="C5067" t="s">
        <v>12</v>
      </c>
      <c r="D5067" s="1">
        <v>43237</v>
      </c>
    </row>
    <row r="5068" spans="1:4" x14ac:dyDescent="0.25">
      <c r="A5068" t="s">
        <v>3345</v>
      </c>
      <c r="C5068" t="s">
        <v>12</v>
      </c>
      <c r="D5068" s="1">
        <v>43231</v>
      </c>
    </row>
    <row r="5069" spans="1:4" x14ac:dyDescent="0.25">
      <c r="A5069" t="s">
        <v>181</v>
      </c>
      <c r="C5069" t="s">
        <v>12</v>
      </c>
      <c r="D5069" s="1">
        <v>43224</v>
      </c>
    </row>
    <row r="5070" spans="1:4" x14ac:dyDescent="0.25">
      <c r="A5070" t="s">
        <v>3346</v>
      </c>
      <c r="C5070" t="s">
        <v>12</v>
      </c>
      <c r="D5070" s="1">
        <v>43224</v>
      </c>
    </row>
    <row r="5071" spans="1:4" x14ac:dyDescent="0.25">
      <c r="A5071" t="s">
        <v>531</v>
      </c>
      <c r="C5071" t="s">
        <v>12</v>
      </c>
      <c r="D5071" s="1">
        <v>43231</v>
      </c>
    </row>
    <row r="5072" spans="1:4" x14ac:dyDescent="0.25">
      <c r="A5072" t="s">
        <v>3258</v>
      </c>
      <c r="C5072" t="s">
        <v>12</v>
      </c>
      <c r="D5072" s="1">
        <v>43224</v>
      </c>
    </row>
    <row r="5073" spans="1:4" x14ac:dyDescent="0.25">
      <c r="A5073" t="s">
        <v>596</v>
      </c>
      <c r="C5073" t="s">
        <v>12</v>
      </c>
      <c r="D5073" s="1">
        <v>43244</v>
      </c>
    </row>
    <row r="5074" spans="1:4" x14ac:dyDescent="0.25">
      <c r="A5074" t="s">
        <v>1125</v>
      </c>
      <c r="C5074" t="s">
        <v>12</v>
      </c>
      <c r="D5074" s="1">
        <v>43227</v>
      </c>
    </row>
    <row r="5075" spans="1:4" x14ac:dyDescent="0.25">
      <c r="A5075" t="s">
        <v>3259</v>
      </c>
      <c r="C5075" t="s">
        <v>12</v>
      </c>
      <c r="D5075" s="1">
        <v>43238</v>
      </c>
    </row>
    <row r="5076" spans="1:4" x14ac:dyDescent="0.25">
      <c r="A5076" t="s">
        <v>2720</v>
      </c>
      <c r="C5076" t="s">
        <v>12</v>
      </c>
      <c r="D5076" s="1">
        <v>43237</v>
      </c>
    </row>
    <row r="5077" spans="1:4" x14ac:dyDescent="0.25">
      <c r="A5077" t="s">
        <v>796</v>
      </c>
      <c r="C5077" t="s">
        <v>12</v>
      </c>
      <c r="D5077" s="1">
        <v>43229</v>
      </c>
    </row>
    <row r="5078" spans="1:4" x14ac:dyDescent="0.25">
      <c r="A5078" t="s">
        <v>3347</v>
      </c>
      <c r="C5078" t="s">
        <v>12</v>
      </c>
      <c r="D5078" s="1">
        <v>43231</v>
      </c>
    </row>
    <row r="5079" spans="1:4" x14ac:dyDescent="0.25">
      <c r="A5079" t="s">
        <v>563</v>
      </c>
      <c r="C5079" t="s">
        <v>12</v>
      </c>
      <c r="D5079" s="1">
        <v>43227</v>
      </c>
    </row>
    <row r="5080" spans="1:4" x14ac:dyDescent="0.25">
      <c r="A5080" t="s">
        <v>50</v>
      </c>
      <c r="C5080" t="s">
        <v>12</v>
      </c>
      <c r="D5080" s="1">
        <v>43228</v>
      </c>
    </row>
    <row r="5081" spans="1:4" x14ac:dyDescent="0.25">
      <c r="A5081" t="s">
        <v>787</v>
      </c>
      <c r="C5081" t="s">
        <v>12</v>
      </c>
      <c r="D5081" s="1">
        <v>43238</v>
      </c>
    </row>
    <row r="5082" spans="1:4" x14ac:dyDescent="0.25">
      <c r="A5082" t="s">
        <v>3261</v>
      </c>
      <c r="C5082" t="s">
        <v>12</v>
      </c>
      <c r="D5082" s="1">
        <v>43241</v>
      </c>
    </row>
    <row r="5083" spans="1:4" x14ac:dyDescent="0.25">
      <c r="A5083" t="s">
        <v>539</v>
      </c>
      <c r="C5083" t="s">
        <v>12</v>
      </c>
      <c r="D5083" s="1">
        <v>43231</v>
      </c>
    </row>
    <row r="5084" spans="1:4" x14ac:dyDescent="0.25">
      <c r="A5084" t="s">
        <v>689</v>
      </c>
      <c r="C5084" t="s">
        <v>12</v>
      </c>
      <c r="D5084" s="1">
        <v>43227</v>
      </c>
    </row>
    <row r="5085" spans="1:4" x14ac:dyDescent="0.25">
      <c r="A5085" t="s">
        <v>575</v>
      </c>
      <c r="C5085" t="s">
        <v>12</v>
      </c>
      <c r="D5085" s="1">
        <v>43245</v>
      </c>
    </row>
    <row r="5086" spans="1:4" x14ac:dyDescent="0.25">
      <c r="A5086" t="s">
        <v>536</v>
      </c>
      <c r="C5086" t="s">
        <v>12</v>
      </c>
      <c r="D5086" s="1">
        <v>43243</v>
      </c>
    </row>
    <row r="5087" spans="1:4" x14ac:dyDescent="0.25">
      <c r="A5087" t="s">
        <v>1063</v>
      </c>
      <c r="C5087" t="s">
        <v>12</v>
      </c>
      <c r="D5087" s="1">
        <v>43231</v>
      </c>
    </row>
    <row r="5088" spans="1:4" x14ac:dyDescent="0.25">
      <c r="A5088" t="s">
        <v>882</v>
      </c>
      <c r="C5088" t="s">
        <v>12</v>
      </c>
      <c r="D5088" s="1">
        <v>43227</v>
      </c>
    </row>
    <row r="5089" spans="1:4" x14ac:dyDescent="0.25">
      <c r="A5089" t="s">
        <v>636</v>
      </c>
      <c r="C5089" t="s">
        <v>12</v>
      </c>
      <c r="D5089" s="1">
        <v>43238</v>
      </c>
    </row>
    <row r="5090" spans="1:4" x14ac:dyDescent="0.25">
      <c r="A5090" t="s">
        <v>3348</v>
      </c>
      <c r="C5090" t="s">
        <v>12</v>
      </c>
      <c r="D5090" s="1">
        <v>43229</v>
      </c>
    </row>
    <row r="5091" spans="1:4" x14ac:dyDescent="0.25">
      <c r="A5091" t="s">
        <v>3349</v>
      </c>
      <c r="C5091" t="s">
        <v>12</v>
      </c>
      <c r="D5091" s="1">
        <v>43229</v>
      </c>
    </row>
    <row r="5092" spans="1:4" x14ac:dyDescent="0.25">
      <c r="A5092" t="s">
        <v>1706</v>
      </c>
      <c r="C5092" t="s">
        <v>12</v>
      </c>
      <c r="D5092" s="1">
        <v>43231</v>
      </c>
    </row>
    <row r="5093" spans="1:4" x14ac:dyDescent="0.25">
      <c r="A5093" t="s">
        <v>3264</v>
      </c>
      <c r="C5093" t="s">
        <v>12</v>
      </c>
      <c r="D5093" s="1">
        <v>43238</v>
      </c>
    </row>
    <row r="5094" spans="1:4" x14ac:dyDescent="0.25">
      <c r="A5094" t="s">
        <v>780</v>
      </c>
      <c r="C5094" t="s">
        <v>12</v>
      </c>
      <c r="D5094" s="1">
        <v>43224</v>
      </c>
    </row>
    <row r="5095" spans="1:4" x14ac:dyDescent="0.25">
      <c r="A5095" t="s">
        <v>561</v>
      </c>
      <c r="C5095" t="s">
        <v>12</v>
      </c>
      <c r="D5095" s="1">
        <v>43231</v>
      </c>
    </row>
    <row r="5096" spans="1:4" x14ac:dyDescent="0.25">
      <c r="A5096" t="s">
        <v>1487</v>
      </c>
      <c r="C5096" t="s">
        <v>12</v>
      </c>
      <c r="D5096" s="1">
        <v>43227</v>
      </c>
    </row>
    <row r="5097" spans="1:4" x14ac:dyDescent="0.25">
      <c r="A5097" t="s">
        <v>3350</v>
      </c>
      <c r="C5097" t="s">
        <v>12</v>
      </c>
      <c r="D5097" s="1">
        <v>43231</v>
      </c>
    </row>
    <row r="5098" spans="1:4" x14ac:dyDescent="0.25">
      <c r="A5098" t="s">
        <v>635</v>
      </c>
      <c r="C5098" t="s">
        <v>12</v>
      </c>
      <c r="D5098" s="1">
        <v>43247</v>
      </c>
    </row>
    <row r="5099" spans="1:4" x14ac:dyDescent="0.25">
      <c r="A5099" t="s">
        <v>3351</v>
      </c>
      <c r="C5099" t="s">
        <v>12</v>
      </c>
      <c r="D5099" s="1">
        <v>43227</v>
      </c>
    </row>
    <row r="5100" spans="1:4" x14ac:dyDescent="0.25">
      <c r="A5100" t="s">
        <v>1358</v>
      </c>
      <c r="C5100" t="s">
        <v>12</v>
      </c>
      <c r="D5100" s="1">
        <v>43227</v>
      </c>
    </row>
    <row r="5101" spans="1:4" x14ac:dyDescent="0.25">
      <c r="A5101" t="s">
        <v>3352</v>
      </c>
      <c r="C5101" t="s">
        <v>12</v>
      </c>
      <c r="D5101" s="1">
        <v>43234</v>
      </c>
    </row>
    <row r="5102" spans="1:4" x14ac:dyDescent="0.25">
      <c r="A5102" t="s">
        <v>662</v>
      </c>
      <c r="C5102" t="s">
        <v>12</v>
      </c>
      <c r="D5102" s="1">
        <v>43238</v>
      </c>
    </row>
    <row r="5103" spans="1:4" x14ac:dyDescent="0.25">
      <c r="A5103" t="s">
        <v>1519</v>
      </c>
      <c r="C5103" t="s">
        <v>12</v>
      </c>
      <c r="D5103" s="1">
        <v>43231</v>
      </c>
    </row>
    <row r="5104" spans="1:4" x14ac:dyDescent="0.25">
      <c r="A5104" t="s">
        <v>293</v>
      </c>
      <c r="C5104" t="s">
        <v>12</v>
      </c>
      <c r="D5104" s="1">
        <v>43226</v>
      </c>
    </row>
    <row r="5105" spans="1:4" x14ac:dyDescent="0.25">
      <c r="A5105" t="s">
        <v>3267</v>
      </c>
      <c r="C5105" t="s">
        <v>12</v>
      </c>
      <c r="D5105" s="1">
        <v>43237</v>
      </c>
    </row>
    <row r="5106" spans="1:4" x14ac:dyDescent="0.25">
      <c r="A5106" t="s">
        <v>236</v>
      </c>
      <c r="C5106" t="s">
        <v>12</v>
      </c>
      <c r="D5106" s="1">
        <v>43234</v>
      </c>
    </row>
    <row r="5107" spans="1:4" x14ac:dyDescent="0.25">
      <c r="A5107" t="s">
        <v>3353</v>
      </c>
      <c r="C5107" t="s">
        <v>12</v>
      </c>
      <c r="D5107" s="1">
        <v>43229</v>
      </c>
    </row>
    <row r="5108" spans="1:4" x14ac:dyDescent="0.25">
      <c r="A5108" t="s">
        <v>1530</v>
      </c>
      <c r="C5108" t="s">
        <v>12</v>
      </c>
      <c r="D5108" s="1">
        <v>43243</v>
      </c>
    </row>
    <row r="5109" spans="1:4" x14ac:dyDescent="0.25">
      <c r="A5109" t="s">
        <v>2723</v>
      </c>
      <c r="C5109" t="s">
        <v>12</v>
      </c>
      <c r="D5109" s="1">
        <v>43234</v>
      </c>
    </row>
    <row r="5110" spans="1:4" x14ac:dyDescent="0.25">
      <c r="A5110" t="s">
        <v>193</v>
      </c>
      <c r="C5110" t="s">
        <v>12</v>
      </c>
      <c r="D5110" s="1">
        <v>43229</v>
      </c>
    </row>
    <row r="5111" spans="1:4" x14ac:dyDescent="0.25">
      <c r="A5111" t="s">
        <v>1207</v>
      </c>
      <c r="C5111" t="s">
        <v>12</v>
      </c>
      <c r="D5111" s="1">
        <v>43238</v>
      </c>
    </row>
    <row r="5112" spans="1:4" x14ac:dyDescent="0.25">
      <c r="A5112" t="s">
        <v>579</v>
      </c>
      <c r="C5112" t="s">
        <v>12</v>
      </c>
      <c r="D5112" s="1">
        <v>43238</v>
      </c>
    </row>
    <row r="5113" spans="1:4" x14ac:dyDescent="0.25">
      <c r="A5113" t="s">
        <v>2685</v>
      </c>
      <c r="C5113" t="s">
        <v>12</v>
      </c>
      <c r="D5113" s="1">
        <v>43234</v>
      </c>
    </row>
    <row r="5114" spans="1:4" x14ac:dyDescent="0.25">
      <c r="A5114" t="s">
        <v>578</v>
      </c>
      <c r="C5114" t="s">
        <v>12</v>
      </c>
      <c r="D5114" s="1">
        <v>43238</v>
      </c>
    </row>
    <row r="5115" spans="1:4" x14ac:dyDescent="0.25">
      <c r="A5115" t="s">
        <v>3354</v>
      </c>
      <c r="C5115" t="s">
        <v>12</v>
      </c>
      <c r="D5115" s="1">
        <v>43227</v>
      </c>
    </row>
    <row r="5116" spans="1:4" x14ac:dyDescent="0.25">
      <c r="A5116" t="s">
        <v>1288</v>
      </c>
      <c r="C5116" t="s">
        <v>12</v>
      </c>
      <c r="D5116" s="1">
        <v>43224</v>
      </c>
    </row>
    <row r="5117" spans="1:4" x14ac:dyDescent="0.25">
      <c r="A5117" t="s">
        <v>1057</v>
      </c>
      <c r="C5117" t="s">
        <v>12</v>
      </c>
      <c r="D5117" s="1">
        <v>43234</v>
      </c>
    </row>
    <row r="5118" spans="1:4" x14ac:dyDescent="0.25">
      <c r="A5118" t="s">
        <v>3355</v>
      </c>
      <c r="C5118" t="s">
        <v>12</v>
      </c>
      <c r="D5118" s="1">
        <v>43224</v>
      </c>
    </row>
    <row r="5119" spans="1:4" x14ac:dyDescent="0.25">
      <c r="A5119" t="s">
        <v>554</v>
      </c>
      <c r="C5119" t="s">
        <v>12</v>
      </c>
      <c r="D5119" s="1">
        <v>43238</v>
      </c>
    </row>
    <row r="5120" spans="1:4" x14ac:dyDescent="0.25">
      <c r="A5120" t="s">
        <v>3356</v>
      </c>
      <c r="C5120" t="s">
        <v>12</v>
      </c>
      <c r="D5120" s="1">
        <v>43229</v>
      </c>
    </row>
    <row r="5121" spans="1:4" x14ac:dyDescent="0.25">
      <c r="A5121" t="s">
        <v>3269</v>
      </c>
      <c r="C5121" t="s">
        <v>12</v>
      </c>
      <c r="D5121" s="1">
        <v>43238</v>
      </c>
    </row>
    <row r="5122" spans="1:4" x14ac:dyDescent="0.25">
      <c r="A5122" t="s">
        <v>3357</v>
      </c>
      <c r="C5122" t="s">
        <v>12</v>
      </c>
      <c r="D5122" s="1">
        <v>43229</v>
      </c>
    </row>
    <row r="5123" spans="1:4" x14ac:dyDescent="0.25">
      <c r="A5123" t="s">
        <v>3270</v>
      </c>
      <c r="C5123" t="s">
        <v>12</v>
      </c>
      <c r="D5123" s="1">
        <v>43238</v>
      </c>
    </row>
    <row r="5124" spans="1:4" x14ac:dyDescent="0.25">
      <c r="A5124" t="s">
        <v>1082</v>
      </c>
      <c r="C5124" t="s">
        <v>12</v>
      </c>
      <c r="D5124" s="1">
        <v>43234</v>
      </c>
    </row>
    <row r="5125" spans="1:4" x14ac:dyDescent="0.25">
      <c r="A5125" t="s">
        <v>664</v>
      </c>
      <c r="C5125" t="s">
        <v>12</v>
      </c>
      <c r="D5125" s="1">
        <v>43231</v>
      </c>
    </row>
    <row r="5126" spans="1:4" x14ac:dyDescent="0.25">
      <c r="A5126" t="s">
        <v>3271</v>
      </c>
      <c r="C5126" t="s">
        <v>12</v>
      </c>
      <c r="D5126" s="1">
        <v>43227</v>
      </c>
    </row>
    <row r="5127" spans="1:4" x14ac:dyDescent="0.25">
      <c r="A5127" t="s">
        <v>676</v>
      </c>
      <c r="C5127" t="s">
        <v>12</v>
      </c>
      <c r="D5127" s="1">
        <v>43238</v>
      </c>
    </row>
    <row r="5128" spans="1:4" x14ac:dyDescent="0.25">
      <c r="A5128" t="s">
        <v>3272</v>
      </c>
      <c r="C5128" t="s">
        <v>12</v>
      </c>
      <c r="D5128" s="1">
        <v>43238</v>
      </c>
    </row>
    <row r="5129" spans="1:4" x14ac:dyDescent="0.25">
      <c r="A5129" t="s">
        <v>749</v>
      </c>
      <c r="C5129" t="s">
        <v>12</v>
      </c>
      <c r="D5129" s="1">
        <v>43238</v>
      </c>
    </row>
    <row r="5130" spans="1:4" x14ac:dyDescent="0.25">
      <c r="A5130" t="s">
        <v>734</v>
      </c>
      <c r="C5130" t="s">
        <v>12</v>
      </c>
      <c r="D5130" s="1">
        <v>43224</v>
      </c>
    </row>
    <row r="5131" spans="1:4" x14ac:dyDescent="0.25">
      <c r="A5131" t="s">
        <v>3273</v>
      </c>
      <c r="C5131" t="s">
        <v>12</v>
      </c>
      <c r="D5131" s="1">
        <v>43227</v>
      </c>
    </row>
    <row r="5132" spans="1:4" x14ac:dyDescent="0.25">
      <c r="A5132" t="s">
        <v>140</v>
      </c>
      <c r="C5132" t="s">
        <v>12</v>
      </c>
      <c r="D5132" s="1">
        <v>43234</v>
      </c>
    </row>
    <row r="5133" spans="1:4" x14ac:dyDescent="0.25">
      <c r="A5133" t="s">
        <v>525</v>
      </c>
      <c r="C5133" t="s">
        <v>12</v>
      </c>
      <c r="D5133" s="1">
        <v>43238</v>
      </c>
    </row>
    <row r="5134" spans="1:4" x14ac:dyDescent="0.25">
      <c r="A5134" t="s">
        <v>3274</v>
      </c>
      <c r="C5134" t="s">
        <v>12</v>
      </c>
      <c r="D5134" s="1">
        <v>43238</v>
      </c>
    </row>
    <row r="5135" spans="1:4" x14ac:dyDescent="0.25">
      <c r="A5135" t="s">
        <v>1099</v>
      </c>
      <c r="C5135" t="s">
        <v>12</v>
      </c>
      <c r="D5135" s="1">
        <v>43227</v>
      </c>
    </row>
    <row r="5136" spans="1:4" x14ac:dyDescent="0.25">
      <c r="A5136" t="s">
        <v>3276</v>
      </c>
      <c r="C5136" t="s">
        <v>12</v>
      </c>
      <c r="D5136" s="1">
        <v>43238</v>
      </c>
    </row>
    <row r="5137" spans="1:4" x14ac:dyDescent="0.25">
      <c r="A5137" t="s">
        <v>740</v>
      </c>
      <c r="C5137" t="s">
        <v>12</v>
      </c>
      <c r="D5137" s="1">
        <v>43238</v>
      </c>
    </row>
    <row r="5138" spans="1:4" x14ac:dyDescent="0.25">
      <c r="A5138" t="s">
        <v>1398</v>
      </c>
      <c r="C5138" t="s">
        <v>12</v>
      </c>
      <c r="D5138" s="1">
        <v>43243</v>
      </c>
    </row>
    <row r="5139" spans="1:4" x14ac:dyDescent="0.25">
      <c r="A5139" t="s">
        <v>307</v>
      </c>
      <c r="C5139" t="s">
        <v>12</v>
      </c>
      <c r="D5139" s="1">
        <v>43231</v>
      </c>
    </row>
    <row r="5140" spans="1:4" x14ac:dyDescent="0.25">
      <c r="A5140" t="s">
        <v>1702</v>
      </c>
      <c r="C5140" t="s">
        <v>12</v>
      </c>
      <c r="D5140" s="1">
        <v>43231</v>
      </c>
    </row>
    <row r="5141" spans="1:4" x14ac:dyDescent="0.25">
      <c r="A5141" t="s">
        <v>3278</v>
      </c>
      <c r="C5141" t="s">
        <v>12</v>
      </c>
      <c r="D5141" s="1">
        <v>43248</v>
      </c>
    </row>
    <row r="5142" spans="1:4" x14ac:dyDescent="0.25">
      <c r="A5142" t="s">
        <v>3280</v>
      </c>
      <c r="C5142" t="s">
        <v>12</v>
      </c>
      <c r="D5142" s="1">
        <v>43238</v>
      </c>
    </row>
    <row r="5143" spans="1:4" x14ac:dyDescent="0.25">
      <c r="A5143" t="s">
        <v>790</v>
      </c>
      <c r="C5143" t="s">
        <v>12</v>
      </c>
      <c r="D5143" s="1">
        <v>43238</v>
      </c>
    </row>
    <row r="5144" spans="1:4" x14ac:dyDescent="0.25">
      <c r="A5144" t="s">
        <v>613</v>
      </c>
      <c r="C5144" t="s">
        <v>12</v>
      </c>
      <c r="D5144" s="1">
        <v>43227</v>
      </c>
    </row>
    <row r="5145" spans="1:4" x14ac:dyDescent="0.25">
      <c r="A5145" t="s">
        <v>3358</v>
      </c>
      <c r="C5145" t="s">
        <v>12</v>
      </c>
      <c r="D5145" s="1">
        <v>43227</v>
      </c>
    </row>
    <row r="5146" spans="1:4" x14ac:dyDescent="0.25">
      <c r="A5146" t="s">
        <v>3281</v>
      </c>
      <c r="C5146" t="s">
        <v>12</v>
      </c>
      <c r="D5146" s="1">
        <v>43238</v>
      </c>
    </row>
    <row r="5147" spans="1:4" x14ac:dyDescent="0.25">
      <c r="A5147" t="s">
        <v>3359</v>
      </c>
      <c r="C5147" t="s">
        <v>12</v>
      </c>
      <c r="D5147" s="1">
        <v>43229</v>
      </c>
    </row>
    <row r="5148" spans="1:4" x14ac:dyDescent="0.25">
      <c r="A5148" t="s">
        <v>2554</v>
      </c>
      <c r="C5148" t="s">
        <v>12</v>
      </c>
      <c r="D5148" s="1">
        <v>43237</v>
      </c>
    </row>
    <row r="5149" spans="1:4" x14ac:dyDescent="0.25">
      <c r="A5149" t="s">
        <v>3282</v>
      </c>
      <c r="C5149" t="s">
        <v>12</v>
      </c>
      <c r="D5149" s="1">
        <v>43237</v>
      </c>
    </row>
    <row r="5150" spans="1:4" x14ac:dyDescent="0.25">
      <c r="A5150" t="s">
        <v>2741</v>
      </c>
      <c r="C5150" t="s">
        <v>12</v>
      </c>
      <c r="D5150" s="1">
        <v>43234</v>
      </c>
    </row>
    <row r="5151" spans="1:4" x14ac:dyDescent="0.25">
      <c r="A5151" t="s">
        <v>3283</v>
      </c>
      <c r="C5151" t="s">
        <v>12</v>
      </c>
      <c r="D5151" s="1">
        <v>43245</v>
      </c>
    </row>
    <row r="5152" spans="1:4" x14ac:dyDescent="0.25">
      <c r="A5152" t="s">
        <v>633</v>
      </c>
      <c r="C5152" t="s">
        <v>12</v>
      </c>
      <c r="D5152" s="1">
        <v>43247</v>
      </c>
    </row>
    <row r="5153" spans="1:4" x14ac:dyDescent="0.25">
      <c r="A5153" t="s">
        <v>589</v>
      </c>
      <c r="C5153" t="s">
        <v>12</v>
      </c>
      <c r="D5153" s="1">
        <v>43231</v>
      </c>
    </row>
    <row r="5154" spans="1:4" x14ac:dyDescent="0.25">
      <c r="A5154" t="s">
        <v>1552</v>
      </c>
      <c r="C5154" t="s">
        <v>12</v>
      </c>
      <c r="D5154" s="1">
        <v>43245</v>
      </c>
    </row>
    <row r="5155" spans="1:4" x14ac:dyDescent="0.25">
      <c r="A5155" t="s">
        <v>3360</v>
      </c>
      <c r="C5155" t="s">
        <v>12</v>
      </c>
      <c r="D5155" s="1">
        <v>43227</v>
      </c>
    </row>
    <row r="5156" spans="1:4" x14ac:dyDescent="0.25">
      <c r="A5156" t="s">
        <v>3284</v>
      </c>
      <c r="C5156" t="s">
        <v>12</v>
      </c>
      <c r="D5156" s="1">
        <v>43238</v>
      </c>
    </row>
    <row r="5157" spans="1:4" x14ac:dyDescent="0.25">
      <c r="A5157" t="s">
        <v>1543</v>
      </c>
      <c r="C5157" t="s">
        <v>12</v>
      </c>
      <c r="D5157" s="1">
        <v>43245</v>
      </c>
    </row>
    <row r="5158" spans="1:4" x14ac:dyDescent="0.25">
      <c r="A5158" t="s">
        <v>292</v>
      </c>
      <c r="C5158" t="s">
        <v>12</v>
      </c>
      <c r="D5158" s="1">
        <v>43224</v>
      </c>
    </row>
    <row r="5159" spans="1:4" x14ac:dyDescent="0.25">
      <c r="A5159" t="s">
        <v>3286</v>
      </c>
      <c r="C5159" t="s">
        <v>12</v>
      </c>
      <c r="D5159" s="1">
        <v>43238</v>
      </c>
    </row>
    <row r="5160" spans="1:4" x14ac:dyDescent="0.25">
      <c r="A5160" t="s">
        <v>1329</v>
      </c>
      <c r="C5160" t="s">
        <v>12</v>
      </c>
      <c r="D5160" s="1">
        <v>43227</v>
      </c>
    </row>
    <row r="5161" spans="1:4" x14ac:dyDescent="0.25">
      <c r="A5161" t="s">
        <v>675</v>
      </c>
      <c r="C5161" t="s">
        <v>12</v>
      </c>
      <c r="D5161" s="1">
        <v>43227</v>
      </c>
    </row>
    <row r="5162" spans="1:4" x14ac:dyDescent="0.25">
      <c r="A5162" t="s">
        <v>957</v>
      </c>
      <c r="C5162" t="s">
        <v>12</v>
      </c>
      <c r="D5162" s="1">
        <v>43238</v>
      </c>
    </row>
    <row r="5163" spans="1:4" x14ac:dyDescent="0.25">
      <c r="A5163" t="s">
        <v>187</v>
      </c>
      <c r="C5163" t="s">
        <v>12</v>
      </c>
      <c r="D5163" s="1">
        <v>43224</v>
      </c>
    </row>
    <row r="5164" spans="1:4" x14ac:dyDescent="0.25">
      <c r="A5164" t="s">
        <v>3361</v>
      </c>
      <c r="C5164" t="s">
        <v>12</v>
      </c>
      <c r="D5164" s="1">
        <v>43234</v>
      </c>
    </row>
    <row r="5165" spans="1:4" x14ac:dyDescent="0.25">
      <c r="A5165" t="s">
        <v>1263</v>
      </c>
      <c r="C5165" t="s">
        <v>12</v>
      </c>
      <c r="D5165" s="1">
        <v>43238</v>
      </c>
    </row>
    <row r="5166" spans="1:4" x14ac:dyDescent="0.25">
      <c r="A5166" t="s">
        <v>1147</v>
      </c>
      <c r="C5166" t="s">
        <v>12</v>
      </c>
      <c r="D5166" s="1">
        <v>43227</v>
      </c>
    </row>
    <row r="5167" spans="1:4" x14ac:dyDescent="0.25">
      <c r="A5167" t="s">
        <v>3289</v>
      </c>
      <c r="C5167" t="s">
        <v>12</v>
      </c>
      <c r="D5167" s="1">
        <v>43231</v>
      </c>
    </row>
    <row r="5168" spans="1:4" x14ac:dyDescent="0.25">
      <c r="A5168" t="s">
        <v>1342</v>
      </c>
      <c r="C5168" t="s">
        <v>12</v>
      </c>
      <c r="D5168" s="1">
        <v>43238</v>
      </c>
    </row>
    <row r="5169" spans="1:4" x14ac:dyDescent="0.25">
      <c r="A5169" t="s">
        <v>3290</v>
      </c>
      <c r="C5169" t="s">
        <v>12</v>
      </c>
      <c r="D5169" s="1">
        <v>43229</v>
      </c>
    </row>
    <row r="5170" spans="1:4" x14ac:dyDescent="0.25">
      <c r="A5170" t="s">
        <v>1432</v>
      </c>
      <c r="C5170" t="s">
        <v>12</v>
      </c>
      <c r="D5170" s="1">
        <v>43222</v>
      </c>
    </row>
    <row r="5171" spans="1:4" x14ac:dyDescent="0.25">
      <c r="A5171" t="s">
        <v>3292</v>
      </c>
      <c r="C5171" t="s">
        <v>12</v>
      </c>
      <c r="D5171" s="1">
        <v>43245</v>
      </c>
    </row>
    <row r="5172" spans="1:4" x14ac:dyDescent="0.25">
      <c r="A5172" t="s">
        <v>1332</v>
      </c>
      <c r="C5172" t="s">
        <v>12</v>
      </c>
      <c r="D5172" s="1">
        <v>43224</v>
      </c>
    </row>
    <row r="5173" spans="1:4" x14ac:dyDescent="0.25">
      <c r="A5173" t="s">
        <v>3293</v>
      </c>
      <c r="C5173" t="s">
        <v>12</v>
      </c>
      <c r="D5173" s="1">
        <v>43237</v>
      </c>
    </row>
    <row r="5174" spans="1:4" x14ac:dyDescent="0.25">
      <c r="A5174" t="s">
        <v>3362</v>
      </c>
      <c r="C5174" t="s">
        <v>12</v>
      </c>
      <c r="D5174" s="1">
        <v>43227</v>
      </c>
    </row>
    <row r="5175" spans="1:4" x14ac:dyDescent="0.25">
      <c r="A5175" t="s">
        <v>670</v>
      </c>
      <c r="C5175" t="s">
        <v>12</v>
      </c>
      <c r="D5175" s="1">
        <v>43231</v>
      </c>
    </row>
    <row r="5176" spans="1:4" x14ac:dyDescent="0.25">
      <c r="A5176" t="s">
        <v>3363</v>
      </c>
      <c r="C5176" t="s">
        <v>12</v>
      </c>
      <c r="D5176" s="1">
        <v>43231</v>
      </c>
    </row>
    <row r="5177" spans="1:4" x14ac:dyDescent="0.25">
      <c r="A5177" t="s">
        <v>3364</v>
      </c>
      <c r="C5177" t="s">
        <v>12</v>
      </c>
      <c r="D5177" s="1">
        <v>43231</v>
      </c>
    </row>
    <row r="5178" spans="1:4" x14ac:dyDescent="0.25">
      <c r="A5178" t="s">
        <v>3297</v>
      </c>
      <c r="C5178" t="s">
        <v>12</v>
      </c>
      <c r="D5178" s="1">
        <v>43238</v>
      </c>
    </row>
    <row r="5179" spans="1:4" x14ac:dyDescent="0.25">
      <c r="A5179" t="s">
        <v>3365</v>
      </c>
      <c r="C5179" t="s">
        <v>12</v>
      </c>
      <c r="D5179" s="1">
        <v>43224</v>
      </c>
    </row>
    <row r="5180" spans="1:4" x14ac:dyDescent="0.25">
      <c r="A5180" t="s">
        <v>3298</v>
      </c>
      <c r="C5180" t="s">
        <v>12</v>
      </c>
      <c r="D5180" s="1">
        <v>43224</v>
      </c>
    </row>
    <row r="5181" spans="1:4" x14ac:dyDescent="0.25">
      <c r="A5181" t="s">
        <v>3299</v>
      </c>
      <c r="C5181" t="s">
        <v>12</v>
      </c>
      <c r="D5181" s="1">
        <v>43238</v>
      </c>
    </row>
    <row r="5182" spans="1:4" x14ac:dyDescent="0.25">
      <c r="A5182" t="s">
        <v>285</v>
      </c>
      <c r="C5182" t="s">
        <v>12</v>
      </c>
      <c r="D5182" s="1">
        <v>43231</v>
      </c>
    </row>
    <row r="5183" spans="1:4" x14ac:dyDescent="0.25">
      <c r="A5183" t="s">
        <v>3300</v>
      </c>
      <c r="C5183" t="s">
        <v>12</v>
      </c>
      <c r="D5183" s="1">
        <v>43245</v>
      </c>
    </row>
    <row r="5184" spans="1:4" x14ac:dyDescent="0.25">
      <c r="A5184" t="s">
        <v>3301</v>
      </c>
      <c r="C5184" t="s">
        <v>12</v>
      </c>
      <c r="D5184" s="1">
        <v>43224</v>
      </c>
    </row>
    <row r="5185" spans="1:4" x14ac:dyDescent="0.25">
      <c r="A5185" t="s">
        <v>3302</v>
      </c>
      <c r="C5185" t="s">
        <v>12</v>
      </c>
      <c r="D5185" s="1">
        <v>43238</v>
      </c>
    </row>
    <row r="5186" spans="1:4" x14ac:dyDescent="0.25">
      <c r="A5186" t="s">
        <v>3366</v>
      </c>
      <c r="C5186" t="s">
        <v>12</v>
      </c>
      <c r="D5186" s="1">
        <v>43231</v>
      </c>
    </row>
    <row r="5187" spans="1:4" x14ac:dyDescent="0.25">
      <c r="A5187" t="s">
        <v>3367</v>
      </c>
      <c r="C5187" t="s">
        <v>12</v>
      </c>
      <c r="D5187" s="1">
        <v>43224</v>
      </c>
    </row>
    <row r="5188" spans="1:4" x14ac:dyDescent="0.25">
      <c r="A5188" t="s">
        <v>542</v>
      </c>
      <c r="C5188" t="s">
        <v>12</v>
      </c>
      <c r="D5188" s="1">
        <v>43244</v>
      </c>
    </row>
    <row r="5189" spans="1:4" x14ac:dyDescent="0.25">
      <c r="A5189" t="s">
        <v>761</v>
      </c>
      <c r="C5189" t="s">
        <v>12</v>
      </c>
      <c r="D5189" s="1">
        <v>43238</v>
      </c>
    </row>
    <row r="5190" spans="1:4" x14ac:dyDescent="0.25">
      <c r="A5190" t="s">
        <v>3303</v>
      </c>
      <c r="C5190" t="s">
        <v>12</v>
      </c>
      <c r="D5190" s="1">
        <v>43237</v>
      </c>
    </row>
  </sheetData>
  <autoFilter ref="A1:D4768" xr:uid="{00000000-0009-0000-0000-000004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F4CFB8-31E8-4CC5-9F0C-1D65D0F61A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Forecast Accuracy</vt:lpstr>
      <vt:lpstr>Forecast Accuracy Data</vt:lpstr>
      <vt:lpstr>Production Data</vt:lpstr>
      <vt:lpstr>Lock Summary</vt:lpstr>
      <vt:lpstr>PACE Lock File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Roger Cox</dc:creator>
  <cp:keywords/>
  <dc:description/>
  <cp:lastModifiedBy>Tyler Dunlap</cp:lastModifiedBy>
  <cp:revision/>
  <dcterms:created xsi:type="dcterms:W3CDTF">2017-10-23T15:23:22Z</dcterms:created>
  <dcterms:modified xsi:type="dcterms:W3CDTF">2018-11-30T19:39:46Z</dcterms:modified>
  <cp:category/>
  <cp:contentStatus/>
</cp:coreProperties>
</file>